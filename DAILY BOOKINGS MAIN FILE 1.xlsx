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760" activeTab="2"/>
  </bookViews>
  <sheets>
    <sheet name="DAILY ENTRIES" sheetId="4" r:id="rId1"/>
    <sheet name="INVOICE AND CASH AMOUNT" sheetId="5" r:id="rId2"/>
    <sheet name="RECEIVED AMOUNT" sheetId="6" r:id="rId3"/>
  </sheets>
  <externalReferences>
    <externalReference r:id="rId4"/>
  </externalReferences>
  <definedNames>
    <definedName name="_xlnm._FilterDatabase" localSheetId="0" hidden="1">'DAILY ENTRIES'!$A$1:$XFC$75</definedName>
    <definedName name="_xlnm._FilterDatabase" localSheetId="1" hidden="1">'INVOICE AND CASH AMOUNT'!$A$1:$K$50</definedName>
  </definedName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7" i="5" l="1"/>
  <c r="I56" i="5" l="1"/>
  <c r="I55" i="5"/>
  <c r="I54" i="5"/>
  <c r="I53" i="5"/>
  <c r="E53" i="5" l="1"/>
  <c r="P78" i="4" l="1"/>
  <c r="Q78" i="4"/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2" i="5"/>
  <c r="C12" i="6" l="1"/>
  <c r="F42" i="5"/>
  <c r="E25" i="5"/>
  <c r="F15" i="5"/>
  <c r="F13" i="5"/>
  <c r="O78" i="4" l="1"/>
  <c r="O55" i="4"/>
  <c r="O45" i="4"/>
  <c r="O33" i="4"/>
  <c r="O23" i="4"/>
  <c r="O22" i="4"/>
  <c r="O21" i="4"/>
  <c r="O80" i="4" l="1"/>
  <c r="P85" i="4" l="1"/>
</calcChain>
</file>

<file path=xl/sharedStrings.xml><?xml version="1.0" encoding="utf-8"?>
<sst xmlns="http://schemas.openxmlformats.org/spreadsheetml/2006/main" count="17344" uniqueCount="16751">
  <si>
    <t>NAME</t>
  </si>
  <si>
    <t>MR KHITISH KUMAR NAYAK</t>
  </si>
  <si>
    <t>MR ABHIJIT SAIKIA</t>
  </si>
  <si>
    <t>MR SAMIRANJAN BISWAL</t>
  </si>
  <si>
    <t>MR KHIRUD GOGOIN</t>
  </si>
  <si>
    <t>MR GURCAN GURSES</t>
  </si>
  <si>
    <t>MR RITHIK GANDHI</t>
  </si>
  <si>
    <t xml:space="preserve">MR GAURAV HAZARIKA </t>
  </si>
  <si>
    <t>MR SANTOSH KUMAR MISHRA</t>
  </si>
  <si>
    <t xml:space="preserve">AYEZAHHAMEED ALI +MRTR  UMER </t>
  </si>
  <si>
    <t>MS GHAZALA +MR HAMEED ALI</t>
  </si>
  <si>
    <t>MR SANJEEV JAIN</t>
  </si>
  <si>
    <t>MR ASHOK GANG +3</t>
  </si>
  <si>
    <t>MR DEEPAK BOTHRA +1</t>
  </si>
  <si>
    <t>DEEPAK BOTHRA +5</t>
  </si>
  <si>
    <t>MR INDRAJIT BARUA</t>
  </si>
  <si>
    <t>MS HITISHA JAIN +8</t>
  </si>
  <si>
    <t>MS PRAGYA PARAKH +7</t>
  </si>
  <si>
    <t>MR MAHATVA MITTAL</t>
  </si>
  <si>
    <t>MR ARUNACHALAM P</t>
  </si>
  <si>
    <t>MS ANJU DUBEY +1</t>
  </si>
  <si>
    <t>MR JASPAL SINGH YADAV</t>
  </si>
  <si>
    <t>MR THIAGARAJAN NATARAJAN</t>
  </si>
  <si>
    <t>MR MAHATVA MITTAL+1</t>
  </si>
  <si>
    <t>MR JAYRAJ JV</t>
  </si>
  <si>
    <t>MR SHUBHAM RAWAT</t>
  </si>
  <si>
    <t>MR RUPAM GOGOI</t>
  </si>
  <si>
    <t>MS KARISHMA ROY</t>
  </si>
  <si>
    <t>MR RAM KUMAR CHAKRABORTY</t>
  </si>
  <si>
    <t>MR MD GHOUSE PASHA</t>
  </si>
  <si>
    <t xml:space="preserve">MR ABINASH PHUKON </t>
  </si>
  <si>
    <t>MR BISHNU KANTI KUNDU</t>
  </si>
  <si>
    <t>MR HAMEED ALI+3</t>
  </si>
  <si>
    <t>MRS SUJATA POROHIT</t>
  </si>
  <si>
    <t>MASTER ATUL PUROHIT</t>
  </si>
  <si>
    <t>MR ABHISHEK PUROHIT</t>
  </si>
  <si>
    <t xml:space="preserve">MR RAHUL MEEL </t>
  </si>
  <si>
    <t>NIDHI CHOPRA +1</t>
  </si>
  <si>
    <t>MR DEEPAK BOTHRA +5</t>
  </si>
  <si>
    <t>MR KR MANESH KUMAR</t>
  </si>
  <si>
    <t>MR ABHISHEK VERMA</t>
  </si>
  <si>
    <t xml:space="preserve">MR SUVENDU SINGH </t>
  </si>
  <si>
    <t>MR FATEH SINGH ASWAL</t>
  </si>
  <si>
    <t>MR JINESH PARAKH</t>
  </si>
  <si>
    <t>MR NAMAN JAIN</t>
  </si>
  <si>
    <t>NEHA BANSALI</t>
  </si>
  <si>
    <t>MR SUMIT JANGID</t>
  </si>
  <si>
    <t>MR AKSHAT JAIN</t>
  </si>
  <si>
    <t>MR YASHOWARDHAN MITTAL</t>
  </si>
  <si>
    <t>MR SAGAR MOHNOT</t>
  </si>
  <si>
    <t>MR SUSHIL TOSHNIWAL</t>
  </si>
  <si>
    <t>FROM</t>
  </si>
  <si>
    <t>TO</t>
  </si>
  <si>
    <t>DETAILS</t>
  </si>
  <si>
    <t>BOOKING DATE</t>
  </si>
  <si>
    <t>PNR</t>
  </si>
  <si>
    <t>AIRLINE / HOTEL NAME</t>
  </si>
  <si>
    <t>PRICE</t>
  </si>
  <si>
    <t>NO. OF ROOM</t>
  </si>
  <si>
    <t>STOP/ ROOM TYPE</t>
  </si>
  <si>
    <t>EMAIL</t>
  </si>
  <si>
    <t>PHONE NO.</t>
  </si>
  <si>
    <t>REFERENCE</t>
  </si>
  <si>
    <t>BOOKING EMAIL</t>
  </si>
  <si>
    <t xml:space="preserve">PHONE NO. </t>
  </si>
  <si>
    <t>PAYMENT STATUS</t>
  </si>
  <si>
    <t>GST NO.</t>
  </si>
  <si>
    <t>Column11</t>
  </si>
  <si>
    <t>NEW DELHI</t>
  </si>
  <si>
    <t>DIBRUGARH</t>
  </si>
  <si>
    <t>24/7/23</t>
  </si>
  <si>
    <t>18/7/23</t>
  </si>
  <si>
    <t>HRPMUJ</t>
  </si>
  <si>
    <t>INDIGO</t>
  </si>
  <si>
    <t>LALIT822@GMAIL.COM</t>
  </si>
  <si>
    <t> travelhelp@flipkart.com</t>
  </si>
  <si>
    <t> 0124 - 668 - 2170</t>
  </si>
  <si>
    <t>SURAT</t>
  </si>
  <si>
    <t>GUWAHATI</t>
  </si>
  <si>
    <t>26/7/23</t>
  </si>
  <si>
    <t>C18QUC</t>
  </si>
  <si>
    <t>AIR ASIA</t>
  </si>
  <si>
    <t>BANGLORE</t>
  </si>
  <si>
    <t>MUMBAI</t>
  </si>
  <si>
    <t>JODHPUR</t>
  </si>
  <si>
    <t>20/7/23</t>
  </si>
  <si>
    <t>5Q7T07</t>
  </si>
  <si>
    <t xml:space="preserve"> 9595 333 333</t>
  </si>
  <si>
    <t>19/7/23</t>
  </si>
  <si>
    <t>QV4NKY</t>
  </si>
  <si>
    <t>travelhelp@flipkart.com</t>
  </si>
  <si>
    <t>JORHAT</t>
  </si>
  <si>
    <t>SRJLHZ</t>
  </si>
  <si>
    <t>reservations@customer.goindigo.in</t>
  </si>
  <si>
    <t> 0124-4973838</t>
  </si>
  <si>
    <t>SHARJAH</t>
  </si>
  <si>
    <t>22/7/23</t>
  </si>
  <si>
    <t>X1IE9S</t>
  </si>
  <si>
    <t>AIR INDIA</t>
  </si>
  <si>
    <t>BY PHONE</t>
  </si>
  <si>
    <t>AMRITSAR</t>
  </si>
  <si>
    <t>21/7/23</t>
  </si>
  <si>
    <t>B39YYB</t>
  </si>
  <si>
    <t>AHMEDABAD</t>
  </si>
  <si>
    <t>30/7/23</t>
  </si>
  <si>
    <t>EU7SKA</t>
  </si>
  <si>
    <t>NVKSTN</t>
  </si>
  <si>
    <t>BHUBANESWAR</t>
  </si>
  <si>
    <t>23/7/23</t>
  </si>
  <si>
    <t>NN6DTY</t>
  </si>
  <si>
    <t>DUBAI</t>
  </si>
  <si>
    <t>15/8/23</t>
  </si>
  <si>
    <t>Q6CURJ</t>
  </si>
  <si>
    <t>EMIRATES</t>
  </si>
  <si>
    <t>GAYATRITRAVELMGT@GMAIL.COM</t>
  </si>
  <si>
    <t>HAMID ALI</t>
  </si>
  <si>
    <t>DELHI</t>
  </si>
  <si>
    <t>DPGY4M</t>
  </si>
  <si>
    <t>LALIT107@GMAIL.COM</t>
  </si>
  <si>
    <t>124-4973838 </t>
  </si>
  <si>
    <t>MUSCAT</t>
  </si>
  <si>
    <t>31/8/23</t>
  </si>
  <si>
    <t>25/7/23</t>
  </si>
  <si>
    <t>EW9EFS</t>
  </si>
  <si>
    <t>MAHAVEER PARAKH</t>
  </si>
  <si>
    <t>J98752133467@GMAIL.COM</t>
  </si>
  <si>
    <t>23/8/23</t>
  </si>
  <si>
    <t>HTFQXT</t>
  </si>
  <si>
    <t>15/9/23</t>
  </si>
  <si>
    <t>6VCVHM</t>
  </si>
  <si>
    <t>GAYATRI96568@GMAIL.COM</t>
  </si>
  <si>
    <t>6VEE6B</t>
  </si>
  <si>
    <t>AVBBJJ</t>
  </si>
  <si>
    <t>FLYDUBAI</t>
  </si>
  <si>
    <t>DIBURGARH</t>
  </si>
  <si>
    <t>GT4BYA</t>
  </si>
  <si>
    <t>EASE MY TRIP</t>
  </si>
  <si>
    <t>GOA</t>
  </si>
  <si>
    <t>21/8/23</t>
  </si>
  <si>
    <t>TD8JQZ</t>
  </si>
  <si>
    <t>SPICE JET</t>
  </si>
  <si>
    <t>PRINCE JAIN</t>
  </si>
  <si>
    <t>TGJDVQ</t>
  </si>
  <si>
    <t>2 DUBAI VISA</t>
  </si>
  <si>
    <t>MAHATVA MITTAL</t>
  </si>
  <si>
    <t>JS2QTJ</t>
  </si>
  <si>
    <t>HR KIRI</t>
  </si>
  <si>
    <t>kanchanboranaayansh@gmail.com</t>
  </si>
  <si>
    <t>CHENNAI</t>
  </si>
  <si>
    <t>XLJEHB</t>
  </si>
  <si>
    <t>MONTREAL</t>
  </si>
  <si>
    <t>JPGXW9</t>
  </si>
  <si>
    <t>SWISS</t>
  </si>
  <si>
    <t xml:space="preserve"> singhmahendra873@gmail.com</t>
  </si>
  <si>
    <t>63F7KT</t>
  </si>
  <si>
    <t>UNITED</t>
  </si>
  <si>
    <t>SC5WWK</t>
  </si>
  <si>
    <t>VISTARA</t>
  </si>
  <si>
    <t xml:space="preserve">GUWAHATI </t>
  </si>
  <si>
    <t>RTY8XW</t>
  </si>
  <si>
    <t>AWYDWS</t>
  </si>
  <si>
    <t>FRFFWZ</t>
  </si>
  <si>
    <t>EM4ZVL</t>
  </si>
  <si>
    <t>DELHRADUN</t>
  </si>
  <si>
    <t>H1S3RH</t>
  </si>
  <si>
    <t>A2FMFR</t>
  </si>
  <si>
    <t>TP89WF</t>
  </si>
  <si>
    <t>CANCELLATION</t>
  </si>
  <si>
    <t>QWPK6S</t>
  </si>
  <si>
    <t>AGARTALA</t>
  </si>
  <si>
    <t>Z2QRKH</t>
  </si>
  <si>
    <t xml:space="preserve">SURAT </t>
  </si>
  <si>
    <t>KZD93X</t>
  </si>
  <si>
    <t>HYDERABAD</t>
  </si>
  <si>
    <t>N1NL8H</t>
  </si>
  <si>
    <t>RNM1HI</t>
  </si>
  <si>
    <t>GUWAHATI , DELHI</t>
  </si>
  <si>
    <t>(cancellation charge)</t>
  </si>
  <si>
    <t>J9875133467@gmail.com</t>
  </si>
  <si>
    <t>DEHRADUN</t>
  </si>
  <si>
    <t>UN8QUL</t>
  </si>
  <si>
    <t>KOLKATA</t>
  </si>
  <si>
    <t>K6LPHA</t>
  </si>
  <si>
    <t>59HAYX</t>
  </si>
  <si>
    <t>JAIPUR</t>
  </si>
  <si>
    <t>I19KGX</t>
  </si>
  <si>
    <t xml:space="preserve">SHARJAH </t>
  </si>
  <si>
    <t>TBILISI</t>
  </si>
  <si>
    <t>AIR ARABIA</t>
  </si>
  <si>
    <t>ABHISHEK PUROHIT</t>
  </si>
  <si>
    <t>M315KE</t>
  </si>
  <si>
    <t>dsparihar19@gmail.com</t>
  </si>
  <si>
    <t>PL6AHB</t>
  </si>
  <si>
    <t>GUJOGY</t>
  </si>
  <si>
    <t xml:space="preserve">OMAN </t>
  </si>
  <si>
    <t>DONE</t>
  </si>
  <si>
    <t>KOZHIKODE</t>
  </si>
  <si>
    <t>E1I2MH</t>
  </si>
  <si>
    <t>I6HWKQ</t>
  </si>
  <si>
    <t>QT52TB</t>
  </si>
  <si>
    <t>S27ZUX</t>
  </si>
  <si>
    <t>BTZ5PT</t>
  </si>
  <si>
    <t>VMQT5Y</t>
  </si>
  <si>
    <t>MV7RMA</t>
  </si>
  <si>
    <t>HOTEL BOOKING</t>
  </si>
  <si>
    <t>THE LALIT LAXMI VILAS PALACE UDAIPUR</t>
  </si>
  <si>
    <t>DELUXE  VALLEY VIEW ROOM</t>
  </si>
  <si>
    <t>gaytritravelmgt@gmail.com</t>
  </si>
  <si>
    <t>MR JINESH PATRAKH</t>
  </si>
  <si>
    <t>skstravelmanagement@gmail.com</t>
  </si>
  <si>
    <t>the claremont hotel</t>
  </si>
  <si>
    <t>ROYAL DELUXE CLUB LOUNGE ACCESS, GUEST ROOM.</t>
  </si>
  <si>
    <t>NAMAN JAIN</t>
  </si>
  <si>
    <t>THE EVITEL RESORT UBUD</t>
  </si>
  <si>
    <t>Superior</t>
  </si>
  <si>
    <t>lalit822@gmail.com</t>
  </si>
  <si>
    <t>BID-2659870</t>
  </si>
  <si>
    <t>AMARI PHUKET</t>
  </si>
  <si>
    <t>OCEAN FRONT DELUXE ROOM WITH BALCONY</t>
  </si>
  <si>
    <t>noreply@grnconnect.com</t>
  </si>
  <si>
    <t>TJ202269423745</t>
  </si>
  <si>
    <t xml:space="preserve">RENDEZVOUS HOTEL SINGAPORE BY FAR EAST HOSPITALITY </t>
  </si>
  <si>
    <t>CLUB ROOM</t>
  </si>
  <si>
    <t>75761SE128089</t>
  </si>
  <si>
    <t>TAJ GANGES, VARANASI</t>
  </si>
  <si>
    <t xml:space="preserve">DELUXE TWIN BAD ROOM WITH BF </t>
  </si>
  <si>
    <t>INDORE MARRIOTT HOTEL</t>
  </si>
  <si>
    <t>STANDARD TWIN ROOM WITH BF+ ONE MAJOR MEAL</t>
  </si>
  <si>
    <t>AIR PORT PICK UP CHARGES FROM INDORE</t>
  </si>
  <si>
    <t>THE SUN HOTEL &amp; SPA LEGIAN</t>
  </si>
  <si>
    <t>SUPERIOR DOUBLE OR TWIN ROOM</t>
  </si>
  <si>
    <t>sagar mohnot</t>
  </si>
  <si>
    <t>SPSQKC</t>
  </si>
  <si>
    <t>MR DEEPAK SONI+ 3</t>
  </si>
  <si>
    <t>LRBBJZ</t>
  </si>
  <si>
    <t>PAID</t>
  </si>
  <si>
    <t xml:space="preserve">no-reply@flipkart.com
</t>
  </si>
  <si>
    <t>no-reply@cleartrip.com</t>
  </si>
  <si>
    <t>do-not-reply@emirates.email</t>
  </si>
  <si>
    <t>confirmation@flydubai.com</t>
  </si>
  <si>
    <t>noreply@flybig.in</t>
  </si>
  <si>
    <t>Itinerary@spicejet.com</t>
  </si>
  <si>
    <t>noreply@travelinfomail.in</t>
  </si>
  <si>
    <t>reservations@airarabia.com</t>
  </si>
  <si>
    <t>webbooking@omanair.com</t>
  </si>
  <si>
    <t>no-reply@agoda.com</t>
  </si>
  <si>
    <t>trip@classicholidays.in</t>
  </si>
  <si>
    <t>MS NIDHI CHOPRA</t>
  </si>
  <si>
    <t>MR DEEPAK SONI</t>
  </si>
  <si>
    <t>DEEPAK SONI</t>
  </si>
  <si>
    <t>MR UDIT GAUR</t>
  </si>
  <si>
    <t>RECEIVED</t>
  </si>
  <si>
    <t>9928111474 GPAY</t>
  </si>
  <si>
    <t>LALIT JI KIRI</t>
  </si>
  <si>
    <t>MR PRAVEEN JAIN</t>
  </si>
  <si>
    <t>MR MOHNISH GOLECHHA</t>
  </si>
  <si>
    <t>MR ASGAR ALI</t>
  </si>
  <si>
    <t>MS PRAGYA PANWAR</t>
  </si>
  <si>
    <t>MR YASHOVARDHAN MITTAL+2</t>
  </si>
  <si>
    <t>VARANASI</t>
  </si>
  <si>
    <t>INDORE</t>
  </si>
  <si>
    <t>AKSHAT JAIN JI</t>
  </si>
  <si>
    <t>DATE</t>
  </si>
  <si>
    <t>DUE</t>
  </si>
  <si>
    <t>PAYMENT TYPE</t>
  </si>
  <si>
    <t>CASH</t>
  </si>
  <si>
    <t>MR ASHOK PANWAR</t>
  </si>
  <si>
    <t>MR RAHUL OSTWAL</t>
  </si>
  <si>
    <t>MS YAGYA PANWAR</t>
  </si>
  <si>
    <t>BOOKING PORTIAL</t>
  </si>
  <si>
    <t xml:space="preserve"> ravi486862@gmail.com  </t>
  </si>
  <si>
    <t>GOIBIBO</t>
  </si>
  <si>
    <t>CLEARTRIP</t>
  </si>
  <si>
    <t>FLYBIG</t>
  </si>
  <si>
    <t>FLIPKART</t>
  </si>
  <si>
    <t>cleartrip</t>
  </si>
  <si>
    <t>goibibo</t>
  </si>
  <si>
    <t>SUMIT JANGID</t>
  </si>
  <si>
    <t>MAKEMYTRIP</t>
  </si>
  <si>
    <t>TOTAL</t>
  </si>
  <si>
    <t xml:space="preserve">DUE </t>
  </si>
  <si>
    <t>MR MANOJ KUMAR MUNOT</t>
  </si>
  <si>
    <t xml:space="preserve">TRIP ID  </t>
  </si>
  <si>
    <t>PAYMENT FROM</t>
  </si>
  <si>
    <t>BOOKING AMMOUNT</t>
  </si>
  <si>
    <t>RECEIVED YES/NO</t>
  </si>
  <si>
    <t>INVOICE NO</t>
  </si>
  <si>
    <t>COM NAME</t>
  </si>
  <si>
    <t>INVOICE DATE</t>
  </si>
  <si>
    <t>INVOICE AMMOUNT</t>
  </si>
  <si>
    <t>AMOUNT RECEIVED</t>
  </si>
  <si>
    <t xml:space="preserve">ACCOUNT </t>
  </si>
  <si>
    <t>REF</t>
  </si>
  <si>
    <t>CONTACT  NO.</t>
  </si>
  <si>
    <t>SUNCITY ART EXPORTERS</t>
  </si>
  <si>
    <t>HDFC BANK</t>
  </si>
  <si>
    <t>KIRI AND COMPANY LOGISTICS PVT LTD</t>
  </si>
  <si>
    <t>PREM TRENDZ</t>
  </si>
  <si>
    <t>DATAMINI</t>
  </si>
  <si>
    <t>ORANGE O TEC PRIVATE LIMITED</t>
  </si>
  <si>
    <t>IMPERIAL ARMOURY PRIVATE LIMITED</t>
  </si>
  <si>
    <t>MR RAVINDRA SINGH ACCOUNTANT LALIT JI</t>
  </si>
  <si>
    <t>PUREWOOD</t>
  </si>
  <si>
    <t>MR JAYAM GUPTA</t>
  </si>
  <si>
    <t>YES BANK</t>
  </si>
  <si>
    <t>MR PRASHANT GOYAL</t>
  </si>
  <si>
    <t>KLK VENTURES PRIVATE LIMITED</t>
  </si>
  <si>
    <t>AKS SOLAR SYSTEM PRIVATE LIMITED</t>
  </si>
  <si>
    <t xml:space="preserve">MR AKSHAT JAIN </t>
  </si>
  <si>
    <t>83838 14575</t>
  </si>
  <si>
    <t>MR INDER SINGH NAYAL</t>
  </si>
  <si>
    <t>MR RAJESH ADHIKARIK</t>
  </si>
  <si>
    <t>MR PRADEEP SHARMA</t>
  </si>
  <si>
    <t>MR YASHOVARDHAN MITTAL</t>
  </si>
  <si>
    <t xml:space="preserve">MR PRAVEEN JAIN </t>
  </si>
  <si>
    <t>PRAVEEN JAIN JI</t>
  </si>
  <si>
    <t xml:space="preserve">MR DEEPAK BOTHRA </t>
  </si>
  <si>
    <t>SBI CHEQUE 120000 AND 30000 CASH</t>
  </si>
  <si>
    <t>GULJAG HEALTH CARE PRIVATE LIMITED</t>
  </si>
  <si>
    <t>MR NILESH DHOOT</t>
  </si>
  <si>
    <t>IDEAL COATING INDUSTRIES</t>
  </si>
  <si>
    <t>MR SHOBIT RATHI</t>
  </si>
  <si>
    <t>PRM TRENDZ</t>
  </si>
  <si>
    <t>MR MIROLIYA JI</t>
  </si>
  <si>
    <t xml:space="preserve">ASHOK JI PANWAR </t>
  </si>
  <si>
    <t xml:space="preserve">MS NIDHI CHOPRA </t>
  </si>
  <si>
    <t>SUJASH BOHRA JI PREVIOUS DUE</t>
  </si>
  <si>
    <t>SUJASH BOHRA JI</t>
  </si>
  <si>
    <t>MS NEHA BANSALI</t>
  </si>
  <si>
    <t>NEHA BANSALI JI</t>
  </si>
  <si>
    <t>UDIT GOUR JI</t>
  </si>
  <si>
    <t>ANAND SONI</t>
  </si>
  <si>
    <t>MR ANAND SONI</t>
  </si>
  <si>
    <t>MR HITESH BANSALI</t>
  </si>
  <si>
    <t>RECIVED</t>
  </si>
  <si>
    <t>TYPE</t>
  </si>
  <si>
    <t>Column1</t>
  </si>
  <si>
    <t>YASHOVARDHAN MITTAL JI</t>
  </si>
  <si>
    <t>MUKESH JI SONI</t>
  </si>
  <si>
    <t xml:space="preserve">MAHAVEER PARAKH </t>
  </si>
  <si>
    <t>MR PRADEEP SHARMA JI</t>
  </si>
  <si>
    <t>CHEQUE</t>
  </si>
  <si>
    <t>NAMAN JAIN JI ( AKS SOLAR )</t>
  </si>
  <si>
    <t>HDFC</t>
  </si>
  <si>
    <t xml:space="preserve">MR JAYAM GUPTA JI </t>
  </si>
  <si>
    <t xml:space="preserve">MR JAI SINGH </t>
  </si>
  <si>
    <t xml:space="preserve">MR RAVINDER JI </t>
  </si>
  <si>
    <t>SSEEKKERS.COM</t>
  </si>
  <si>
    <t>HITESH BHANSALI JI</t>
  </si>
  <si>
    <t>YES</t>
  </si>
  <si>
    <t>VIPIN JIJAJI</t>
  </si>
  <si>
    <t>PHONE PAY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</si>
  <si>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</si>
  <si>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</si>
  <si>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</si>
  <si>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</si>
  <si>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</si>
  <si>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</si>
  <si>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</si>
  <si>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</si>
  <si>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</si>
  <si>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</si>
  <si>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</si>
  <si>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</si>
  <si>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</si>
  <si>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</si>
  <si>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</si>
  <si>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</si>
  <si>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</si>
  <si>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</si>
  <si>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</si>
  <si>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</si>
  <si>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</si>
  <si>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</si>
  <si>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</si>
  <si>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</si>
  <si>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</si>
  <si>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</si>
  <si>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</si>
  <si>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</si>
  <si>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</si>
  <si>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</si>
  <si>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</si>
  <si>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</si>
  <si>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</si>
  <si>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</si>
  <si>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</si>
  <si>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</si>
  <si>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</si>
  <si>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</si>
  <si>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</si>
  <si>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</si>
  <si>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</si>
  <si>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</si>
  <si>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</si>
  <si>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</si>
  <si>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</si>
  <si>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</si>
  <si>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</si>
  <si>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</si>
  <si>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</si>
  <si>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</si>
  <si>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</si>
  <si>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</si>
  <si>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</si>
  <si>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</si>
  <si>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</si>
  <si>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</si>
  <si>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</si>
  <si>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</si>
  <si>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</si>
  <si>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</si>
  <si>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</si>
  <si>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</si>
  <si>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</si>
  <si>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</si>
  <si>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</si>
  <si>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</si>
  <si>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</si>
  <si>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</si>
  <si>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</si>
  <si>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</si>
  <si>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</si>
  <si>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</si>
  <si>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</si>
  <si>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</si>
  <si>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</si>
  <si>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</si>
  <si>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</si>
  <si>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</si>
  <si>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</si>
  <si>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</si>
  <si>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</si>
  <si>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</si>
  <si>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</si>
  <si>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</si>
  <si>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</si>
  <si>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</si>
  <si>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</si>
  <si>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</si>
  <si>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</si>
  <si>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</si>
  <si>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</si>
  <si>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</si>
  <si>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</si>
  <si>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</si>
  <si>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</si>
  <si>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</si>
  <si>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</si>
  <si>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</si>
  <si>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</si>
  <si>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</si>
  <si>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</si>
  <si>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</si>
  <si>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</si>
  <si>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</si>
  <si>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</si>
  <si>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</si>
  <si>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</si>
  <si>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</si>
  <si>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</si>
  <si>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</si>
  <si>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</si>
  <si>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</si>
  <si>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</si>
  <si>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</si>
  <si>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</si>
  <si>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</si>
  <si>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</si>
  <si>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</si>
  <si>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</si>
  <si>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</si>
  <si>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</si>
  <si>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</si>
  <si>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</si>
  <si>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</si>
  <si>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</si>
  <si>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</si>
  <si>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</si>
  <si>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</si>
  <si>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</si>
  <si>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</si>
  <si>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</si>
  <si>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</si>
  <si>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</si>
  <si>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</si>
  <si>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</si>
  <si>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</si>
  <si>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</si>
  <si>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</si>
  <si>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</si>
  <si>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</si>
  <si>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</si>
  <si>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</si>
  <si>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</si>
  <si>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</si>
  <si>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</si>
  <si>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</si>
  <si>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</si>
  <si>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</si>
  <si>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</si>
  <si>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</si>
  <si>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</si>
  <si>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</si>
  <si>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</si>
  <si>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</si>
  <si>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</si>
  <si>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</si>
  <si>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</si>
  <si>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</si>
  <si>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</si>
  <si>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</si>
  <si>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</si>
  <si>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</si>
  <si>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</si>
  <si>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</si>
  <si>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</si>
  <si>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</si>
  <si>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</si>
  <si>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</si>
  <si>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</si>
  <si>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</si>
  <si>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</si>
  <si>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</si>
  <si>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</si>
  <si>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</si>
  <si>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</si>
  <si>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</si>
  <si>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</si>
  <si>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</si>
  <si>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</si>
  <si>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</si>
  <si>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</si>
  <si>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</si>
  <si>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</si>
  <si>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</si>
  <si>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</si>
  <si>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</si>
  <si>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</si>
  <si>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</si>
  <si>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</si>
  <si>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</si>
  <si>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</si>
  <si>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</si>
  <si>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</si>
  <si>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</si>
  <si>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</si>
  <si>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</si>
  <si>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</si>
  <si>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</si>
  <si>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</si>
  <si>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</si>
  <si>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</si>
  <si>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</si>
  <si>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</si>
  <si>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</si>
  <si>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</si>
  <si>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</si>
  <si>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</si>
  <si>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</si>
  <si>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</si>
  <si>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</si>
  <si>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</si>
  <si>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</si>
  <si>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</si>
  <si>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</si>
  <si>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</si>
  <si>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</si>
  <si>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</si>
  <si>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</si>
  <si>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</si>
  <si>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</si>
  <si>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</si>
  <si>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</si>
  <si>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</si>
  <si>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</si>
  <si>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</si>
  <si>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</si>
  <si>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</si>
  <si>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</si>
  <si>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</si>
  <si>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</si>
  <si>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</si>
  <si>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</si>
  <si>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</si>
  <si>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</si>
  <si>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</si>
  <si>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</si>
  <si>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</si>
  <si>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</si>
  <si>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</si>
  <si>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</si>
  <si>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</si>
  <si>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</si>
  <si>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</si>
  <si>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</si>
  <si>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</si>
  <si>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</si>
  <si>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</si>
  <si>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</si>
  <si>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</si>
  <si>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</si>
  <si>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</si>
  <si>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</si>
  <si>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</si>
  <si>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</si>
  <si>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</si>
  <si>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</si>
  <si>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</si>
  <si>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</si>
  <si>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</si>
  <si>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</si>
  <si>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</si>
  <si>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</si>
  <si>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</si>
  <si>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</si>
  <si>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</si>
  <si>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</si>
  <si>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</si>
  <si>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</si>
  <si>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</si>
  <si>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</si>
  <si>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</si>
  <si>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</si>
  <si>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</si>
  <si>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</si>
  <si>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</si>
  <si>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</si>
  <si>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</si>
  <si>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</si>
  <si>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</si>
  <si>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</si>
  <si>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</si>
  <si>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</si>
  <si>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</si>
  <si>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</si>
  <si>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</si>
  <si>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</si>
  <si>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</si>
  <si>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</si>
  <si>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</si>
  <si>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</si>
  <si>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</si>
  <si>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</si>
  <si>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</si>
  <si>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</si>
  <si>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</si>
  <si>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</si>
  <si>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</si>
  <si>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</si>
  <si>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</si>
  <si>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</si>
  <si>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</si>
  <si>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</si>
  <si>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</si>
  <si>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</si>
  <si>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</si>
  <si>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</si>
  <si>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</si>
  <si>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</si>
  <si>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</si>
  <si>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</si>
  <si>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</si>
  <si>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</si>
  <si>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</si>
  <si>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</si>
  <si>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</si>
  <si>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</si>
  <si>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</si>
  <si>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</si>
  <si>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</si>
  <si>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</si>
  <si>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</si>
  <si>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</si>
  <si>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</si>
  <si>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</si>
  <si>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</si>
  <si>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</si>
  <si>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</si>
  <si>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</si>
  <si>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</si>
  <si>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</si>
  <si>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</si>
  <si>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</si>
  <si>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</si>
  <si>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</si>
  <si>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</si>
  <si>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</si>
  <si>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</si>
  <si>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</si>
  <si>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</si>
  <si>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</si>
  <si>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</si>
  <si>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</si>
  <si>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</si>
  <si>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</si>
  <si>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</si>
  <si>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</si>
  <si>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</si>
  <si>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</si>
  <si>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</si>
  <si>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</si>
  <si>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</si>
  <si>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</si>
  <si>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</si>
  <si>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</si>
  <si>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</si>
  <si>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</si>
  <si>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</si>
  <si>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</si>
  <si>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</si>
  <si>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</si>
  <si>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</si>
  <si>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</si>
  <si>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</si>
  <si>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</si>
  <si>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</si>
  <si>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</si>
  <si>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</si>
  <si>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</si>
  <si>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</si>
  <si>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</si>
  <si>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</si>
  <si>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</si>
  <si>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</si>
  <si>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</si>
  <si>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</si>
  <si>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</si>
  <si>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</si>
  <si>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</si>
  <si>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</si>
  <si>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</si>
  <si>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</si>
  <si>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</si>
  <si>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</si>
  <si>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</si>
  <si>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</si>
  <si>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</si>
  <si>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</si>
  <si>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</si>
  <si>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</si>
  <si>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</si>
  <si>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</si>
  <si>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</si>
  <si>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</si>
  <si>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</si>
  <si>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</si>
  <si>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</si>
  <si>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</si>
  <si>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</si>
  <si>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</si>
  <si>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</si>
  <si>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</si>
  <si>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</si>
  <si>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</si>
  <si>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</si>
  <si>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</si>
  <si>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</si>
  <si>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</si>
  <si>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</si>
  <si>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</si>
  <si>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</si>
  <si>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</si>
  <si>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</si>
  <si>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</si>
  <si>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</si>
  <si>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</si>
  <si>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</si>
  <si>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</si>
  <si>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</si>
  <si>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</si>
  <si>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</si>
  <si>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</si>
  <si>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</si>
  <si>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</si>
  <si>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</si>
  <si>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</si>
  <si>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</si>
  <si>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</si>
  <si>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</si>
  <si>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</si>
  <si>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</si>
  <si>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</si>
  <si>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</si>
  <si>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</si>
  <si>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</si>
  <si>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</si>
  <si>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</si>
  <si>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</si>
  <si>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</si>
  <si>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</si>
  <si>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</si>
  <si>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</si>
  <si>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</si>
  <si>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</si>
  <si>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</si>
  <si>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</si>
  <si>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</si>
  <si>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</si>
  <si>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</si>
  <si>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</si>
  <si>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</si>
  <si>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</si>
  <si>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</si>
  <si>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</si>
  <si>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</si>
  <si>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</si>
  <si>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</si>
  <si>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</si>
  <si>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</si>
  <si>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</si>
  <si>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</si>
  <si>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</si>
  <si>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</si>
  <si>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</si>
  <si>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</si>
  <si>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</si>
  <si>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</si>
  <si>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</si>
  <si>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</si>
  <si>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</si>
  <si>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</si>
  <si>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</si>
  <si>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</si>
  <si>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</si>
  <si>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</si>
  <si>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</si>
  <si>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</si>
  <si>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</si>
  <si>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</si>
  <si>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</si>
  <si>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</si>
  <si>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</si>
  <si>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</si>
  <si>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</si>
  <si>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</si>
  <si>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</si>
  <si>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</si>
  <si>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</si>
  <si>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</si>
  <si>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</si>
  <si>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</si>
  <si>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</si>
  <si>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</si>
  <si>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</si>
  <si>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</si>
  <si>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</si>
  <si>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</si>
  <si>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</si>
  <si>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</si>
  <si>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</si>
  <si>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</si>
  <si>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</si>
  <si>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</si>
  <si>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</si>
  <si>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</si>
  <si>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</si>
  <si>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</si>
  <si>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</si>
  <si>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</si>
  <si>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</si>
  <si>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</si>
  <si>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</si>
  <si>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</si>
  <si>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</si>
  <si>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</si>
  <si>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</si>
  <si>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</si>
  <si>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</si>
  <si>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</si>
  <si>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</si>
  <si>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</si>
  <si>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</si>
  <si>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</si>
  <si>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</si>
  <si>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</si>
  <si>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</si>
  <si>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</si>
  <si>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</si>
  <si>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</si>
  <si>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</si>
  <si>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</si>
  <si>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</si>
  <si>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</si>
  <si>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</si>
  <si>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</si>
  <si>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</si>
  <si>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</si>
  <si>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</si>
  <si>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</si>
  <si>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</si>
  <si>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</si>
  <si>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</si>
  <si>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</si>
  <si>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</si>
  <si>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</si>
  <si>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</si>
  <si>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</si>
  <si>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</si>
  <si>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</si>
  <si>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</si>
  <si>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</si>
  <si>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</si>
  <si>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</si>
  <si>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</si>
  <si>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</si>
  <si>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</si>
  <si>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</si>
  <si>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</si>
  <si>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</si>
  <si>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</si>
  <si>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</si>
  <si>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</si>
  <si>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</si>
  <si>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</si>
  <si>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</si>
  <si>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</si>
  <si>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</si>
  <si>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</si>
  <si>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</si>
  <si>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</si>
  <si>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</si>
  <si>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</si>
  <si>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</si>
  <si>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</si>
  <si>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</si>
  <si>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</si>
  <si>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</si>
  <si>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</si>
  <si>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</si>
  <si>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</si>
  <si>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</si>
  <si>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</si>
  <si>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</si>
  <si>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</si>
  <si>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</si>
  <si>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</si>
  <si>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</si>
  <si>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</si>
  <si>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</si>
  <si>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</si>
  <si>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</si>
  <si>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</si>
  <si>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</si>
  <si>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</si>
  <si>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</si>
  <si>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</si>
  <si>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</si>
  <si>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</si>
  <si>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</si>
  <si>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</si>
  <si>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</si>
  <si>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</si>
  <si>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</si>
  <si>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</si>
  <si>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</si>
  <si>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</si>
  <si>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</si>
  <si>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</si>
  <si>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</si>
  <si>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</si>
  <si>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</si>
  <si>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</si>
  <si>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</si>
  <si>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</si>
  <si>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</si>
  <si>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</si>
  <si>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</si>
  <si>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</si>
  <si>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</si>
  <si>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</si>
  <si>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</si>
  <si>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</si>
  <si>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</si>
  <si>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</si>
  <si>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</si>
  <si>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</si>
  <si>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</si>
  <si>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</si>
  <si>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</si>
  <si>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</si>
  <si>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</si>
  <si>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</si>
  <si>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</si>
  <si>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</si>
  <si>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</si>
  <si>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</si>
  <si>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</si>
  <si>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</si>
  <si>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</si>
  <si>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</si>
  <si>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</si>
  <si>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</si>
  <si>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</si>
  <si>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</si>
  <si>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</si>
  <si>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</si>
  <si>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</si>
  <si>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</si>
  <si>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</si>
  <si>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</si>
  <si>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</si>
  <si>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</si>
  <si>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</si>
  <si>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</si>
  <si>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</si>
  <si>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</si>
  <si>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</si>
  <si>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</si>
  <si>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</si>
  <si>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</si>
  <si>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</si>
  <si>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</si>
  <si>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</si>
  <si>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</si>
  <si>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</si>
  <si>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</si>
  <si>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</si>
  <si>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</si>
  <si>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</si>
  <si>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</si>
  <si>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</si>
  <si>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</si>
  <si>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</si>
  <si>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</si>
  <si>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</si>
  <si>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</si>
  <si>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</si>
  <si>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</si>
  <si>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</si>
  <si>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</si>
  <si>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</si>
  <si>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</si>
  <si>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</si>
  <si>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</si>
  <si>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</si>
  <si>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</si>
  <si>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</si>
  <si>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</si>
  <si>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</si>
  <si>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</si>
  <si>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</si>
  <si>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</si>
  <si>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</si>
  <si>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</si>
  <si>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</si>
  <si>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</si>
  <si>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</si>
  <si>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</si>
  <si>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</si>
  <si>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</si>
  <si>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</si>
  <si>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</si>
  <si>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</si>
  <si>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</si>
  <si>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</si>
  <si>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</si>
  <si>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</si>
  <si>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</si>
  <si>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</si>
  <si>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</si>
  <si>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</si>
  <si>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</si>
  <si>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</si>
  <si>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</si>
  <si>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</si>
  <si>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</si>
  <si>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</si>
  <si>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</si>
  <si>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</si>
  <si>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</si>
  <si>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</si>
  <si>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</si>
  <si>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</si>
  <si>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</si>
  <si>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</si>
  <si>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</si>
  <si>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</si>
  <si>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</si>
  <si>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</si>
  <si>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</si>
  <si>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</si>
  <si>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</si>
  <si>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</si>
  <si>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</si>
  <si>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</si>
  <si>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</si>
  <si>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</si>
  <si>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</si>
  <si>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</si>
  <si>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</si>
  <si>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</si>
  <si>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</si>
  <si>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</si>
  <si>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</si>
  <si>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</si>
  <si>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</si>
  <si>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</si>
  <si>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</si>
  <si>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</si>
  <si>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</si>
  <si>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</si>
  <si>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</si>
  <si>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</si>
  <si>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</si>
  <si>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</si>
  <si>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</si>
  <si>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</si>
  <si>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</si>
  <si>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</si>
  <si>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</si>
  <si>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</si>
  <si>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</si>
  <si>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</si>
  <si>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</si>
  <si>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</si>
  <si>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</si>
  <si>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</si>
  <si>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</si>
  <si>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</si>
  <si>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</si>
  <si>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</si>
  <si>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</si>
  <si>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</si>
  <si>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</si>
  <si>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</si>
  <si>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</si>
  <si>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</si>
  <si>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</si>
  <si>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</si>
  <si>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</si>
  <si>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</si>
  <si>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</si>
  <si>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</si>
  <si>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</si>
  <si>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</si>
  <si>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</si>
  <si>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</si>
  <si>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</si>
  <si>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</si>
  <si>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</si>
  <si>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</si>
  <si>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</si>
  <si>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</si>
  <si>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</si>
  <si>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</si>
  <si>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</si>
  <si>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</si>
  <si>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</si>
  <si>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</si>
  <si>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</si>
  <si>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</si>
  <si>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</si>
  <si>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</si>
  <si>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</si>
  <si>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</si>
  <si>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</si>
  <si>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</si>
  <si>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</si>
  <si>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</si>
  <si>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</si>
  <si>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</si>
  <si>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</si>
  <si>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</si>
  <si>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</si>
  <si>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</si>
  <si>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</si>
  <si>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</si>
  <si>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</si>
  <si>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</si>
  <si>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</si>
  <si>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</si>
  <si>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</si>
  <si>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</si>
  <si>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</si>
  <si>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</si>
  <si>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</si>
  <si>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</si>
  <si>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</si>
  <si>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</si>
  <si>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</si>
  <si>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</si>
  <si>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</si>
  <si>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</si>
  <si>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</si>
  <si>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</si>
  <si>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</si>
  <si>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</si>
  <si>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</si>
  <si>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</si>
  <si>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</si>
  <si>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</si>
  <si>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</si>
  <si>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</si>
  <si>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</si>
  <si>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</si>
  <si>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</si>
  <si>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</si>
  <si>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</si>
  <si>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</si>
  <si>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</si>
  <si>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</si>
  <si>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</si>
  <si>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</si>
  <si>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</si>
  <si>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</si>
  <si>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</si>
  <si>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</si>
  <si>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</si>
  <si>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</si>
  <si>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</si>
  <si>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</si>
  <si>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</si>
  <si>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</si>
  <si>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</si>
  <si>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</si>
  <si>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</si>
  <si>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</si>
  <si>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</si>
  <si>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</si>
  <si>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</si>
  <si>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</si>
  <si>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</si>
  <si>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</si>
  <si>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</si>
  <si>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</si>
  <si>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</si>
  <si>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</si>
  <si>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</si>
  <si>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</si>
  <si>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</si>
  <si>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</si>
  <si>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</si>
  <si>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</si>
  <si>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</si>
  <si>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</si>
  <si>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</si>
  <si>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</si>
  <si>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</si>
  <si>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</si>
  <si>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</si>
  <si>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</si>
  <si>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</si>
  <si>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</si>
  <si>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</si>
  <si>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</si>
  <si>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</si>
  <si>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</si>
  <si>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</si>
  <si>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</si>
  <si>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</si>
  <si>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</si>
  <si>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</si>
  <si>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</si>
  <si>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</si>
  <si>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</si>
  <si>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</si>
  <si>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</si>
  <si>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</si>
  <si>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</si>
  <si>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</si>
  <si>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</si>
  <si>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</si>
  <si>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</si>
  <si>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</si>
  <si>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</si>
  <si>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</si>
  <si>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</si>
  <si>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</si>
  <si>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</si>
  <si>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</si>
  <si>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</si>
  <si>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</si>
  <si>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</si>
  <si>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</si>
  <si>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</si>
  <si>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</si>
  <si>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</si>
  <si>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</si>
  <si>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</si>
  <si>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</si>
  <si>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</si>
  <si>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</si>
  <si>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</si>
  <si>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</si>
  <si>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</si>
  <si>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</si>
  <si>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</si>
  <si>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</si>
  <si>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</si>
  <si>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</si>
  <si>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</si>
  <si>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</si>
  <si>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</si>
  <si>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</si>
  <si>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</si>
  <si>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</si>
  <si>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</si>
  <si>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</si>
  <si>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</si>
  <si>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</si>
  <si>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</si>
  <si>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</si>
  <si>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</si>
  <si>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</si>
  <si>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</si>
  <si>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</si>
  <si>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</si>
  <si>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</si>
  <si>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</si>
  <si>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</si>
  <si>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</si>
  <si>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</si>
  <si>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</si>
  <si>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</si>
  <si>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</si>
  <si>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</si>
  <si>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</si>
  <si>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</si>
  <si>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</si>
  <si>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</si>
  <si>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</si>
  <si>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</si>
  <si>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</si>
  <si>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</si>
  <si>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</si>
  <si>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</si>
  <si>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</si>
  <si>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</si>
  <si>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</si>
  <si>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</si>
  <si>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</si>
  <si>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</si>
  <si>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</si>
  <si>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</si>
  <si>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</si>
  <si>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</si>
  <si>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</si>
  <si>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</si>
  <si>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</si>
  <si>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</si>
  <si>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</si>
  <si>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</si>
  <si>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</si>
  <si>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</si>
  <si>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</si>
  <si>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</si>
  <si>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</si>
  <si>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</si>
  <si>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</si>
  <si>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</si>
  <si>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</si>
  <si>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</si>
  <si>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</si>
  <si>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</si>
  <si>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</si>
  <si>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</si>
  <si>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</si>
  <si>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</si>
  <si>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</si>
  <si>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</si>
  <si>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</si>
  <si>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</si>
  <si>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</si>
  <si>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</si>
  <si>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</si>
  <si>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</si>
  <si>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</si>
  <si>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</si>
  <si>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</si>
  <si>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</si>
  <si>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</si>
  <si>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</si>
  <si>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</si>
  <si>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</si>
  <si>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</si>
  <si>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</si>
  <si>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</si>
  <si>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</si>
  <si>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</si>
  <si>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</si>
  <si>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</si>
  <si>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</si>
  <si>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</si>
  <si>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</si>
  <si>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</si>
  <si>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</si>
  <si>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</si>
  <si>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</si>
  <si>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</si>
  <si>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</si>
  <si>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</si>
  <si>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</si>
  <si>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</si>
  <si>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</si>
  <si>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</si>
  <si>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</si>
  <si>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</si>
  <si>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</si>
  <si>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</si>
  <si>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</si>
  <si>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</si>
  <si>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</si>
  <si>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</si>
  <si>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</si>
  <si>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</si>
  <si>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</si>
  <si>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</si>
  <si>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</si>
  <si>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</si>
  <si>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</si>
  <si>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</si>
  <si>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</si>
  <si>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</si>
  <si>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</si>
  <si>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</si>
  <si>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</si>
  <si>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</si>
  <si>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</si>
  <si>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</si>
  <si>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</si>
  <si>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</si>
  <si>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</si>
  <si>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</si>
  <si>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</si>
  <si>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</si>
  <si>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</si>
  <si>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</si>
  <si>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</si>
  <si>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</si>
  <si>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</si>
  <si>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</si>
  <si>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</si>
  <si>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</si>
  <si>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</si>
  <si>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</si>
  <si>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</si>
  <si>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</si>
  <si>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</si>
  <si>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</si>
  <si>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</si>
  <si>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</si>
  <si>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</si>
  <si>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</si>
  <si>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</si>
  <si>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</si>
  <si>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</si>
  <si>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</si>
  <si>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</si>
  <si>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</si>
  <si>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</si>
  <si>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</si>
  <si>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</si>
  <si>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</si>
  <si>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</si>
  <si>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</si>
  <si>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</si>
  <si>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</si>
  <si>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</si>
  <si>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</si>
  <si>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</si>
  <si>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</si>
  <si>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</si>
  <si>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</si>
  <si>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</si>
  <si>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</si>
  <si>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</si>
  <si>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</si>
  <si>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</si>
  <si>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</si>
  <si>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</si>
  <si>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</si>
  <si>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</si>
  <si>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</si>
  <si>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</si>
  <si>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</si>
  <si>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</si>
  <si>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</si>
  <si>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</si>
  <si>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</si>
  <si>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</si>
  <si>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</si>
  <si>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</si>
  <si>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</si>
  <si>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</si>
  <si>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</si>
  <si>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</si>
  <si>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</si>
  <si>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</si>
  <si>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</si>
  <si>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</si>
  <si>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</si>
  <si>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</si>
  <si>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</si>
  <si>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</si>
  <si>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</si>
  <si>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</si>
  <si>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</si>
  <si>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</si>
  <si>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</si>
  <si>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</si>
  <si>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</si>
  <si>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</si>
  <si>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</si>
  <si>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</si>
  <si>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</si>
  <si>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</si>
  <si>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</si>
  <si>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</si>
  <si>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</si>
  <si>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</si>
  <si>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</si>
  <si>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</si>
  <si>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</si>
  <si>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</si>
  <si>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</si>
  <si>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</si>
  <si>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</si>
  <si>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</si>
  <si>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</si>
  <si>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</si>
  <si>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</si>
  <si>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</si>
  <si>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</si>
  <si>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</si>
  <si>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</si>
  <si>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</si>
  <si>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</si>
  <si>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</si>
  <si>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</si>
  <si>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</si>
  <si>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</si>
  <si>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</si>
  <si>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</si>
  <si>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</si>
  <si>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</si>
  <si>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</si>
  <si>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</si>
  <si>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</si>
  <si>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</si>
  <si>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</si>
  <si>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</si>
  <si>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</si>
  <si>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</si>
  <si>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</si>
  <si>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</si>
  <si>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</si>
  <si>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</si>
  <si>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</si>
  <si>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</si>
  <si>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</si>
  <si>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</si>
  <si>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</si>
  <si>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</si>
  <si>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</si>
  <si>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</si>
  <si>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</si>
  <si>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</si>
  <si>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</si>
  <si>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</si>
  <si>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</si>
  <si>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</si>
  <si>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</si>
  <si>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</si>
  <si>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</si>
  <si>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</si>
  <si>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</si>
  <si>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</si>
  <si>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</si>
  <si>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</si>
  <si>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</si>
  <si>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</si>
  <si>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</si>
  <si>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</si>
  <si>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</si>
  <si>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</si>
  <si>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</si>
  <si>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</si>
  <si>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</si>
  <si>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</si>
  <si>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</si>
  <si>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</si>
  <si>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</si>
  <si>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</si>
  <si>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</si>
  <si>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</si>
  <si>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</si>
  <si>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</si>
  <si>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</si>
  <si>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</si>
  <si>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</si>
  <si>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</si>
  <si>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</si>
  <si>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</si>
  <si>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</si>
  <si>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</si>
  <si>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</si>
  <si>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</si>
  <si>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</si>
  <si>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</si>
  <si>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</si>
  <si>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</si>
  <si>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</si>
  <si>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</si>
  <si>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</si>
  <si>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</si>
  <si>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</si>
  <si>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</si>
  <si>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</si>
  <si>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</si>
  <si>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</si>
  <si>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</si>
  <si>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</si>
  <si>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</si>
  <si>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</si>
  <si>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</si>
  <si>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</si>
  <si>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</si>
  <si>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</si>
  <si>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</si>
  <si>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</si>
  <si>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</si>
  <si>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</si>
  <si>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</si>
  <si>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</si>
  <si>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</si>
  <si>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</si>
  <si>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</si>
  <si>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</si>
  <si>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</si>
  <si>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</si>
  <si>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</si>
  <si>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</si>
  <si>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</si>
  <si>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</si>
  <si>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</si>
  <si>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</si>
  <si>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</si>
  <si>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</si>
  <si>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</si>
  <si>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</si>
  <si>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</si>
  <si>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</si>
  <si>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</si>
  <si>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</si>
  <si>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</si>
  <si>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</si>
  <si>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</si>
  <si>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</si>
  <si>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</si>
  <si>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</si>
  <si>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</si>
  <si>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</si>
  <si>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</si>
  <si>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</si>
  <si>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</si>
  <si>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</si>
  <si>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</si>
  <si>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</si>
  <si>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</si>
  <si>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</si>
  <si>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</si>
  <si>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</si>
  <si>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</si>
  <si>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</si>
  <si>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</si>
  <si>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</si>
  <si>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</si>
  <si>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</si>
  <si>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</si>
  <si>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</si>
  <si>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</si>
  <si>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</si>
  <si>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</si>
  <si>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</si>
  <si>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</si>
  <si>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</si>
  <si>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</si>
  <si>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</si>
  <si>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</si>
  <si>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</si>
  <si>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</si>
  <si>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</si>
  <si>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</si>
  <si>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</si>
  <si>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</si>
  <si>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</si>
  <si>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</si>
  <si>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</si>
  <si>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</si>
  <si>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</si>
  <si>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</si>
  <si>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</si>
  <si>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</si>
  <si>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</si>
  <si>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</si>
  <si>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</si>
  <si>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</si>
  <si>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</si>
  <si>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</si>
  <si>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</si>
  <si>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</si>
  <si>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</si>
  <si>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</si>
  <si>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</si>
  <si>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</si>
  <si>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</si>
  <si>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</si>
  <si>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</si>
  <si>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</si>
  <si>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</si>
  <si>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</si>
  <si>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</si>
  <si>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</si>
  <si>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</si>
  <si>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</si>
  <si>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</si>
  <si>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</si>
  <si>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</si>
  <si>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</si>
  <si>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</si>
  <si>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</si>
  <si>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</si>
  <si>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</si>
  <si>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</si>
  <si>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</si>
  <si>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</si>
  <si>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</si>
  <si>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</si>
  <si>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</si>
  <si>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</si>
  <si>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</si>
  <si>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</si>
  <si>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</si>
  <si>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</si>
  <si>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</si>
  <si>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</si>
  <si>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</si>
  <si>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</si>
  <si>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</si>
  <si>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</si>
  <si>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</si>
  <si>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</si>
  <si>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</si>
  <si>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</si>
  <si>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</si>
  <si>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</si>
  <si>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</si>
  <si>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</si>
  <si>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</si>
  <si>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</si>
  <si>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</si>
  <si>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</si>
  <si>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</si>
  <si>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</si>
  <si>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</si>
  <si>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</si>
  <si>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</si>
  <si>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</si>
  <si>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</si>
  <si>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</si>
  <si>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</si>
  <si>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</si>
  <si>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</si>
  <si>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</si>
  <si>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</si>
  <si>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</si>
  <si>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</si>
  <si>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</si>
  <si>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</si>
  <si>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</si>
  <si>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</si>
  <si>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</si>
  <si>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</si>
  <si>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</si>
  <si>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</si>
  <si>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</si>
  <si>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</si>
  <si>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</si>
  <si>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</si>
  <si>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</si>
  <si>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</si>
  <si>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</si>
  <si>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</si>
  <si>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</si>
  <si>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</si>
  <si>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</si>
  <si>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</si>
  <si>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</si>
  <si>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</si>
  <si>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</si>
  <si>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</si>
  <si>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</si>
  <si>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</si>
  <si>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</si>
  <si>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</si>
  <si>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</si>
  <si>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</si>
  <si>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</si>
  <si>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</si>
  <si>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</si>
  <si>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</si>
  <si>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</si>
  <si>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</si>
  <si>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</si>
  <si>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</si>
  <si>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</si>
  <si>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</si>
  <si>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</si>
  <si>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</si>
  <si>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</si>
  <si>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</si>
  <si>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</si>
  <si>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</si>
  <si>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</si>
  <si>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</si>
  <si>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</si>
  <si>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</si>
  <si>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</si>
  <si>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</si>
  <si>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</si>
  <si>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</si>
  <si>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</si>
  <si>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</si>
  <si>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</si>
  <si>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</si>
  <si>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</si>
  <si>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</si>
  <si>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</si>
  <si>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</si>
  <si>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</si>
  <si>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</si>
  <si>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</si>
  <si>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</si>
  <si>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</si>
  <si>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</si>
  <si>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</si>
  <si>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</si>
  <si>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</si>
  <si>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</si>
  <si>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</si>
  <si>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</si>
  <si>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</si>
  <si>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</si>
  <si>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</si>
  <si>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</si>
  <si>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</si>
  <si>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</si>
  <si>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</si>
  <si>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</si>
  <si>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</si>
  <si>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</si>
  <si>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</si>
  <si>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</si>
  <si>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</si>
  <si>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</si>
  <si>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</si>
  <si>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</si>
  <si>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</si>
  <si>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</si>
  <si>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</si>
  <si>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</si>
  <si>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</si>
  <si>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</si>
  <si>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</si>
  <si>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</si>
  <si>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</si>
  <si>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</si>
  <si>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</si>
  <si>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</si>
  <si>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</si>
  <si>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</si>
  <si>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</si>
  <si>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</si>
  <si>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</si>
  <si>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</si>
  <si>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</si>
  <si>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</si>
  <si>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</si>
  <si>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</si>
  <si>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</si>
  <si>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</si>
  <si>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</si>
  <si>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</si>
  <si>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</si>
  <si>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</si>
  <si>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</si>
  <si>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</si>
  <si>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</si>
  <si>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</si>
  <si>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</si>
  <si>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</si>
  <si>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</si>
  <si>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</si>
  <si>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</si>
  <si>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</si>
  <si>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</si>
  <si>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</si>
  <si>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</si>
  <si>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</si>
  <si>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</si>
  <si>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</si>
  <si>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</si>
  <si>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</si>
  <si>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</si>
  <si>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</si>
  <si>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</si>
  <si>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</si>
  <si>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</si>
  <si>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</si>
  <si>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</si>
  <si>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</si>
  <si>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</si>
  <si>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</si>
  <si>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</si>
  <si>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</si>
  <si>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</si>
  <si>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</si>
  <si>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</si>
  <si>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</si>
  <si>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</si>
  <si>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</si>
  <si>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</si>
  <si>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</si>
  <si>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</si>
  <si>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</si>
  <si>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</si>
  <si>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</si>
  <si>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</si>
  <si>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</si>
  <si>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</si>
  <si>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</si>
  <si>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</si>
  <si>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</si>
  <si>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</si>
  <si>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</si>
  <si>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</si>
  <si>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</si>
  <si>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</si>
  <si>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</si>
  <si>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</si>
  <si>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</si>
  <si>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</si>
  <si>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</si>
  <si>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</si>
  <si>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</si>
  <si>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</si>
  <si>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</si>
  <si>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</si>
  <si>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</si>
  <si>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</si>
  <si>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</si>
  <si>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</si>
  <si>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</si>
  <si>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</si>
  <si>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</si>
  <si>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</si>
  <si>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</si>
  <si>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</si>
  <si>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</si>
  <si>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</si>
  <si>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</si>
  <si>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</si>
  <si>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</si>
  <si>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</si>
  <si>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</si>
  <si>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</si>
  <si>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</si>
  <si>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</si>
  <si>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</si>
  <si>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</si>
  <si>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</si>
  <si>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</si>
  <si>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</si>
  <si>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</si>
  <si>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</si>
  <si>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</si>
  <si>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</si>
  <si>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</si>
  <si>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</si>
  <si>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</si>
  <si>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</si>
  <si>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</si>
  <si>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</si>
  <si>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</si>
  <si>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</si>
  <si>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</si>
  <si>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</si>
  <si>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</si>
  <si>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</si>
  <si>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</si>
  <si>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</si>
  <si>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</si>
  <si>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</si>
  <si>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</si>
  <si>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</si>
  <si>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</si>
  <si>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</si>
  <si>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</si>
  <si>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</si>
  <si>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</si>
  <si>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</si>
  <si>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</si>
  <si>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</si>
  <si>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</si>
  <si>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</si>
  <si>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</si>
  <si>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</si>
  <si>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</si>
  <si>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</si>
  <si>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</si>
  <si>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</si>
  <si>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</si>
  <si>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</si>
  <si>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</si>
  <si>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</si>
  <si>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</si>
  <si>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</si>
  <si>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</si>
  <si>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</si>
  <si>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</si>
  <si>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</si>
  <si>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</si>
  <si>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</si>
  <si>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</si>
  <si>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</si>
  <si>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</si>
  <si>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</si>
  <si>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</si>
  <si>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</si>
  <si>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</si>
  <si>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</si>
  <si>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</si>
  <si>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</si>
  <si>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</si>
  <si>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</si>
  <si>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</si>
  <si>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</si>
  <si>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</si>
  <si>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</si>
  <si>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</si>
  <si>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</si>
  <si>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</si>
  <si>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</si>
  <si>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</si>
  <si>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</si>
  <si>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</si>
  <si>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</si>
  <si>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</si>
  <si>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</si>
  <si>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</si>
  <si>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</si>
  <si>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</si>
  <si>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</si>
  <si>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</si>
  <si>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</si>
  <si>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</si>
  <si>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</si>
  <si>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</si>
  <si>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</si>
  <si>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</si>
  <si>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</si>
  <si>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</si>
  <si>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</si>
  <si>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</si>
  <si>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</si>
  <si>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</si>
  <si>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</si>
  <si>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</si>
  <si>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</si>
  <si>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</si>
  <si>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</si>
  <si>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</si>
  <si>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</si>
  <si>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</si>
  <si>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</si>
  <si>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</si>
  <si>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</si>
  <si>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</si>
  <si>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</si>
  <si>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</si>
  <si>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</si>
  <si>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</si>
  <si>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</si>
  <si>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</si>
  <si>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</si>
  <si>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</si>
  <si>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</si>
  <si>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</si>
  <si>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</si>
  <si>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</si>
  <si>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</si>
  <si>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</si>
  <si>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</si>
  <si>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</si>
  <si>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</si>
  <si>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</si>
  <si>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</si>
  <si>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</si>
  <si>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</si>
  <si>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</si>
  <si>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</si>
  <si>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</si>
  <si>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</si>
  <si>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</si>
  <si>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</si>
  <si>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</si>
  <si>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</si>
  <si>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</si>
  <si>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</si>
  <si>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</si>
  <si>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</si>
  <si>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</si>
  <si>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</si>
  <si>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</si>
  <si>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</si>
  <si>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</si>
  <si>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</si>
  <si>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</si>
  <si>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</si>
  <si>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</si>
  <si>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</si>
  <si>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</si>
  <si>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</si>
  <si>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</si>
  <si>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</si>
  <si>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</si>
  <si>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</si>
  <si>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</si>
  <si>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</si>
  <si>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</si>
  <si>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</si>
  <si>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</si>
  <si>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</si>
  <si>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</si>
  <si>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</si>
  <si>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</si>
  <si>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</si>
  <si>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</si>
  <si>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</si>
  <si>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</si>
  <si>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</si>
  <si>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</si>
  <si>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</si>
  <si>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</si>
  <si>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</si>
  <si>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</si>
  <si>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</si>
  <si>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</si>
  <si>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</si>
  <si>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</si>
  <si>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</si>
  <si>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</si>
  <si>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</si>
  <si>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</si>
  <si>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</si>
  <si>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</si>
  <si>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</si>
  <si>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</si>
  <si>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</si>
  <si>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</si>
  <si>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</si>
  <si>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</si>
  <si>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</si>
  <si>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</si>
  <si>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</si>
  <si>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</si>
  <si>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</si>
  <si>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</si>
  <si>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</si>
  <si>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</si>
  <si>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</si>
  <si>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</si>
  <si>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</si>
  <si>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</si>
  <si>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</si>
  <si>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</si>
  <si>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</si>
  <si>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</si>
  <si>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</si>
  <si>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</si>
  <si>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</si>
  <si>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</si>
  <si>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</si>
  <si>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</si>
  <si>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</si>
  <si>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</si>
  <si>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</si>
  <si>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</si>
  <si>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</si>
  <si>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</si>
  <si>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</si>
  <si>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</si>
  <si>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</si>
  <si>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</si>
  <si>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</si>
  <si>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</si>
  <si>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</si>
  <si>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</si>
  <si>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</si>
  <si>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</si>
  <si>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</si>
  <si>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</si>
  <si>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</si>
  <si>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</si>
  <si>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</si>
  <si>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</si>
  <si>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</si>
  <si>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</si>
  <si>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</si>
  <si>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</si>
  <si>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</si>
  <si>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</si>
  <si>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</si>
  <si>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</si>
  <si>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</si>
  <si>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</si>
  <si>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</si>
  <si>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</si>
  <si>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</si>
  <si>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</si>
  <si>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</si>
  <si>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</si>
  <si>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</si>
  <si>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</si>
  <si>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</si>
  <si>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</si>
  <si>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</si>
  <si>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</si>
  <si>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</si>
  <si>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</si>
  <si>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</si>
  <si>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</si>
  <si>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</si>
  <si>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</si>
  <si>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</si>
  <si>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</si>
  <si>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</si>
  <si>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</si>
  <si>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</si>
  <si>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</si>
  <si>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</si>
  <si>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</si>
  <si>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</si>
  <si>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</si>
  <si>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</si>
  <si>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</si>
  <si>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</si>
  <si>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</si>
  <si>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</si>
  <si>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</si>
  <si>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</si>
  <si>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</si>
  <si>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</si>
  <si>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</si>
  <si>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</si>
  <si>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</si>
  <si>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</si>
  <si>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</si>
  <si>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</si>
  <si>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</si>
  <si>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</si>
  <si>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</si>
  <si>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</si>
  <si>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</si>
  <si>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</si>
  <si>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</si>
  <si>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</si>
  <si>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</si>
  <si>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</si>
  <si>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</si>
  <si>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</si>
  <si>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</si>
  <si>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</si>
  <si>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</si>
  <si>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</si>
  <si>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</si>
  <si>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</si>
  <si>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</si>
  <si>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</si>
  <si>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</si>
  <si>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</si>
  <si>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</si>
  <si>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</si>
  <si>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</si>
  <si>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</si>
  <si>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</si>
  <si>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</si>
  <si>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</si>
  <si>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</si>
  <si>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</si>
  <si>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</si>
  <si>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</si>
  <si>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</si>
  <si>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</si>
  <si>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</si>
  <si>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</si>
  <si>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</si>
  <si>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</si>
  <si>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</si>
  <si>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</si>
  <si>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</si>
  <si>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</si>
  <si>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</si>
  <si>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</si>
  <si>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</si>
  <si>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</si>
  <si>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</si>
  <si>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</si>
  <si>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</si>
  <si>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</si>
  <si>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</si>
  <si>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</si>
  <si>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</si>
  <si>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</si>
  <si>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</si>
  <si>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</si>
  <si>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</si>
  <si>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</si>
  <si>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</si>
  <si>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</si>
  <si>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</si>
  <si>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</si>
  <si>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</si>
  <si>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</si>
  <si>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</si>
  <si>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</si>
  <si>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</si>
  <si>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</si>
  <si>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</si>
  <si>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</si>
  <si>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</si>
  <si>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</si>
  <si>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</si>
  <si>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</si>
  <si>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</si>
  <si>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</si>
  <si>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</si>
  <si>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</si>
  <si>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</si>
  <si>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</si>
  <si>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</si>
  <si>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</si>
  <si>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</si>
  <si>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</si>
  <si>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</si>
  <si>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</si>
  <si>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</si>
  <si>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</si>
  <si>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</si>
  <si>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</si>
  <si>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</si>
  <si>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</si>
  <si>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</si>
  <si>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</si>
  <si>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</si>
  <si>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</si>
  <si>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</si>
  <si>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</si>
  <si>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</si>
  <si>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</si>
  <si>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</si>
  <si>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</si>
  <si>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</si>
  <si>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</si>
  <si>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</si>
  <si>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</si>
  <si>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</si>
  <si>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</si>
  <si>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</si>
  <si>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</si>
  <si>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</si>
  <si>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</si>
  <si>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</si>
  <si>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</si>
  <si>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</si>
  <si>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</si>
  <si>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</si>
  <si>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</si>
  <si>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</si>
  <si>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</si>
  <si>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</si>
  <si>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</si>
  <si>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</si>
  <si>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</si>
  <si>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</si>
  <si>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</si>
  <si>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</si>
  <si>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</si>
  <si>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</si>
  <si>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</si>
  <si>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</si>
  <si>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</si>
  <si>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</si>
  <si>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</si>
  <si>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</si>
  <si>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</si>
  <si>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</si>
  <si>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</si>
  <si>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</si>
  <si>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</si>
  <si>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</si>
  <si>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</si>
  <si>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</si>
  <si>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</si>
  <si>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</si>
  <si>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</si>
  <si>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</si>
  <si>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</si>
  <si>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</si>
  <si>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</si>
  <si>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</si>
  <si>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</si>
  <si>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</si>
  <si>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</si>
  <si>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</si>
  <si>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</si>
  <si>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</si>
  <si>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</si>
  <si>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</si>
  <si>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</si>
  <si>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</si>
  <si>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</si>
  <si>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</si>
  <si>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</si>
  <si>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</si>
  <si>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</si>
  <si>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</si>
  <si>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</si>
  <si>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</si>
  <si>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</si>
  <si>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</si>
  <si>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</si>
  <si>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</si>
  <si>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</si>
  <si>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</si>
  <si>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</si>
  <si>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</si>
  <si>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</si>
  <si>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</si>
  <si>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</si>
  <si>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</si>
  <si>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</si>
  <si>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</si>
  <si>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</si>
  <si>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</si>
  <si>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</si>
  <si>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</si>
  <si>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</si>
  <si>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</si>
  <si>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</si>
  <si>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</si>
  <si>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</si>
  <si>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</si>
  <si>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</si>
  <si>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</si>
  <si>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</si>
  <si>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</si>
  <si>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</si>
  <si>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</si>
  <si>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</si>
  <si>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</si>
  <si>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</si>
  <si>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</si>
  <si>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</si>
  <si>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</si>
  <si>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</si>
  <si>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</si>
  <si>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</si>
  <si>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</si>
  <si>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</si>
  <si>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</si>
  <si>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</si>
  <si>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</si>
  <si>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</si>
  <si>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</si>
  <si>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</si>
  <si>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</si>
  <si>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</si>
  <si>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</si>
  <si>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</si>
  <si>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</si>
  <si>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</si>
  <si>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</si>
  <si>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</si>
  <si>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</si>
  <si>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</si>
  <si>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</si>
  <si>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</si>
  <si>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</si>
  <si>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</si>
  <si>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</si>
  <si>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</si>
  <si>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</si>
  <si>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</si>
  <si>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</si>
  <si>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</si>
  <si>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</si>
  <si>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</si>
  <si>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</si>
  <si>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</si>
  <si>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</si>
  <si>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</si>
  <si>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</si>
  <si>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</si>
  <si>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</si>
  <si>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</si>
  <si>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</si>
  <si>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</si>
  <si>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</si>
  <si>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</si>
  <si>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</si>
  <si>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</si>
  <si>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</si>
  <si>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</si>
  <si>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</si>
  <si>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</si>
  <si>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</si>
  <si>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</si>
  <si>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</si>
  <si>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</si>
  <si>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</si>
  <si>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</si>
  <si>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</si>
  <si>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</si>
  <si>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</si>
  <si>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</si>
  <si>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</si>
  <si>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</si>
  <si>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</si>
  <si>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</si>
  <si>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</si>
  <si>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</si>
  <si>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</si>
  <si>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</si>
  <si>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</si>
  <si>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</si>
  <si>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</si>
  <si>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</si>
  <si>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</si>
  <si>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</si>
  <si>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</si>
  <si>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</si>
  <si>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</si>
  <si>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</si>
  <si>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</si>
  <si>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</si>
  <si>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</si>
  <si>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</si>
  <si>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</si>
  <si>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</si>
  <si>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</si>
  <si>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</si>
  <si>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</si>
  <si>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</si>
  <si>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</si>
  <si>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</si>
  <si>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</si>
  <si>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</si>
  <si>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</si>
  <si>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</si>
  <si>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</si>
  <si>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</si>
  <si>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</si>
  <si>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</si>
  <si>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</si>
  <si>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</si>
  <si>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</si>
  <si>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</si>
  <si>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</si>
  <si>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</si>
  <si>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</si>
  <si>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</si>
  <si>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</si>
  <si>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</si>
  <si>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</si>
  <si>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</si>
  <si>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</si>
  <si>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</si>
  <si>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</si>
  <si>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</si>
  <si>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</si>
  <si>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</si>
  <si>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</si>
  <si>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</si>
  <si>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</si>
  <si>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</si>
  <si>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</si>
  <si>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</si>
  <si>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</si>
  <si>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</si>
  <si>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</si>
  <si>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</si>
  <si>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</si>
  <si>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</si>
  <si>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</si>
  <si>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</si>
  <si>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</si>
  <si>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</si>
  <si>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</si>
  <si>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</si>
  <si>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</si>
  <si>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</si>
  <si>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</si>
  <si>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</si>
  <si>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</si>
  <si>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</si>
  <si>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</si>
  <si>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</si>
  <si>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</si>
  <si>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</si>
  <si>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</si>
  <si>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</si>
  <si>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</si>
  <si>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</si>
  <si>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</si>
  <si>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</si>
  <si>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</si>
  <si>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</si>
  <si>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</si>
  <si>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</si>
  <si>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</si>
  <si>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</si>
  <si>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</si>
  <si>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</si>
  <si>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</si>
  <si>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</si>
  <si>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</si>
  <si>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</si>
  <si>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</si>
  <si>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</si>
  <si>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</si>
  <si>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</si>
  <si>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</si>
  <si>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</si>
  <si>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</si>
  <si>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</si>
  <si>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</si>
  <si>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</si>
  <si>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</si>
  <si>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</si>
  <si>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</si>
  <si>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</si>
  <si>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</si>
  <si>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</si>
  <si>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</si>
  <si>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</si>
  <si>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</si>
  <si>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</si>
  <si>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</si>
  <si>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</si>
  <si>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</si>
  <si>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</si>
  <si>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</si>
  <si>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</si>
  <si>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</si>
  <si>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</si>
  <si>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</si>
  <si>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</si>
  <si>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</si>
  <si>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</si>
  <si>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</si>
  <si>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</si>
  <si>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</si>
  <si>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</si>
  <si>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</si>
  <si>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</si>
  <si>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</si>
  <si>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</si>
  <si>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</si>
  <si>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</si>
  <si>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</si>
  <si>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</si>
  <si>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</si>
  <si>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</si>
  <si>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</si>
  <si>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</si>
  <si>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</si>
  <si>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</si>
  <si>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</si>
  <si>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</si>
  <si>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</si>
  <si>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</si>
  <si>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</si>
  <si>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</si>
  <si>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</si>
  <si>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</si>
  <si>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</si>
  <si>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</si>
  <si>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</si>
  <si>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</si>
  <si>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</si>
  <si>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</si>
  <si>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</si>
  <si>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</si>
  <si>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</si>
  <si>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</si>
  <si>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</si>
  <si>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</si>
  <si>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</si>
  <si>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</si>
  <si>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</si>
  <si>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</si>
  <si>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</si>
  <si>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</si>
  <si>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</si>
  <si>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</si>
  <si>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</si>
  <si>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</si>
  <si>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</si>
  <si>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</si>
  <si>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</si>
  <si>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</si>
  <si>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</si>
  <si>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</si>
  <si>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</si>
  <si>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</si>
  <si>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</si>
  <si>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</si>
  <si>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</si>
  <si>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</si>
  <si>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</si>
  <si>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</si>
  <si>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</si>
  <si>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</si>
  <si>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</si>
  <si>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</si>
  <si>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</si>
  <si>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</si>
  <si>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</si>
  <si>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</si>
  <si>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</si>
  <si>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</si>
  <si>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</si>
  <si>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</si>
  <si>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</si>
  <si>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</si>
  <si>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</si>
  <si>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</si>
  <si>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</si>
  <si>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</si>
  <si>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</si>
  <si>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</si>
  <si>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</si>
  <si>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</si>
  <si>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</si>
  <si>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</si>
  <si>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</si>
  <si>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</si>
  <si>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</si>
  <si>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</si>
  <si>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</si>
  <si>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</si>
  <si>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</si>
  <si>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</si>
  <si>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</si>
  <si>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</si>
  <si>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</si>
  <si>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</si>
  <si>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</si>
  <si>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</si>
  <si>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</si>
  <si>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</si>
  <si>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</si>
  <si>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</si>
  <si>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</si>
  <si>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</si>
  <si>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</si>
  <si>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</si>
  <si>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</si>
  <si>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</si>
  <si>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</si>
  <si>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</si>
  <si>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</si>
  <si>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</si>
  <si>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</si>
  <si>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</si>
  <si>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</si>
  <si>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</si>
  <si>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</si>
  <si>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</si>
  <si>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</si>
  <si>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</si>
  <si>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</si>
  <si>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</si>
  <si>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</si>
  <si>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</si>
  <si>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</si>
  <si>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</si>
  <si>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</si>
  <si>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</si>
  <si>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</si>
  <si>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</si>
  <si>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</si>
  <si>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</si>
  <si>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</si>
  <si>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</si>
  <si>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</si>
  <si>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</si>
  <si>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</si>
  <si>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</si>
  <si>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</si>
  <si>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</si>
  <si>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</si>
  <si>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</si>
  <si>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</si>
  <si>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</si>
  <si>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</si>
  <si>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</si>
  <si>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</si>
  <si>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</si>
  <si>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</si>
  <si>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</si>
  <si>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</si>
  <si>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</si>
  <si>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</si>
  <si>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</si>
  <si>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</si>
  <si>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</si>
  <si>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</si>
  <si>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</si>
  <si>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</si>
  <si>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</si>
  <si>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</si>
  <si>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</si>
  <si>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</si>
  <si>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</si>
  <si>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</si>
  <si>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</si>
  <si>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</si>
  <si>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</si>
  <si>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</si>
  <si>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</si>
  <si>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</si>
  <si>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</si>
  <si>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</si>
  <si>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</si>
  <si>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</si>
  <si>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</si>
  <si>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</si>
  <si>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</si>
  <si>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</si>
  <si>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</si>
  <si>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</si>
  <si>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</si>
  <si>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</si>
  <si>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</si>
  <si>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</si>
  <si>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</si>
  <si>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</si>
  <si>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</si>
  <si>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</si>
  <si>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</si>
  <si>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</si>
  <si>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</si>
  <si>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</si>
  <si>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</si>
  <si>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</si>
  <si>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</si>
  <si>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</si>
  <si>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</si>
  <si>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</si>
  <si>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</si>
  <si>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</si>
  <si>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</si>
  <si>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</si>
  <si>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</si>
  <si>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</si>
  <si>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</si>
  <si>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</si>
  <si>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</si>
  <si>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</si>
  <si>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</si>
  <si>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</si>
  <si>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</si>
  <si>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</si>
  <si>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</si>
  <si>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</si>
  <si>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</si>
  <si>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</si>
  <si>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</si>
  <si>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</si>
  <si>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</si>
  <si>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</si>
  <si>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</si>
  <si>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</si>
  <si>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</si>
  <si>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</si>
  <si>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</si>
  <si>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</si>
  <si>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</si>
  <si>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</si>
  <si>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</si>
  <si>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</si>
  <si>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</si>
  <si>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</si>
  <si>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</si>
  <si>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</si>
  <si>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</si>
  <si>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</si>
  <si>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</si>
  <si>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</si>
  <si>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</si>
  <si>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</si>
  <si>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</si>
  <si>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</si>
  <si>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</si>
  <si>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</si>
  <si>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</si>
  <si>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</si>
  <si>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</si>
  <si>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</si>
  <si>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</si>
  <si>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</si>
  <si>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</si>
  <si>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</si>
  <si>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</si>
  <si>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</si>
  <si>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</si>
  <si>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</si>
  <si>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</si>
  <si>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</si>
  <si>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</si>
  <si>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</si>
  <si>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</si>
  <si>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</si>
  <si>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</si>
  <si>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</si>
  <si>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</si>
  <si>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</si>
  <si>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</si>
  <si>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</si>
  <si>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</si>
  <si>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</si>
  <si>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</si>
  <si>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</si>
  <si>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</si>
  <si>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</si>
  <si>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</si>
  <si>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</si>
  <si>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</si>
  <si>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</si>
  <si>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</si>
  <si>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</si>
  <si>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</si>
  <si>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</si>
  <si>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</si>
  <si>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</si>
  <si>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</si>
  <si>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</si>
  <si>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</si>
  <si>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</si>
  <si>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</si>
  <si>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</si>
  <si>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</si>
  <si>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</si>
  <si>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</si>
  <si>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</si>
  <si>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</si>
  <si>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</si>
  <si>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</si>
  <si>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</si>
  <si>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</si>
  <si>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</si>
  <si>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</si>
  <si>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</si>
  <si>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</si>
  <si>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</si>
  <si>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</si>
  <si>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</si>
  <si>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</si>
  <si>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</si>
  <si>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</si>
  <si>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</si>
  <si>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</si>
  <si>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</si>
  <si>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</si>
  <si>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</si>
  <si>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</si>
  <si>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</si>
  <si>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</si>
  <si>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</si>
  <si>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</si>
  <si>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</si>
  <si>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</si>
  <si>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</si>
  <si>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</si>
  <si>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</si>
  <si>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</si>
  <si>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</si>
  <si>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</si>
  <si>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</si>
  <si>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</si>
  <si>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</si>
  <si>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</si>
  <si>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</si>
  <si>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</si>
  <si>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</si>
  <si>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</si>
  <si>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</si>
  <si>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</si>
  <si>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</si>
  <si>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</si>
  <si>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</si>
  <si>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</si>
  <si>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</si>
  <si>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</si>
  <si>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</si>
  <si>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</si>
  <si>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</si>
  <si>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</si>
  <si>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</si>
  <si>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</si>
  <si>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</si>
  <si>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</si>
  <si>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</si>
  <si>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</si>
  <si>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</si>
  <si>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</si>
  <si>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</si>
  <si>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</si>
  <si>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</si>
  <si>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</si>
  <si>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</si>
  <si>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</si>
  <si>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</si>
  <si>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</si>
  <si>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</si>
  <si>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</si>
  <si>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</si>
  <si>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</si>
  <si>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</si>
  <si>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</si>
  <si>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</si>
  <si>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</si>
  <si>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</si>
  <si>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</si>
  <si>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</si>
  <si>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</si>
  <si>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</si>
  <si>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</si>
  <si>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</si>
  <si>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</si>
  <si>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</si>
  <si>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</si>
  <si>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</si>
  <si>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</si>
  <si>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</si>
  <si>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</si>
  <si>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</si>
  <si>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</si>
  <si>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</si>
  <si>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</si>
  <si>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</si>
  <si>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</si>
  <si>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</si>
  <si>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</si>
  <si>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</si>
  <si>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</si>
  <si>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</si>
  <si>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</si>
  <si>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</si>
  <si>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</si>
  <si>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</si>
  <si>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</si>
  <si>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</si>
  <si>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</si>
  <si>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</si>
  <si>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</si>
  <si>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</si>
  <si>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</si>
  <si>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</si>
  <si>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</si>
  <si>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</si>
  <si>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</si>
  <si>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</si>
  <si>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</si>
  <si>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</si>
  <si>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</si>
  <si>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</si>
  <si>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</si>
  <si>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</si>
  <si>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</si>
  <si>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</si>
  <si>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</si>
  <si>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</si>
  <si>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</si>
  <si>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</si>
  <si>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</si>
  <si>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</si>
  <si>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</si>
  <si>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</si>
  <si>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</si>
  <si>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</si>
  <si>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</si>
  <si>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</si>
  <si>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</si>
  <si>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</si>
  <si>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</si>
  <si>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</si>
  <si>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</si>
  <si>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</si>
  <si>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</si>
  <si>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</si>
  <si>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</si>
  <si>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</si>
  <si>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</si>
  <si>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</si>
  <si>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</si>
  <si>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</si>
  <si>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</si>
  <si>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</si>
  <si>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</si>
  <si>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</si>
  <si>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</si>
  <si>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</si>
  <si>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</si>
  <si>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</si>
  <si>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</si>
  <si>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</si>
  <si>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</si>
  <si>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</si>
  <si>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</si>
  <si>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</si>
  <si>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</si>
  <si>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</si>
  <si>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</si>
  <si>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</si>
  <si>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</si>
  <si>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</si>
  <si>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</si>
  <si>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</si>
  <si>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</si>
  <si>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</si>
  <si>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</si>
  <si>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</si>
  <si>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</si>
  <si>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</si>
  <si>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</si>
  <si>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</si>
  <si>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</si>
  <si>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</si>
  <si>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</si>
  <si>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</si>
  <si>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</si>
  <si>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</si>
  <si>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</si>
  <si>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</si>
  <si>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</si>
  <si>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</si>
  <si>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</si>
  <si>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</si>
  <si>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</si>
  <si>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</si>
  <si>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</si>
  <si>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</si>
  <si>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</si>
  <si>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</si>
  <si>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</si>
  <si>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</si>
  <si>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</si>
  <si>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</si>
  <si>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</si>
  <si>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</si>
  <si>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</si>
  <si>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</si>
  <si>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</si>
  <si>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</si>
  <si>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</si>
  <si>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</si>
  <si>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</si>
  <si>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</si>
  <si>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</si>
  <si>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</si>
  <si>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</si>
  <si>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</si>
  <si>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</si>
  <si>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</si>
  <si>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</si>
  <si>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</si>
  <si>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</si>
  <si>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</si>
  <si>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</si>
  <si>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</si>
  <si>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</si>
  <si>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</si>
  <si>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</si>
  <si>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</si>
  <si>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</si>
  <si>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</si>
  <si>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</si>
  <si>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</si>
  <si>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</si>
  <si>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</si>
  <si>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</si>
  <si>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</si>
  <si>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</si>
  <si>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</si>
  <si>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</si>
  <si>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</si>
  <si>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</si>
  <si>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</si>
  <si>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</si>
  <si>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</si>
  <si>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</si>
  <si>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</si>
  <si>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</si>
  <si>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</si>
  <si>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</si>
  <si>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</si>
  <si>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</si>
  <si>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</si>
  <si>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</si>
  <si>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</si>
  <si>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</si>
  <si>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</si>
  <si>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</si>
  <si>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</si>
  <si>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</si>
  <si>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</si>
  <si>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</si>
  <si>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</si>
  <si>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</si>
  <si>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</si>
  <si>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</si>
  <si>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</si>
  <si>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</si>
  <si>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</si>
  <si>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</si>
  <si>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</si>
  <si>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</si>
  <si>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</si>
  <si>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</si>
  <si>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</si>
  <si>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</si>
  <si>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</si>
  <si>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</si>
  <si>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</si>
  <si>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</si>
  <si>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</si>
  <si>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</si>
  <si>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</si>
  <si>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</si>
  <si>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</si>
  <si>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</si>
  <si>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</si>
  <si>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</si>
  <si>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</si>
  <si>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</si>
  <si>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</si>
  <si>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</si>
  <si>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</si>
  <si>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</si>
  <si>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</si>
  <si>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</si>
  <si>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</si>
  <si>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</si>
  <si>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</si>
  <si>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</si>
  <si>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</si>
  <si>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</si>
  <si>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</si>
  <si>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</si>
  <si>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</si>
  <si>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</si>
  <si>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</si>
  <si>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</si>
  <si>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</si>
  <si>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</si>
  <si>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</si>
  <si>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</si>
  <si>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</si>
  <si>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</si>
  <si>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</si>
  <si>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</si>
  <si>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</si>
  <si>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</si>
  <si>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</si>
  <si>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</si>
  <si>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</si>
  <si>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</si>
  <si>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</si>
  <si>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</si>
  <si>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</si>
  <si>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</si>
  <si>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</si>
  <si>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</si>
  <si>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</si>
  <si>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</si>
  <si>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</si>
  <si>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</si>
  <si>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</si>
  <si>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</si>
  <si>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</si>
  <si>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</si>
  <si>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</si>
  <si>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</si>
  <si>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</si>
  <si>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</si>
  <si>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</si>
  <si>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</si>
  <si>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</si>
  <si>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</si>
  <si>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</si>
  <si>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</si>
  <si>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</si>
  <si>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</si>
  <si>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</si>
  <si>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</si>
  <si>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</si>
  <si>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</si>
  <si>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</si>
  <si>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</si>
  <si>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</si>
  <si>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</si>
  <si>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</si>
  <si>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</si>
  <si>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</si>
  <si>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</si>
  <si>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</si>
  <si>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</si>
  <si>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</si>
  <si>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</si>
  <si>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</si>
  <si>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</si>
  <si>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</si>
  <si>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</si>
  <si>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</si>
  <si>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</si>
  <si>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</si>
  <si>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</si>
  <si>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</si>
  <si>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</si>
  <si>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</si>
  <si>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</si>
  <si>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</si>
  <si>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</si>
  <si>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</si>
  <si>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</si>
  <si>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</si>
  <si>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</si>
  <si>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</si>
  <si>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</si>
  <si>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</si>
  <si>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</si>
  <si>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</si>
  <si>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</si>
  <si>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</si>
  <si>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</si>
  <si>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</si>
  <si>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</si>
  <si>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</si>
  <si>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</si>
  <si>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</si>
  <si>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</si>
  <si>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</si>
  <si>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</si>
  <si>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</si>
  <si>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</si>
  <si>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</si>
  <si>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</si>
  <si>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</si>
  <si>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</si>
  <si>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</si>
  <si>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</si>
  <si>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</si>
  <si>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</si>
  <si>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</si>
  <si>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</si>
  <si>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</si>
  <si>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</si>
  <si>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</si>
  <si>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</si>
  <si>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</si>
  <si>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</si>
  <si>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</si>
  <si>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</si>
  <si>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</si>
  <si>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</si>
  <si>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</si>
  <si>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</si>
  <si>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</si>
  <si>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</si>
  <si>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</si>
  <si>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</si>
  <si>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</si>
  <si>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</si>
  <si>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</si>
  <si>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</si>
  <si>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</si>
  <si>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</si>
  <si>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</si>
  <si>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</si>
  <si>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</si>
  <si>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</si>
  <si>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</si>
  <si>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</si>
  <si>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</si>
  <si>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</si>
  <si>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</si>
  <si>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</si>
  <si>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</si>
  <si>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</si>
  <si>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</si>
  <si>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</si>
  <si>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</si>
  <si>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</si>
  <si>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</si>
  <si>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</si>
  <si>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</si>
  <si>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</si>
  <si>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</si>
  <si>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</si>
  <si>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</si>
  <si>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</si>
  <si>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</si>
  <si>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</si>
  <si>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</si>
  <si>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</si>
  <si>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</si>
  <si>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</si>
  <si>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</si>
  <si>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</si>
  <si>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</si>
  <si>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</si>
  <si>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</si>
  <si>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</si>
  <si>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</si>
  <si>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</si>
  <si>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</si>
  <si>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</si>
  <si>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</si>
  <si>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</si>
  <si>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</si>
  <si>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</si>
  <si>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</si>
  <si>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</si>
  <si>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</si>
  <si>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</si>
  <si>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</si>
  <si>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</si>
  <si>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</si>
  <si>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</si>
  <si>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</si>
  <si>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</si>
  <si>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</si>
  <si>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</si>
  <si>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</si>
  <si>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</si>
  <si>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</si>
  <si>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</si>
  <si>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</si>
  <si>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</si>
  <si>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</si>
  <si>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</si>
  <si>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</si>
  <si>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</si>
  <si>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</si>
  <si>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</si>
  <si>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</si>
  <si>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</si>
  <si>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</si>
  <si>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</si>
  <si>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</si>
  <si>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</si>
  <si>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</si>
  <si>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</si>
  <si>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</si>
  <si>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</si>
  <si>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</si>
  <si>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</si>
  <si>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</si>
  <si>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</si>
  <si>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</si>
  <si>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</si>
  <si>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</si>
  <si>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</si>
  <si>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</si>
  <si>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</si>
  <si>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</si>
  <si>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</si>
  <si>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</si>
  <si>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</si>
  <si>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</si>
  <si>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</si>
  <si>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</si>
  <si>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</si>
  <si>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</si>
  <si>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</si>
  <si>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</si>
  <si>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</si>
  <si>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</si>
  <si>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</si>
  <si>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</si>
  <si>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</si>
  <si>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</si>
  <si>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</si>
  <si>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</si>
  <si>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</si>
  <si>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</si>
  <si>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</si>
  <si>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</si>
  <si>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</si>
  <si>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</si>
  <si>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</si>
  <si>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</si>
  <si>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</si>
  <si>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</si>
  <si>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</si>
  <si>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</si>
  <si>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</si>
  <si>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</si>
  <si>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</si>
  <si>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</si>
  <si>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</si>
  <si>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</si>
  <si>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</si>
  <si>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</si>
  <si>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</si>
  <si>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</si>
  <si>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</si>
  <si>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</si>
  <si>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</si>
  <si>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</si>
  <si>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</si>
  <si>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</si>
  <si>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</si>
  <si>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</si>
  <si>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</si>
  <si>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</si>
  <si>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</si>
  <si>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</si>
  <si>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</si>
  <si>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</si>
  <si>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</si>
  <si>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</si>
  <si>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</si>
  <si>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</si>
  <si>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</si>
  <si>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</si>
  <si>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</si>
  <si>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</si>
  <si>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</si>
  <si>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</si>
  <si>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</si>
  <si>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</si>
  <si>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</si>
  <si>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</si>
  <si>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</si>
  <si>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</si>
  <si>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</si>
  <si>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</si>
  <si>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</si>
  <si>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</si>
  <si>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</si>
  <si>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</si>
  <si>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</si>
  <si>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</si>
  <si>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</si>
  <si>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</si>
  <si>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</si>
  <si>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</si>
  <si>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</si>
  <si>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</si>
  <si>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</si>
  <si>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</si>
  <si>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</si>
  <si>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</si>
  <si>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</si>
  <si>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</si>
  <si>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</si>
  <si>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</si>
  <si>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</si>
  <si>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</si>
  <si>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</si>
  <si>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</si>
  <si>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</si>
  <si>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</si>
  <si>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</si>
  <si>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</si>
  <si>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</si>
  <si>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</si>
  <si>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</si>
  <si>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</si>
  <si>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</si>
  <si>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</si>
  <si>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</si>
  <si>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</si>
  <si>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</si>
  <si>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</si>
  <si>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</si>
  <si>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</si>
  <si>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</si>
  <si>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</si>
  <si>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</si>
  <si>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</si>
  <si>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</si>
  <si>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</si>
  <si>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</si>
  <si>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</si>
  <si>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</si>
  <si>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</si>
  <si>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</si>
  <si>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</si>
  <si>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</si>
  <si>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</si>
  <si>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</si>
  <si>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</si>
  <si>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</si>
  <si>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</si>
  <si>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</si>
  <si>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</si>
  <si>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</si>
  <si>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</si>
  <si>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</si>
  <si>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</si>
  <si>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</si>
  <si>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</si>
  <si>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</si>
  <si>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</si>
  <si>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</si>
  <si>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</si>
  <si>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</si>
  <si>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</si>
  <si>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</si>
  <si>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</si>
  <si>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</si>
  <si>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</si>
  <si>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</si>
  <si>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</si>
  <si>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</si>
  <si>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</si>
  <si>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</si>
  <si>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</si>
  <si>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</si>
  <si>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</si>
  <si>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</si>
  <si>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</si>
  <si>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</si>
  <si>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</si>
  <si>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</si>
  <si>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</si>
  <si>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</si>
  <si>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</si>
  <si>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</si>
  <si>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</si>
  <si>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</si>
  <si>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</si>
  <si>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</si>
  <si>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</si>
  <si>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</si>
  <si>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</si>
  <si>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</si>
  <si>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</si>
  <si>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</si>
  <si>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</si>
  <si>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</si>
  <si>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</si>
  <si>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</si>
  <si>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</si>
  <si>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</si>
  <si>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</si>
  <si>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</si>
  <si>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</si>
  <si>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</si>
  <si>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</si>
  <si>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</si>
  <si>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</si>
  <si>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</si>
  <si>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</si>
  <si>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</si>
  <si>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</si>
  <si>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</si>
  <si>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</si>
  <si>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</si>
  <si>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</si>
  <si>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</si>
  <si>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</si>
  <si>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</si>
  <si>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</si>
  <si>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</si>
  <si>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</si>
  <si>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</si>
  <si>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</si>
  <si>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</si>
  <si>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</si>
  <si>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</si>
  <si>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</si>
  <si>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</si>
  <si>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</si>
  <si>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</si>
  <si>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</si>
  <si>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</si>
  <si>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</si>
  <si>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</si>
  <si>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</si>
  <si>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</si>
  <si>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</si>
  <si>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</si>
  <si>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</si>
  <si>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</si>
  <si>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</si>
  <si>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</si>
  <si>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</si>
  <si>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</si>
  <si>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</si>
  <si>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</si>
  <si>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</si>
  <si>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</si>
  <si>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</si>
  <si>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</si>
  <si>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</si>
  <si>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</si>
  <si>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</si>
  <si>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</si>
  <si>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</si>
  <si>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</si>
  <si>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</si>
  <si>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</si>
  <si>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</si>
  <si>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</si>
  <si>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</si>
  <si>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</si>
  <si>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</si>
  <si>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</si>
  <si>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</si>
  <si>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</si>
  <si>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</si>
  <si>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</si>
  <si>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</si>
  <si>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</si>
  <si>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</si>
  <si>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</si>
  <si>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</si>
  <si>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</si>
  <si>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</si>
  <si>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</si>
  <si>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</si>
  <si>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</si>
  <si>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</si>
  <si>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</si>
  <si>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</si>
  <si>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</si>
  <si>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</si>
  <si>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</si>
  <si>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</si>
  <si>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</si>
  <si>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</si>
  <si>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</si>
  <si>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</si>
  <si>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</si>
  <si>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</si>
  <si>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</si>
  <si>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</si>
  <si>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</si>
  <si>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</si>
  <si>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</si>
  <si>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</si>
  <si>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</si>
  <si>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</si>
  <si>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</si>
  <si>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</si>
  <si>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</si>
  <si>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</si>
  <si>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</si>
  <si>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</si>
  <si>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</si>
  <si>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</si>
  <si>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</si>
  <si>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</si>
  <si>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</si>
  <si>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</si>
  <si>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</si>
  <si>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</si>
  <si>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</si>
  <si>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</si>
  <si>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</si>
  <si>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</si>
  <si>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</si>
  <si>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</si>
  <si>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</si>
  <si>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</si>
  <si>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</si>
  <si>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</si>
  <si>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</si>
  <si>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</si>
  <si>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</si>
  <si>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</si>
  <si>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</si>
  <si>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</si>
  <si>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</si>
  <si>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</si>
  <si>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</si>
  <si>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</si>
  <si>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</si>
  <si>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</si>
  <si>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</si>
  <si>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</si>
  <si>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</si>
  <si>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</si>
  <si>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</si>
  <si>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</si>
  <si>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</si>
  <si>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</si>
  <si>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</si>
  <si>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</si>
  <si>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</si>
  <si>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</si>
  <si>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</si>
  <si>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</si>
  <si>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</si>
  <si>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</si>
  <si>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</si>
  <si>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</si>
  <si>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</si>
  <si>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</si>
  <si>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</si>
  <si>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</si>
  <si>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</si>
  <si>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</si>
  <si>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</si>
  <si>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</si>
  <si>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</si>
  <si>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</si>
  <si>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</si>
  <si>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</si>
  <si>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</si>
  <si>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</si>
  <si>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</si>
  <si>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</si>
  <si>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</si>
  <si>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</si>
  <si>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</si>
  <si>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</si>
  <si>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</si>
  <si>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</si>
  <si>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</si>
  <si>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</si>
  <si>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</si>
  <si>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</si>
  <si>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</si>
  <si>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</si>
  <si>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</si>
  <si>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</si>
  <si>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</si>
  <si>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</si>
  <si>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</si>
  <si>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</si>
  <si>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</si>
  <si>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</si>
  <si>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</si>
  <si>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</si>
  <si>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</si>
  <si>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</si>
  <si>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</si>
  <si>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</si>
  <si>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</si>
  <si>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</si>
  <si>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</si>
  <si>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</si>
  <si>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</si>
  <si>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</si>
  <si>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</si>
  <si>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</si>
  <si>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</si>
  <si>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</si>
  <si>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</si>
  <si>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</si>
  <si>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</si>
  <si>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</si>
  <si>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</si>
  <si>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</si>
  <si>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</si>
  <si>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</si>
  <si>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</si>
  <si>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</si>
  <si>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</si>
  <si>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</si>
  <si>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</si>
  <si>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</si>
  <si>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</si>
  <si>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</si>
  <si>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</si>
  <si>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</si>
  <si>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</si>
  <si>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</si>
  <si>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</si>
  <si>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</si>
  <si>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</si>
  <si>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</si>
  <si>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</si>
  <si>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</si>
  <si>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</si>
  <si>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</si>
  <si>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</si>
  <si>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</si>
  <si>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</si>
  <si>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</si>
  <si>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</si>
  <si>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</si>
  <si>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</si>
  <si>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</si>
  <si>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</si>
  <si>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</si>
  <si>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</si>
  <si>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</si>
  <si>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</si>
  <si>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</si>
  <si>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</si>
  <si>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</si>
  <si>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</si>
  <si>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</si>
  <si>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</si>
  <si>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</si>
  <si>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</si>
  <si>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</si>
  <si>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</si>
  <si>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</si>
  <si>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</si>
  <si>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</si>
  <si>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</si>
  <si>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</si>
  <si>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</si>
  <si>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</si>
  <si>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</si>
  <si>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</si>
  <si>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</si>
  <si>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</si>
  <si>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</si>
  <si>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</si>
  <si>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</si>
  <si>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</si>
  <si>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</si>
  <si>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</si>
  <si>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</si>
  <si>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</si>
  <si>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</si>
  <si>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</si>
  <si>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</si>
  <si>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</si>
  <si>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</si>
  <si>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</si>
  <si>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</si>
  <si>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</si>
  <si>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</si>
  <si>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</si>
  <si>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</si>
  <si>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</si>
  <si>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</si>
  <si>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</si>
  <si>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</si>
  <si>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</si>
  <si>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</si>
  <si>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</si>
  <si>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</si>
  <si>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</si>
  <si>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</si>
  <si>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</si>
  <si>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</si>
  <si>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</si>
  <si>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</si>
  <si>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</si>
  <si>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</si>
  <si>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</si>
  <si>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</si>
  <si>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</si>
  <si>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</si>
  <si>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</si>
  <si>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</si>
  <si>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</si>
  <si>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</si>
  <si>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</si>
  <si>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</si>
  <si>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</si>
  <si>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</si>
  <si>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</si>
  <si>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</si>
  <si>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</si>
  <si>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</si>
  <si>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</si>
  <si>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</si>
  <si>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</si>
  <si>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</si>
  <si>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</si>
  <si>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</si>
  <si>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</si>
  <si>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</si>
  <si>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</si>
  <si>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</si>
  <si>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</si>
  <si>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</si>
  <si>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</si>
  <si>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</si>
  <si>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</si>
  <si>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</si>
  <si>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</si>
  <si>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</si>
  <si>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</si>
  <si>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</si>
  <si>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</si>
  <si>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</si>
  <si>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</si>
  <si>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</si>
  <si>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</si>
  <si>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</si>
  <si>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</si>
  <si>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</si>
  <si>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</si>
  <si>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</si>
  <si>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</si>
  <si>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</si>
  <si>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</si>
  <si>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</si>
  <si>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</si>
  <si>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</si>
  <si>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</si>
  <si>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</si>
  <si>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</si>
  <si>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</si>
  <si>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</si>
  <si>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</si>
  <si>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</si>
  <si>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</si>
  <si>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</si>
  <si>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</si>
  <si>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</si>
  <si>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</si>
  <si>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</si>
  <si>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</si>
  <si>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</si>
  <si>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</si>
  <si>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</si>
  <si>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</si>
  <si>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</si>
  <si>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</si>
  <si>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</si>
  <si>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</si>
  <si>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</si>
  <si>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</si>
  <si>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</si>
  <si>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</si>
  <si>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</si>
  <si>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</si>
  <si>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</si>
  <si>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</si>
  <si>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</si>
  <si>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</si>
  <si>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</si>
  <si>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</si>
  <si>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</si>
  <si>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</si>
  <si>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</si>
  <si>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</si>
  <si>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</si>
  <si>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</si>
  <si>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</si>
  <si>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</si>
  <si>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</si>
  <si>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</si>
  <si>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</si>
  <si>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</si>
  <si>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</si>
  <si>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</si>
  <si>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</si>
  <si>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</si>
  <si>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</si>
  <si>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</si>
  <si>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</si>
  <si>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</si>
  <si>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</si>
  <si>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</si>
  <si>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</si>
  <si>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</si>
  <si>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</si>
  <si>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</si>
  <si>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</si>
  <si>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</si>
  <si>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</si>
  <si>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</si>
  <si>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</si>
  <si>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</si>
  <si>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</si>
  <si>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</si>
  <si>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</si>
  <si>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</si>
  <si>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</si>
  <si>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</si>
  <si>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</si>
  <si>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</si>
  <si>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</si>
  <si>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</si>
  <si>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</si>
  <si>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</si>
  <si>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</si>
  <si>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</si>
  <si>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</si>
  <si>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</si>
  <si>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</si>
  <si>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</si>
  <si>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</si>
  <si>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</si>
  <si>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</si>
  <si>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</si>
  <si>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</si>
  <si>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</si>
  <si>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</si>
  <si>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</si>
  <si>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</si>
  <si>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</si>
  <si>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</si>
  <si>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</si>
  <si>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</si>
  <si>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</si>
  <si>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</si>
  <si>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</si>
  <si>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</si>
  <si>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</si>
  <si>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</si>
  <si>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</si>
  <si>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</si>
  <si>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</si>
  <si>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</si>
  <si>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</si>
  <si>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</si>
  <si>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</si>
  <si>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</si>
  <si>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</si>
  <si>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</si>
  <si>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</si>
  <si>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</si>
  <si>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</si>
  <si>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</si>
  <si>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</si>
  <si>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</si>
  <si>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</si>
  <si>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</si>
  <si>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</si>
  <si>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</si>
  <si>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</si>
  <si>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</si>
  <si>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</si>
  <si>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</si>
  <si>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</si>
  <si>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</si>
  <si>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</si>
  <si>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</si>
  <si>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</si>
  <si>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</si>
  <si>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</si>
  <si>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</si>
  <si>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</si>
  <si>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</si>
  <si>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</si>
  <si>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</si>
  <si>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</si>
  <si>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</si>
  <si>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</si>
  <si>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</si>
  <si>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</si>
  <si>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</si>
  <si>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</si>
  <si>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</si>
  <si>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</si>
  <si>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</si>
  <si>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</si>
  <si>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</si>
  <si>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</si>
  <si>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</si>
  <si>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</si>
  <si>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</si>
  <si>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</si>
  <si>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</si>
  <si>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</si>
  <si>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</si>
  <si>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</si>
  <si>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</si>
  <si>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</si>
  <si>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</si>
  <si>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</si>
  <si>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</si>
  <si>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</si>
  <si>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</si>
  <si>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</si>
  <si>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</si>
  <si>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</si>
  <si>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</si>
  <si>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</si>
  <si>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</si>
  <si>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</si>
  <si>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</si>
  <si>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</si>
  <si>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</si>
  <si>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</si>
  <si>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</si>
  <si>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</si>
  <si>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</si>
  <si>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</si>
  <si>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</si>
  <si>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</si>
  <si>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</si>
  <si>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</si>
  <si>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</si>
  <si>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</si>
  <si>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</si>
  <si>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</si>
  <si>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</si>
  <si>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</si>
  <si>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</si>
  <si>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</si>
  <si>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</si>
  <si>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</si>
  <si>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</si>
  <si>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</si>
  <si>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</si>
  <si>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</si>
  <si>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</si>
  <si>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</si>
  <si>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</si>
  <si>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</si>
  <si>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</si>
  <si>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</si>
  <si>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</si>
  <si>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</si>
  <si>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</si>
  <si>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</si>
  <si>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</si>
  <si>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</si>
  <si>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</si>
  <si>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</si>
  <si>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</si>
  <si>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</si>
  <si>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</si>
  <si>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</si>
  <si>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</si>
  <si>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</si>
  <si>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</si>
  <si>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</si>
  <si>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</si>
  <si>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</si>
  <si>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</si>
  <si>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</si>
  <si>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</si>
  <si>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</si>
  <si>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</si>
  <si>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</si>
  <si>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</si>
  <si>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</si>
  <si>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</si>
  <si>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</si>
  <si>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</si>
  <si>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</si>
  <si>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</si>
  <si>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</si>
  <si>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</si>
  <si>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</si>
  <si>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</si>
  <si>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</si>
  <si>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</si>
  <si>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</si>
  <si>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</si>
  <si>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</si>
  <si>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</si>
  <si>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</si>
  <si>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</si>
  <si>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</si>
  <si>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</si>
  <si>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</si>
  <si>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</si>
  <si>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</si>
  <si>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</si>
  <si>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</si>
  <si>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</si>
  <si>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</si>
  <si>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</si>
  <si>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</si>
  <si>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</si>
  <si>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</si>
  <si>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</si>
  <si>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</si>
  <si>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</si>
  <si>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</si>
  <si>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</si>
  <si>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</si>
  <si>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</si>
  <si>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</si>
  <si>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</si>
  <si>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</si>
  <si>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</si>
  <si>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</si>
  <si>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</si>
  <si>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</si>
  <si>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</si>
  <si>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</si>
  <si>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</si>
  <si>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</si>
  <si>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</si>
  <si>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</si>
  <si>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</si>
  <si>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</si>
  <si>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</si>
  <si>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</si>
  <si>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</si>
  <si>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</si>
  <si>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</si>
  <si>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</si>
  <si>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</si>
  <si>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</si>
  <si>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</si>
  <si>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</si>
  <si>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</si>
  <si>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</si>
  <si>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</si>
  <si>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</si>
  <si>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</si>
  <si>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</si>
  <si>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</si>
  <si>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</si>
  <si>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</si>
  <si>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</si>
  <si>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</si>
  <si>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</si>
  <si>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</si>
  <si>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</si>
  <si>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</si>
  <si>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</si>
  <si>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</si>
  <si>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</si>
  <si>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</si>
  <si>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</si>
  <si>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</si>
  <si>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</si>
  <si>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</si>
  <si>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</si>
  <si>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</si>
  <si>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</si>
  <si>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</si>
  <si>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</si>
  <si>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</si>
  <si>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</si>
  <si>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</si>
  <si>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</si>
  <si>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</si>
  <si>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</si>
  <si>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</si>
  <si>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</si>
  <si>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</si>
  <si>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</si>
  <si>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</si>
  <si>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</si>
  <si>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</si>
  <si>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</si>
  <si>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</si>
  <si>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</si>
  <si>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</si>
  <si>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</si>
  <si>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</si>
  <si>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</si>
  <si>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</si>
  <si>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</si>
  <si>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</si>
  <si>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</si>
  <si>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</si>
  <si>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</si>
  <si>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</si>
  <si>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</si>
  <si>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</si>
  <si>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</si>
  <si>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</si>
  <si>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</si>
  <si>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</si>
  <si>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</si>
  <si>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</si>
  <si>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</si>
  <si>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</si>
  <si>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</si>
  <si>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</si>
  <si>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</si>
  <si>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</si>
  <si>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</si>
  <si>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</si>
  <si>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</si>
  <si>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</si>
  <si>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</si>
  <si>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</si>
  <si>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</si>
  <si>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</si>
  <si>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</si>
  <si>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</si>
  <si>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</si>
  <si>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</si>
  <si>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</si>
  <si>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</si>
  <si>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</si>
  <si>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</si>
  <si>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</si>
  <si>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</si>
  <si>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</si>
  <si>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</si>
  <si>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</si>
  <si>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</si>
  <si>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</si>
  <si>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</si>
  <si>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</si>
  <si>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</si>
  <si>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</si>
  <si>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</si>
  <si>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</si>
  <si>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</si>
  <si>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</si>
  <si>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</si>
  <si>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</si>
  <si>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</si>
  <si>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</si>
  <si>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</si>
  <si>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</si>
  <si>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</si>
  <si>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</si>
  <si>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</si>
  <si>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</si>
  <si>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</si>
  <si>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</si>
  <si>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</si>
  <si>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</si>
  <si>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</si>
  <si>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</si>
  <si>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</si>
  <si>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</si>
  <si>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</si>
  <si>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</si>
  <si>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</si>
  <si>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</si>
  <si>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</si>
  <si>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</si>
  <si>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</si>
  <si>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</si>
  <si>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</si>
  <si>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</si>
  <si>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</si>
  <si>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</si>
  <si>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</si>
  <si>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</si>
  <si>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</si>
  <si>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</si>
  <si>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</si>
  <si>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</si>
  <si>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</si>
  <si>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</si>
  <si>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</si>
  <si>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</si>
  <si>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</si>
  <si>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</si>
  <si>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</si>
  <si>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</si>
  <si>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</si>
  <si>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</si>
  <si>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</si>
  <si>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</si>
  <si>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</si>
  <si>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</si>
  <si>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</si>
  <si>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</si>
  <si>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</si>
  <si>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</si>
  <si>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</si>
  <si>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</si>
  <si>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</si>
  <si>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</si>
  <si>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</si>
  <si>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</si>
  <si>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</si>
  <si>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</si>
  <si>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</si>
  <si>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</si>
  <si>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</si>
  <si>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</si>
  <si>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</si>
  <si>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</si>
  <si>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</si>
  <si>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</si>
  <si>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</si>
  <si>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</si>
  <si>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</si>
  <si>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</si>
  <si>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</si>
  <si>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</si>
  <si>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</si>
  <si>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</si>
  <si>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</si>
  <si>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</si>
  <si>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</si>
  <si>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</si>
  <si>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</si>
  <si>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</si>
  <si>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</si>
  <si>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</si>
  <si>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</si>
  <si>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</si>
  <si>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</si>
  <si>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</si>
  <si>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</si>
  <si>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</si>
  <si>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</si>
  <si>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</si>
  <si>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</si>
  <si>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</si>
  <si>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</si>
  <si>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</si>
  <si>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</si>
  <si>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</si>
  <si>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</si>
  <si>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</si>
  <si>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</si>
  <si>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</si>
  <si>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</si>
  <si>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</si>
  <si>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</si>
  <si>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</si>
  <si>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</si>
  <si>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</si>
  <si>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</si>
  <si>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</si>
  <si>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</si>
  <si>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</si>
  <si>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</si>
  <si>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</si>
  <si>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</si>
  <si>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</si>
  <si>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</si>
  <si>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</si>
  <si>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</si>
  <si>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</si>
  <si>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</si>
  <si>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</si>
  <si>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</si>
  <si>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</si>
  <si>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</si>
  <si>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</si>
  <si>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</si>
  <si>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</si>
  <si>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</si>
  <si>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</si>
  <si>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</si>
  <si>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</si>
  <si>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</si>
  <si>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</si>
  <si>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</si>
  <si>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</si>
  <si>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</si>
  <si>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</si>
  <si>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</si>
  <si>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</si>
  <si>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</si>
  <si>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</si>
  <si>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</si>
  <si>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</si>
  <si>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</si>
  <si>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</si>
  <si>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</si>
  <si>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</si>
  <si>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</si>
  <si>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</si>
  <si>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</si>
  <si>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</si>
  <si>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</si>
  <si>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</si>
  <si>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</si>
  <si>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</si>
  <si>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</si>
  <si>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</si>
  <si>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</si>
  <si>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</si>
  <si>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</si>
  <si>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</si>
  <si>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</si>
  <si>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</si>
  <si>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</si>
  <si>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</si>
  <si>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</si>
  <si>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</si>
  <si>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</si>
  <si>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</si>
  <si>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</si>
  <si>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</si>
  <si>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</si>
  <si>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</si>
  <si>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</si>
  <si>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</si>
  <si>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</si>
  <si>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</si>
  <si>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</si>
  <si>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</si>
  <si>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</si>
  <si>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</si>
  <si>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</si>
  <si>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</si>
  <si>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</si>
  <si>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</si>
  <si>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</si>
  <si>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</si>
  <si>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</si>
  <si>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</si>
  <si>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</si>
  <si>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</si>
  <si>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</si>
  <si>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</si>
  <si>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</si>
  <si>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</si>
  <si>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</si>
  <si>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</si>
  <si>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</si>
  <si>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</si>
  <si>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</si>
  <si>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</si>
  <si>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</si>
  <si>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</si>
  <si>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</si>
  <si>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</si>
  <si>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</si>
  <si>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</si>
  <si>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</si>
  <si>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</si>
  <si>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</si>
  <si>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</si>
  <si>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</si>
  <si>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</si>
  <si>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</si>
  <si>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</si>
  <si>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</si>
  <si>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</si>
  <si>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</si>
  <si>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</si>
  <si>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</si>
  <si>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</si>
  <si>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</si>
  <si>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</si>
  <si>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</si>
  <si>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</si>
  <si>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</si>
  <si>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</si>
  <si>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</si>
  <si>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</si>
  <si>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</si>
  <si>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</si>
  <si>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</si>
  <si>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</si>
  <si>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</si>
  <si>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</si>
  <si>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</si>
  <si>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</si>
  <si>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</si>
  <si>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</si>
  <si>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</si>
  <si>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</si>
  <si>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</si>
  <si>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</si>
  <si>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</si>
  <si>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</si>
  <si>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</si>
  <si>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</si>
  <si>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</si>
  <si>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</si>
  <si>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</si>
  <si>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</si>
  <si>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</si>
  <si>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</si>
  <si>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</si>
  <si>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</si>
  <si>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</si>
  <si>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</si>
  <si>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</si>
  <si>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</si>
  <si>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</si>
  <si>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</si>
  <si>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</si>
  <si>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</si>
  <si>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</si>
  <si>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</si>
  <si>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</si>
  <si>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</si>
  <si>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</si>
  <si>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</si>
  <si>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</si>
  <si>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</si>
  <si>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</si>
  <si>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</si>
  <si>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</si>
  <si>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</si>
  <si>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</si>
  <si>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</si>
  <si>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</si>
  <si>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</si>
  <si>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</si>
  <si>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</si>
  <si>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</si>
  <si>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</si>
  <si>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</si>
  <si>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</si>
  <si>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</si>
  <si>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</si>
  <si>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</si>
  <si>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</si>
  <si>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</si>
  <si>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</si>
  <si>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</si>
  <si>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</si>
  <si>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</si>
  <si>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</si>
  <si>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</si>
  <si>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</si>
  <si>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</si>
  <si>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</si>
  <si>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</si>
  <si>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</si>
  <si>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</si>
  <si>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</si>
  <si>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</si>
  <si>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</si>
  <si>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</si>
  <si>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</si>
  <si>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</si>
  <si>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</si>
  <si>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</si>
  <si>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</si>
  <si>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</si>
  <si>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</si>
  <si>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</si>
  <si>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</si>
  <si>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</si>
  <si>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</si>
  <si>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</si>
  <si>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</si>
  <si>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</si>
  <si>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</si>
  <si>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</si>
  <si>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</si>
  <si>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</si>
  <si>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</si>
  <si>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</si>
  <si>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</si>
  <si>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</si>
  <si>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</si>
  <si>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</si>
  <si>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</si>
  <si>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</si>
  <si>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</si>
  <si>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</si>
  <si>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</si>
  <si>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</si>
  <si>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</si>
  <si>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</si>
  <si>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</si>
  <si>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</si>
  <si>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</si>
  <si>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</si>
  <si>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</si>
  <si>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</si>
  <si>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</si>
  <si>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</si>
  <si>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</si>
  <si>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</si>
  <si>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</si>
  <si>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</si>
  <si>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</si>
  <si>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</si>
  <si>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</si>
  <si>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</si>
  <si>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</si>
  <si>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</si>
  <si>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</si>
  <si>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</si>
  <si>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</si>
  <si>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</si>
  <si>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</si>
  <si>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</si>
  <si>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</si>
  <si>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</si>
  <si>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</si>
  <si>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</si>
  <si>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</si>
  <si>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</si>
  <si>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</si>
  <si>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</si>
  <si>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</si>
  <si>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</si>
  <si>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</si>
  <si>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</si>
  <si>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</si>
  <si>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</si>
  <si>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</si>
  <si>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</si>
  <si>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</si>
  <si>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</si>
  <si>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</si>
  <si>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</si>
  <si>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</si>
  <si>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</si>
  <si>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</si>
  <si>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</si>
  <si>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</si>
  <si>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</si>
  <si>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</si>
  <si>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</si>
  <si>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</si>
  <si>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</si>
  <si>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</si>
  <si>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</si>
  <si>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</si>
  <si>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</si>
  <si>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</si>
  <si>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</si>
  <si>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</si>
  <si>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</si>
  <si>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</si>
  <si>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</si>
  <si>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</si>
  <si>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</si>
  <si>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</si>
  <si>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</si>
  <si>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</si>
  <si>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</si>
  <si>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</si>
  <si>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</si>
  <si>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</si>
  <si>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</si>
  <si>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</si>
  <si>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</si>
  <si>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</si>
  <si>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</si>
  <si>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</si>
  <si>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</si>
  <si>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</si>
  <si>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</si>
  <si>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</si>
  <si>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</si>
  <si>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</si>
  <si>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</si>
  <si>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</si>
  <si>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</si>
  <si>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</si>
  <si>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</si>
  <si>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</si>
  <si>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</si>
  <si>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</si>
  <si>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</si>
  <si>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</si>
  <si>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</si>
  <si>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</si>
  <si>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</si>
  <si>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</si>
  <si>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</si>
  <si>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</si>
  <si>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</si>
  <si>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</si>
  <si>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</si>
  <si>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</si>
  <si>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</si>
  <si>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</si>
  <si>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</si>
  <si>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</si>
  <si>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</si>
  <si>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</si>
  <si>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</si>
  <si>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</si>
  <si>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</si>
  <si>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</si>
  <si>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</si>
  <si>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</si>
  <si>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</si>
  <si>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</si>
  <si>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</si>
  <si>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</si>
  <si>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</si>
  <si>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</si>
  <si>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</si>
  <si>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</si>
  <si>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</si>
  <si>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</si>
  <si>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</si>
  <si>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</si>
  <si>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</si>
  <si>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</si>
  <si>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</si>
  <si>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</si>
  <si>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</si>
  <si>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</si>
  <si>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</si>
  <si>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</si>
  <si>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</si>
  <si>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</si>
  <si>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</si>
  <si>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</si>
  <si>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</si>
  <si>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</si>
  <si>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</si>
  <si>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</si>
  <si>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</si>
  <si>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</si>
  <si>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</si>
  <si>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</si>
  <si>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</si>
  <si>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</si>
  <si>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</si>
  <si>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</si>
  <si>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</si>
  <si>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</si>
  <si>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</si>
  <si>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</si>
  <si>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</si>
  <si>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</si>
  <si>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</si>
  <si>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</si>
  <si>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</si>
  <si>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</si>
  <si>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</si>
  <si>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</si>
  <si>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</si>
  <si>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</si>
  <si>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</si>
  <si>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</si>
  <si>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</si>
  <si>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</si>
  <si>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</si>
  <si>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</si>
  <si>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</si>
  <si>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</si>
  <si>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</si>
  <si>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</si>
  <si>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</si>
  <si>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</si>
  <si>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</si>
  <si>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</si>
  <si>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</si>
  <si>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</si>
  <si>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</si>
  <si>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</si>
  <si>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</si>
  <si>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</si>
  <si>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</si>
  <si>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</si>
  <si>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</si>
  <si>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</si>
  <si>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</si>
  <si>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</si>
  <si>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</si>
  <si>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</si>
  <si>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</si>
  <si>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</si>
  <si>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</si>
  <si>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</si>
  <si>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</si>
  <si>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</si>
  <si>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</si>
  <si>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</si>
  <si>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</si>
  <si>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</si>
  <si>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</si>
  <si>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</si>
  <si>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</si>
  <si>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</si>
  <si>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</si>
  <si>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</si>
  <si>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</si>
  <si>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</si>
  <si>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</si>
  <si>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</si>
  <si>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</si>
  <si>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</si>
  <si>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</si>
  <si>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</si>
  <si>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</si>
  <si>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</si>
  <si>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</si>
  <si>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</si>
  <si>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</si>
  <si>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</si>
  <si>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</si>
  <si>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</si>
  <si>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</si>
  <si>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</si>
  <si>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</si>
  <si>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</si>
  <si>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</si>
  <si>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</si>
  <si>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</si>
  <si>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</si>
  <si>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</si>
  <si>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</si>
  <si>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</si>
  <si>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</si>
  <si>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</si>
  <si>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</si>
  <si>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</si>
  <si>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</si>
  <si>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</si>
  <si>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</si>
  <si>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</si>
  <si>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</si>
  <si>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</si>
  <si>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</si>
  <si>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</si>
  <si>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</si>
  <si>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</si>
  <si>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</si>
  <si>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</si>
  <si>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</si>
  <si>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</si>
  <si>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</si>
  <si>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</si>
  <si>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</si>
  <si>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</si>
  <si>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</si>
  <si>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</si>
  <si>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</si>
  <si>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</si>
  <si>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</si>
  <si>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</si>
  <si>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</si>
  <si>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</si>
  <si>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</si>
  <si>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</si>
  <si>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</si>
  <si>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</si>
  <si>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</si>
  <si>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</si>
  <si>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</si>
  <si>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</si>
  <si>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</si>
  <si>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</si>
  <si>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</si>
  <si>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</si>
  <si>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</si>
  <si>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</si>
  <si>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</si>
  <si>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</si>
  <si>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</si>
  <si>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</si>
  <si>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</si>
  <si>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</si>
  <si>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</si>
  <si>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</si>
  <si>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</si>
  <si>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</si>
  <si>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</si>
  <si>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</si>
  <si>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</si>
  <si>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</si>
  <si>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</si>
  <si>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</si>
  <si>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</si>
  <si>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</si>
  <si>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</si>
  <si>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</si>
  <si>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</si>
  <si>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</si>
  <si>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</si>
  <si>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</si>
  <si>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</si>
  <si>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</si>
  <si>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</si>
  <si>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</si>
  <si>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</si>
  <si>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</si>
  <si>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</si>
  <si>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</si>
  <si>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</si>
  <si>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</si>
  <si>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</si>
  <si>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</si>
  <si>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</si>
  <si>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</si>
  <si>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</si>
  <si>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</si>
  <si>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</si>
  <si>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</si>
  <si>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</si>
  <si>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</si>
  <si>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</si>
  <si>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</si>
  <si>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</si>
  <si>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</si>
  <si>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</si>
  <si>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</si>
  <si>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</si>
  <si>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</si>
  <si>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</si>
  <si>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</si>
  <si>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</si>
  <si>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</si>
  <si>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</si>
  <si>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</si>
  <si>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</si>
  <si>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</si>
  <si>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</si>
  <si>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</si>
  <si>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</si>
  <si>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</si>
  <si>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</si>
  <si>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</si>
  <si>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</si>
  <si>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</si>
  <si>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</si>
  <si>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</si>
  <si>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</si>
  <si>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</si>
  <si>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</si>
  <si>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</si>
  <si>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</si>
  <si>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</si>
  <si>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</si>
  <si>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</si>
  <si>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</si>
  <si>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</si>
  <si>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</si>
  <si>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</si>
  <si>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</si>
  <si>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</si>
  <si>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</si>
  <si>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</si>
  <si>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</si>
  <si>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</si>
  <si>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</si>
  <si>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</si>
  <si>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</si>
  <si>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</si>
  <si>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</si>
  <si>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</si>
  <si>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</si>
  <si>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</si>
  <si>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</si>
  <si>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</si>
  <si>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</si>
  <si>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</si>
  <si>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</si>
  <si>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</si>
  <si>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</si>
  <si>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</si>
  <si>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</si>
  <si>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</si>
  <si>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</si>
  <si>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</si>
  <si>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</si>
  <si>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</si>
  <si>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</si>
  <si>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</si>
  <si>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</si>
  <si>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</si>
  <si>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</si>
  <si>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</si>
  <si>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</si>
  <si>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</si>
  <si>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</si>
  <si>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</si>
  <si>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</si>
  <si>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</si>
  <si>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</si>
  <si>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</si>
  <si>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</si>
  <si>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</si>
  <si>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</si>
  <si>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</si>
  <si>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</si>
  <si>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</si>
  <si>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</si>
  <si>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</si>
  <si>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</si>
  <si>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</si>
  <si>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</si>
  <si>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</si>
  <si>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</si>
  <si>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</si>
  <si>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</si>
  <si>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</si>
  <si>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</si>
  <si>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</si>
  <si>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</si>
  <si>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</si>
  <si>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</si>
  <si>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</si>
  <si>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</si>
  <si>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</si>
  <si>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</si>
  <si>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</si>
  <si>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</si>
  <si>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</si>
  <si>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</si>
  <si>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</si>
  <si>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</si>
  <si>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</si>
  <si>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</si>
  <si>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</si>
  <si>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</si>
  <si>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</si>
  <si>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</si>
  <si>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</si>
  <si>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</si>
  <si>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</si>
  <si>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</si>
  <si>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</si>
  <si>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</si>
  <si>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</si>
  <si>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</si>
  <si>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</si>
  <si>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</si>
  <si>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</si>
  <si>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</si>
  <si>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</si>
  <si>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</si>
  <si>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</si>
  <si>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</si>
  <si>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</si>
  <si>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</si>
  <si>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</si>
  <si>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</si>
  <si>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</si>
  <si>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</si>
  <si>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</si>
  <si>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</si>
  <si>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</si>
  <si>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</si>
  <si>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</si>
  <si>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</si>
  <si>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</si>
  <si>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</si>
  <si>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</si>
  <si>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</si>
  <si>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</si>
  <si>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</si>
  <si>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</si>
  <si>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</si>
  <si>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</si>
  <si>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</si>
  <si>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</si>
  <si>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</si>
  <si>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</si>
  <si>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</si>
  <si>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</si>
  <si>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</si>
  <si>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</si>
  <si>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</si>
  <si>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</si>
  <si>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</si>
  <si>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</si>
  <si>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</si>
  <si>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</si>
  <si>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</si>
  <si>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</si>
  <si>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</si>
  <si>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</si>
  <si>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</si>
  <si>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</si>
  <si>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</si>
  <si>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</si>
  <si>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</si>
  <si>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</si>
  <si>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</si>
  <si>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</si>
  <si>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</si>
  <si>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</si>
  <si>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</si>
  <si>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</si>
  <si>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</si>
  <si>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</si>
  <si>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</si>
  <si>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</si>
  <si>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</si>
  <si>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</si>
  <si>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</si>
  <si>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</si>
  <si>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</si>
  <si>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</si>
  <si>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</si>
  <si>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</si>
  <si>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</si>
  <si>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</si>
  <si>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</si>
  <si>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</si>
  <si>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</si>
  <si>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</si>
  <si>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</si>
  <si>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</si>
  <si>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</si>
  <si>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</si>
  <si>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</si>
  <si>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</si>
  <si>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</si>
  <si>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</si>
  <si>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</si>
  <si>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</si>
  <si>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</si>
  <si>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</si>
  <si>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</si>
  <si>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</si>
  <si>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</si>
  <si>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</si>
  <si>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</si>
  <si>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</si>
  <si>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</si>
  <si>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</si>
  <si>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</si>
  <si>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</si>
  <si>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</si>
  <si>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</si>
  <si>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</si>
  <si>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</si>
  <si>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</si>
  <si>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</si>
  <si>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</si>
  <si>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</si>
  <si>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</si>
  <si>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</si>
  <si>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</si>
  <si>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</si>
  <si>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</si>
  <si>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</si>
  <si>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</si>
  <si>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</si>
  <si>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</si>
  <si>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</si>
  <si>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</si>
  <si>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</si>
  <si>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</si>
  <si>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</si>
  <si>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</si>
  <si>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</si>
  <si>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</si>
  <si>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</si>
  <si>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</si>
  <si>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</si>
  <si>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</si>
  <si>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</si>
  <si>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</si>
  <si>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</si>
  <si>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</si>
  <si>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</si>
  <si>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</si>
  <si>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</si>
  <si>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</si>
  <si>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</si>
  <si>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</si>
  <si>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</si>
  <si>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</si>
  <si>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</si>
  <si>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</si>
  <si>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</si>
  <si>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</si>
  <si>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</si>
  <si>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</si>
  <si>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</si>
  <si>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</si>
  <si>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</si>
  <si>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</si>
  <si>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</si>
  <si>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</si>
  <si>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</si>
  <si>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</si>
  <si>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</si>
  <si>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</si>
  <si>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</si>
  <si>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</si>
  <si>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</si>
  <si>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</si>
  <si>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</si>
  <si>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</si>
  <si>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</si>
  <si>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</si>
  <si>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</si>
  <si>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</si>
  <si>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</si>
  <si>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</si>
  <si>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</si>
  <si>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</si>
  <si>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</si>
  <si>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</si>
  <si>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</si>
  <si>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</si>
  <si>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</si>
  <si>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</si>
  <si>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</si>
  <si>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</si>
  <si>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</si>
  <si>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</si>
  <si>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</si>
  <si>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</si>
  <si>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</si>
  <si>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</si>
  <si>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</si>
  <si>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</si>
  <si>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</si>
  <si>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</si>
  <si>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</si>
  <si>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</si>
  <si>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</si>
  <si>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</si>
  <si>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</si>
  <si>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</si>
  <si>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</si>
  <si>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</si>
  <si>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</si>
  <si>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</si>
  <si>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</si>
  <si>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</si>
  <si>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</si>
  <si>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</si>
  <si>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</si>
  <si>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</si>
  <si>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</si>
  <si>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</si>
  <si>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</si>
  <si>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</si>
  <si>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</si>
  <si>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</si>
  <si>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</si>
  <si>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</si>
  <si>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</si>
  <si>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</si>
  <si>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</si>
  <si>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</si>
  <si>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</si>
  <si>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</si>
  <si>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</si>
  <si>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</si>
  <si>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</si>
  <si>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</si>
  <si>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</si>
  <si>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</si>
  <si>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</si>
  <si>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</si>
  <si>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</si>
  <si>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</si>
  <si>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</si>
  <si>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</si>
  <si>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</si>
  <si>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</si>
  <si>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</si>
  <si>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</si>
  <si>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</si>
  <si>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</si>
  <si>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</si>
  <si>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</si>
  <si>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</si>
  <si>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</si>
  <si>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</si>
  <si>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</si>
  <si>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</si>
  <si>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</si>
  <si>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</si>
  <si>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</si>
  <si>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</si>
  <si>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</si>
  <si>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</si>
  <si>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</si>
  <si>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</si>
  <si>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</si>
  <si>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</si>
  <si>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</si>
  <si>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</si>
  <si>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</si>
  <si>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</si>
  <si>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</si>
  <si>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</si>
  <si>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</si>
  <si>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</si>
  <si>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</si>
  <si>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</si>
  <si>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</si>
  <si>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</si>
  <si>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</si>
  <si>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</si>
  <si>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</si>
  <si>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</si>
  <si>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</si>
  <si>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</si>
  <si>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</si>
  <si>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</si>
  <si>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</si>
  <si>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</si>
  <si>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</si>
  <si>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</si>
  <si>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</si>
  <si>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</si>
  <si>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</si>
  <si>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</si>
  <si>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</si>
  <si>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</si>
  <si>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</si>
  <si>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</si>
  <si>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</si>
  <si>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</si>
  <si>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</si>
  <si>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</si>
  <si>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</si>
  <si>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</si>
  <si>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</si>
  <si>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</si>
  <si>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</si>
  <si>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</si>
  <si>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</si>
  <si>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</si>
  <si>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</si>
  <si>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</si>
  <si>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</si>
  <si>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</si>
  <si>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</si>
  <si>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</si>
  <si>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</si>
  <si>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</si>
  <si>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</si>
  <si>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</si>
  <si>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</si>
  <si>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</si>
  <si>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</si>
  <si>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</si>
  <si>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</si>
  <si>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</si>
  <si>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</si>
  <si>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</si>
  <si>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</si>
  <si>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</si>
  <si>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</si>
  <si>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</si>
  <si>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</si>
  <si>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</si>
  <si>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</si>
  <si>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</si>
  <si>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</si>
  <si>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</si>
  <si>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</si>
  <si>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</si>
  <si>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</si>
  <si>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</si>
  <si>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</si>
  <si>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</si>
  <si>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</si>
  <si>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</si>
  <si>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</si>
  <si>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</si>
  <si>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</si>
  <si>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</si>
  <si>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</si>
  <si>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</si>
  <si>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</si>
  <si>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</si>
  <si>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</si>
  <si>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</si>
  <si>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</si>
  <si>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</si>
  <si>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</si>
  <si>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</si>
  <si>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</si>
  <si>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</si>
  <si>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</si>
  <si>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</si>
  <si>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</si>
  <si>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</si>
  <si>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</si>
  <si>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</si>
  <si>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</si>
  <si>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</si>
  <si>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</si>
  <si>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</si>
  <si>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</si>
  <si>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</si>
  <si>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</si>
  <si>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</si>
  <si>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</si>
  <si>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</si>
  <si>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</si>
  <si>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</si>
  <si>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</si>
  <si>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</si>
  <si>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</si>
  <si>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</si>
  <si>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</si>
  <si>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</si>
  <si>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</si>
  <si>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</si>
  <si>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</si>
  <si>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</si>
  <si>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</si>
  <si>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</si>
  <si>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</si>
  <si>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</si>
  <si>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</si>
  <si>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</si>
  <si>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</si>
  <si>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</si>
  <si>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</si>
  <si>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</si>
  <si>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</si>
  <si>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</si>
  <si>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</si>
  <si>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</si>
  <si>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</si>
  <si>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</si>
  <si>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</si>
  <si>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</si>
  <si>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</si>
  <si>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</si>
  <si>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</si>
  <si>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</si>
  <si>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</si>
  <si>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</si>
  <si>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</si>
  <si>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</si>
  <si>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</si>
  <si>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</si>
  <si>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</si>
  <si>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</si>
  <si>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</si>
  <si>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</si>
  <si>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</si>
  <si>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</si>
  <si>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</si>
  <si>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</si>
  <si>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</si>
  <si>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</si>
  <si>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</si>
  <si>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</si>
  <si>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</si>
  <si>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</si>
  <si>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</si>
  <si>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</si>
  <si>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</si>
  <si>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</si>
  <si>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</si>
  <si>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</si>
  <si>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</si>
  <si>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</si>
  <si>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</si>
  <si>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</si>
  <si>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</si>
  <si>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</si>
  <si>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</si>
  <si>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</si>
  <si>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</si>
  <si>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</si>
  <si>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</si>
  <si>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</si>
  <si>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</si>
  <si>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</si>
  <si>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</si>
  <si>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</si>
  <si>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</si>
  <si>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</si>
  <si>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</si>
  <si>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</si>
  <si>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</si>
  <si>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</si>
  <si>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</si>
  <si>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</si>
  <si>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</si>
  <si>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</si>
  <si>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</si>
  <si>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</si>
  <si>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</si>
  <si>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</si>
  <si>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</si>
  <si>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</si>
  <si>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</si>
  <si>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</si>
  <si>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</si>
  <si>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</si>
  <si>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</si>
  <si>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</si>
  <si>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</si>
  <si>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</si>
  <si>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</si>
  <si>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</si>
  <si>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</si>
  <si>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</si>
  <si>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</si>
  <si>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</si>
  <si>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</si>
  <si>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</si>
  <si>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</si>
  <si>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</si>
  <si>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</si>
  <si>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</si>
  <si>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</si>
  <si>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</si>
  <si>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</si>
  <si>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</si>
  <si>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</si>
  <si>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</si>
  <si>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</si>
  <si>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</si>
  <si>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</si>
  <si>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</si>
  <si>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</si>
  <si>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</si>
  <si>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</si>
  <si>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</si>
  <si>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</si>
  <si>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</si>
  <si>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</si>
  <si>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</si>
  <si>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</si>
  <si>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</si>
  <si>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</si>
  <si>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</si>
  <si>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</si>
  <si>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</si>
  <si>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</si>
  <si>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</si>
  <si>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</si>
  <si>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</si>
  <si>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</si>
  <si>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</si>
  <si>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</si>
  <si>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</si>
  <si>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</si>
  <si>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</si>
  <si>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</si>
  <si>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</si>
  <si>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</si>
  <si>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</si>
  <si>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</si>
  <si>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</si>
  <si>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</si>
  <si>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</si>
  <si>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</si>
  <si>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</si>
  <si>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</si>
  <si>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</si>
  <si>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</si>
  <si>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</si>
  <si>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</si>
  <si>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</si>
  <si>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</si>
  <si>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</si>
  <si>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</si>
  <si>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</si>
  <si>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</si>
  <si>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</si>
  <si>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</si>
  <si>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</si>
  <si>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</si>
  <si>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</si>
  <si>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</si>
  <si>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</si>
  <si>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</si>
  <si>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</si>
  <si>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</si>
  <si>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</si>
  <si>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</si>
  <si>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</si>
  <si>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</si>
  <si>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</si>
  <si>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</si>
  <si>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</si>
  <si>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</si>
  <si>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</si>
  <si>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</si>
  <si>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</si>
  <si>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</si>
  <si>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</si>
  <si>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</si>
  <si>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</si>
  <si>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</si>
  <si>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</si>
  <si>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</si>
  <si>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</si>
  <si>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</si>
  <si>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</si>
  <si>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</si>
  <si>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</si>
  <si>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</si>
  <si>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</si>
  <si>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</si>
  <si>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</si>
  <si>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</si>
  <si>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</si>
  <si>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</si>
  <si>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</si>
  <si>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</si>
  <si>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</si>
  <si>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</si>
  <si>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</si>
  <si>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</si>
  <si>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</si>
  <si>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</si>
  <si>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</si>
  <si>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</si>
  <si>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</si>
  <si>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</si>
  <si>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</si>
  <si>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</si>
  <si>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</si>
  <si>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</si>
  <si>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</si>
  <si>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</si>
  <si>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</si>
  <si>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</si>
  <si>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</si>
  <si>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</si>
  <si>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</si>
  <si>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</si>
  <si>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</si>
  <si>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</si>
  <si>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</si>
  <si>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</si>
  <si>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</si>
  <si>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</si>
  <si>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</si>
  <si>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</si>
  <si>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</si>
  <si>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</si>
  <si>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</si>
  <si>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</si>
  <si>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</si>
  <si>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</si>
  <si>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</si>
  <si>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</si>
  <si>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</si>
  <si>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</si>
  <si>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</si>
  <si>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</si>
  <si>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</si>
  <si>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</si>
  <si>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</si>
  <si>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</si>
  <si>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</si>
  <si>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</si>
  <si>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</si>
  <si>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</si>
  <si>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</si>
  <si>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</si>
  <si>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</si>
  <si>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</si>
  <si>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</si>
  <si>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</si>
  <si>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</si>
  <si>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</si>
  <si>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</si>
  <si>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</si>
  <si>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</si>
  <si>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</si>
  <si>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</si>
  <si>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</si>
  <si>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</si>
  <si>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</si>
  <si>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</si>
  <si>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</si>
  <si>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</si>
  <si>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</si>
  <si>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</si>
  <si>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</si>
  <si>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</si>
  <si>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</si>
  <si>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</si>
  <si>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</si>
  <si>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</si>
  <si>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</si>
  <si>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</si>
  <si>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</si>
  <si>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</si>
  <si>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</si>
  <si>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</si>
  <si>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</si>
  <si>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</si>
  <si>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</si>
  <si>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</si>
  <si>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</si>
  <si>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</si>
  <si>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</si>
  <si>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</si>
  <si>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</si>
  <si>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</si>
  <si>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</si>
  <si>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</si>
  <si>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</si>
  <si>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</si>
  <si>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</si>
  <si>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</si>
  <si>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</si>
  <si>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</si>
  <si>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</si>
  <si>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</si>
  <si>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</si>
  <si>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</si>
  <si>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</si>
  <si>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</si>
  <si>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</si>
  <si>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</si>
  <si>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</si>
  <si>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</si>
  <si>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</si>
  <si>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</si>
  <si>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</si>
  <si>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</si>
  <si>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</si>
  <si>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</si>
  <si>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</si>
  <si>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</si>
  <si>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</si>
  <si>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</si>
  <si>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</si>
  <si>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</si>
  <si>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</si>
  <si>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</si>
  <si>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</si>
  <si>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</si>
  <si>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</si>
  <si>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</si>
  <si>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</si>
  <si>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</si>
  <si>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</si>
  <si>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</si>
  <si>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</si>
  <si>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</si>
  <si>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</si>
  <si>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</si>
  <si>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</si>
  <si>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</si>
  <si>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</si>
  <si>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</si>
  <si>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</si>
  <si>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</si>
  <si>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</si>
  <si>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</si>
  <si>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</si>
  <si>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</si>
  <si>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</si>
  <si>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</si>
  <si>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</si>
  <si>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</si>
  <si>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</si>
  <si>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</si>
  <si>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</si>
  <si>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</si>
  <si>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</si>
  <si>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</si>
  <si>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</si>
  <si>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</si>
  <si>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</si>
  <si>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</si>
  <si>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</si>
  <si>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</si>
  <si>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</si>
  <si>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</si>
  <si>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</si>
  <si>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</si>
  <si>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</si>
  <si>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</si>
  <si>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</si>
  <si>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</si>
  <si>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</si>
  <si>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</si>
  <si>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</si>
  <si>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</si>
  <si>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</si>
  <si>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</si>
  <si>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</si>
  <si>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</si>
  <si>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</si>
  <si>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</si>
  <si>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</si>
  <si>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</si>
  <si>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</si>
  <si>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</si>
  <si>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</si>
  <si>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</si>
  <si>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</si>
  <si>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</si>
  <si>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</si>
  <si>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</si>
  <si>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</si>
  <si>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</si>
  <si>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</si>
  <si>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</si>
  <si>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</si>
  <si>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</si>
  <si>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</si>
  <si>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</si>
  <si>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</si>
  <si>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</si>
  <si>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</si>
  <si>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</si>
  <si>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</si>
  <si>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</si>
  <si>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</si>
  <si>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</si>
  <si>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</si>
  <si>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</si>
  <si>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</si>
  <si>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</si>
  <si>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</si>
  <si>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</si>
  <si>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</si>
  <si>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</si>
  <si>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</si>
  <si>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</si>
  <si>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</si>
  <si>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</si>
  <si>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</si>
  <si>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</si>
  <si>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</si>
  <si>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</si>
  <si>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</si>
  <si>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</si>
  <si>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</si>
  <si>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</si>
  <si>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</si>
  <si>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</si>
  <si>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</si>
  <si>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</si>
  <si>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</si>
  <si>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</si>
  <si>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</si>
  <si>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</si>
  <si>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</si>
  <si>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</si>
  <si>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</si>
  <si>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</si>
  <si>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</si>
  <si>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</si>
  <si>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</si>
  <si>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</si>
  <si>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</si>
  <si>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</si>
  <si>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</si>
  <si>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</si>
  <si>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</si>
  <si>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</si>
  <si>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</si>
  <si>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</si>
  <si>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</si>
  <si>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</si>
  <si>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</si>
  <si>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</si>
  <si>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</si>
  <si>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</si>
  <si>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</si>
  <si>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</si>
  <si>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</si>
  <si>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</si>
  <si>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</si>
  <si>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</si>
  <si>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</si>
  <si>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</si>
  <si>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</si>
  <si>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</si>
  <si>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</si>
  <si>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</si>
  <si>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</si>
  <si>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</si>
  <si>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</si>
  <si>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</si>
  <si>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</si>
  <si>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</si>
  <si>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</si>
  <si>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</si>
  <si>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</si>
  <si>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</si>
  <si>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</si>
  <si>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</si>
  <si>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</si>
  <si>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</si>
  <si>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</si>
  <si>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</si>
  <si>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</si>
  <si>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</si>
  <si>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</si>
  <si>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</si>
  <si>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</si>
  <si>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</si>
  <si>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</si>
  <si>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</si>
  <si>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</si>
  <si>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</si>
  <si>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</si>
  <si>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</si>
  <si>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</si>
  <si>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</si>
  <si>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</si>
  <si>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</si>
  <si>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</si>
  <si>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</si>
  <si>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</si>
  <si>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</si>
  <si>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</si>
  <si>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</si>
  <si>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</si>
  <si>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</si>
  <si>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</si>
  <si>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</si>
  <si>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</si>
  <si>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</si>
  <si>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</si>
  <si>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</si>
  <si>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</si>
  <si>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</si>
  <si>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</si>
  <si>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</si>
  <si>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</si>
  <si>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</si>
  <si>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</si>
  <si>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</si>
  <si>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</si>
  <si>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</si>
  <si>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</si>
  <si>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</si>
  <si>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</si>
  <si>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</si>
  <si>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</si>
  <si>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</si>
  <si>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</si>
  <si>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</si>
  <si>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</si>
  <si>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</si>
  <si>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</si>
  <si>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</si>
  <si>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</si>
  <si>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</si>
  <si>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</si>
  <si>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</si>
  <si>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</si>
  <si>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</si>
  <si>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</si>
  <si>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</si>
  <si>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</si>
  <si>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</si>
  <si>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</si>
  <si>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</si>
  <si>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</si>
  <si>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</si>
  <si>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</si>
  <si>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</si>
  <si>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</si>
  <si>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</si>
  <si>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</si>
  <si>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</si>
  <si>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</si>
  <si>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</si>
  <si>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</si>
  <si>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</si>
  <si>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</si>
  <si>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</si>
  <si>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</si>
  <si>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</si>
  <si>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</si>
  <si>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</si>
  <si>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</si>
  <si>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</si>
  <si>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</si>
  <si>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</si>
  <si>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</si>
  <si>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</si>
  <si>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</si>
  <si>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</si>
  <si>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</si>
  <si>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</si>
  <si>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</si>
  <si>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</si>
  <si>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</si>
  <si>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</si>
  <si>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</si>
  <si>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</si>
  <si>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</si>
  <si>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</si>
  <si>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</si>
  <si>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</si>
  <si>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</si>
  <si>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</si>
  <si>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</si>
  <si>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</si>
  <si>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</si>
  <si>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</si>
  <si>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</si>
  <si>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</si>
  <si>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</si>
  <si>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</si>
  <si>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</si>
  <si>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</si>
  <si>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</si>
  <si>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</si>
  <si>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</si>
  <si>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</si>
  <si>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</si>
  <si>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</si>
  <si>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</si>
  <si>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</si>
  <si>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</si>
  <si>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</si>
  <si>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</si>
  <si>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</si>
  <si>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</si>
  <si>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</si>
  <si>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</si>
  <si>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</si>
  <si>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</si>
  <si>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</si>
  <si>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</si>
  <si>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</si>
  <si>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</si>
  <si>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</si>
  <si>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</si>
  <si>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</si>
  <si>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</si>
  <si>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</si>
  <si>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</si>
  <si>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</si>
  <si>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</si>
  <si>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</si>
  <si>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</si>
  <si>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</si>
  <si>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</si>
  <si>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</si>
  <si>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</si>
  <si>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</si>
  <si>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</si>
  <si>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</si>
  <si>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</si>
  <si>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</si>
  <si>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</si>
  <si>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</si>
  <si>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</si>
  <si>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</si>
  <si>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</si>
  <si>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</si>
  <si>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</si>
  <si>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</si>
  <si>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</si>
  <si>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</si>
  <si>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</si>
  <si>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</si>
  <si>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</si>
  <si>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</si>
  <si>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</si>
  <si>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</si>
  <si>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</si>
  <si>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</si>
  <si>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</si>
  <si>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</si>
  <si>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</si>
  <si>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</si>
  <si>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</si>
  <si>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</si>
  <si>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</si>
  <si>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</si>
  <si>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</si>
  <si>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</si>
  <si>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</si>
  <si>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</si>
  <si>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</si>
  <si>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</si>
  <si>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</si>
  <si>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</si>
  <si>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</si>
  <si>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</si>
  <si>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</si>
  <si>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</si>
  <si>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</si>
  <si>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</si>
  <si>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</si>
  <si>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</si>
  <si>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</si>
  <si>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</si>
  <si>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</si>
  <si>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</si>
  <si>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</si>
  <si>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</si>
  <si>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</si>
  <si>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</si>
  <si>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</si>
  <si>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</si>
  <si>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</si>
  <si>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</si>
  <si>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</si>
  <si>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</si>
  <si>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</si>
  <si>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</si>
  <si>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</si>
  <si>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</si>
  <si>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</si>
  <si>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</si>
  <si>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</si>
  <si>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</si>
  <si>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</si>
  <si>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</si>
  <si>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</si>
  <si>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</si>
  <si>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</si>
  <si>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</si>
  <si>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</si>
  <si>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</si>
  <si>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</si>
  <si>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</si>
  <si>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</si>
  <si>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</si>
  <si>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</si>
  <si>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</si>
  <si>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</si>
  <si>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</si>
  <si>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</si>
  <si>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</si>
  <si>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</si>
  <si>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</si>
  <si>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</si>
  <si>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</si>
  <si>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</si>
  <si>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</si>
  <si>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</si>
  <si>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</si>
  <si>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</si>
  <si>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</si>
  <si>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</si>
  <si>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</si>
  <si>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</si>
  <si>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</si>
  <si>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</si>
  <si>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</si>
  <si>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</si>
  <si>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</si>
  <si>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</si>
  <si>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</si>
  <si>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</si>
  <si>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</si>
  <si>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</si>
  <si>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</si>
  <si>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</si>
  <si>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</si>
  <si>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</si>
  <si>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</si>
  <si>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</si>
  <si>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</si>
  <si>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</si>
  <si>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</si>
  <si>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</si>
  <si>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</si>
  <si>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</si>
  <si>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</si>
  <si>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</si>
  <si>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</si>
  <si>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</si>
  <si>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</si>
  <si>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</si>
  <si>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</si>
  <si>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</si>
  <si>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</si>
  <si>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</si>
  <si>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</si>
  <si>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</si>
  <si>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</si>
  <si>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</si>
  <si>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</si>
  <si>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</si>
  <si>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</si>
  <si>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</si>
  <si>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</si>
  <si>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</si>
  <si>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</si>
  <si>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</si>
  <si>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</si>
  <si>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</si>
  <si>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</si>
  <si>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</si>
  <si>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</si>
  <si>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</si>
  <si>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</si>
  <si>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</si>
  <si>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</si>
  <si>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</si>
  <si>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</si>
  <si>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</si>
  <si>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</si>
  <si>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</si>
  <si>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</si>
  <si>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</si>
  <si>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</si>
  <si>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</si>
  <si>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</si>
  <si>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</si>
  <si>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</si>
  <si>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</si>
  <si>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</si>
  <si>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</si>
  <si>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</si>
  <si>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</si>
  <si>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</si>
  <si>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</si>
  <si>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</si>
  <si>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</si>
  <si>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</si>
  <si>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</si>
  <si>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</si>
  <si>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</si>
  <si>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</si>
  <si>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</si>
  <si>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</si>
  <si>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</si>
  <si>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</si>
  <si>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</si>
  <si>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</si>
  <si>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</si>
  <si>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</si>
  <si>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</si>
  <si>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</si>
  <si>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</si>
  <si>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</si>
  <si>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</si>
  <si>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</si>
  <si>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</si>
  <si>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</si>
  <si>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</si>
  <si>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</si>
  <si>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</si>
  <si>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</si>
  <si>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</si>
  <si>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</si>
  <si>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</si>
  <si>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</si>
  <si>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</si>
  <si>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</si>
  <si>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</si>
  <si>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</si>
  <si>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</si>
  <si>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</si>
  <si>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</si>
  <si>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</si>
  <si>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</si>
  <si>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</si>
  <si>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</si>
  <si>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</si>
  <si>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</si>
  <si>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</si>
  <si>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</si>
  <si>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</si>
  <si>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</si>
  <si>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</si>
  <si>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</si>
  <si>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</si>
  <si>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</si>
  <si>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</si>
  <si>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</si>
  <si>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</si>
  <si>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</si>
  <si>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</si>
  <si>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</si>
  <si>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</si>
  <si>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</si>
  <si>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</si>
  <si>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</si>
  <si>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</si>
  <si>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</si>
  <si>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</si>
  <si>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</si>
  <si>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</si>
  <si>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</si>
  <si>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</si>
  <si>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</si>
  <si>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</si>
  <si>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</si>
  <si>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</si>
  <si>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</si>
  <si>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</si>
  <si>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</si>
  <si>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</si>
  <si>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</si>
  <si>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</si>
  <si>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</si>
  <si>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</si>
  <si>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</si>
  <si>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</si>
  <si>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</si>
  <si>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</si>
  <si>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</si>
  <si>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</si>
  <si>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</si>
  <si>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</si>
  <si>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</si>
  <si>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</si>
  <si>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</si>
  <si>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</si>
  <si>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</si>
  <si>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</si>
  <si>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</si>
  <si>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</si>
  <si>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</si>
  <si>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</si>
  <si>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</si>
  <si>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</si>
  <si>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</si>
  <si>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</si>
  <si>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</si>
  <si>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</si>
  <si>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</si>
  <si>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</si>
  <si>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</si>
  <si>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</si>
  <si>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</si>
  <si>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</si>
  <si>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</si>
  <si>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</si>
  <si>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</si>
  <si>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</si>
  <si>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</si>
  <si>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</si>
  <si>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</si>
  <si>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</si>
  <si>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</si>
  <si>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</si>
  <si>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</si>
  <si>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</si>
  <si>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</si>
  <si>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</si>
  <si>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</si>
  <si>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</si>
  <si>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</si>
  <si>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</si>
  <si>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</si>
  <si>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</si>
  <si>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</si>
  <si>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</si>
  <si>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</si>
  <si>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</si>
  <si>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</si>
  <si>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</si>
  <si>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</si>
  <si>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</si>
  <si>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</si>
  <si>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</si>
  <si>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</si>
  <si>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</si>
  <si>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</si>
  <si>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</si>
  <si>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</si>
  <si>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</si>
  <si>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</si>
  <si>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</si>
  <si>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</si>
  <si>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</si>
  <si>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</si>
  <si>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</si>
  <si>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</si>
  <si>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</si>
  <si>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</si>
  <si>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</si>
  <si>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</si>
  <si>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</si>
  <si>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</si>
  <si>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</si>
  <si>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</si>
  <si>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</si>
  <si>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</si>
  <si>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</si>
  <si>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</si>
  <si>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</si>
  <si>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</si>
  <si>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</si>
  <si>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</si>
  <si>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</si>
  <si>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</si>
  <si>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</si>
  <si>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</si>
  <si>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</si>
  <si>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</si>
  <si>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</si>
  <si>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</si>
  <si>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</si>
  <si>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</si>
  <si>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</si>
  <si>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</si>
  <si>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</si>
  <si>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</si>
  <si>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</si>
  <si>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</si>
  <si>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</si>
  <si>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</si>
  <si>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</si>
  <si>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</si>
  <si>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</si>
  <si>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</si>
  <si>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</si>
  <si>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</si>
  <si>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</si>
  <si>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</si>
  <si>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</si>
  <si>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</si>
  <si>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</si>
  <si>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</si>
  <si>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</si>
  <si>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</si>
  <si>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</si>
  <si>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</si>
  <si>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</si>
  <si>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</si>
  <si>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</si>
  <si>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</si>
  <si>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</si>
  <si>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</si>
  <si>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</si>
  <si>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</si>
  <si>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</si>
  <si>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</si>
  <si>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</si>
  <si>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</si>
  <si>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</si>
  <si>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</si>
  <si>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</si>
  <si>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</si>
  <si>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</si>
  <si>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</si>
  <si>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</si>
  <si>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</si>
  <si>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</si>
  <si>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</si>
  <si>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</si>
  <si>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</si>
  <si>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</si>
  <si>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</si>
  <si>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</si>
  <si>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</si>
  <si>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</si>
  <si>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</si>
  <si>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</si>
  <si>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</si>
  <si>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</si>
  <si>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</si>
  <si>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</si>
  <si>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</si>
  <si>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</si>
  <si>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</si>
  <si>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</si>
  <si>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</si>
  <si>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</si>
  <si>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</si>
  <si>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</si>
  <si>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</si>
  <si>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</si>
  <si>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</si>
  <si>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</si>
  <si>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</si>
  <si>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</si>
  <si>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</si>
  <si>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</si>
  <si>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</si>
  <si>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</si>
  <si>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</si>
  <si>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</si>
  <si>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</si>
  <si>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</si>
  <si>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</si>
  <si>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</si>
  <si>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</si>
  <si>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</si>
  <si>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</si>
  <si>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</si>
  <si>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</si>
  <si>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</si>
  <si>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</si>
  <si>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</si>
  <si>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</si>
  <si>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</si>
  <si>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</si>
  <si>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</si>
  <si>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</si>
  <si>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</si>
  <si>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</si>
  <si>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</si>
  <si>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</si>
  <si>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</si>
  <si>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</si>
  <si>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</si>
  <si>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</si>
  <si>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</si>
  <si>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</si>
  <si>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</si>
  <si>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</si>
  <si>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</si>
  <si>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</si>
  <si>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</si>
  <si>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</si>
  <si>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</si>
  <si>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</si>
  <si>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</si>
  <si>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</si>
  <si>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</si>
  <si>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</si>
  <si>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</si>
  <si>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</si>
  <si>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</si>
  <si>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</si>
  <si>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</si>
  <si>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</si>
  <si>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</si>
  <si>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</si>
  <si>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</si>
  <si>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</si>
  <si>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</si>
  <si>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</si>
  <si>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</si>
  <si>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</si>
  <si>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</si>
  <si>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</si>
  <si>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</si>
  <si>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</si>
  <si>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</si>
  <si>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</si>
  <si>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</si>
  <si>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</si>
  <si>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</si>
  <si>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</si>
  <si>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</si>
  <si>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</si>
  <si>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</si>
  <si>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</si>
  <si>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</si>
  <si>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</si>
  <si>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</si>
  <si>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</si>
  <si>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</si>
  <si>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</si>
  <si>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</si>
  <si>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</si>
  <si>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</si>
  <si>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</si>
  <si>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</si>
  <si>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</si>
  <si>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</si>
  <si>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</si>
  <si>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</si>
  <si>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</si>
  <si>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</si>
  <si>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</si>
  <si>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</si>
  <si>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</si>
  <si>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</si>
  <si>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</si>
  <si>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</si>
  <si>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</si>
  <si>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</si>
  <si>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</si>
  <si>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</si>
  <si>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</si>
  <si>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</si>
  <si>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</si>
  <si>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</si>
  <si>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</si>
  <si>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</si>
  <si>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</si>
  <si>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</si>
  <si>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</si>
  <si>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</si>
  <si>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</si>
  <si>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</si>
  <si>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</si>
  <si>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</si>
  <si>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</si>
  <si>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</si>
  <si>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</si>
  <si>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</si>
  <si>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</si>
  <si>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</si>
  <si>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</si>
  <si>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</si>
  <si>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</si>
  <si>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</si>
  <si>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</si>
  <si>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</si>
  <si>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</si>
  <si>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</si>
  <si>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</si>
  <si>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</si>
  <si>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</si>
  <si>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</si>
  <si>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</si>
  <si>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</si>
  <si>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</si>
  <si>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</si>
  <si>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</si>
  <si>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</si>
  <si>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</si>
  <si>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</si>
  <si>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</si>
  <si>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</si>
  <si>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</si>
  <si>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</si>
  <si>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</si>
  <si>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</si>
  <si>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</si>
  <si>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</si>
  <si>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</si>
  <si>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</si>
  <si>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</si>
  <si>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</si>
  <si>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</si>
  <si>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</si>
  <si>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</si>
  <si>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</si>
  <si>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</si>
  <si>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</si>
  <si>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</si>
  <si>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</si>
  <si>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</si>
  <si>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</si>
  <si>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</si>
  <si>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</si>
  <si>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</si>
  <si>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</si>
  <si>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</si>
  <si>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</si>
  <si>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</si>
  <si>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</si>
  <si>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</si>
  <si>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</si>
  <si>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</si>
  <si>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</si>
  <si>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</si>
  <si>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</si>
  <si>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</si>
  <si>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</si>
  <si>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</si>
  <si>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</si>
  <si>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</si>
  <si>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</si>
  <si>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</si>
  <si>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</si>
  <si>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</si>
  <si>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</si>
  <si>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</si>
  <si>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</si>
  <si>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</si>
  <si>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</si>
  <si>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</si>
  <si>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</si>
  <si>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</si>
  <si>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</si>
  <si>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</si>
  <si>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</si>
  <si>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</si>
  <si>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</si>
  <si>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</si>
  <si>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</si>
  <si>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</si>
  <si>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</si>
  <si>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</si>
  <si>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</si>
  <si>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</si>
  <si>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</si>
  <si>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</si>
  <si>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</si>
  <si>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</si>
  <si>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</si>
  <si>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</si>
  <si>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</si>
  <si>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</si>
  <si>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</si>
  <si>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</si>
  <si>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</si>
  <si>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</si>
  <si>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</si>
  <si>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</si>
  <si>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</si>
  <si>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</si>
  <si>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</si>
  <si>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</si>
  <si>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</si>
  <si>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</si>
  <si>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</si>
  <si>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</si>
  <si>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</si>
  <si>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</si>
  <si>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</si>
  <si>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</si>
  <si>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</si>
  <si>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</si>
  <si>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</si>
  <si>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</si>
  <si>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</si>
  <si>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</si>
  <si>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</si>
  <si>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</si>
  <si>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</si>
  <si>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</si>
  <si>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</si>
  <si>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</si>
  <si>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</si>
  <si>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</si>
  <si>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</si>
  <si>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</si>
  <si>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</si>
  <si>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</si>
  <si>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</si>
  <si>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</si>
  <si>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</si>
  <si>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</si>
  <si>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</si>
  <si>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</si>
  <si>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</si>
  <si>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</si>
  <si>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</si>
  <si>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</si>
  <si>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</si>
  <si>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</si>
  <si>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</si>
  <si>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</si>
  <si>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</si>
  <si>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</si>
  <si>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</si>
  <si>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</si>
  <si>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</si>
  <si>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</si>
  <si>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</si>
  <si>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</si>
  <si>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</si>
  <si>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</si>
  <si>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</si>
  <si>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</si>
  <si>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</si>
  <si>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</si>
  <si>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</si>
  <si>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</si>
  <si>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</si>
  <si>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</si>
  <si>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</si>
  <si>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</si>
  <si>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</si>
  <si>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</si>
  <si>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</si>
  <si>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</si>
  <si>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</si>
  <si>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</si>
  <si>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</si>
  <si>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</si>
  <si>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</si>
  <si>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</si>
  <si>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</si>
  <si>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</si>
  <si>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</si>
  <si>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</si>
  <si>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</si>
  <si>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</si>
  <si>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</si>
  <si>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</si>
  <si>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</si>
  <si>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</si>
  <si>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</si>
  <si>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</si>
  <si>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</si>
  <si>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</si>
  <si>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</si>
  <si>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</si>
  <si>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</si>
  <si>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</si>
  <si>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</si>
  <si>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</si>
  <si>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</si>
  <si>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</si>
  <si>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</si>
  <si>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</si>
  <si>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</si>
  <si>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</si>
  <si>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</si>
  <si>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</si>
  <si>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</si>
  <si>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</si>
  <si>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</si>
  <si>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</si>
  <si>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</si>
  <si>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</si>
  <si>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</si>
  <si>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</si>
  <si>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</si>
  <si>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</si>
  <si>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</si>
  <si>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</si>
  <si>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</si>
  <si>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</si>
  <si>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</si>
  <si>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</si>
  <si>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</si>
  <si>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</si>
  <si>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</si>
  <si>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</si>
  <si>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</si>
  <si>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</si>
  <si>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</si>
  <si>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</si>
  <si>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</si>
  <si>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</si>
  <si>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</si>
  <si>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</si>
  <si>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</si>
  <si>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</si>
  <si>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</si>
  <si>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</si>
  <si>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</si>
  <si>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</si>
  <si>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</si>
  <si>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</si>
  <si>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</si>
  <si>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</si>
  <si>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</si>
  <si>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</si>
  <si>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</si>
  <si>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</si>
  <si>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</si>
  <si>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</si>
  <si>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</si>
  <si>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</si>
  <si>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</si>
  <si>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</si>
  <si>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</si>
  <si>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</si>
  <si>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</si>
  <si>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</si>
  <si>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</si>
  <si>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</si>
  <si>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</si>
  <si>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</si>
  <si>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</si>
  <si>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</si>
  <si>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</si>
  <si>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</si>
  <si>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</si>
  <si>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</si>
  <si>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</si>
  <si>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</si>
  <si>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</si>
  <si>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</si>
  <si>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</si>
  <si>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</si>
  <si>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</si>
  <si>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</si>
  <si>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</si>
  <si>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</si>
  <si>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</si>
  <si>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</si>
  <si>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</si>
  <si>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</si>
  <si>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</si>
  <si>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</si>
  <si>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</si>
  <si>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</si>
  <si>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</si>
  <si>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</si>
  <si>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</si>
  <si>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</si>
  <si>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</si>
  <si>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</si>
  <si>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</si>
  <si>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</si>
  <si>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</si>
  <si>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</si>
  <si>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</si>
  <si>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</si>
  <si>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</si>
  <si>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</si>
  <si>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</si>
  <si>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</si>
  <si>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</si>
  <si>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</si>
  <si>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</si>
  <si>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</si>
  <si>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</si>
  <si>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</si>
  <si>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</si>
  <si>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</si>
  <si>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</si>
  <si>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</si>
  <si>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</si>
  <si>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</si>
  <si>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</si>
  <si>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</si>
  <si>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</si>
  <si>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</si>
  <si>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</si>
  <si>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</si>
  <si>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</si>
  <si>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</si>
  <si>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</si>
  <si>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</si>
  <si>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</si>
  <si>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</si>
  <si>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</si>
  <si>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</si>
  <si>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</si>
  <si>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</si>
  <si>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</si>
  <si>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</si>
  <si>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</si>
  <si>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</si>
  <si>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</si>
  <si>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</si>
  <si>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</si>
  <si>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</si>
  <si>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</si>
  <si>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</si>
  <si>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</si>
  <si>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</si>
  <si>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</si>
  <si>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</si>
  <si>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</si>
  <si>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</si>
  <si>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</si>
  <si>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</si>
  <si>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</si>
  <si>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</si>
  <si>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</si>
  <si>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</si>
  <si>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</si>
  <si>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</si>
  <si>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</si>
  <si>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</si>
  <si>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</si>
  <si>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</si>
  <si>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</si>
  <si>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</si>
  <si>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</si>
  <si>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</si>
  <si>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</si>
  <si>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</si>
  <si>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</si>
  <si>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</si>
  <si>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</si>
  <si>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</si>
  <si>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</si>
  <si>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</si>
  <si>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</si>
  <si>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</si>
  <si>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</si>
  <si>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</si>
  <si>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</si>
  <si>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</si>
  <si>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</si>
  <si>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</si>
  <si>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</si>
  <si>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</si>
  <si>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</si>
  <si>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</si>
  <si>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</si>
  <si>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</si>
  <si>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</si>
  <si>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</si>
  <si>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</si>
  <si>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</si>
  <si>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</si>
  <si>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</si>
  <si>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</si>
  <si>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</si>
  <si>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</si>
  <si>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</si>
  <si>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</si>
  <si>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</si>
  <si>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</si>
  <si>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</si>
  <si>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</si>
  <si>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</si>
  <si>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</si>
  <si>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</si>
  <si>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</si>
  <si>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</si>
  <si>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</si>
  <si>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</si>
  <si>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</si>
  <si>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</si>
  <si>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</si>
  <si>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</si>
  <si>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</si>
  <si>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</si>
  <si>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</si>
  <si>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</si>
  <si>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</si>
  <si>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</si>
  <si>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</si>
  <si>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</si>
  <si>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</si>
  <si>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</si>
  <si>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</si>
  <si>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</si>
  <si>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</si>
  <si>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</si>
  <si>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</si>
  <si>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</si>
  <si>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</si>
  <si>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</si>
  <si>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</si>
  <si>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</si>
  <si>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</si>
  <si>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</si>
  <si>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</si>
  <si>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</si>
  <si>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</si>
  <si>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</si>
  <si>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</si>
  <si>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</si>
  <si>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</si>
  <si>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</si>
  <si>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</si>
  <si>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</si>
  <si>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</si>
  <si>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</si>
  <si>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</si>
  <si>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</si>
  <si>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</si>
  <si>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</si>
  <si>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</si>
  <si>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</si>
  <si>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</si>
  <si>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</si>
  <si>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</si>
  <si>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</si>
  <si>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</si>
  <si>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</si>
  <si>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</si>
  <si>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</si>
  <si>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</si>
  <si>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</si>
  <si>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</si>
  <si>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</si>
  <si>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</si>
  <si>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</si>
  <si>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</si>
  <si>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</si>
  <si>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</si>
  <si>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</si>
  <si>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</si>
  <si>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</si>
  <si>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</si>
  <si>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</si>
  <si>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</si>
  <si>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</si>
  <si>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</si>
  <si>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</si>
  <si>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</si>
  <si>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</si>
  <si>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</si>
  <si>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</si>
  <si>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</si>
  <si>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</si>
  <si>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</si>
  <si>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</si>
  <si>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</si>
  <si>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</si>
  <si>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</si>
  <si>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</si>
  <si>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</si>
  <si>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</si>
  <si>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</si>
  <si>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</si>
  <si>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</si>
  <si>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</si>
  <si>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</si>
  <si>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</si>
  <si>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</si>
  <si>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</si>
  <si>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</si>
  <si>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</si>
  <si>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</si>
  <si>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</si>
  <si>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</si>
  <si>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</si>
  <si>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</si>
  <si>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</si>
  <si>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</si>
  <si>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</si>
  <si>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</si>
  <si>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</si>
  <si>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</si>
  <si>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</si>
  <si>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</si>
  <si>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</si>
  <si>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</si>
  <si>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</si>
  <si>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</si>
  <si>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</si>
  <si>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</si>
  <si>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</si>
  <si>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</si>
  <si>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</si>
  <si>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</si>
  <si>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</si>
  <si>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</si>
  <si>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</si>
  <si>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</si>
  <si>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</si>
  <si>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</si>
  <si>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</si>
  <si>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</si>
  <si>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</si>
  <si>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</si>
  <si>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</si>
  <si>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</si>
  <si>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</si>
  <si>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</si>
  <si>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</si>
  <si>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</si>
  <si>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</si>
  <si>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</si>
  <si>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</si>
  <si>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</si>
  <si>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</si>
  <si>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</si>
  <si>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</si>
  <si>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</si>
  <si>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</si>
  <si>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</si>
  <si>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</si>
  <si>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</si>
  <si>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</si>
  <si>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</si>
  <si>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</si>
  <si>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</si>
  <si>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</si>
  <si>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</si>
  <si>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</si>
  <si>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</si>
  <si>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</si>
  <si>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</si>
  <si>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</si>
  <si>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</si>
  <si>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</si>
  <si>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</si>
  <si>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</si>
  <si>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</si>
  <si>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</si>
  <si>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</si>
  <si>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</si>
  <si>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</si>
  <si>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</si>
  <si>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</si>
  <si>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</si>
  <si>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</si>
  <si>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</si>
  <si>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</si>
  <si>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</si>
  <si>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</si>
  <si>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</si>
  <si>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</si>
  <si>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</si>
  <si>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</si>
  <si>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</si>
  <si>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</si>
  <si>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</si>
  <si>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</si>
  <si>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</si>
  <si>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</si>
  <si>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</si>
  <si>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</si>
  <si>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</si>
  <si>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</si>
  <si>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</si>
  <si>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</si>
  <si>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</si>
  <si>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</si>
  <si>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</si>
  <si>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</si>
  <si>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</si>
  <si>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</si>
  <si>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</si>
  <si>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</si>
  <si>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</si>
  <si>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</si>
  <si>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</si>
  <si>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</si>
  <si>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</si>
  <si>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</si>
  <si>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</si>
  <si>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</si>
  <si>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</si>
  <si>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</si>
  <si>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</si>
  <si>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</si>
  <si>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</si>
  <si>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</si>
  <si>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</si>
  <si>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</si>
  <si>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</si>
  <si>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</si>
  <si>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</si>
  <si>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</si>
  <si>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</si>
  <si>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</si>
  <si>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</si>
  <si>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</si>
  <si>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</si>
  <si>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</si>
  <si>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</si>
  <si>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</si>
  <si>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</si>
  <si>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</si>
  <si>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</si>
  <si>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</si>
  <si>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</si>
  <si>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</si>
  <si>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</si>
  <si>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</si>
  <si>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</si>
  <si>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</si>
  <si>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</si>
  <si>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</si>
  <si>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</si>
  <si>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</si>
  <si>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</si>
  <si>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</si>
  <si>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</si>
  <si>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</si>
  <si>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</si>
  <si>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</si>
  <si>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</si>
  <si>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</si>
  <si>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</si>
  <si>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</si>
  <si>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</si>
  <si>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</si>
  <si>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</si>
  <si>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</si>
  <si>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</si>
  <si>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</si>
  <si>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</si>
  <si>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</si>
  <si>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</si>
  <si>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</si>
  <si>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</si>
  <si>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</si>
  <si>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</si>
  <si>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</si>
  <si>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</si>
  <si>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</si>
  <si>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</si>
  <si>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</si>
  <si>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</si>
  <si>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</si>
  <si>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</si>
  <si>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</si>
  <si>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</si>
  <si>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</si>
  <si>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</si>
  <si>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</si>
  <si>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</si>
  <si>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</si>
  <si>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</si>
  <si>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</si>
  <si>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</si>
  <si>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</si>
  <si>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</si>
  <si>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</si>
  <si>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</si>
  <si>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</si>
  <si>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</si>
  <si>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</si>
  <si>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</si>
  <si>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</si>
  <si>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</si>
  <si>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</si>
  <si>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</si>
  <si>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</si>
  <si>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</si>
  <si>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</si>
  <si>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</si>
  <si>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</si>
  <si>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</si>
  <si>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</si>
  <si>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</si>
  <si>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</si>
  <si>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</si>
  <si>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</si>
  <si>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</si>
  <si>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</si>
  <si>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</si>
  <si>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</si>
  <si>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</si>
  <si>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</si>
  <si>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</si>
  <si>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</si>
  <si>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</si>
  <si>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</si>
  <si>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</si>
  <si>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</si>
  <si>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</si>
  <si>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</si>
  <si>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</si>
  <si>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</si>
  <si>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</si>
  <si>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</si>
  <si>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</si>
  <si>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</si>
  <si>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</si>
  <si>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</si>
  <si>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</si>
  <si>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</si>
  <si>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</si>
  <si>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</si>
  <si>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</si>
  <si>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</si>
  <si>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</si>
  <si>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</si>
  <si>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</si>
  <si>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</si>
  <si>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</si>
  <si>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</si>
  <si>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</si>
  <si>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</si>
  <si>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</si>
  <si>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</si>
  <si>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</si>
  <si>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</si>
  <si>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</si>
  <si>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</si>
  <si>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</si>
  <si>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</si>
  <si>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</si>
  <si>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</si>
  <si>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</si>
  <si>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</si>
  <si>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</si>
  <si>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</si>
  <si>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</si>
  <si>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</si>
  <si>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</si>
  <si>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</si>
  <si>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</si>
  <si>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</si>
  <si>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</si>
  <si>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</si>
  <si>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</si>
  <si>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</si>
  <si>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</si>
  <si>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</si>
  <si>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</si>
  <si>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</si>
  <si>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</si>
  <si>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</si>
  <si>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</si>
  <si>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</si>
  <si>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</si>
  <si>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</si>
  <si>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</si>
  <si>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</si>
  <si>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</si>
  <si>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</si>
  <si>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</si>
  <si>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</si>
  <si>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</si>
  <si>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</si>
  <si>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</si>
  <si>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</si>
  <si>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</si>
  <si>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</si>
  <si>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</si>
  <si>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</si>
  <si>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</si>
  <si>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</si>
  <si>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</si>
  <si>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</si>
  <si>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</si>
  <si>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</si>
  <si>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</si>
  <si>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</si>
  <si>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</si>
  <si>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</si>
  <si>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</si>
  <si>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</si>
  <si>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</si>
  <si>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</si>
  <si>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</si>
  <si>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</si>
  <si>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</si>
  <si>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</si>
  <si>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</si>
  <si>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</si>
  <si>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</si>
  <si>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</si>
  <si>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</si>
  <si>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</si>
  <si>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</si>
  <si>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</si>
  <si>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</si>
  <si>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</si>
  <si>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</si>
  <si>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</si>
  <si>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</si>
  <si>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</si>
  <si>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</si>
  <si>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</si>
  <si>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</si>
  <si>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</si>
  <si>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</si>
  <si>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</si>
  <si>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</si>
  <si>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</si>
  <si>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</si>
  <si>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</si>
  <si>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</si>
  <si>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</si>
  <si>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</si>
  <si>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</si>
  <si>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</si>
  <si>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</si>
  <si>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</si>
  <si>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</si>
  <si>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</si>
  <si>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</si>
  <si>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</si>
  <si>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</si>
  <si>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</si>
  <si>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</si>
  <si>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</si>
  <si>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</si>
  <si>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</si>
  <si>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</si>
  <si>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</si>
  <si>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</si>
  <si>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</si>
  <si>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</si>
  <si>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</si>
  <si>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</si>
  <si>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</si>
  <si>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</si>
  <si>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</si>
  <si>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</si>
  <si>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</si>
  <si>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</si>
  <si>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</si>
  <si>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</si>
  <si>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</si>
  <si>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</si>
  <si>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</si>
  <si>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</si>
  <si>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</si>
  <si>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</si>
  <si>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</si>
  <si>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</si>
  <si>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</si>
  <si>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</si>
  <si>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</si>
  <si>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</si>
  <si>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</si>
  <si>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</si>
  <si>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</si>
  <si>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</si>
  <si>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</si>
  <si>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</si>
  <si>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</si>
  <si>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</si>
  <si>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</si>
  <si>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</si>
  <si>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</si>
  <si>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</si>
  <si>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</si>
  <si>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</si>
  <si>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</si>
  <si>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</si>
  <si>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</si>
  <si>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</si>
  <si>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</si>
  <si>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</si>
  <si>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</si>
  <si>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</si>
  <si>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</si>
  <si>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</si>
  <si>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</si>
  <si>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</si>
  <si>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</si>
  <si>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</si>
  <si>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</si>
  <si>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</si>
  <si>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</si>
  <si>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</si>
  <si>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</si>
  <si>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</si>
  <si>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</si>
  <si>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</si>
  <si>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</si>
  <si>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</si>
  <si>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</si>
  <si>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</si>
  <si>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</si>
  <si>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</si>
  <si>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</si>
  <si>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</si>
  <si>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</si>
  <si>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</si>
  <si>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</si>
  <si>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</si>
  <si>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</si>
  <si>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</si>
  <si>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</si>
  <si>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</si>
  <si>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</si>
  <si>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</si>
  <si>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</si>
  <si>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</si>
  <si>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</si>
  <si>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</si>
  <si>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</si>
  <si>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</si>
  <si>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</si>
  <si>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</si>
  <si>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</si>
  <si>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</si>
  <si>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</si>
  <si>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</si>
  <si>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</si>
  <si>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</si>
  <si>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</si>
  <si>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</si>
  <si>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</si>
  <si>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</si>
  <si>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</si>
  <si>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</si>
  <si>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</si>
  <si>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</si>
  <si>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</si>
  <si>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</si>
  <si>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</si>
  <si>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</si>
  <si>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</si>
  <si>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</si>
  <si>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</si>
  <si>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</si>
  <si>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</si>
  <si>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</si>
  <si>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</si>
  <si>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</si>
  <si>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</si>
  <si>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</si>
  <si>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</si>
  <si>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</si>
  <si>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</si>
  <si>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</si>
  <si>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</si>
  <si>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</si>
  <si>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</si>
  <si>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</si>
  <si>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</si>
  <si>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</si>
  <si>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</si>
  <si>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</si>
  <si>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</si>
  <si>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</si>
  <si>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</si>
  <si>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</si>
  <si>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</si>
  <si>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</si>
  <si>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</si>
  <si>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</si>
  <si>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</si>
  <si>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</si>
  <si>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</si>
  <si>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</si>
  <si>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</si>
  <si>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</si>
  <si>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</si>
  <si>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</si>
  <si>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</si>
  <si>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</si>
  <si>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</si>
  <si>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</si>
  <si>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</si>
  <si>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</si>
  <si>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</si>
  <si>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</si>
  <si>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</si>
  <si>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</si>
  <si>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</si>
  <si>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</si>
  <si>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</si>
  <si>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</si>
  <si>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</si>
  <si>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</si>
  <si>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</si>
  <si>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</si>
  <si>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</si>
  <si>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</si>
  <si>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</si>
  <si>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</si>
  <si>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</si>
  <si>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</si>
  <si>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</si>
  <si>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</si>
  <si>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</si>
  <si>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</si>
  <si>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</si>
  <si>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</si>
  <si>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</si>
  <si>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</si>
  <si>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</si>
  <si>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</si>
  <si>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</si>
  <si>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</si>
  <si>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</si>
  <si>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</si>
  <si>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</si>
  <si>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</si>
  <si>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</si>
  <si>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</si>
  <si>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</si>
  <si>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</si>
  <si>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</si>
  <si>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</si>
  <si>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</si>
  <si>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</si>
  <si>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</si>
  <si>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</si>
  <si>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</si>
  <si>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</si>
  <si>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</si>
  <si>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</si>
  <si>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</si>
  <si>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</si>
  <si>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</si>
  <si>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</si>
  <si>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</si>
  <si>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</si>
  <si>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</si>
  <si>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</si>
  <si>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</si>
  <si>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</si>
  <si>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</si>
  <si>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</si>
  <si>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</si>
  <si>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</si>
  <si>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</si>
  <si>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</si>
  <si>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</si>
  <si>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</si>
  <si>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</si>
  <si>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</si>
  <si>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</si>
  <si>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</si>
  <si>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</si>
  <si>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</si>
  <si>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</si>
  <si>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</si>
  <si>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</si>
  <si>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</si>
  <si>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</si>
  <si>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</si>
  <si>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</si>
  <si>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</si>
  <si>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</si>
  <si>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</si>
  <si>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</si>
  <si>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</si>
  <si>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</si>
  <si>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</si>
  <si>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</si>
  <si>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</si>
  <si>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</si>
  <si>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</si>
  <si>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</si>
  <si>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</si>
  <si>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</si>
  <si>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</si>
  <si>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</si>
  <si>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</si>
  <si>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</si>
  <si>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</si>
  <si>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</si>
  <si>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</si>
  <si>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</si>
  <si>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</si>
  <si>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</si>
  <si>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</si>
  <si>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</si>
  <si>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</si>
  <si>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</si>
  <si>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</si>
  <si>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</si>
  <si>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</si>
  <si>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</si>
  <si>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</si>
  <si>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</si>
  <si>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</si>
  <si>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</si>
  <si>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</si>
  <si>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</si>
  <si>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</si>
  <si>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</si>
  <si>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</si>
  <si>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</si>
  <si>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</si>
  <si>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</si>
  <si>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</si>
  <si>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</si>
  <si>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</si>
  <si>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</si>
  <si>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</si>
  <si>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</si>
  <si>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</si>
  <si>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</si>
  <si>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</si>
  <si>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</si>
  <si>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</si>
  <si>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</si>
  <si>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</si>
  <si>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</si>
  <si>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</si>
  <si>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</si>
  <si>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</si>
  <si>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</si>
  <si>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</si>
  <si>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</si>
  <si>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</si>
  <si>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</si>
  <si>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</si>
  <si>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</si>
  <si>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</si>
  <si>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</si>
  <si>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</si>
  <si>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</si>
  <si>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</si>
  <si>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</si>
  <si>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</si>
  <si>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</si>
  <si>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</si>
  <si>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</si>
  <si>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</si>
  <si>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</si>
  <si>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</si>
  <si>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</si>
  <si>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</si>
  <si>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</si>
  <si>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</si>
  <si>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</si>
  <si>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</si>
  <si>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</si>
  <si>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</si>
  <si>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</si>
  <si>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</si>
  <si>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</si>
  <si>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</si>
  <si>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</si>
  <si>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</si>
  <si>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</si>
  <si>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</si>
  <si>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</si>
  <si>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</si>
  <si>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</si>
  <si>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</si>
  <si>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</si>
  <si>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</si>
  <si>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</si>
  <si>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</si>
  <si>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</si>
  <si>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</si>
  <si>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</si>
  <si>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</si>
  <si>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</si>
  <si>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</si>
  <si>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</si>
  <si>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</si>
  <si>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</si>
  <si>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</si>
  <si>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</si>
  <si>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</si>
  <si>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</si>
  <si>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</si>
  <si>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</si>
  <si>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</si>
  <si>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</si>
  <si>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</si>
  <si>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</si>
  <si>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</si>
  <si>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</si>
  <si>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</si>
  <si>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</si>
  <si>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</si>
  <si>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</si>
  <si>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</si>
  <si>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</si>
  <si>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</si>
  <si>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</si>
  <si>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</si>
  <si>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</si>
  <si>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</si>
  <si>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</si>
  <si>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</si>
  <si>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</si>
  <si>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</si>
  <si>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</si>
  <si>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</si>
  <si>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</si>
  <si>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</si>
  <si>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</si>
  <si>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</si>
  <si>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</si>
  <si>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</si>
  <si>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</si>
  <si>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</si>
  <si>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</si>
  <si>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</si>
  <si>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</si>
  <si>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</si>
  <si>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</si>
  <si>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</si>
  <si>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</si>
  <si>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</si>
  <si>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</si>
  <si>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</si>
  <si>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</si>
  <si>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</si>
  <si>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</si>
  <si>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</si>
  <si>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</si>
  <si>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</si>
  <si>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</si>
  <si>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</si>
  <si>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</si>
  <si>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</si>
  <si>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</si>
  <si>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</si>
  <si>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</si>
  <si>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</si>
  <si>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</si>
  <si>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</si>
  <si>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</si>
  <si>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</si>
  <si>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</si>
  <si>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</si>
  <si>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</si>
  <si>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</si>
  <si>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</si>
  <si>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</si>
  <si>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</si>
  <si>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</si>
  <si>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</si>
  <si>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</si>
  <si>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</si>
  <si>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</si>
  <si>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</si>
  <si>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</si>
  <si>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</si>
  <si>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</si>
  <si>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</si>
  <si>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</si>
  <si>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</si>
  <si>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</si>
  <si>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</si>
  <si>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</si>
  <si>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</si>
  <si>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</si>
  <si>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</si>
  <si>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</si>
  <si>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</si>
  <si>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</si>
  <si>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</si>
  <si>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</si>
  <si>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</si>
  <si>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</si>
  <si>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</si>
  <si>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</si>
  <si>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</si>
  <si>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</si>
  <si>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</si>
  <si>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</si>
  <si>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</si>
  <si>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</si>
  <si>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</si>
  <si>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</si>
  <si>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</si>
  <si>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</si>
  <si>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</si>
  <si>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</si>
  <si>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</si>
  <si>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</si>
  <si>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</si>
  <si>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</si>
  <si>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</si>
  <si>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</si>
  <si>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</si>
  <si>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</si>
  <si>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</si>
  <si>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</si>
  <si>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</si>
  <si>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</si>
  <si>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</si>
  <si>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</si>
  <si>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</si>
  <si>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</si>
  <si>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</si>
  <si>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</si>
  <si>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</si>
  <si>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</si>
  <si>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</si>
  <si>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</si>
  <si>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</si>
  <si>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</si>
  <si>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</si>
  <si>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</si>
  <si>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</si>
  <si>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</si>
  <si>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</si>
  <si>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</si>
  <si>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</si>
  <si>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</si>
  <si>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</si>
  <si>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</si>
  <si>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</si>
  <si>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</si>
  <si>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</si>
  <si>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</si>
  <si>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</si>
  <si>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</si>
  <si>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</si>
  <si>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</si>
  <si>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</si>
  <si>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</si>
  <si>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</si>
  <si>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</si>
  <si>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</si>
  <si>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</si>
  <si>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</si>
  <si>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</si>
  <si>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</si>
  <si>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</si>
  <si>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</si>
  <si>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</si>
  <si>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</si>
  <si>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</si>
  <si>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</si>
  <si>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</si>
  <si>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</si>
  <si>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</si>
  <si>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</si>
  <si>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</si>
  <si>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</si>
  <si>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</si>
  <si>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</si>
  <si>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</si>
  <si>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</si>
  <si>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</si>
  <si>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</si>
  <si>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</si>
  <si>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</si>
  <si>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</si>
  <si>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</si>
  <si>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</si>
  <si>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</si>
  <si>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</si>
  <si>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</si>
  <si>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</si>
  <si>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</si>
  <si>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</si>
  <si>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</si>
  <si>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</si>
  <si>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</si>
  <si>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</si>
  <si>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</si>
  <si>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</si>
  <si>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</si>
  <si>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</si>
  <si>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</si>
  <si>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</si>
  <si>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</si>
  <si>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</si>
  <si>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</si>
  <si>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</si>
  <si>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</si>
  <si>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</si>
  <si>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</si>
  <si>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</si>
  <si>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</si>
  <si>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</si>
  <si>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</si>
  <si>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</si>
  <si>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</si>
  <si>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</si>
  <si>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</si>
  <si>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</si>
  <si>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</si>
  <si>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</si>
  <si>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</si>
  <si>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</si>
  <si>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</si>
  <si>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</si>
  <si>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</si>
  <si>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</si>
  <si>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</si>
  <si>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</si>
  <si>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</si>
  <si>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</si>
  <si>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</si>
  <si>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</si>
  <si>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</si>
  <si>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</si>
  <si>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</si>
  <si>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</si>
  <si>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</si>
  <si>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</si>
  <si>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</si>
  <si>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</si>
  <si>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</si>
  <si>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</si>
  <si>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</si>
  <si>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</si>
  <si>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</si>
  <si>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</si>
  <si>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</si>
  <si>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</si>
  <si>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</si>
  <si>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</si>
  <si>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</si>
  <si>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</si>
  <si>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</si>
  <si>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</si>
  <si>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</si>
  <si>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</si>
  <si>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</si>
  <si>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</si>
  <si>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</si>
  <si>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</si>
  <si>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</si>
  <si>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</si>
  <si>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</si>
  <si>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</si>
  <si>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</si>
  <si>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</si>
  <si>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</si>
  <si>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</si>
  <si>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</si>
  <si>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</si>
  <si>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</si>
  <si>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</si>
  <si>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</si>
  <si>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</si>
  <si>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</si>
  <si>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</si>
  <si>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</si>
  <si>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</si>
  <si>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</si>
  <si>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</si>
  <si>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</si>
  <si>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</si>
  <si>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</si>
  <si>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</si>
  <si>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</si>
  <si>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</si>
  <si>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</si>
  <si>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</si>
  <si>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</si>
  <si>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</si>
  <si>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</si>
  <si>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</si>
  <si>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</si>
  <si>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</si>
  <si>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</si>
  <si>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</si>
  <si>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</si>
  <si>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</si>
  <si>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</si>
  <si>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</si>
  <si>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</si>
  <si>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</si>
  <si>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</si>
  <si>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</si>
  <si>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</si>
  <si>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</si>
  <si>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</si>
  <si>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</si>
  <si>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</si>
  <si>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</si>
  <si>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</si>
  <si>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</si>
  <si>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</si>
  <si>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</si>
  <si>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</si>
  <si>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</si>
  <si>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</si>
  <si>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</si>
  <si>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</si>
  <si>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</si>
  <si>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</si>
  <si>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</si>
  <si>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</si>
  <si>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</si>
  <si>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</si>
  <si>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</si>
  <si>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</si>
  <si>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</si>
  <si>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</si>
  <si>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</si>
  <si>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</si>
  <si>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</si>
  <si>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</si>
  <si>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</si>
  <si>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</si>
  <si>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</si>
  <si>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</si>
  <si>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</si>
  <si>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</si>
  <si>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</si>
  <si>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</si>
  <si>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</si>
  <si>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</si>
  <si>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</si>
  <si>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</si>
  <si>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</si>
  <si>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</si>
  <si>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</si>
  <si>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</si>
  <si>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</si>
  <si>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</si>
  <si>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</si>
  <si>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</si>
  <si>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</si>
  <si>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</si>
  <si>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</si>
  <si>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</si>
  <si>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</si>
  <si>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</si>
  <si>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</si>
  <si>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</si>
  <si>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</si>
  <si>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</si>
  <si>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</si>
  <si>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</si>
  <si>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</si>
  <si>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</si>
  <si>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</si>
  <si>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</si>
  <si>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</si>
  <si>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</si>
  <si>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</si>
  <si>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</si>
  <si>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</si>
  <si>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</si>
  <si>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</si>
  <si>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</si>
  <si>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</si>
  <si>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</si>
  <si>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</si>
  <si>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</si>
  <si>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</si>
  <si>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</si>
  <si>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</si>
  <si>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</si>
  <si>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</si>
  <si>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</si>
  <si>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</si>
  <si>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</si>
  <si>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</si>
  <si>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</si>
  <si>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</si>
  <si>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</si>
  <si>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</si>
  <si>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</si>
  <si>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</si>
  <si>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</si>
  <si>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</si>
  <si>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</si>
  <si>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</si>
  <si>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</si>
  <si>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</si>
  <si>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</si>
  <si>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</si>
  <si>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</si>
  <si>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</si>
  <si>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</si>
  <si>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</si>
  <si>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</si>
  <si>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</si>
  <si>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</si>
  <si>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</si>
  <si>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</si>
  <si>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</si>
  <si>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</si>
  <si>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</si>
  <si>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</si>
  <si>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</si>
  <si>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</si>
  <si>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</si>
  <si>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</si>
  <si>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</si>
  <si>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</si>
  <si>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</si>
  <si>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</si>
  <si>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</si>
  <si>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</si>
  <si>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</si>
  <si>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</si>
  <si>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</si>
  <si>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</si>
  <si>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</si>
  <si>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</si>
  <si>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</si>
  <si>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</si>
  <si>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</si>
  <si>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</si>
  <si>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</si>
  <si>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</si>
  <si>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</si>
  <si>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</si>
  <si>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</si>
  <si>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</si>
  <si>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</si>
  <si>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</si>
  <si>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</si>
  <si>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</si>
  <si>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</si>
  <si>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</si>
  <si>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</si>
  <si>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</si>
  <si>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</si>
  <si>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</si>
  <si>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</si>
  <si>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</si>
  <si>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</si>
  <si>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</si>
  <si>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</si>
  <si>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</si>
  <si>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</si>
  <si>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</si>
  <si>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</si>
  <si>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</si>
  <si>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</si>
  <si>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</si>
  <si>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</si>
  <si>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</si>
  <si>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</si>
  <si>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</si>
  <si>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</si>
  <si>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</si>
  <si>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</si>
  <si>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</si>
  <si>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</si>
  <si>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</si>
  <si>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</si>
  <si>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</si>
  <si>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</si>
  <si>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</si>
  <si>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</si>
  <si>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</si>
  <si>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</si>
  <si>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</si>
  <si>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</si>
  <si>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</si>
  <si>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</si>
  <si>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</si>
  <si>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</si>
  <si>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</si>
  <si>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</si>
  <si>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</si>
  <si>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</si>
  <si>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</si>
  <si>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</si>
  <si>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</si>
  <si>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</si>
  <si>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</si>
  <si>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</si>
  <si>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</si>
  <si>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</si>
  <si>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</si>
  <si>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</si>
  <si>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</si>
  <si>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</si>
  <si>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</si>
  <si>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</si>
  <si>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</si>
  <si>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</si>
  <si>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</si>
  <si>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</si>
  <si>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</si>
  <si>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</si>
  <si>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</si>
  <si>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</si>
  <si>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</si>
  <si>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</si>
  <si>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</si>
  <si>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</si>
  <si>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</si>
  <si>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</si>
  <si>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</si>
  <si>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</si>
  <si>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</si>
  <si>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</si>
  <si>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</si>
  <si>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</si>
  <si>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</si>
  <si>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</si>
  <si>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</si>
  <si>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</si>
  <si>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</si>
  <si>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</si>
  <si>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</si>
  <si>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</si>
  <si>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</si>
  <si>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</si>
  <si>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</si>
  <si>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</si>
  <si>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</si>
  <si>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</si>
  <si>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</si>
  <si>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</si>
  <si>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</si>
  <si>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</si>
  <si>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</si>
  <si>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</si>
  <si>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</si>
  <si>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</si>
  <si>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</si>
  <si>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</si>
  <si>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</si>
  <si>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</si>
  <si>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</si>
  <si>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</si>
  <si>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</si>
  <si>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</si>
  <si>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</si>
  <si>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</si>
  <si>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</si>
  <si>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</si>
  <si>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</si>
  <si>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</si>
  <si>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</si>
  <si>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</si>
  <si>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</si>
  <si>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</si>
  <si>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</si>
  <si>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</si>
  <si>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</si>
  <si>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</si>
  <si>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</si>
  <si>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</si>
  <si>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</si>
  <si>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</si>
  <si>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</si>
  <si>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</si>
  <si>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</si>
  <si>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</si>
  <si>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</si>
  <si>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</si>
  <si>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</si>
  <si>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</si>
  <si>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</si>
  <si>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</si>
  <si>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</si>
  <si>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</si>
  <si>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</si>
  <si>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</si>
  <si>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</si>
  <si>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</si>
  <si>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</si>
  <si>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</si>
  <si>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</si>
  <si>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</si>
  <si>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</si>
  <si>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</si>
  <si>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</si>
  <si>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</si>
  <si>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</si>
  <si>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</si>
  <si>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</si>
  <si>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</si>
  <si>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</si>
  <si>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</si>
  <si>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</si>
  <si>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</si>
  <si>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</si>
  <si>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</si>
  <si>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</si>
  <si>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</si>
  <si>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</si>
  <si>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</si>
  <si>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</si>
  <si>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</si>
  <si>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</si>
  <si>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</si>
  <si>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</si>
  <si>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</si>
  <si>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</si>
  <si>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</si>
  <si>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</si>
  <si>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</si>
  <si>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</si>
  <si>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</si>
  <si>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</si>
  <si>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</si>
  <si>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</si>
  <si>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</si>
  <si>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</si>
  <si>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</si>
  <si>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</si>
  <si>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</si>
  <si>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</si>
  <si>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</si>
  <si>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</si>
  <si>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</si>
  <si>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</si>
  <si>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</si>
  <si>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</si>
  <si>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</si>
  <si>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</si>
  <si>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</si>
  <si>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</si>
  <si>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</si>
  <si>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</si>
  <si>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</si>
  <si>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</si>
  <si>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</si>
  <si>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</si>
  <si>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</si>
  <si>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</si>
  <si>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</si>
  <si>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</si>
  <si>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</si>
  <si>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</si>
  <si>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</si>
  <si>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</si>
  <si>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</si>
  <si>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</si>
  <si>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</si>
  <si>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</si>
  <si>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</si>
  <si>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</si>
  <si>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</si>
  <si>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</si>
  <si>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</si>
  <si>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</si>
  <si>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</si>
  <si>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</si>
  <si>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</si>
  <si>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</si>
  <si>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</si>
  <si>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</si>
  <si>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</si>
  <si>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</si>
  <si>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</si>
  <si>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</si>
  <si>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</si>
  <si>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</si>
  <si>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</si>
  <si>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</si>
  <si>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</si>
  <si>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</si>
  <si>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</si>
  <si>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</si>
  <si>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</si>
  <si>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</si>
  <si>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</si>
  <si>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</si>
  <si>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</si>
  <si>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</si>
  <si>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</si>
  <si>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</si>
  <si>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</si>
  <si>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</si>
  <si>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</si>
  <si>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</si>
  <si>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</si>
  <si>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</si>
  <si>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</si>
  <si>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</si>
  <si>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</si>
  <si>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</si>
  <si>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</si>
  <si>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</si>
  <si>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</si>
  <si>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</si>
  <si>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</si>
  <si>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</si>
  <si>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</si>
  <si>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</si>
  <si>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</si>
  <si>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</si>
  <si>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</si>
  <si>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</si>
  <si>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</si>
  <si>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</si>
  <si>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</si>
  <si>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</si>
  <si>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</si>
  <si>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</si>
  <si>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</si>
  <si>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</si>
  <si>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</si>
  <si>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</si>
  <si>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</si>
  <si>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</si>
  <si>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</si>
  <si>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</si>
  <si>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</si>
  <si>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</si>
  <si>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</si>
  <si>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</si>
  <si>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</si>
  <si>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</si>
  <si>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</si>
  <si>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</si>
  <si>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</si>
  <si>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</si>
  <si>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</si>
  <si>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</si>
  <si>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</si>
  <si>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</si>
  <si>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</si>
  <si>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</si>
  <si>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</si>
  <si>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</si>
  <si>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</si>
  <si>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</si>
  <si>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</si>
  <si>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</si>
  <si>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</si>
  <si>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</si>
  <si>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</si>
  <si>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</si>
  <si>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</si>
  <si>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</si>
  <si>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</si>
  <si>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</si>
  <si>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</si>
  <si>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</si>
  <si>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</si>
  <si>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</si>
  <si>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</si>
  <si>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</si>
  <si>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</si>
  <si>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</si>
  <si>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</si>
  <si>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</si>
  <si>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</si>
  <si>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</si>
  <si>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</si>
  <si>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</si>
  <si>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</si>
  <si>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</si>
  <si>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</si>
  <si>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</si>
  <si>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</si>
  <si>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</si>
  <si>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</si>
  <si>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</si>
  <si>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</si>
  <si>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</si>
  <si>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</si>
  <si>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</si>
  <si>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</si>
  <si>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</si>
  <si>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</si>
  <si>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</si>
  <si>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</si>
  <si>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</si>
  <si>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</si>
  <si>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</si>
  <si>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</si>
  <si>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</si>
  <si>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</si>
  <si>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</si>
  <si>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</si>
  <si>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</si>
  <si>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</si>
  <si>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</si>
  <si>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</si>
  <si>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</si>
  <si>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</si>
  <si>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</si>
  <si>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</si>
  <si>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</si>
  <si>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</si>
  <si>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</si>
  <si>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</si>
  <si>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</si>
  <si>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</si>
  <si>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</si>
  <si>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</si>
  <si>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</si>
  <si>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</si>
  <si>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</si>
  <si>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</si>
  <si>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</si>
  <si>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</si>
  <si>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</si>
  <si>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</si>
  <si>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</si>
  <si>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</si>
  <si>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</si>
  <si>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</si>
  <si>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</si>
  <si>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</si>
  <si>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</si>
  <si>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</si>
  <si>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</si>
  <si>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</si>
  <si>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</si>
  <si>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</si>
  <si>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</si>
  <si>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</si>
  <si>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</si>
  <si>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</si>
  <si>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</si>
  <si>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</si>
  <si>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</si>
  <si>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</si>
  <si>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</si>
  <si>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</si>
  <si>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</si>
  <si>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</si>
  <si>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</si>
  <si>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</si>
  <si>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</si>
  <si>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</si>
  <si>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</si>
  <si>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</si>
  <si>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</si>
  <si>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</si>
  <si>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</si>
  <si>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</si>
  <si>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</si>
  <si>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</si>
  <si>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</si>
  <si>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</si>
  <si>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</si>
  <si>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</si>
  <si>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</si>
  <si>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</si>
  <si>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</si>
  <si>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</si>
  <si>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</si>
  <si>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</si>
  <si>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</si>
  <si>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</si>
  <si>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</si>
  <si>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</si>
  <si>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</si>
  <si>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</si>
  <si>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</si>
  <si>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</si>
  <si>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</si>
  <si>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</si>
  <si>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</si>
  <si>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</si>
  <si>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</si>
  <si>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</si>
  <si>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</si>
  <si>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</si>
  <si>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</si>
  <si>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</si>
  <si>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</si>
  <si>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</si>
  <si>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</si>
  <si>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</si>
  <si>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</si>
  <si>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</si>
  <si>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</si>
  <si>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</si>
  <si>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</si>
  <si>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</si>
  <si>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</si>
  <si>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</si>
  <si>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</si>
  <si>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</si>
  <si>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</si>
  <si>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</si>
  <si>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</si>
  <si>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</si>
  <si>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</si>
  <si>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</si>
  <si>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</si>
  <si>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</si>
  <si>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</si>
  <si>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</si>
  <si>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</si>
  <si>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</si>
  <si>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</si>
  <si>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</si>
  <si>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</si>
  <si>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</si>
  <si>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</si>
  <si>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</si>
  <si>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</si>
  <si>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</si>
  <si>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</si>
  <si>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</si>
  <si>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</si>
  <si>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</si>
  <si>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</si>
  <si>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</si>
  <si>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</si>
  <si>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</si>
  <si>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</si>
  <si>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</si>
  <si>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</si>
  <si>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</si>
  <si>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</si>
  <si>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</si>
  <si>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</si>
  <si>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</si>
  <si>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</si>
  <si>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</si>
  <si>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</si>
  <si>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</si>
  <si>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</si>
  <si>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</si>
  <si>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</si>
  <si>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</si>
  <si>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</si>
  <si>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</si>
  <si>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</si>
  <si>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</si>
  <si>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</si>
  <si>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</si>
  <si>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</si>
  <si>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</si>
  <si>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</si>
  <si>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</si>
  <si>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</si>
  <si>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</si>
  <si>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</si>
  <si>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</si>
  <si>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</si>
  <si>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</si>
  <si>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</si>
  <si>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</si>
  <si>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</si>
  <si>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</si>
  <si>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</si>
  <si>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</si>
  <si>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</si>
  <si>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</si>
  <si>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</si>
  <si>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</si>
  <si>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</si>
  <si>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</si>
  <si>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</si>
  <si>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</si>
  <si>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</si>
  <si>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</si>
  <si>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</si>
  <si>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</si>
  <si>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</si>
  <si>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</si>
  <si>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</si>
  <si>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</si>
  <si>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</si>
  <si>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</si>
  <si>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</si>
  <si>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</si>
  <si>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</si>
  <si>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</si>
  <si>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</si>
  <si>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</si>
  <si>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</si>
  <si>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</si>
  <si>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</si>
  <si>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</si>
  <si>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</si>
  <si>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</si>
  <si>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</si>
  <si>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</si>
  <si>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</si>
  <si>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</si>
  <si>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</si>
  <si>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</si>
  <si>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</si>
  <si>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</si>
  <si>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</si>
  <si>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</si>
  <si>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</si>
  <si>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</si>
  <si>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</si>
  <si>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</si>
  <si>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</si>
  <si>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</si>
  <si>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</si>
  <si>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</si>
  <si>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</si>
  <si>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</si>
  <si>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</si>
  <si>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</si>
  <si>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</si>
  <si>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</si>
  <si>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</si>
  <si>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</si>
  <si>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</si>
  <si>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</si>
  <si>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</si>
  <si>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</si>
  <si>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</si>
  <si>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</si>
  <si>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</si>
  <si>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</si>
  <si>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</si>
  <si>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</si>
  <si>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</si>
  <si>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</si>
  <si>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</si>
  <si>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</si>
  <si>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</si>
  <si>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</si>
  <si>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</si>
  <si>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</si>
  <si>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</si>
  <si>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</si>
  <si>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</si>
  <si>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</si>
  <si>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</si>
  <si>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</si>
  <si>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</si>
  <si>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</si>
  <si>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</si>
  <si>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</si>
  <si>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</si>
  <si>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</si>
  <si>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</si>
  <si>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</si>
  <si>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</si>
  <si>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</si>
  <si>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</si>
  <si>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</si>
  <si>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</si>
  <si>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</si>
  <si>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</si>
  <si>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</si>
  <si>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</si>
  <si>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</si>
  <si>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</si>
  <si>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</si>
  <si>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</si>
  <si>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</si>
  <si>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</si>
  <si>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</si>
  <si>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</si>
  <si>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</si>
  <si>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</si>
  <si>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</si>
  <si>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</si>
  <si>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</si>
  <si>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</si>
  <si>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</si>
  <si>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</si>
  <si>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</si>
  <si>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</si>
  <si>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</si>
  <si>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</si>
  <si>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</si>
  <si>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</si>
  <si>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</si>
  <si>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</si>
  <si>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</si>
  <si>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</si>
  <si>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</si>
  <si>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</si>
  <si>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</si>
  <si>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</si>
  <si>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</si>
  <si>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</si>
  <si>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</si>
  <si>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</si>
  <si>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</si>
  <si>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</si>
  <si>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</si>
  <si>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</si>
  <si>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</si>
  <si>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</si>
  <si>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</si>
  <si>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</si>
  <si>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</si>
  <si>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</si>
  <si>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</si>
  <si>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</si>
  <si>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</si>
  <si>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</si>
  <si>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</si>
  <si>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</si>
  <si>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</si>
  <si>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</si>
  <si>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</si>
  <si>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</si>
  <si>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</si>
  <si>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</si>
  <si>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</si>
  <si>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</si>
  <si>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</si>
  <si>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</si>
  <si>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</si>
  <si>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</si>
  <si>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</si>
  <si>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</si>
  <si>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</si>
  <si>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</si>
  <si>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</si>
  <si>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</si>
  <si>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</si>
  <si>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</si>
  <si>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</si>
  <si>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</si>
  <si>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</si>
  <si>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</si>
  <si>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</si>
  <si>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</si>
  <si>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</si>
  <si>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</si>
  <si>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</si>
  <si>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</si>
  <si>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</si>
  <si>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</si>
  <si>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</si>
  <si>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</si>
  <si>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</si>
  <si>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</si>
  <si>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</si>
  <si>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</si>
  <si>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</si>
  <si>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</si>
  <si>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</si>
  <si>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</si>
  <si>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</si>
  <si>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</si>
  <si>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</si>
  <si>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</si>
  <si>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</si>
  <si>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</si>
  <si>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</si>
  <si>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</si>
  <si>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</si>
  <si>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</si>
  <si>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</si>
  <si>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</si>
  <si>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</si>
  <si>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</si>
  <si>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</si>
  <si>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</si>
  <si>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</si>
  <si>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</si>
  <si>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</si>
  <si>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</si>
  <si>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</si>
  <si>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</si>
  <si>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</si>
  <si>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</si>
  <si>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</si>
  <si>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</si>
  <si>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</si>
  <si>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</si>
  <si>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</si>
  <si>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</si>
  <si>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</si>
  <si>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</si>
  <si>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</si>
  <si>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</si>
  <si>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</si>
  <si>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</si>
  <si>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</si>
  <si>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</si>
  <si>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</si>
  <si>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</si>
  <si>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</si>
  <si>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</si>
  <si>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</si>
  <si>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</si>
  <si>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</si>
  <si>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</si>
  <si>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</si>
  <si>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</si>
  <si>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</si>
  <si>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</si>
  <si>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</si>
  <si>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</si>
  <si>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</si>
  <si>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</si>
  <si>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</si>
  <si>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</si>
  <si>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</si>
  <si>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</si>
  <si>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</si>
  <si>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</si>
  <si>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</si>
  <si>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</si>
  <si>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</si>
  <si>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</si>
  <si>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</si>
  <si>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</si>
  <si>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</si>
  <si>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</si>
  <si>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</si>
  <si>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</si>
  <si>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</si>
  <si>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</si>
  <si>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</si>
  <si>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</si>
  <si>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</si>
  <si>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</si>
  <si>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</si>
  <si>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</si>
  <si>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</si>
  <si>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</si>
  <si>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</si>
  <si>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</si>
  <si>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</si>
  <si>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</si>
  <si>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</si>
  <si>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</si>
  <si>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</si>
  <si>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</si>
  <si>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</si>
  <si>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</si>
  <si>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</si>
  <si>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</si>
  <si>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</si>
  <si>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</si>
  <si>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</si>
  <si>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</si>
  <si>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</si>
  <si>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</si>
  <si>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</si>
  <si>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</si>
  <si>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</si>
  <si>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</si>
  <si>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</si>
  <si>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</si>
  <si>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</si>
  <si>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</si>
  <si>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</si>
  <si>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</si>
  <si>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</si>
  <si>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</si>
  <si>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</si>
  <si>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</si>
  <si>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</si>
  <si>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</si>
  <si>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</si>
  <si>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</si>
  <si>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</si>
  <si>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</si>
  <si>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</si>
  <si>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</si>
  <si>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</si>
  <si>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</si>
  <si>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</si>
  <si>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</si>
  <si>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</si>
  <si>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</si>
  <si>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</si>
  <si>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</si>
  <si>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</si>
  <si>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</si>
  <si>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</si>
  <si>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</si>
  <si>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</si>
  <si>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</si>
  <si>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</si>
  <si>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</si>
  <si>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</si>
  <si>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</si>
  <si>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</si>
  <si>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</si>
  <si>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</si>
  <si>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</si>
  <si>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</si>
  <si>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</si>
  <si>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</si>
  <si>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</si>
  <si>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</si>
  <si>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</si>
  <si>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</si>
  <si>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</si>
  <si>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</si>
  <si>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</si>
  <si>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</si>
  <si>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</si>
  <si>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</si>
  <si>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</si>
  <si>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</si>
  <si>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</si>
  <si>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</si>
  <si>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</si>
  <si>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</si>
  <si>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</si>
  <si>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</si>
  <si>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</si>
  <si>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</si>
  <si>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</si>
  <si>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</si>
  <si>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</si>
  <si>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</si>
  <si>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</si>
  <si>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</si>
  <si>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</si>
  <si>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</si>
  <si>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</si>
  <si>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</si>
  <si>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</si>
  <si>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</si>
  <si>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</si>
  <si>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</si>
  <si>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</si>
  <si>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</si>
  <si>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</si>
  <si>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</si>
  <si>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</si>
  <si>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</si>
  <si>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</si>
  <si>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</si>
  <si>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</si>
  <si>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</si>
  <si>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</si>
  <si>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</si>
  <si>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</si>
  <si>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</si>
  <si>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</si>
  <si>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</si>
  <si>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</si>
  <si>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</si>
  <si>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</si>
  <si>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</si>
  <si>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</si>
  <si>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</si>
  <si>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</si>
  <si>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</si>
  <si>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</si>
  <si>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</si>
  <si>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</si>
  <si>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</si>
  <si>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</si>
  <si>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</si>
  <si>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</si>
  <si>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</si>
  <si>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</si>
  <si>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</si>
  <si>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</si>
  <si>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</si>
  <si>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</si>
  <si>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</si>
  <si>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</si>
  <si>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</si>
  <si>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</si>
  <si>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</si>
  <si>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</si>
  <si>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</si>
  <si>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</si>
  <si>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</si>
  <si>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</si>
  <si>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</si>
  <si>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</si>
  <si>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</si>
  <si>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</si>
  <si>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</si>
  <si>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</si>
  <si>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</si>
  <si>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</si>
  <si>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</si>
  <si>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</si>
  <si>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</si>
  <si>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</si>
  <si>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</si>
  <si>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</si>
  <si>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</si>
  <si>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</si>
  <si>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</si>
  <si>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</si>
  <si>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</si>
  <si>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</si>
  <si>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</si>
  <si>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</si>
  <si>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</si>
  <si>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</si>
  <si>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</si>
  <si>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</si>
  <si>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</si>
  <si>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</si>
  <si>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</si>
  <si>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</si>
  <si>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</si>
  <si>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</si>
  <si>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</si>
  <si>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</si>
  <si>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</si>
  <si>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</si>
  <si>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</si>
  <si>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</si>
  <si>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</si>
  <si>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</si>
  <si>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</si>
  <si>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</si>
  <si>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</si>
  <si>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</si>
  <si>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</si>
  <si>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</si>
  <si>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</si>
  <si>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</si>
  <si>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</si>
  <si>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</si>
  <si>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</si>
  <si>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</si>
  <si>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</si>
  <si>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</si>
  <si>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</si>
  <si>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</si>
  <si>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</si>
  <si>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</si>
  <si>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</si>
  <si>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</si>
  <si>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</si>
  <si>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</si>
  <si>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</si>
  <si>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</si>
  <si>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</si>
  <si>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</si>
  <si>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</si>
  <si>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</si>
  <si>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</si>
  <si>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</si>
  <si>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</si>
  <si>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</si>
  <si>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</si>
  <si>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</si>
  <si>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</si>
  <si>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</si>
  <si>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</si>
  <si>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</si>
  <si>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</si>
  <si>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</si>
  <si>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</si>
  <si>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</si>
  <si>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</si>
  <si>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</si>
  <si>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</si>
  <si>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</si>
  <si>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</si>
  <si>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</si>
  <si>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</si>
  <si>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</si>
  <si>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</si>
  <si>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</si>
  <si>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</si>
  <si>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</si>
  <si>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</si>
  <si>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</si>
  <si>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</si>
  <si>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</si>
  <si>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</si>
  <si>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</si>
  <si>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</si>
  <si>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</si>
  <si>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</si>
  <si>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</si>
  <si>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</si>
  <si>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</si>
  <si>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</si>
  <si>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</si>
  <si>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</si>
  <si>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</si>
  <si>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</si>
  <si>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</si>
  <si>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</si>
  <si>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</si>
  <si>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</si>
  <si>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</si>
  <si>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</si>
  <si>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</si>
  <si>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</si>
  <si>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</si>
  <si>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</si>
  <si>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</si>
  <si>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</si>
  <si>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</si>
  <si>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</si>
  <si>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</si>
  <si>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</si>
  <si>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</si>
  <si>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</si>
  <si>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</si>
  <si>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</si>
  <si>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</si>
  <si>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</si>
  <si>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</si>
  <si>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</si>
  <si>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</si>
  <si>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</si>
  <si>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</si>
  <si>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</si>
  <si>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</si>
  <si>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</si>
  <si>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</si>
  <si>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</si>
  <si>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</si>
  <si>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</si>
  <si>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</si>
  <si>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</si>
  <si>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</si>
  <si>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</si>
  <si>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</si>
  <si>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</si>
  <si>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</si>
  <si>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</si>
  <si>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</si>
  <si>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</si>
  <si>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</si>
  <si>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</si>
  <si>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</si>
  <si>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</si>
  <si>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</si>
  <si>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</si>
  <si>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</si>
  <si>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</si>
  <si>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</si>
  <si>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</si>
  <si>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</si>
  <si>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</si>
  <si>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</si>
  <si>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</si>
  <si>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</si>
  <si>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</si>
  <si>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</si>
  <si>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</si>
  <si>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</si>
  <si>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</si>
  <si>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</si>
  <si>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</si>
  <si>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</si>
  <si>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</si>
  <si>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</si>
  <si>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</si>
  <si>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</si>
  <si>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</si>
  <si>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</si>
  <si>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</si>
  <si>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</si>
  <si>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</si>
  <si>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</si>
  <si>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</si>
  <si>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</si>
  <si>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</si>
  <si>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</si>
  <si>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</si>
  <si>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</si>
  <si>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</si>
  <si>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</si>
  <si>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</si>
  <si>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</si>
  <si>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</si>
  <si>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</si>
  <si>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</si>
  <si>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</si>
  <si>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</si>
  <si>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</si>
  <si>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</si>
  <si>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</si>
  <si>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</si>
  <si>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</si>
  <si>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</si>
  <si>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</si>
  <si>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</si>
  <si>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</si>
  <si>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</si>
  <si>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</si>
  <si>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</si>
  <si>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</si>
  <si>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</si>
  <si>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</si>
  <si>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</si>
  <si>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</si>
  <si>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</si>
  <si>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</si>
  <si>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</si>
  <si>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</si>
  <si>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</si>
  <si>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</si>
  <si>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</si>
  <si>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</si>
  <si>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</si>
  <si>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</si>
  <si>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</si>
  <si>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</si>
  <si>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</si>
  <si>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</si>
  <si>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</si>
  <si>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</si>
  <si>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</si>
  <si>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</si>
  <si>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</si>
  <si>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</si>
  <si>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</si>
  <si>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</si>
  <si>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</si>
  <si>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</si>
  <si>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</si>
  <si>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</si>
  <si>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</si>
  <si>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</si>
  <si>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</si>
  <si>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</si>
  <si>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</si>
  <si>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</si>
  <si>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</si>
  <si>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</si>
  <si>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</si>
  <si>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</si>
  <si>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</si>
  <si>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</si>
  <si>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</si>
  <si>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</si>
  <si>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</si>
  <si>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</si>
  <si>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</si>
  <si>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</si>
  <si>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</si>
  <si>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</si>
  <si>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</si>
  <si>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</si>
  <si>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</si>
  <si>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</si>
  <si>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</si>
  <si>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</si>
  <si>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</si>
  <si>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</si>
  <si>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</si>
  <si>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</si>
  <si>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</si>
  <si>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</si>
  <si>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</si>
  <si>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</si>
  <si>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</si>
  <si>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</si>
  <si>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</si>
  <si>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</si>
  <si>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</si>
  <si>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</si>
  <si>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</si>
  <si>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</si>
  <si>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</si>
  <si>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</si>
  <si>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</si>
  <si>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</si>
  <si>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</si>
  <si>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</si>
  <si>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</si>
  <si>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</si>
  <si>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</si>
  <si>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</si>
  <si>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</si>
  <si>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</si>
  <si>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</si>
  <si>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</si>
  <si>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</si>
  <si>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</si>
  <si>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</si>
  <si>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</si>
  <si>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</si>
  <si>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</si>
  <si>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</si>
  <si>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</si>
  <si>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</si>
  <si>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</si>
  <si>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</si>
  <si>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</si>
  <si>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</si>
  <si>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</si>
  <si>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</si>
  <si>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</si>
  <si>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</si>
  <si>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</si>
  <si>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</si>
  <si>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</si>
  <si>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</si>
  <si>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</si>
  <si>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</si>
  <si>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</si>
  <si>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</si>
  <si>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</si>
  <si>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</si>
  <si>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</si>
  <si>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</si>
  <si>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</si>
  <si>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</si>
  <si>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</si>
  <si>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</si>
  <si>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</si>
  <si>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</si>
  <si>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</si>
  <si>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</si>
  <si>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</si>
  <si>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</si>
  <si>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</si>
  <si>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</si>
  <si>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</si>
  <si>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</si>
  <si>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</si>
  <si>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</si>
  <si>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</si>
  <si>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</si>
  <si>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</si>
  <si>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</si>
  <si>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</si>
  <si>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</si>
  <si>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</si>
  <si>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</si>
  <si>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</si>
  <si>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</si>
  <si>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</si>
  <si>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</si>
  <si>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</si>
  <si>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</si>
  <si>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</si>
  <si>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</si>
  <si>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</si>
  <si>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</si>
  <si>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</si>
  <si>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</si>
  <si>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</si>
  <si>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</si>
  <si>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</si>
  <si>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</si>
  <si>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</si>
  <si>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</si>
  <si>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</si>
  <si>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</si>
  <si>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</si>
  <si>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</si>
  <si>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</si>
  <si>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</si>
  <si>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</si>
  <si>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</si>
  <si>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</si>
  <si>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</si>
  <si>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</si>
  <si>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</si>
  <si>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</si>
  <si>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</si>
  <si>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</si>
  <si>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</si>
  <si>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</si>
  <si>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</si>
  <si>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</si>
  <si>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</si>
  <si>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</si>
  <si>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</si>
  <si>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</si>
  <si>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</si>
  <si>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</si>
  <si>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</si>
  <si>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</si>
  <si>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</si>
  <si>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</si>
  <si>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</si>
  <si>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</si>
  <si>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</si>
  <si>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</si>
  <si>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</si>
  <si>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</si>
  <si>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</si>
  <si>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</si>
  <si>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</si>
  <si>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</si>
  <si>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</si>
  <si>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</si>
  <si>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</si>
  <si>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</si>
  <si>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</si>
  <si>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</si>
  <si>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</si>
  <si>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</si>
  <si>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</si>
  <si>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</si>
  <si>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</si>
  <si>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</si>
  <si>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</si>
  <si>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</si>
  <si>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</si>
  <si>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</si>
  <si>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</si>
  <si>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</si>
  <si>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</si>
  <si>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</si>
  <si>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</si>
  <si>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</si>
  <si>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</si>
  <si>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</si>
  <si>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</si>
  <si>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</si>
  <si>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</si>
  <si>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</si>
  <si>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</si>
  <si>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</si>
  <si>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</si>
  <si>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</si>
  <si>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</si>
  <si>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</si>
  <si>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</si>
  <si>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</si>
  <si>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</si>
  <si>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</si>
  <si>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</si>
  <si>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</si>
  <si>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</si>
  <si>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</si>
  <si>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</si>
  <si>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</si>
  <si>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</si>
  <si>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</si>
  <si>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</si>
  <si>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</si>
  <si>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</si>
  <si>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</si>
  <si>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</si>
  <si>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</si>
  <si>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</si>
  <si>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</si>
  <si>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</si>
  <si>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</si>
  <si>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</si>
  <si>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</si>
  <si>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</si>
  <si>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</si>
  <si>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</si>
  <si>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</si>
  <si>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</si>
  <si>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</si>
  <si>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</si>
  <si>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</si>
  <si>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</si>
  <si>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</si>
  <si>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</si>
  <si>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</si>
  <si>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</si>
  <si>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</si>
  <si>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</si>
  <si>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</si>
  <si>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</si>
  <si>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</si>
  <si>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</si>
  <si>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</si>
  <si>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</si>
  <si>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</si>
  <si>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</si>
  <si>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</si>
  <si>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</si>
  <si>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</si>
  <si>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</si>
  <si>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</si>
  <si>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</si>
  <si>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</si>
  <si>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</si>
  <si>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</si>
  <si>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</si>
  <si>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</si>
  <si>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</si>
  <si>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</si>
  <si>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</si>
  <si>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</si>
  <si>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</si>
  <si>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</si>
  <si>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</si>
  <si>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</si>
  <si>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</si>
  <si>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</si>
  <si>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</si>
  <si>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</si>
  <si>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</si>
  <si>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</si>
  <si>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</si>
  <si>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</si>
  <si>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</si>
  <si>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</si>
  <si>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</si>
  <si>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</si>
  <si>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</si>
  <si>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</si>
  <si>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</si>
  <si>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</si>
  <si>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</si>
  <si>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</si>
  <si>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</si>
  <si>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</si>
  <si>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</si>
  <si>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</si>
  <si>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</si>
  <si>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</si>
  <si>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</si>
  <si>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</si>
  <si>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</si>
  <si>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</si>
  <si>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</si>
  <si>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</si>
  <si>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</si>
  <si>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</si>
  <si>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</si>
  <si>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</si>
  <si>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</si>
  <si>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</si>
  <si>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</si>
  <si>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</si>
  <si>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</si>
  <si>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</si>
  <si>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</si>
  <si>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</si>
  <si>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</si>
  <si>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</si>
  <si>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</si>
  <si>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</si>
  <si>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</si>
  <si>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</si>
  <si>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</si>
  <si>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</si>
  <si>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</si>
  <si>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</si>
  <si>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</si>
  <si>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</si>
  <si>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</si>
  <si>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</si>
  <si>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</si>
  <si>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</si>
  <si>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</si>
  <si>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</si>
  <si>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</si>
  <si>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</si>
  <si>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</si>
  <si>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</si>
  <si>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</si>
  <si>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</si>
  <si>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</si>
  <si>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</si>
  <si>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</si>
  <si>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</si>
  <si>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</si>
  <si>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</si>
  <si>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</si>
  <si>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</si>
  <si>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</si>
  <si>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</si>
  <si>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</si>
  <si>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</si>
  <si>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</si>
  <si>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</si>
  <si>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</si>
  <si>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</si>
  <si>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</si>
  <si>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</si>
  <si>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</si>
  <si>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</si>
  <si>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</si>
  <si>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</si>
  <si>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</si>
  <si>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</si>
  <si>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</si>
  <si>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</si>
  <si>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</si>
  <si>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</si>
  <si>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</si>
  <si>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</si>
  <si>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</si>
  <si>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</si>
  <si>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</si>
  <si>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</si>
  <si>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</si>
  <si>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</si>
  <si>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</si>
  <si>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</si>
  <si>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</si>
  <si>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</si>
  <si>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</si>
  <si>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</si>
  <si>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</si>
  <si>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</si>
  <si>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</si>
  <si>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</si>
  <si>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</si>
  <si>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</si>
  <si>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</si>
  <si>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</si>
  <si>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</si>
  <si>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</si>
  <si>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</si>
  <si>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</si>
  <si>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</si>
  <si>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</si>
  <si>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</si>
  <si>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</si>
  <si>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</si>
  <si>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</si>
  <si>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</si>
  <si>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</si>
  <si>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</si>
  <si>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</si>
  <si>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</si>
  <si>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</si>
  <si>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</si>
  <si>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</si>
  <si>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</si>
  <si>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</si>
  <si>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</si>
  <si>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</si>
  <si>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</si>
  <si>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</si>
  <si>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</si>
  <si>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</si>
  <si>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</si>
  <si>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</si>
  <si>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</si>
  <si>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</si>
  <si>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</si>
  <si>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</si>
  <si>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</si>
  <si>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</si>
  <si>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</si>
  <si>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</si>
  <si>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</si>
  <si>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</si>
  <si>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</si>
  <si>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</si>
  <si>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</si>
  <si>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</si>
  <si>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</si>
  <si>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</si>
  <si>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</si>
  <si>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</si>
  <si>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</si>
  <si>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</si>
  <si>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</si>
  <si>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</si>
  <si>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</si>
  <si>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</si>
  <si>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</si>
  <si>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</si>
  <si>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</si>
  <si>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</si>
  <si>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</si>
  <si>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</si>
  <si>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</si>
  <si>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</si>
  <si>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</si>
  <si>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</si>
  <si>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</si>
  <si>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</si>
  <si>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</si>
  <si>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</si>
  <si>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</si>
  <si>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</si>
  <si>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</si>
  <si>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</si>
  <si>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</si>
  <si>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</si>
  <si>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</si>
  <si>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</si>
  <si>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</si>
  <si>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</si>
  <si>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</si>
  <si>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</si>
  <si>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</si>
  <si>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</si>
  <si>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</si>
  <si>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</si>
  <si>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</si>
  <si>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</si>
  <si>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</si>
  <si>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</si>
  <si>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</si>
  <si>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</si>
  <si>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</si>
  <si>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</si>
  <si>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</si>
  <si>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</si>
  <si>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</si>
  <si>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</si>
  <si>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</si>
  <si>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</si>
  <si>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</si>
  <si>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</si>
  <si>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</si>
  <si>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</si>
  <si>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</si>
  <si>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</si>
  <si>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</si>
  <si>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</si>
  <si>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</si>
  <si>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</si>
  <si>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</si>
  <si>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</si>
  <si>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</si>
  <si>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</si>
  <si>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</si>
  <si>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</si>
  <si>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</si>
  <si>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</si>
  <si>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</si>
  <si>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</si>
  <si>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</si>
  <si>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</si>
  <si>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</si>
  <si>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</si>
  <si>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</si>
  <si>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</si>
  <si>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</si>
  <si>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</si>
  <si>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</si>
  <si>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</si>
  <si>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</si>
  <si>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</si>
  <si>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</si>
  <si>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</si>
  <si>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</si>
  <si>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</si>
  <si>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</si>
  <si>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</si>
  <si>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</si>
  <si>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</si>
  <si>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</si>
  <si>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</si>
  <si>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</si>
  <si>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</si>
  <si>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</si>
  <si>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</si>
  <si>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</si>
  <si>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</si>
  <si>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</si>
  <si>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</si>
  <si>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</si>
  <si>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</si>
  <si>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</si>
  <si>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</si>
  <si>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</si>
  <si>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</si>
  <si>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</si>
  <si>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</si>
  <si>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</si>
  <si>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</si>
  <si>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</si>
  <si>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</si>
  <si>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</si>
  <si>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</si>
  <si>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</si>
  <si>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</si>
  <si>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</si>
  <si>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</si>
  <si>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</si>
  <si>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</si>
  <si>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</si>
  <si>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</si>
  <si>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</si>
  <si>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</si>
  <si>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</si>
  <si>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</si>
  <si>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</si>
  <si>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</si>
  <si>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</si>
  <si>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</si>
  <si>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</si>
  <si>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</si>
  <si>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</si>
  <si>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</si>
  <si>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</si>
  <si>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</si>
  <si>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</si>
  <si>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</si>
  <si>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</si>
  <si>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</si>
  <si>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</si>
  <si>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</si>
  <si>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</si>
  <si>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</si>
  <si>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</si>
  <si>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</si>
  <si>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</si>
  <si>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</si>
  <si>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</si>
  <si>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</si>
  <si>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</si>
  <si>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</si>
  <si>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</si>
  <si>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</si>
  <si>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</si>
  <si>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</si>
  <si>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</si>
  <si>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</si>
  <si>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</si>
  <si>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</si>
  <si>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</si>
  <si>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</si>
  <si>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</si>
  <si>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</si>
  <si>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</si>
  <si>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</si>
  <si>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</si>
  <si>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</si>
  <si>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</si>
  <si>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</si>
  <si>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</si>
  <si>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</si>
  <si>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</si>
  <si>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</si>
  <si>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</si>
  <si>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</si>
  <si>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</si>
  <si>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</si>
  <si>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</si>
  <si>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</si>
  <si>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</si>
  <si>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</si>
  <si>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</si>
  <si>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</si>
  <si>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</si>
  <si>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</si>
  <si>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</si>
  <si>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</si>
  <si>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</si>
  <si>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</si>
  <si>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</si>
  <si>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</si>
  <si>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</si>
  <si>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</si>
  <si>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</si>
  <si>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</si>
  <si>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</si>
  <si>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</si>
  <si>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</si>
  <si>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</si>
  <si>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</si>
  <si>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</si>
  <si>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</si>
  <si>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</si>
  <si>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</si>
  <si>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</si>
  <si>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</si>
  <si>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</si>
  <si>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</si>
  <si>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</si>
  <si>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</si>
  <si>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</si>
  <si>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</si>
  <si>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</si>
  <si>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</si>
  <si>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</si>
  <si>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</si>
  <si>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</si>
  <si>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</si>
  <si>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</si>
  <si>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</si>
  <si>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</si>
  <si>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</si>
  <si>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</si>
  <si>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</si>
  <si>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</si>
  <si>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</si>
  <si>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</si>
  <si>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</si>
  <si>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</si>
  <si>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</si>
  <si>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</si>
  <si>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</si>
  <si>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</si>
  <si>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</si>
  <si>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</si>
  <si>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</si>
  <si>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</si>
  <si>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</si>
  <si>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</si>
  <si>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</si>
  <si>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</si>
  <si>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</si>
  <si>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</si>
  <si>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</si>
  <si>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</si>
  <si>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</si>
  <si>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</si>
  <si>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</si>
  <si>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</si>
  <si>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</si>
  <si>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</si>
  <si>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</si>
  <si>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</si>
  <si>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</si>
  <si>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</si>
  <si>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</si>
  <si>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</si>
  <si>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</si>
  <si>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</si>
  <si>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</si>
  <si>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</si>
  <si>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</si>
  <si>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</si>
  <si>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</si>
  <si>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</si>
  <si>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</si>
  <si>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</si>
  <si>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</si>
  <si>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</si>
  <si>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</si>
  <si>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</si>
  <si>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</si>
  <si>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</si>
  <si>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</si>
  <si>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</si>
  <si>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</si>
  <si>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</si>
  <si>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</si>
  <si>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</si>
  <si>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</si>
  <si>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</si>
  <si>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</si>
  <si>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</si>
  <si>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</si>
  <si>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</si>
  <si>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</si>
  <si>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</si>
  <si>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</si>
  <si>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</si>
  <si>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</si>
  <si>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</si>
  <si>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</si>
  <si>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</si>
  <si>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</si>
  <si>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</si>
  <si>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</si>
  <si>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</si>
  <si>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</si>
  <si>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</si>
  <si>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</si>
  <si>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</si>
  <si>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</si>
  <si>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</si>
  <si>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</si>
  <si>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</si>
  <si>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</si>
  <si>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</si>
  <si>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</si>
  <si>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</si>
  <si>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</si>
  <si>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</si>
  <si>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</si>
  <si>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</si>
  <si>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</si>
  <si>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</si>
  <si>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</si>
  <si>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</si>
  <si>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</si>
  <si>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</si>
  <si>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</si>
  <si>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</si>
  <si>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</si>
  <si>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</si>
  <si>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</si>
  <si>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</si>
  <si>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</si>
  <si>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</si>
  <si>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</si>
  <si>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</si>
  <si>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</si>
  <si>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</si>
  <si>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</si>
  <si>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</si>
  <si>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</si>
  <si>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</si>
  <si>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</si>
  <si>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</si>
  <si>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</si>
  <si>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</si>
  <si>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</si>
  <si>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</si>
  <si>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</si>
  <si>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</si>
  <si>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</si>
  <si>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</si>
  <si>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</si>
  <si>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</si>
  <si>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</si>
  <si>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</si>
  <si>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</si>
  <si>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</si>
  <si>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</si>
  <si>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</si>
  <si>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</si>
  <si>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</si>
  <si>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</si>
  <si>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</si>
  <si>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</si>
  <si>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</si>
  <si>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</si>
  <si>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</si>
  <si>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</si>
  <si>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</si>
  <si>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</si>
  <si>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</si>
  <si>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</si>
  <si>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</si>
  <si>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</si>
  <si>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</si>
  <si>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</si>
  <si>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</si>
  <si>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</si>
  <si>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</si>
  <si>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</si>
  <si>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</si>
  <si>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</si>
  <si>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</si>
  <si>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</si>
  <si>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</si>
  <si>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</si>
  <si>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</si>
  <si>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</si>
  <si>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</si>
  <si>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</si>
  <si>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</si>
  <si>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</si>
  <si>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</si>
  <si>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</si>
  <si>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</si>
  <si>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</si>
  <si>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</si>
  <si>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</si>
  <si>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</si>
  <si>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</si>
  <si>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</si>
  <si>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</si>
  <si>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</si>
  <si>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</si>
  <si>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</si>
  <si>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</si>
  <si>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</si>
  <si>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</si>
  <si>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</si>
  <si>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</si>
  <si>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</si>
  <si>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</si>
  <si>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</si>
  <si>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</si>
  <si>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</si>
  <si>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</si>
  <si>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</si>
  <si>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</si>
  <si>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</si>
  <si>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</si>
  <si>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</si>
  <si>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</si>
  <si>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</si>
  <si>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</si>
  <si>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</si>
  <si>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</si>
  <si>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</si>
  <si>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</si>
  <si>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</si>
  <si>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</si>
  <si>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</si>
  <si>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</si>
  <si>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</si>
  <si>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</si>
  <si>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</si>
  <si>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</si>
  <si>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</si>
  <si>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</si>
  <si>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</si>
  <si>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</si>
  <si>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</si>
  <si>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</si>
  <si>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</si>
  <si>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</si>
  <si>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</si>
  <si>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</si>
  <si>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</si>
  <si>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</si>
  <si>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</si>
  <si>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</si>
  <si>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</si>
  <si>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</si>
  <si>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</si>
  <si>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</si>
  <si>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</si>
  <si>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</si>
  <si>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</si>
  <si>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</si>
  <si>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</si>
  <si>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</si>
  <si>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</si>
  <si>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</si>
  <si>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</si>
  <si>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</si>
  <si>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</si>
  <si>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</si>
  <si>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</si>
  <si>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</si>
  <si>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</si>
  <si>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</si>
  <si>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</si>
  <si>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</si>
  <si>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</si>
  <si>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</si>
  <si>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</si>
  <si>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</si>
  <si>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</si>
  <si>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</si>
  <si>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</si>
  <si>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</si>
  <si>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</si>
  <si>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</si>
  <si>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</si>
  <si>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</si>
  <si>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</si>
  <si>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</si>
  <si>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</si>
  <si>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</si>
  <si>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</si>
  <si>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</si>
  <si>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</si>
  <si>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</si>
  <si>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</si>
  <si>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</si>
  <si>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</si>
  <si>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</si>
  <si>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</si>
  <si>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</si>
  <si>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</si>
  <si>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</si>
  <si>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</si>
  <si>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</si>
  <si>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</si>
  <si>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</si>
  <si>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</si>
  <si>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</si>
  <si>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</si>
  <si>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</si>
  <si>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</si>
  <si>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</si>
  <si>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</si>
  <si>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</si>
  <si>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</si>
  <si>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</si>
  <si>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</si>
  <si>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</si>
  <si>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</si>
  <si>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</si>
  <si>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</si>
  <si>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</si>
  <si>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</si>
  <si>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</si>
  <si>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</si>
  <si>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</si>
  <si>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</si>
  <si>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</si>
  <si>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</si>
  <si>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</si>
  <si>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</si>
  <si>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</si>
  <si>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</si>
  <si>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</si>
  <si>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</si>
  <si>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</si>
  <si>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</si>
  <si>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</si>
  <si>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</si>
  <si>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</si>
  <si>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</si>
  <si>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</si>
  <si>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</si>
  <si>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</si>
  <si>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</si>
  <si>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</si>
  <si>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</si>
  <si>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</si>
  <si>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</si>
  <si>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</si>
  <si>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</si>
  <si>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</si>
  <si>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</si>
  <si>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</si>
  <si>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</si>
  <si>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</si>
  <si>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</si>
  <si>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</si>
  <si>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</si>
  <si>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</si>
  <si>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</si>
  <si>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</si>
  <si>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</si>
  <si>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</si>
  <si>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</si>
  <si>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</si>
  <si>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</si>
  <si>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</si>
  <si>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</si>
  <si>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</si>
  <si>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</si>
  <si>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</si>
  <si>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</si>
  <si>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</si>
  <si>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</si>
  <si>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</si>
  <si>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</si>
  <si>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</si>
  <si>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</si>
  <si>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</si>
  <si>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</si>
  <si>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</si>
  <si>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</si>
  <si>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</si>
  <si>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</si>
  <si>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</si>
  <si>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</si>
  <si>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</si>
  <si>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</si>
  <si>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</si>
  <si>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</si>
  <si>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</si>
  <si>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</si>
  <si>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</si>
  <si>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</si>
  <si>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</si>
  <si>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</si>
  <si>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</si>
  <si>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</si>
  <si>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</si>
  <si>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</si>
  <si>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</si>
  <si>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</si>
  <si>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</si>
  <si>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</si>
  <si>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</si>
  <si>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</si>
  <si>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</si>
  <si>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</si>
  <si>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</si>
  <si>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</si>
  <si>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</si>
  <si>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</si>
  <si>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</si>
  <si>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</si>
  <si>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</si>
  <si>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</si>
  <si>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</si>
  <si>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</si>
  <si>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</si>
  <si>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</si>
  <si>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</si>
  <si>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</si>
  <si>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</si>
  <si>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</si>
  <si>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</si>
  <si>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</si>
  <si>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</si>
  <si>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</si>
  <si>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</si>
  <si>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</si>
  <si>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</si>
  <si>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</si>
  <si>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</si>
  <si>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</si>
  <si>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</si>
  <si>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</si>
  <si>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</si>
  <si>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</si>
  <si>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</si>
  <si>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</si>
  <si>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</si>
  <si>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</si>
  <si>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</si>
  <si>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</si>
  <si>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</si>
  <si>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</si>
  <si>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</si>
  <si>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</si>
  <si>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</si>
  <si>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</si>
  <si>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</si>
  <si>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</si>
  <si>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</si>
  <si>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</si>
  <si>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</si>
  <si>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</si>
  <si>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</si>
  <si>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</si>
  <si>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</si>
  <si>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</si>
  <si>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</si>
  <si>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</si>
  <si>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</si>
  <si>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</si>
  <si>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</si>
  <si>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</si>
  <si>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</si>
  <si>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</si>
  <si>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</si>
  <si>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</si>
  <si>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</si>
  <si>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</si>
  <si>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</si>
  <si>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</si>
  <si>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</si>
  <si>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</si>
  <si>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</si>
  <si>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</si>
  <si>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</si>
  <si>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</si>
  <si>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</si>
  <si>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</si>
  <si>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</si>
  <si>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</si>
  <si>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</si>
  <si>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</si>
  <si>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</si>
  <si>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</si>
  <si>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</si>
  <si>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</si>
  <si>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</si>
  <si>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</si>
  <si>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</si>
  <si>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</si>
  <si>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</si>
  <si>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</si>
  <si>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</si>
  <si>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</si>
  <si>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</si>
  <si>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</si>
  <si>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</si>
  <si>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</si>
  <si>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</si>
  <si>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</si>
  <si>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</si>
  <si>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</si>
  <si>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</si>
  <si>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</si>
  <si>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</si>
  <si>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</si>
  <si>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</si>
  <si>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</si>
  <si>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</si>
  <si>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</si>
  <si>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</si>
  <si>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</si>
  <si>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</si>
  <si>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</si>
  <si>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</si>
  <si>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</si>
  <si>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</si>
  <si>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</si>
  <si>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</si>
  <si>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</si>
  <si>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</si>
  <si>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</si>
  <si>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</si>
  <si>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</si>
  <si>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</si>
  <si>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</si>
  <si>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</si>
  <si>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</si>
  <si>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</si>
  <si>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</si>
  <si>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</si>
  <si>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</si>
  <si>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</si>
  <si>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</si>
  <si>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</si>
  <si>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</si>
  <si>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</si>
  <si>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</si>
  <si>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</si>
  <si>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</si>
  <si>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</si>
  <si>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</si>
  <si>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</si>
  <si>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</si>
  <si>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</si>
  <si>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</si>
  <si>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</si>
  <si>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</si>
  <si>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</si>
  <si>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</si>
  <si>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</si>
  <si>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</si>
  <si>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</si>
  <si>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</si>
  <si>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</si>
  <si>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</si>
  <si>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</si>
  <si>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</si>
  <si>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</si>
  <si>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</si>
  <si>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</si>
  <si>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</si>
  <si>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</si>
  <si>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</si>
  <si>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</si>
  <si>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</si>
  <si>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</si>
  <si>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</si>
  <si>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</si>
  <si>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</si>
  <si>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</si>
  <si>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</si>
  <si>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</si>
  <si>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</si>
  <si>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</si>
  <si>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</si>
  <si>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</si>
  <si>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</si>
  <si>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</si>
  <si>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</si>
  <si>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</si>
  <si>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</si>
  <si>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</si>
  <si>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</si>
  <si>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</si>
  <si>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</si>
  <si>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</si>
  <si>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</si>
  <si>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</si>
  <si>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</si>
  <si>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</si>
  <si>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</si>
  <si>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</si>
  <si>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</si>
  <si>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</si>
  <si>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</si>
  <si>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</si>
  <si>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</si>
  <si>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</si>
  <si>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</si>
  <si>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</si>
  <si>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</si>
  <si>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</si>
  <si>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</si>
  <si>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</si>
  <si>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</si>
  <si>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</si>
  <si>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</si>
  <si>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</si>
  <si>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</si>
  <si>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</si>
  <si>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</si>
  <si>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</si>
  <si>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</si>
  <si>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</si>
  <si>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</si>
  <si>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</si>
  <si>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</si>
  <si>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</si>
  <si>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</si>
  <si>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</si>
  <si>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</si>
  <si>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</si>
  <si>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</si>
  <si>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</si>
  <si>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</si>
  <si>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</si>
  <si>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</si>
  <si>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</si>
  <si>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</si>
  <si>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</si>
  <si>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</si>
  <si>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</si>
  <si>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</si>
  <si>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</si>
  <si>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</si>
  <si>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</si>
  <si>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</si>
  <si>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</si>
  <si>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</si>
  <si>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</si>
  <si>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</si>
  <si>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</si>
  <si>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</si>
  <si>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</si>
  <si>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</si>
  <si>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</si>
  <si>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</si>
  <si>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</si>
  <si>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</si>
  <si>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</si>
  <si>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</si>
  <si>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</si>
  <si>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</si>
  <si>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</si>
  <si>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</si>
  <si>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</si>
  <si>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</si>
  <si>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</si>
  <si>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</si>
  <si>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</si>
  <si>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</si>
  <si>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</si>
  <si>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</si>
  <si>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</si>
  <si>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</si>
  <si>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</si>
  <si>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</si>
  <si>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</si>
  <si>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</si>
  <si>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</si>
  <si>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</si>
  <si>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</si>
  <si>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</si>
  <si>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</si>
  <si>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</si>
  <si>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</si>
  <si>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</si>
  <si>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</si>
  <si>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</si>
  <si>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</si>
  <si>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</si>
  <si>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</si>
  <si>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</si>
  <si>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</si>
  <si>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</si>
  <si>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</si>
  <si>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</si>
  <si>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</si>
  <si>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</si>
  <si>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</si>
  <si>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</si>
  <si>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</si>
  <si>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</si>
  <si>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</si>
  <si>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</si>
  <si>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</si>
  <si>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</si>
  <si>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</si>
  <si>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</si>
  <si>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</si>
  <si>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</si>
  <si>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</si>
  <si>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</si>
  <si>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</si>
  <si>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</si>
  <si>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</si>
  <si>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</si>
  <si>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</si>
  <si>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</si>
  <si>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</si>
  <si>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</si>
  <si>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</si>
  <si>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</si>
  <si>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</si>
  <si>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</si>
  <si>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</si>
  <si>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</si>
  <si>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</si>
  <si>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</si>
  <si>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</si>
  <si>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</si>
  <si>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</si>
  <si>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</si>
  <si>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</si>
  <si>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</si>
  <si>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</si>
  <si>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</si>
  <si>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</si>
  <si>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</si>
  <si>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</si>
  <si>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</si>
  <si>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</si>
  <si>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</si>
  <si>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</si>
  <si>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</si>
  <si>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</si>
  <si>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</si>
  <si>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</si>
  <si>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</si>
  <si>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</si>
  <si>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</si>
  <si>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</si>
  <si>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</si>
  <si>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</si>
  <si>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</si>
  <si>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</si>
  <si>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</si>
  <si>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</si>
  <si>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</si>
  <si>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</si>
  <si>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</si>
  <si>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</si>
  <si>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</si>
  <si>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</si>
  <si>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</si>
  <si>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</si>
  <si>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</si>
  <si>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</si>
  <si>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</si>
  <si>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</si>
  <si>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</si>
  <si>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</si>
  <si>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</si>
  <si>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</si>
  <si>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</si>
  <si>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</si>
  <si>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</si>
  <si>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</si>
  <si>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</si>
  <si>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</si>
  <si>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</si>
  <si>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</si>
  <si>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</si>
  <si>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</si>
  <si>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</si>
  <si>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</si>
  <si>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</si>
  <si>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</si>
  <si>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</si>
  <si>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</si>
  <si>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</si>
  <si>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</si>
  <si>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</si>
  <si>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</si>
  <si>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</si>
  <si>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</si>
  <si>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</si>
  <si>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</si>
  <si>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</si>
  <si>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</si>
  <si>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</si>
  <si>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</si>
  <si>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</si>
  <si>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</si>
  <si>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</si>
  <si>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</si>
  <si>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</si>
  <si>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</si>
  <si>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</si>
  <si>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</si>
  <si>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</si>
  <si>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</si>
  <si>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</si>
  <si>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</si>
  <si>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</si>
  <si>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</si>
  <si>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</si>
  <si>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</si>
  <si>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</si>
  <si>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</si>
  <si>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</si>
  <si>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</si>
  <si>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</si>
  <si>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</si>
  <si>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</si>
  <si>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</si>
  <si>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</si>
  <si>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</si>
  <si>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</si>
  <si>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</si>
  <si>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</si>
  <si>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</si>
  <si>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</si>
  <si>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</si>
  <si>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</si>
  <si>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</si>
  <si>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</si>
  <si>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</si>
  <si>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</si>
  <si>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</si>
  <si>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</si>
  <si>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</si>
  <si>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</si>
  <si>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</si>
  <si>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</si>
  <si>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</si>
  <si>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</si>
  <si>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</si>
  <si>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</si>
  <si>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</si>
  <si>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</si>
  <si>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</si>
  <si>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</si>
  <si>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</si>
  <si>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</si>
  <si>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</si>
  <si>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</si>
  <si>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</si>
  <si>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</si>
  <si>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</si>
  <si>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</si>
  <si>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</si>
  <si>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</si>
  <si>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</si>
  <si>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</si>
  <si>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</si>
  <si>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</si>
  <si>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</si>
  <si>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</si>
  <si>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</si>
  <si>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</si>
  <si>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</si>
  <si>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</si>
  <si>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</si>
  <si>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</si>
  <si>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</si>
  <si>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</si>
  <si>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</si>
  <si>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</si>
  <si>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</si>
  <si>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</si>
  <si>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</si>
  <si>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</si>
  <si>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</si>
  <si>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</si>
  <si>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</si>
  <si>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</si>
  <si>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</si>
  <si>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</si>
  <si>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</si>
  <si>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</si>
  <si>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</si>
  <si>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</si>
  <si>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</si>
  <si>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</si>
  <si>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</si>
  <si>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</si>
  <si>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</si>
  <si>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</si>
  <si>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</si>
  <si>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</si>
  <si>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</si>
  <si>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</si>
  <si>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</si>
  <si>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</si>
  <si>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</si>
  <si>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</si>
  <si>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</si>
  <si>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</si>
  <si>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</si>
  <si>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</si>
  <si>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</si>
  <si>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</si>
  <si>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</si>
  <si>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</si>
  <si>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</si>
  <si>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</si>
  <si>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</si>
  <si>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</si>
  <si>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</si>
  <si>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</si>
  <si>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</si>
  <si>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</si>
  <si>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</si>
  <si>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</si>
  <si>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</si>
  <si>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</si>
  <si>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</si>
  <si>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</si>
  <si>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</si>
  <si>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</si>
  <si>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</si>
  <si>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</si>
  <si>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</si>
  <si>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</si>
  <si>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</si>
  <si>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</si>
  <si>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</si>
  <si>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</si>
  <si>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</si>
  <si>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</si>
  <si>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</si>
  <si>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</si>
  <si>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</si>
  <si>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</si>
  <si>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</si>
  <si>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</si>
  <si>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</si>
  <si>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</si>
  <si>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</si>
  <si>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</si>
  <si>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</si>
  <si>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</si>
  <si>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</si>
  <si>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</si>
  <si>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</si>
  <si>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</si>
  <si>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</si>
  <si>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</si>
  <si>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</si>
  <si>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</si>
  <si>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</si>
  <si>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</si>
  <si>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</si>
  <si>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</si>
  <si>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</si>
  <si>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</si>
  <si>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</si>
  <si>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</si>
  <si>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</si>
  <si>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</si>
  <si>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</si>
  <si>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</si>
  <si>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</si>
  <si>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</si>
  <si>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</si>
  <si>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</si>
  <si>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</si>
  <si>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</si>
  <si>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</si>
  <si>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</si>
  <si>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</si>
  <si>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</si>
  <si>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</si>
  <si>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</si>
  <si>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</si>
  <si>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</si>
  <si>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</si>
  <si>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</si>
  <si>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</si>
  <si>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</si>
  <si>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</si>
  <si>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</si>
  <si>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</si>
  <si>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</si>
  <si>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</si>
  <si>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</si>
  <si>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</si>
  <si>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</si>
  <si>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</si>
  <si>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</si>
  <si>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</si>
  <si>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</si>
  <si>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</si>
  <si>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</si>
  <si>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</si>
  <si>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</si>
  <si>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</si>
  <si>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</si>
  <si>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</si>
  <si>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</si>
  <si>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</si>
  <si>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</si>
  <si>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</si>
  <si>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</si>
  <si>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</si>
  <si>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</si>
  <si>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</si>
  <si>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</si>
  <si>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</si>
  <si>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</si>
  <si>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</si>
  <si>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</si>
  <si>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</si>
  <si>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</si>
  <si>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</si>
  <si>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</si>
  <si>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</si>
  <si>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</si>
  <si>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</si>
  <si>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</si>
  <si>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</si>
  <si>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</si>
  <si>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</si>
  <si>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</si>
  <si>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</si>
  <si>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</si>
  <si>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</si>
  <si>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</si>
  <si>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</si>
  <si>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</si>
  <si>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</si>
  <si>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</si>
  <si>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</si>
  <si>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</si>
  <si>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</si>
  <si>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</si>
  <si>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</si>
  <si>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</si>
  <si>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</si>
  <si>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</si>
  <si>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</si>
  <si>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</si>
  <si>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</si>
  <si>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</si>
  <si>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</si>
  <si>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</si>
  <si>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</si>
  <si>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</si>
  <si>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</si>
  <si>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</si>
  <si>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</si>
  <si>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</si>
  <si>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</si>
  <si>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</si>
  <si>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</si>
  <si>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</si>
  <si>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</si>
  <si>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</si>
  <si>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</si>
  <si>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</si>
  <si>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</si>
  <si>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</si>
  <si>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</si>
  <si>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</si>
  <si>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</si>
  <si>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</si>
  <si>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</si>
  <si>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</si>
  <si>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</si>
  <si>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</si>
  <si>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</si>
  <si>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</si>
  <si>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</si>
  <si>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</si>
  <si>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</si>
  <si>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</si>
  <si>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</si>
  <si>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</si>
  <si>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</si>
  <si>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</si>
  <si>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</si>
  <si>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</si>
  <si>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</si>
  <si>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</si>
  <si>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</si>
  <si>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</si>
  <si>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</si>
  <si>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</si>
  <si>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</si>
  <si>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</si>
  <si>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</si>
  <si>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</si>
  <si>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</si>
  <si>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</si>
  <si>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</si>
  <si>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</si>
  <si>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</si>
  <si>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</si>
  <si>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</si>
  <si>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</si>
  <si>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</si>
  <si>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</si>
  <si>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</si>
  <si>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</si>
  <si>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</si>
  <si>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</si>
  <si>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</si>
  <si>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</si>
  <si>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</si>
  <si>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</si>
  <si>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</si>
  <si>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</si>
  <si>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</si>
  <si>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</si>
  <si>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</si>
  <si>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</si>
  <si>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</si>
  <si>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</si>
  <si>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</si>
  <si>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</si>
  <si>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</si>
  <si>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</si>
  <si>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</si>
  <si>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</si>
  <si>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</si>
  <si>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</si>
  <si>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</si>
  <si>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</si>
  <si>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</si>
  <si>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</si>
  <si>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</si>
  <si>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</si>
  <si>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</si>
  <si>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</si>
  <si>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</si>
  <si>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</si>
  <si>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</si>
  <si>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</si>
  <si>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</si>
  <si>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</si>
  <si>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</si>
  <si>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</si>
  <si>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</si>
  <si>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</si>
  <si>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</si>
  <si>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</si>
  <si>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</si>
  <si>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</si>
  <si>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</si>
  <si>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</si>
  <si>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</si>
  <si>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</si>
  <si>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</si>
  <si>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</si>
  <si>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</si>
  <si>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</si>
  <si>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</si>
  <si>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</si>
  <si>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</si>
  <si>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</si>
  <si>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</si>
  <si>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</si>
  <si>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</si>
  <si>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</si>
  <si>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</si>
  <si>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</si>
  <si>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</si>
  <si>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</si>
  <si>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</si>
  <si>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</si>
  <si>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</si>
  <si>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</si>
  <si>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</si>
  <si>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</si>
  <si>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</si>
  <si>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</si>
  <si>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</si>
  <si>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</si>
  <si>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</si>
  <si>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</si>
  <si>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</si>
  <si>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</si>
  <si>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</si>
  <si>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</si>
  <si>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</si>
  <si>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</si>
  <si>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</si>
  <si>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</si>
  <si>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</si>
  <si>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</si>
  <si>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</si>
  <si>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</si>
  <si>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</si>
  <si>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</si>
  <si>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</si>
  <si>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</si>
  <si>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</si>
  <si>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</si>
  <si>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</si>
  <si>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</si>
  <si>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</si>
  <si>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</si>
  <si>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</si>
  <si>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</si>
  <si>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</si>
  <si>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</si>
  <si>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</si>
  <si>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</si>
  <si>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</si>
  <si>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</si>
  <si>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</si>
  <si>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</si>
  <si>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</si>
  <si>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</si>
  <si>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</si>
  <si>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</si>
  <si>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</si>
  <si>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</si>
  <si>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</si>
  <si>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</si>
  <si>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</si>
  <si>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</si>
  <si>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</si>
  <si>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</si>
  <si>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</si>
  <si>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</si>
  <si>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</si>
  <si>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</si>
  <si>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</si>
  <si>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</si>
  <si>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</si>
  <si>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</si>
  <si>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</si>
  <si>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</si>
  <si>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</si>
  <si>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</si>
  <si>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</si>
  <si>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</si>
  <si>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</si>
  <si>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</si>
  <si>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</si>
  <si>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</si>
  <si>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</si>
  <si>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</si>
  <si>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</si>
  <si>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</si>
  <si>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</si>
  <si>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</si>
  <si>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</si>
  <si>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</si>
  <si>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</si>
  <si>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</si>
  <si>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</si>
  <si>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</si>
  <si>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</si>
  <si>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</si>
  <si>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</si>
  <si>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</si>
  <si>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</si>
  <si>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</si>
  <si>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</si>
  <si>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</si>
  <si>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</si>
  <si>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</si>
  <si>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</si>
  <si>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</si>
  <si>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</si>
  <si>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</si>
  <si>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</si>
  <si>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</si>
  <si>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</si>
  <si>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</si>
  <si>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</si>
  <si>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</si>
  <si>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</si>
  <si>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</si>
  <si>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</si>
  <si>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</si>
  <si>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</si>
  <si>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</si>
  <si>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</si>
  <si>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</si>
  <si>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</si>
  <si>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</si>
  <si>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</si>
  <si>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</si>
  <si>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</si>
  <si>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</si>
  <si>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</si>
  <si>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</si>
  <si>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</si>
  <si>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</si>
  <si>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</si>
  <si>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</si>
  <si>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</si>
  <si>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</si>
  <si>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</si>
  <si>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</si>
  <si>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</si>
  <si>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</si>
  <si>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</si>
  <si>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</si>
  <si>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</si>
  <si>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</si>
  <si>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</si>
  <si>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</si>
  <si>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</si>
  <si>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</si>
  <si>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</si>
  <si>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</si>
  <si>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</si>
  <si>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</si>
  <si>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</si>
  <si>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</si>
  <si>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</si>
  <si>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</si>
  <si>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</si>
  <si>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</si>
  <si>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</si>
  <si>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</si>
  <si>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</si>
  <si>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</si>
  <si>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</si>
  <si>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</si>
  <si>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</si>
  <si>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</si>
  <si>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</si>
  <si>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</si>
  <si>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</si>
  <si>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</si>
  <si>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</si>
  <si>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</si>
  <si>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</si>
  <si>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</si>
  <si>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</si>
  <si>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</si>
  <si>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</si>
  <si>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</si>
  <si>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</si>
  <si>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</si>
  <si>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</si>
  <si>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</si>
  <si>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</si>
  <si>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</si>
  <si>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</si>
  <si>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</si>
  <si>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</si>
  <si>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</si>
  <si>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</si>
  <si>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</si>
  <si>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</si>
  <si>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</si>
  <si>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</si>
  <si>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</si>
  <si>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</si>
  <si>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</si>
  <si>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</si>
  <si>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</si>
  <si>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</si>
  <si>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</si>
  <si>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</si>
  <si>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</si>
  <si>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</si>
  <si>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</si>
  <si>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</si>
  <si>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</si>
  <si>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</si>
  <si>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</si>
  <si>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</si>
  <si>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</si>
  <si>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</si>
  <si>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</si>
  <si>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</si>
  <si>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</si>
  <si>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</si>
  <si>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</si>
  <si>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</si>
  <si>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</si>
  <si>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</si>
  <si>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</si>
  <si>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</si>
  <si>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</si>
  <si>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</si>
  <si>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</si>
  <si>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</si>
  <si>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</si>
  <si>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</si>
  <si>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</si>
  <si>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</si>
  <si>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</si>
  <si>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</si>
  <si>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</si>
  <si>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</si>
  <si>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</si>
  <si>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</si>
  <si>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</si>
  <si>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</si>
  <si>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</si>
  <si>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</si>
  <si>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</si>
  <si>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</si>
  <si>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</si>
  <si>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</si>
  <si>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</si>
  <si>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</si>
  <si>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</si>
  <si>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</si>
  <si>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</si>
  <si>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</si>
  <si>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</si>
  <si>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</si>
  <si>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</si>
  <si>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</si>
  <si>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</si>
  <si>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</si>
  <si>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</si>
  <si>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</si>
  <si>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</si>
  <si>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</si>
  <si>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</si>
  <si>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</si>
  <si>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</si>
  <si>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</si>
  <si>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</si>
  <si>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</si>
  <si>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</si>
  <si>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</si>
  <si>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</si>
  <si>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</si>
  <si>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</si>
  <si>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</si>
  <si>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</si>
  <si>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</si>
  <si>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</si>
  <si>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</si>
  <si>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</si>
  <si>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</si>
  <si>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</si>
  <si>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</si>
  <si>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</si>
  <si>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</si>
  <si>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</si>
  <si>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</si>
  <si>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</si>
  <si>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</si>
  <si>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</si>
  <si>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</si>
  <si>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</si>
  <si>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</si>
  <si>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</si>
  <si>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</si>
  <si>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</si>
  <si>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</si>
  <si>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</si>
  <si>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</si>
  <si>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</si>
  <si>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</si>
  <si>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</si>
  <si>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</si>
  <si>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</si>
  <si>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</si>
  <si>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</si>
  <si>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</si>
  <si>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</si>
  <si>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</si>
  <si>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</si>
  <si>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</si>
  <si>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</si>
  <si>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</si>
  <si>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</si>
  <si>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</si>
  <si>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</si>
  <si>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</si>
  <si>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</si>
  <si>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</si>
  <si>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</si>
  <si>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</si>
  <si>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</si>
  <si>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</si>
  <si>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</si>
  <si>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</si>
  <si>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</si>
  <si>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</si>
  <si>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</si>
  <si>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</si>
  <si>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</si>
  <si>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</si>
  <si>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</si>
  <si>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</si>
  <si>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</si>
  <si>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</si>
  <si>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</si>
  <si>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</si>
  <si>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</si>
  <si>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</si>
  <si>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</si>
  <si>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</si>
  <si>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</si>
  <si>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</si>
  <si>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</si>
  <si>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</si>
  <si>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</si>
  <si>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</si>
  <si>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</si>
  <si>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</si>
  <si>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</si>
  <si>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</si>
  <si>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</si>
  <si>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</si>
  <si>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</si>
  <si>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</si>
  <si>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</si>
  <si>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</si>
  <si>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</si>
  <si>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</si>
  <si>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</si>
  <si>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</si>
  <si>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</si>
  <si>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</si>
  <si>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</si>
  <si>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</si>
  <si>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</si>
  <si>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</si>
  <si>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</si>
  <si>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</si>
  <si>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</si>
  <si>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</si>
  <si>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</si>
  <si>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</si>
  <si>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</si>
  <si>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</si>
  <si>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</si>
  <si>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</si>
  <si>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</si>
  <si>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</si>
  <si>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</si>
  <si>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</si>
  <si>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</si>
  <si>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</si>
  <si>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</si>
  <si>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</si>
  <si>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</si>
  <si>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</si>
  <si>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</si>
  <si>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</si>
  <si>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</si>
  <si>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</si>
  <si>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</si>
  <si>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</si>
  <si>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</si>
  <si>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</si>
  <si>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</si>
  <si>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</si>
  <si>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</si>
  <si>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</si>
  <si>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</si>
  <si>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</si>
  <si>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</si>
  <si>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</si>
  <si>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</si>
  <si>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</si>
  <si>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</si>
  <si>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</si>
  <si>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</si>
  <si>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</si>
  <si>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</si>
  <si>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</si>
  <si>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</si>
  <si>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</si>
  <si>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</si>
  <si>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</si>
  <si>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</si>
  <si>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</si>
  <si>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</si>
  <si>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</si>
  <si>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</si>
  <si>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</si>
  <si>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</si>
  <si>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</si>
  <si>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</si>
  <si>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</si>
  <si>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</si>
  <si>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</si>
  <si>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</si>
  <si>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</si>
  <si>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</si>
  <si>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</si>
  <si>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</si>
  <si>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</si>
  <si>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</si>
  <si>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</si>
  <si>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</si>
  <si>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</si>
  <si>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</si>
  <si>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</si>
  <si>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</si>
  <si>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</si>
  <si>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</si>
  <si>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</si>
  <si>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</si>
  <si>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</si>
  <si>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</si>
  <si>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</si>
  <si>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</si>
  <si>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</si>
  <si>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</si>
  <si>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</si>
  <si>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</si>
  <si>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</si>
  <si>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</si>
  <si>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</si>
  <si>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</si>
  <si>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</si>
  <si>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</si>
  <si>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</si>
  <si>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</si>
  <si>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</si>
  <si>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</si>
  <si>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</si>
  <si>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</si>
  <si>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</si>
  <si>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</si>
  <si>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</si>
  <si>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</si>
  <si>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</si>
  <si>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</si>
  <si>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</si>
  <si>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</si>
  <si>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</si>
  <si>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</si>
  <si>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</si>
  <si>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</si>
  <si>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</si>
  <si>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</si>
  <si>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</si>
  <si>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</si>
  <si>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</si>
  <si>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</si>
  <si>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</si>
  <si>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</si>
  <si>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</si>
  <si>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</si>
  <si>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</si>
  <si>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</si>
  <si>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</si>
  <si>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</si>
  <si>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</si>
  <si>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</si>
  <si>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</si>
  <si>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</si>
  <si>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</si>
  <si>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</si>
  <si>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</si>
  <si>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</si>
  <si>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</si>
  <si>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</si>
  <si>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</si>
  <si>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</si>
  <si>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</si>
  <si>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</si>
  <si>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</si>
  <si>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</si>
  <si>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</si>
  <si>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</si>
  <si>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</si>
  <si>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</si>
  <si>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</si>
  <si>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</si>
  <si>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</si>
  <si>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</si>
  <si>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</si>
  <si>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</si>
  <si>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</si>
  <si>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</si>
  <si>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</si>
  <si>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</si>
  <si>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</si>
  <si>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</si>
  <si>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</si>
  <si>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</si>
  <si>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</si>
  <si>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</si>
  <si>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</si>
  <si>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</si>
  <si>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</si>
  <si>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</si>
  <si>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</si>
  <si>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</si>
  <si>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</si>
  <si>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</si>
  <si>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</si>
  <si>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</si>
  <si>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</si>
  <si>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</si>
  <si>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</si>
  <si>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</si>
  <si>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</si>
  <si>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</si>
  <si>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</si>
  <si>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</si>
  <si>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</si>
  <si>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</si>
  <si>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</si>
  <si>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</si>
  <si>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</si>
  <si>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</si>
  <si>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</si>
  <si>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</si>
  <si>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</si>
  <si>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</si>
  <si>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</si>
  <si>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</si>
  <si>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</si>
  <si>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</si>
  <si>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</si>
  <si>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</si>
  <si>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</si>
  <si>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</si>
  <si>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</si>
  <si>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</si>
  <si>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</si>
  <si>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</si>
  <si>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</si>
  <si>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</si>
  <si>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</si>
  <si>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</si>
  <si>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</si>
  <si>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</si>
  <si>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</si>
  <si>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</si>
  <si>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</si>
  <si>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</si>
  <si>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</si>
  <si>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</si>
  <si>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</si>
  <si>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</si>
  <si>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</si>
  <si>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</si>
  <si>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</si>
  <si>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</si>
  <si>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</si>
  <si>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</si>
  <si>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</si>
  <si>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</si>
  <si>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</si>
  <si>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</si>
  <si>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</si>
  <si>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</si>
  <si>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</si>
  <si>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</si>
  <si>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</si>
  <si>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</si>
  <si>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</si>
  <si>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</si>
  <si>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</si>
  <si>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</si>
  <si>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</si>
  <si>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</si>
  <si>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</si>
  <si>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</si>
  <si>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</si>
  <si>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</si>
  <si>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</si>
  <si>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</si>
  <si>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</si>
  <si>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</si>
  <si>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</si>
  <si>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</si>
  <si>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</si>
  <si>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</si>
  <si>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</si>
  <si>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</si>
  <si>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</si>
  <si>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</si>
  <si>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</si>
  <si>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</si>
  <si>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</si>
  <si>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</si>
  <si>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</si>
  <si>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</si>
  <si>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</si>
  <si>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</si>
  <si>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</si>
  <si>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</si>
  <si>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</si>
  <si>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</si>
  <si>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</si>
  <si>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</si>
  <si>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</si>
  <si>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</si>
  <si>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</si>
  <si>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</si>
  <si>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</si>
  <si>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</si>
  <si>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</si>
  <si>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</si>
  <si>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</si>
  <si>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</si>
  <si>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</si>
  <si>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</si>
  <si>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</si>
  <si>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</si>
  <si>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</si>
  <si>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</si>
  <si>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</si>
  <si>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</si>
  <si>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</si>
  <si>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</si>
  <si>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</si>
  <si>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</si>
  <si>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</si>
  <si>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</si>
  <si>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</si>
  <si>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</si>
  <si>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</si>
  <si>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</si>
  <si>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</si>
  <si>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</si>
  <si>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</si>
  <si>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</si>
  <si>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</si>
  <si>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</si>
  <si>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</si>
  <si>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</si>
  <si>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</si>
  <si>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</si>
  <si>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</si>
  <si>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</si>
  <si>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</si>
  <si>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</si>
  <si>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</si>
  <si>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</si>
  <si>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</si>
  <si>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</si>
  <si>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</si>
  <si>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</si>
  <si>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</si>
  <si>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</si>
  <si>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</si>
  <si>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</si>
  <si>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</si>
  <si>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</si>
  <si>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</si>
  <si>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</si>
  <si>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</si>
  <si>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</si>
  <si>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</si>
  <si>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</si>
  <si>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</si>
  <si>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</si>
  <si>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</si>
  <si>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</si>
  <si>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</si>
  <si>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</si>
  <si>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</si>
  <si>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</si>
  <si>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</si>
  <si>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</si>
  <si>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</si>
  <si>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</si>
  <si>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</si>
  <si>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</si>
  <si>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</si>
  <si>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</si>
  <si>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</si>
  <si>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</si>
  <si>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</si>
  <si>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</si>
  <si>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</si>
  <si>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</si>
  <si>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</si>
  <si>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</si>
  <si>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</si>
  <si>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</si>
  <si>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</si>
  <si>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</si>
  <si>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</si>
  <si>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</si>
  <si>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</si>
  <si>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</si>
  <si>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</si>
  <si>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</si>
  <si>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</si>
  <si>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</si>
  <si>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</si>
  <si>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</si>
  <si>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</si>
  <si>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</si>
  <si>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</si>
  <si>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</si>
  <si>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</si>
  <si>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</si>
  <si>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</si>
  <si>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</si>
  <si>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</si>
  <si>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</si>
  <si>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</si>
  <si>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</si>
  <si>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</si>
  <si>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</si>
  <si>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</si>
  <si>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</si>
  <si>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</si>
  <si>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</si>
  <si>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</si>
  <si>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</si>
  <si>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</si>
  <si>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</si>
  <si>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</si>
  <si>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</si>
  <si>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</si>
  <si>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</si>
  <si>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</si>
  <si>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</si>
  <si>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</si>
  <si>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</si>
  <si>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</si>
  <si>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</si>
  <si>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</si>
  <si>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</si>
  <si>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</si>
  <si>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</si>
  <si>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</si>
  <si>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</si>
  <si>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</si>
  <si>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</si>
  <si>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</si>
  <si>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</si>
  <si>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</si>
  <si>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</si>
  <si>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</si>
  <si>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</si>
  <si>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</si>
  <si>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</si>
  <si>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</si>
  <si>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</si>
  <si>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</si>
  <si>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</si>
  <si>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</si>
  <si>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</si>
  <si>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</si>
  <si>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</si>
  <si>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</si>
  <si>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</si>
  <si>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</si>
  <si>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</si>
  <si>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</si>
  <si>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</si>
  <si>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</si>
  <si>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</si>
  <si>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</si>
  <si>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</si>
  <si>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</si>
  <si>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</si>
  <si>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</si>
  <si>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</si>
  <si>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</si>
  <si>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</si>
  <si>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</si>
  <si>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</si>
  <si>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</si>
  <si>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</si>
  <si>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</si>
  <si>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</si>
  <si>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</si>
  <si>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</si>
  <si>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</si>
  <si>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</si>
  <si>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</si>
  <si>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</si>
  <si>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</si>
  <si>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</si>
  <si>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</si>
  <si>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</si>
  <si>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</si>
  <si>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</si>
  <si>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</si>
  <si>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</si>
  <si>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</si>
  <si>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</si>
  <si>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</si>
  <si>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</si>
  <si>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</si>
  <si>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</si>
  <si>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</si>
  <si>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</si>
  <si>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</si>
  <si>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</si>
  <si>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</si>
  <si>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</si>
  <si>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</si>
  <si>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</si>
  <si>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</si>
  <si>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</si>
  <si>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</si>
  <si>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</si>
  <si>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</si>
  <si>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</si>
  <si>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</si>
  <si>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</si>
  <si>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</si>
  <si>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</si>
  <si>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</si>
  <si>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</si>
  <si>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</si>
  <si>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</si>
  <si>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</si>
  <si>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</si>
  <si>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</si>
  <si>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</si>
  <si>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</si>
  <si>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</si>
  <si>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</si>
  <si>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</si>
  <si>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</si>
  <si>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</si>
  <si>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</si>
  <si>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</si>
  <si>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</si>
  <si>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</si>
  <si>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</si>
  <si>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</si>
  <si>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</si>
  <si>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</si>
  <si>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</si>
  <si>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</si>
  <si>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</si>
  <si>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</si>
  <si>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</si>
  <si>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</si>
  <si>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</si>
  <si>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</si>
  <si>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</si>
  <si>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</si>
  <si>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</si>
  <si>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</si>
  <si>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</si>
  <si>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</si>
  <si>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</si>
  <si>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</si>
  <si>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</si>
  <si>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</si>
  <si>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</si>
  <si>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</si>
  <si>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</si>
  <si>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</si>
  <si>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</si>
  <si>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</si>
  <si>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</si>
  <si>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</si>
  <si>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</si>
  <si>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</si>
  <si>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</si>
  <si>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</si>
  <si>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</si>
  <si>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</si>
  <si>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</si>
  <si>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</si>
  <si>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</si>
  <si>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</si>
  <si>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</si>
  <si>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</si>
  <si>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</si>
  <si>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</si>
  <si>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</si>
  <si>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</si>
  <si>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</si>
  <si>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</si>
  <si>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</si>
  <si>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</si>
  <si>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</si>
  <si>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</si>
  <si>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</si>
  <si>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</si>
  <si>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</si>
  <si>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</si>
  <si>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</si>
  <si>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</si>
  <si>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</si>
  <si>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</si>
  <si>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</si>
  <si>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</si>
  <si>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</si>
  <si>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</si>
  <si>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</si>
  <si>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</si>
  <si>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</si>
  <si>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</si>
  <si>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</si>
  <si>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</si>
  <si>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</si>
  <si>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</si>
  <si>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</si>
  <si>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</si>
  <si>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</si>
  <si>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</si>
  <si>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</si>
  <si>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</si>
  <si>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</si>
  <si>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</si>
  <si>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</si>
  <si>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</si>
  <si>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</si>
  <si>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</si>
  <si>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</si>
  <si>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</si>
  <si>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</si>
  <si>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</si>
  <si>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</si>
  <si>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</si>
  <si>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</si>
  <si>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</si>
  <si>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</si>
  <si>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</si>
  <si>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</si>
  <si>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</si>
  <si>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</si>
  <si>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</si>
  <si>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</si>
  <si>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</si>
  <si>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</si>
  <si>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</si>
  <si>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</si>
  <si>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</si>
  <si>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</si>
  <si>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</si>
  <si>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</si>
  <si>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</si>
  <si>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</si>
  <si>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</si>
  <si>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</si>
  <si>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</si>
  <si>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</si>
  <si>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</si>
  <si>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</si>
  <si>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</si>
  <si>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</si>
  <si>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</si>
  <si>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</si>
  <si>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</si>
  <si>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</si>
  <si>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</si>
  <si>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</si>
  <si>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</si>
  <si>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</si>
  <si>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</si>
  <si>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</si>
  <si>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</si>
  <si>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</si>
  <si>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</si>
  <si>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</si>
  <si>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</si>
  <si>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</si>
  <si>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</si>
  <si>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</si>
  <si>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</si>
  <si>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</si>
  <si>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</si>
  <si>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</si>
  <si>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</si>
  <si>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</si>
  <si>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</si>
  <si>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</si>
  <si>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</si>
  <si>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</si>
  <si>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</si>
  <si>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</si>
  <si>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</si>
  <si>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</si>
  <si>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</si>
  <si>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</si>
  <si>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</si>
  <si>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</si>
  <si>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</si>
  <si>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</si>
  <si>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</si>
  <si>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</si>
  <si>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</si>
  <si>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</si>
  <si>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</si>
  <si>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</si>
  <si>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</si>
  <si>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</si>
  <si>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</si>
  <si>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</si>
  <si>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</si>
  <si>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</si>
  <si>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</si>
  <si>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</si>
  <si>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</si>
  <si>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</si>
  <si>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</si>
  <si>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</si>
  <si>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</si>
  <si>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</si>
  <si>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</si>
  <si>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</si>
  <si>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</si>
  <si>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</si>
  <si>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</si>
  <si>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</si>
  <si>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</si>
  <si>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</si>
  <si>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</si>
  <si>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</si>
  <si>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</si>
  <si>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</si>
  <si>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</si>
  <si>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</si>
  <si>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</si>
  <si>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</si>
  <si>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</si>
  <si>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</si>
  <si>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</si>
  <si>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</si>
  <si>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</si>
  <si>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</si>
  <si>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</si>
  <si>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</si>
  <si>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</si>
  <si>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</si>
  <si>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</si>
  <si>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</si>
  <si>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</si>
  <si>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</si>
  <si>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</si>
  <si>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</si>
  <si>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</si>
  <si>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</si>
  <si>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</si>
  <si>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</si>
  <si>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</si>
  <si>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</si>
  <si>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</si>
  <si>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</si>
  <si>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</si>
  <si>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</si>
  <si>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</si>
  <si>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</si>
  <si>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</si>
  <si>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</si>
  <si>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</si>
  <si>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</si>
  <si>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</si>
  <si>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</si>
  <si>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</si>
  <si>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</si>
  <si>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</si>
  <si>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</si>
  <si>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</si>
  <si>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</si>
  <si>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</si>
  <si>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</si>
  <si>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</si>
  <si>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</si>
  <si>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</si>
  <si>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</si>
  <si>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</si>
  <si>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</si>
  <si>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</si>
  <si>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</si>
  <si>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</si>
  <si>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</si>
  <si>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</si>
  <si>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</si>
  <si>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</si>
  <si>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</si>
  <si>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</si>
  <si>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</si>
  <si>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</si>
  <si>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</si>
  <si>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</si>
  <si>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</si>
  <si>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</si>
  <si>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</si>
  <si>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</si>
  <si>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</si>
  <si>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</si>
  <si>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</si>
  <si>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</si>
  <si>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</si>
  <si>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</si>
  <si>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</si>
  <si>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</si>
  <si>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</si>
  <si>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</si>
  <si>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</si>
  <si>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</si>
  <si>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</si>
  <si>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</si>
  <si>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</si>
  <si>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</si>
  <si>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</si>
  <si>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</si>
  <si>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</si>
  <si>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</si>
  <si>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</si>
  <si>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</si>
  <si>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</si>
  <si>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</si>
  <si>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</si>
  <si>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</si>
  <si>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</si>
  <si>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</si>
  <si>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</si>
  <si>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</si>
  <si>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</si>
  <si>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</si>
  <si>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</si>
  <si>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</si>
  <si>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</si>
  <si>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</si>
  <si>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</si>
  <si>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</si>
  <si>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</si>
  <si>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</si>
  <si>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</si>
  <si>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</si>
  <si>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</si>
  <si>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</si>
  <si>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</si>
  <si>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</si>
  <si>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</si>
  <si>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</si>
  <si>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</si>
  <si>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</si>
  <si>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</si>
  <si>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</si>
  <si>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</si>
  <si>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</si>
  <si>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</si>
  <si>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</si>
  <si>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</si>
  <si>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</si>
  <si>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</si>
  <si>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</si>
  <si>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</si>
  <si>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</si>
  <si>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</si>
  <si>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</si>
  <si>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</si>
  <si>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</si>
  <si>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</si>
  <si>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</si>
  <si>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</si>
  <si>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</si>
  <si>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</si>
  <si>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</si>
  <si>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</si>
  <si>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</si>
  <si>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</si>
  <si>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</si>
  <si>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</si>
  <si>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</si>
  <si>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</si>
  <si>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</si>
  <si>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</si>
  <si>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</si>
  <si>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</si>
  <si>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</si>
  <si>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</si>
  <si>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</si>
  <si>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</si>
  <si>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</si>
  <si>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</si>
  <si>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</si>
  <si>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</si>
  <si>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</si>
  <si>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</si>
  <si>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</si>
  <si>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</si>
  <si>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</si>
  <si>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</si>
  <si>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</si>
  <si>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</si>
  <si>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</si>
  <si>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</si>
  <si>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</si>
  <si>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</si>
  <si>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</si>
  <si>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</si>
  <si>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</si>
  <si>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</si>
  <si>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</si>
  <si>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</si>
  <si>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</si>
  <si>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</si>
  <si>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</si>
  <si>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</si>
  <si>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</si>
  <si>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</si>
  <si>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</si>
  <si>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</si>
  <si>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</si>
  <si>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</si>
  <si>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</si>
  <si>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</si>
  <si>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</si>
  <si>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</si>
  <si>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</si>
  <si>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</si>
  <si>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</si>
  <si>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</si>
  <si>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</si>
  <si>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</si>
  <si>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</si>
  <si>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</si>
  <si>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</si>
  <si>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</si>
  <si>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</si>
  <si>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</si>
  <si>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</si>
  <si>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</si>
  <si>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</si>
  <si>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</si>
  <si>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</si>
  <si>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</si>
  <si>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</si>
  <si>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</si>
  <si>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</si>
  <si>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</si>
  <si>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</si>
  <si>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</si>
  <si>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</si>
  <si>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</si>
  <si>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</si>
  <si>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</si>
  <si>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</si>
  <si>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</si>
  <si>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</si>
  <si>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</si>
  <si>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</si>
  <si>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</si>
  <si>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</si>
  <si>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</si>
  <si>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</si>
  <si>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</si>
  <si>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</si>
  <si>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</si>
  <si>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</si>
  <si>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</si>
  <si>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</si>
  <si>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</si>
  <si>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</si>
  <si>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</si>
  <si>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</si>
  <si>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</si>
  <si>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</si>
  <si>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</si>
  <si>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</si>
  <si>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</si>
  <si>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</si>
  <si>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</si>
  <si>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</si>
  <si>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</si>
  <si>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</si>
  <si>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</si>
  <si>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</si>
  <si>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</si>
  <si>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</si>
  <si>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</si>
  <si>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</si>
  <si>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</si>
  <si>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</si>
  <si>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</si>
  <si>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</si>
  <si>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</si>
  <si>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</si>
  <si>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</si>
  <si>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</si>
  <si>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</si>
  <si>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</si>
  <si>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</si>
  <si>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</si>
  <si>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</si>
  <si>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</si>
  <si>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</si>
  <si>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</si>
  <si>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</si>
  <si>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</si>
  <si>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</si>
  <si>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</si>
  <si>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</si>
  <si>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</si>
  <si>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</si>
  <si>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</si>
  <si>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</si>
  <si>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</si>
  <si>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</si>
  <si>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</si>
  <si>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</si>
  <si>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</si>
  <si>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</si>
  <si>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</si>
  <si>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</si>
  <si>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</si>
  <si>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</si>
  <si>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</si>
  <si>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</si>
  <si>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</si>
  <si>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</si>
  <si>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</si>
  <si>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</si>
  <si>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</si>
  <si>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</si>
  <si>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</si>
  <si>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</si>
  <si>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</si>
  <si>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</si>
  <si>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</si>
  <si>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</si>
  <si>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</si>
  <si>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</si>
  <si>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</si>
  <si>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</si>
  <si>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</si>
  <si>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</si>
  <si>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</si>
  <si>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</si>
  <si>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</si>
  <si>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</si>
  <si>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</si>
  <si>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</si>
  <si>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</si>
  <si>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</si>
  <si>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</si>
  <si>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</si>
  <si>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</si>
  <si>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</si>
  <si>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</si>
  <si>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</si>
  <si>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</si>
  <si>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</si>
  <si>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</si>
  <si>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</si>
  <si>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</si>
  <si>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</si>
  <si>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</si>
  <si>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</si>
  <si>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</si>
  <si>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</si>
  <si>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</si>
  <si>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</si>
  <si>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</si>
  <si>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</si>
  <si>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</si>
  <si>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</si>
  <si>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</si>
  <si>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</si>
  <si>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</si>
  <si>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</si>
  <si>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</si>
  <si>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</si>
  <si>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</si>
  <si>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</si>
  <si>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</si>
  <si>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</si>
  <si>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</si>
  <si>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</si>
  <si>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</si>
  <si>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</si>
  <si>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</si>
  <si>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</si>
  <si>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</si>
  <si>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</si>
  <si>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</si>
  <si>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</si>
  <si>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</si>
  <si>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</si>
  <si>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</si>
  <si>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</si>
  <si>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</si>
  <si>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</si>
  <si>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</si>
  <si>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</si>
  <si>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</si>
  <si>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</si>
  <si>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</si>
  <si>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</si>
  <si>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</si>
  <si>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</si>
  <si>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</si>
  <si>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</si>
  <si>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</si>
  <si>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</si>
  <si>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</si>
  <si>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</si>
  <si>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</si>
  <si>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</si>
  <si>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</si>
  <si>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</si>
  <si>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</si>
  <si>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</si>
  <si>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</si>
  <si>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</si>
  <si>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</si>
  <si>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</si>
  <si>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</si>
  <si>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</si>
  <si>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</si>
  <si>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</si>
  <si>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</si>
  <si>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</si>
  <si>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</si>
  <si>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</si>
  <si>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</si>
  <si>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</si>
  <si>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</si>
  <si>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</si>
  <si>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</si>
  <si>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</si>
  <si>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</si>
  <si>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</si>
  <si>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</si>
  <si>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</si>
  <si>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</si>
  <si>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</si>
  <si>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</si>
  <si>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</si>
  <si>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</si>
  <si>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</si>
  <si>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</si>
  <si>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</si>
  <si>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</si>
  <si>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</si>
  <si>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</si>
  <si>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</si>
  <si>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</si>
  <si>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</si>
  <si>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</si>
  <si>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</si>
  <si>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</si>
  <si>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</si>
  <si>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</si>
  <si>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</si>
  <si>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</si>
  <si>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</si>
  <si>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</si>
  <si>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</si>
  <si>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</si>
  <si>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</si>
  <si>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</si>
  <si>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</si>
  <si>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</si>
  <si>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</si>
  <si>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</si>
  <si>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</si>
  <si>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</si>
  <si>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</si>
  <si>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</si>
  <si>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</si>
  <si>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</si>
  <si>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</si>
  <si>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</si>
  <si>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</si>
  <si>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</si>
  <si>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</si>
  <si>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</si>
  <si>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</si>
  <si>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</si>
  <si>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</si>
  <si>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</si>
  <si>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</si>
  <si>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</si>
  <si>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</si>
  <si>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</si>
  <si>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</si>
  <si>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</si>
  <si>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</si>
  <si>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</si>
  <si>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</si>
  <si>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</si>
  <si>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</si>
  <si>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</si>
  <si>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</si>
  <si>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</si>
  <si>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</si>
  <si>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</si>
  <si>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</si>
  <si>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</si>
  <si>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</si>
  <si>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</si>
  <si>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</si>
  <si>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</si>
  <si>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</si>
  <si>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</si>
  <si>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</si>
  <si>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</si>
  <si>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</si>
  <si>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</si>
  <si>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</si>
  <si>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</si>
  <si>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</si>
  <si>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</si>
  <si>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</si>
  <si>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</si>
  <si>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</si>
  <si>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</si>
  <si>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</si>
  <si>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</si>
  <si>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</si>
  <si>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</si>
  <si>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</si>
  <si>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</si>
  <si>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</si>
  <si>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</si>
  <si>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</si>
  <si>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</si>
  <si>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</si>
  <si>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</si>
  <si>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</si>
  <si>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</si>
  <si>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</si>
  <si>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</si>
  <si>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</si>
  <si>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</si>
  <si>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</si>
  <si>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</si>
  <si>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</si>
  <si>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</si>
  <si>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</si>
  <si>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</si>
  <si>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</si>
  <si>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</si>
  <si>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</si>
  <si>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</si>
  <si>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</si>
  <si>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</si>
  <si>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</si>
  <si>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</si>
  <si>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</si>
  <si>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</si>
  <si>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</si>
  <si>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</si>
  <si>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</si>
  <si>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</si>
  <si>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</si>
  <si>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</si>
  <si>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</si>
  <si>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</si>
  <si>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</si>
  <si>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</si>
  <si>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</si>
  <si>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</si>
  <si>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</si>
  <si>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</si>
  <si>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</si>
  <si>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</si>
  <si>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</si>
  <si>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</si>
  <si>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</si>
  <si>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</si>
  <si>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</si>
  <si>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</si>
  <si>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</si>
  <si>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</si>
  <si>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</si>
  <si>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</si>
  <si>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</si>
  <si>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</si>
  <si>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</si>
  <si>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</si>
  <si>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</si>
  <si>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</si>
  <si>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</si>
  <si>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</si>
  <si>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</si>
  <si>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</si>
  <si>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</si>
  <si>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</si>
  <si>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</si>
  <si>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</si>
  <si>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</si>
  <si>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</si>
  <si>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</si>
  <si>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</si>
  <si>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</si>
  <si>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</si>
  <si>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</si>
  <si>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</si>
  <si>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</si>
  <si>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</si>
  <si>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</si>
  <si>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</si>
  <si>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</si>
  <si>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</si>
  <si>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</si>
  <si>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</si>
  <si>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</si>
  <si>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</si>
  <si>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</si>
  <si>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</si>
  <si>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</si>
  <si>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</si>
  <si>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</si>
  <si>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</si>
  <si>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</si>
  <si>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</si>
  <si>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</si>
  <si>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</si>
  <si>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</si>
  <si>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</si>
  <si>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</si>
  <si>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</si>
  <si>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</si>
  <si>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</si>
  <si>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</si>
  <si>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</si>
  <si>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</si>
  <si>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</si>
  <si>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</si>
  <si>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</si>
  <si>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</si>
  <si>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</si>
  <si>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</si>
  <si>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</si>
  <si>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</si>
  <si>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</si>
  <si>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</si>
  <si>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</si>
  <si>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</si>
  <si>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</si>
  <si>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</si>
  <si>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</si>
  <si>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</si>
  <si>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</si>
  <si>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</si>
  <si>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</si>
  <si>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</si>
  <si>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</si>
  <si>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</si>
  <si>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</si>
  <si>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</si>
  <si>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</si>
  <si>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</si>
  <si>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</si>
  <si>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</si>
  <si>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</si>
  <si>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</si>
  <si>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</si>
  <si>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</si>
  <si>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</si>
  <si>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</si>
  <si>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</si>
  <si>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</si>
  <si>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</si>
  <si>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</si>
  <si>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</si>
  <si>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</si>
  <si>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</si>
  <si>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</si>
  <si>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</si>
  <si>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</si>
  <si>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</si>
  <si>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</si>
  <si>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</si>
  <si>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</si>
  <si>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</si>
  <si>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</si>
  <si>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</si>
  <si>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</si>
  <si>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</si>
  <si>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</si>
  <si>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</si>
  <si>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</si>
  <si>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</si>
  <si>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</si>
  <si>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</si>
  <si>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</si>
  <si>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</si>
  <si>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</si>
  <si>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</si>
  <si>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</si>
  <si>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</si>
  <si>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</si>
  <si>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</si>
  <si>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</si>
  <si>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</si>
  <si>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</si>
  <si>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</si>
  <si>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</si>
  <si>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</si>
  <si>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</si>
  <si>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</si>
  <si>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</si>
  <si>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</si>
  <si>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</si>
  <si>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</si>
  <si>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</si>
  <si>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</si>
  <si>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</si>
  <si>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</si>
  <si>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</si>
  <si>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</si>
  <si>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</si>
  <si>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</si>
  <si>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</si>
  <si>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</si>
  <si>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</si>
  <si>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</si>
  <si>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</si>
  <si>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</si>
  <si>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</si>
  <si>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</si>
  <si>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</si>
  <si>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</si>
  <si>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</si>
  <si>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</si>
  <si>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</si>
  <si>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</si>
  <si>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</si>
  <si>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</si>
  <si>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</si>
  <si>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</si>
  <si>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</si>
  <si>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</si>
  <si>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</si>
  <si>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</si>
  <si>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</si>
  <si>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</si>
  <si>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</si>
  <si>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</si>
  <si>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</si>
  <si>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</si>
  <si>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</si>
  <si>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</si>
  <si>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</si>
  <si>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</si>
  <si>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</si>
  <si>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</si>
  <si>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</si>
  <si>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</si>
  <si>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</si>
  <si>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</si>
  <si>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</si>
  <si>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</si>
  <si>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</si>
  <si>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</si>
  <si>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</si>
  <si>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</si>
  <si>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</si>
  <si>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</si>
  <si>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</si>
  <si>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</si>
  <si>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</si>
  <si>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</si>
  <si>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</si>
  <si>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</si>
  <si>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</si>
  <si>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</si>
  <si>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</si>
  <si>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</si>
  <si>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</si>
  <si>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</si>
  <si>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</si>
  <si>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</si>
  <si>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</si>
  <si>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</si>
  <si>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</si>
  <si>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</si>
  <si>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</si>
  <si>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</si>
  <si>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</si>
  <si>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</si>
  <si>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</si>
  <si>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</si>
  <si>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</si>
  <si>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</si>
  <si>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</si>
  <si>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</si>
  <si>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</si>
  <si>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</si>
  <si>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</si>
  <si>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</si>
  <si>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</si>
  <si>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</si>
  <si>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</si>
  <si>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</si>
  <si>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</si>
  <si>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</si>
  <si>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</si>
  <si>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</si>
  <si>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</si>
  <si>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</si>
  <si>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</si>
  <si>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</si>
  <si>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</si>
  <si>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</si>
  <si>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</si>
  <si>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</si>
  <si>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</si>
  <si>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</si>
  <si>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</si>
  <si>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</si>
  <si>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</si>
  <si>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</si>
  <si>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</si>
  <si>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</si>
  <si>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</si>
  <si>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</si>
  <si>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</si>
  <si>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</si>
  <si>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</si>
  <si>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</si>
  <si>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</si>
  <si>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</si>
  <si>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</si>
  <si>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</si>
  <si>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</si>
  <si>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</si>
  <si>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</si>
  <si>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</si>
  <si>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</si>
  <si>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</si>
  <si>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</si>
  <si>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</si>
  <si>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</si>
  <si>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</si>
  <si>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</si>
  <si>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</si>
  <si>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</si>
  <si>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</si>
  <si>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</si>
  <si>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</si>
  <si>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</si>
  <si>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</si>
  <si>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</si>
  <si>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</si>
  <si>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</si>
  <si>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</si>
  <si>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</si>
  <si>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</si>
  <si>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</si>
  <si>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</si>
  <si>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</si>
  <si>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</si>
  <si>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</si>
  <si>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</si>
  <si>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</si>
  <si>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</si>
  <si>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</si>
  <si>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</si>
  <si>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</si>
  <si>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</si>
  <si>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</si>
  <si>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</si>
  <si>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</si>
  <si>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</si>
  <si>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</si>
  <si>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</si>
  <si>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</si>
  <si>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</si>
  <si>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</si>
  <si>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</si>
  <si>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</si>
  <si>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</si>
  <si>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</si>
  <si>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</si>
  <si>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</si>
  <si>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</si>
  <si>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</si>
  <si>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</si>
  <si>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</si>
  <si>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</si>
  <si>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</si>
  <si>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</si>
  <si>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</si>
  <si>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</si>
  <si>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</si>
  <si>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</si>
  <si>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</si>
  <si>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</si>
  <si>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</si>
  <si>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</si>
  <si>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</si>
  <si>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</si>
  <si>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</si>
  <si>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</si>
  <si>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</si>
  <si>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</si>
  <si>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</si>
  <si>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</si>
  <si>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</si>
  <si>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</si>
  <si>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</si>
  <si>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</si>
  <si>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</si>
  <si>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</si>
  <si>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</si>
  <si>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</si>
  <si>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</si>
  <si>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</si>
  <si>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</si>
  <si>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</si>
  <si>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</si>
  <si>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</si>
  <si>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</si>
  <si>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</si>
  <si>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</si>
  <si>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</si>
  <si>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</si>
  <si>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</si>
  <si>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</si>
  <si>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</si>
  <si>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</si>
  <si>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</si>
  <si>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</si>
  <si>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</si>
  <si>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</si>
  <si>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</si>
  <si>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</si>
  <si>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</si>
  <si>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</si>
  <si>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</si>
  <si>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</si>
  <si>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</si>
  <si>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</si>
  <si>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</si>
  <si>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</si>
  <si>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</si>
  <si>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</si>
  <si>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</si>
  <si>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</si>
  <si>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</si>
  <si>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</si>
  <si>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</si>
  <si>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</si>
  <si>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</si>
  <si>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</si>
  <si>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</si>
  <si>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</si>
  <si>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</si>
  <si>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</si>
  <si>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</si>
  <si>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</si>
  <si>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</si>
  <si>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</si>
  <si>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</si>
  <si>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</si>
  <si>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</si>
  <si>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</si>
  <si>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</si>
  <si>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</si>
  <si>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</si>
  <si>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</si>
  <si>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</si>
  <si>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</si>
  <si>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</si>
  <si>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</si>
  <si>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</si>
  <si>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</si>
  <si>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</si>
  <si>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</si>
  <si>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</si>
  <si>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</si>
  <si>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</si>
  <si>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</si>
  <si>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</si>
  <si>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</si>
  <si>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</si>
  <si>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</si>
  <si>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</si>
  <si>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</si>
  <si>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</si>
  <si>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</si>
  <si>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</si>
  <si>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</si>
  <si>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</si>
  <si>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</si>
  <si>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</si>
  <si>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</si>
  <si>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</si>
  <si>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</si>
  <si>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</si>
  <si>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</si>
  <si>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</si>
  <si>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</si>
  <si>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</si>
  <si>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</si>
  <si>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</si>
  <si>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</si>
  <si>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</si>
  <si>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</si>
  <si>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</si>
  <si>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</si>
  <si>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</si>
  <si>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</si>
  <si>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</si>
  <si>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</si>
  <si>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</si>
  <si>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</si>
  <si>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</si>
  <si>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</si>
  <si>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</si>
  <si>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</si>
  <si>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</si>
  <si>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</si>
  <si>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</si>
  <si>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</si>
  <si>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</si>
  <si>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</si>
  <si>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</si>
  <si>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</si>
  <si>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</si>
  <si>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</si>
  <si>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</si>
  <si>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</si>
  <si>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</si>
  <si>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</si>
  <si>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</si>
  <si>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</si>
  <si>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</si>
  <si>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</si>
  <si>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</si>
  <si>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</si>
  <si>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</si>
  <si>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</si>
  <si>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</si>
  <si>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</si>
  <si>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</si>
  <si>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</si>
  <si>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</si>
  <si>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</si>
  <si>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</si>
  <si>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</si>
  <si>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</si>
  <si>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</si>
  <si>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</si>
  <si>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</si>
  <si>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</si>
  <si>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</si>
  <si>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</si>
  <si>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</si>
  <si>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</si>
  <si>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</si>
  <si>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</si>
  <si>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</si>
  <si>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</si>
  <si>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</si>
  <si>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</si>
  <si>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</si>
  <si>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</si>
  <si>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</si>
  <si>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</si>
  <si>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</si>
  <si>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</si>
  <si>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</si>
  <si>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</si>
  <si>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</si>
  <si>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</si>
  <si>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</si>
  <si>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</si>
  <si>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</si>
  <si>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</si>
  <si>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</si>
  <si>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</si>
  <si>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</si>
  <si>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</si>
  <si>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</si>
  <si>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</si>
  <si>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</si>
  <si>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</si>
  <si>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</si>
  <si>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</si>
  <si>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</si>
  <si>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</si>
  <si>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</si>
  <si>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</si>
  <si>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</si>
  <si>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</si>
  <si>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</si>
  <si>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</si>
  <si>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</si>
  <si>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</si>
  <si>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</si>
  <si>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</si>
  <si>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</si>
  <si>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</si>
  <si>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</si>
  <si>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</si>
  <si>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</si>
  <si>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</si>
  <si>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</si>
  <si>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</si>
  <si>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</si>
  <si>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</si>
  <si>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</si>
  <si>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</si>
  <si>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</si>
  <si>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</si>
  <si>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</si>
  <si>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</si>
  <si>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</si>
  <si>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</si>
  <si>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</si>
  <si>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</si>
  <si>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</si>
  <si>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</si>
  <si>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</si>
  <si>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</si>
  <si>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</si>
  <si>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</si>
  <si>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</si>
  <si>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</si>
  <si>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</si>
  <si>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</si>
  <si>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</si>
  <si>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</si>
  <si>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</si>
  <si>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</si>
  <si>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</si>
  <si>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</si>
  <si>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</si>
  <si>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</si>
  <si>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</si>
  <si>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</si>
  <si>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</si>
  <si>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</si>
  <si>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</si>
  <si>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</si>
  <si>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</si>
  <si>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</si>
  <si>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</si>
  <si>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</si>
  <si>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</si>
  <si>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</si>
  <si>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</si>
  <si>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</si>
  <si>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</si>
  <si>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</si>
  <si>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</si>
  <si>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</si>
  <si>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</si>
  <si>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</si>
  <si>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</si>
  <si>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</si>
  <si>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</si>
  <si>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</si>
  <si>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</si>
  <si>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</si>
  <si>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</si>
  <si>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</si>
  <si>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</si>
  <si>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</si>
  <si>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</si>
  <si>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</si>
  <si>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</si>
  <si>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</si>
  <si>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</si>
  <si>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</si>
  <si>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</si>
  <si>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</si>
  <si>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</si>
  <si>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</si>
  <si>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</si>
  <si>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</si>
  <si>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</si>
  <si>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</si>
  <si>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</si>
  <si>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</si>
  <si>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</si>
  <si>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</si>
  <si>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</si>
  <si>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</si>
  <si>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</si>
  <si>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</si>
  <si>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</si>
  <si>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</si>
  <si>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</si>
  <si>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</si>
  <si>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</si>
  <si>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</si>
  <si>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</si>
  <si>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</si>
  <si>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</si>
  <si>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</si>
  <si>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</si>
  <si>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</si>
  <si>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</si>
  <si>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</si>
  <si>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</si>
  <si>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</si>
  <si>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</si>
  <si>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</si>
  <si>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</si>
  <si>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</si>
  <si>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</si>
  <si>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</si>
  <si>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</si>
  <si>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</si>
  <si>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</si>
  <si>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</si>
  <si>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</si>
  <si>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</si>
  <si>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</si>
  <si>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</si>
  <si>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</si>
  <si>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</si>
  <si>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</si>
  <si>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</si>
  <si>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</si>
  <si>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</si>
  <si>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</si>
  <si>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</si>
  <si>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</si>
  <si>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</si>
  <si>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</si>
  <si>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</si>
  <si>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</si>
  <si>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</si>
  <si>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</si>
  <si>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</si>
  <si>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</si>
  <si>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</si>
  <si>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</si>
  <si>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</si>
  <si>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</si>
  <si>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</si>
  <si>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</si>
  <si>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</si>
  <si>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</si>
  <si>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</si>
  <si>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</si>
  <si>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</si>
  <si>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</si>
  <si>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</si>
  <si>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</si>
  <si>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</si>
  <si>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</si>
  <si>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</si>
  <si>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</si>
  <si>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</si>
  <si>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</si>
  <si>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</si>
  <si>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</si>
  <si>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</si>
  <si>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</si>
  <si>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</si>
  <si>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</si>
  <si>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</si>
  <si>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</si>
  <si>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</si>
  <si>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</si>
  <si>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</si>
  <si>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</si>
  <si>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</si>
  <si>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</si>
  <si>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</si>
  <si>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</si>
  <si>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</si>
  <si>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</si>
  <si>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</si>
  <si>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</si>
  <si>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</si>
  <si>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</si>
  <si>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</si>
  <si>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</si>
  <si>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</si>
  <si>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</si>
  <si>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</si>
  <si>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</si>
  <si>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</si>
  <si>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</si>
  <si>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</si>
  <si>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</si>
  <si>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</si>
  <si>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</si>
  <si>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</si>
  <si>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</si>
  <si>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</si>
  <si>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</si>
  <si>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</si>
  <si>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</si>
  <si>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</si>
  <si>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</si>
  <si>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</si>
  <si>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</si>
  <si>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</si>
  <si>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</si>
  <si>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</si>
  <si>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</si>
  <si>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</si>
  <si>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</si>
  <si>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</si>
  <si>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</si>
  <si>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</si>
  <si>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</si>
  <si>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</si>
  <si>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</si>
  <si>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</si>
  <si>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</si>
  <si>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</si>
  <si>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</si>
  <si>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</si>
  <si>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</si>
  <si>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</si>
  <si>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</si>
  <si>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</si>
  <si>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</si>
  <si>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</si>
  <si>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</si>
  <si>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</si>
  <si>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</si>
  <si>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</si>
  <si>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</si>
  <si>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</si>
  <si>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</si>
  <si>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</si>
  <si>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</si>
  <si>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</si>
  <si>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</si>
  <si>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</si>
  <si>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</si>
  <si>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</si>
  <si>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</si>
  <si>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</si>
  <si>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</si>
  <si>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</si>
  <si>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</si>
  <si>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</si>
  <si>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</si>
  <si>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</si>
  <si>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</si>
  <si>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</si>
  <si>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</si>
  <si>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</si>
  <si>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</si>
  <si>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</si>
  <si>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</si>
  <si>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</si>
  <si>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</si>
  <si>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</si>
  <si>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</si>
  <si>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</si>
  <si>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</si>
  <si>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</si>
  <si>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</si>
  <si>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</si>
  <si>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</si>
  <si>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</si>
  <si>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</si>
  <si>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</si>
  <si>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</si>
  <si>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</si>
  <si>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</si>
  <si>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</si>
  <si>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</si>
  <si>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</si>
  <si>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</si>
  <si>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</si>
  <si>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</si>
  <si>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</si>
  <si>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</si>
  <si>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</si>
  <si>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</si>
  <si>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</si>
  <si>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</si>
  <si>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</si>
  <si>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</si>
  <si>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</si>
  <si>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</si>
  <si>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</si>
  <si>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</si>
  <si>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</si>
  <si>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</si>
  <si>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</si>
  <si>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</si>
  <si>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</si>
  <si>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</si>
  <si>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</si>
  <si>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</si>
  <si>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</si>
  <si>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</si>
  <si>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</si>
  <si>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</si>
  <si>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</si>
  <si>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</si>
  <si>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</si>
  <si>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</si>
  <si>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</si>
  <si>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</si>
  <si>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</si>
  <si>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</si>
  <si>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</si>
  <si>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</si>
  <si>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</si>
  <si>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</si>
  <si>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</si>
  <si>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</si>
  <si>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</si>
  <si>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</si>
  <si>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</si>
  <si>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</si>
  <si>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</si>
  <si>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</si>
  <si>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</si>
  <si>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</si>
  <si>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</si>
  <si>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</si>
  <si>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</si>
  <si>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</si>
  <si>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</si>
  <si>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</si>
  <si>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</si>
  <si>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</si>
  <si>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</si>
  <si>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</si>
  <si>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</si>
  <si>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</si>
  <si>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</si>
  <si>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</si>
  <si>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</si>
  <si>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</si>
  <si>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</si>
  <si>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</si>
  <si>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</si>
  <si>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</si>
  <si>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</si>
  <si>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</si>
  <si>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</si>
  <si>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</si>
  <si>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</si>
  <si>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</si>
  <si>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</si>
  <si>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</si>
  <si>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</si>
  <si>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</si>
  <si>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</si>
  <si>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</si>
  <si>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</si>
  <si>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</si>
  <si>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</si>
  <si>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</si>
  <si>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</si>
  <si>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</si>
  <si>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</si>
  <si>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</si>
  <si>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</si>
  <si>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</si>
  <si>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</si>
  <si>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</si>
  <si>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</si>
  <si>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</si>
  <si>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</si>
  <si>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</si>
  <si>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</si>
  <si>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</si>
  <si>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</si>
  <si>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</si>
  <si>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</si>
  <si>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</si>
  <si>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</si>
  <si>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</si>
  <si>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</si>
  <si>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</si>
  <si>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</si>
  <si>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</si>
  <si>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</si>
  <si>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</si>
  <si>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</si>
  <si>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</si>
  <si>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</si>
  <si>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</si>
  <si>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</si>
  <si>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</si>
  <si>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</si>
  <si>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</si>
  <si>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</si>
  <si>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</si>
  <si>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</si>
  <si>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</si>
  <si>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</si>
  <si>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</si>
  <si>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</si>
  <si>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</si>
  <si>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</si>
  <si>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</si>
  <si>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</si>
  <si>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</si>
  <si>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</si>
  <si>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</si>
  <si>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</si>
  <si>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</si>
  <si>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</si>
  <si>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</si>
  <si>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</si>
  <si>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</si>
  <si>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</si>
  <si>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</si>
  <si>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</si>
  <si>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</si>
  <si>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</si>
  <si>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</si>
  <si>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</si>
  <si>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</si>
  <si>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</si>
  <si>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</si>
  <si>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</si>
  <si>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</si>
  <si>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</si>
  <si>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</si>
  <si>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</si>
  <si>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</si>
  <si>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</si>
  <si>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</si>
  <si>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</si>
  <si>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</si>
  <si>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</si>
  <si>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</si>
  <si>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</si>
  <si>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</si>
  <si>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</si>
  <si>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</si>
  <si>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</si>
  <si>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</si>
  <si>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</si>
  <si>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</si>
  <si>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</si>
  <si>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</si>
  <si>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</si>
  <si>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</si>
  <si>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</si>
  <si>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</si>
  <si>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</si>
  <si>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</si>
  <si>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</si>
  <si>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</si>
  <si>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</si>
  <si>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</si>
  <si>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</si>
  <si>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</si>
  <si>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</si>
  <si>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</si>
  <si>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</si>
  <si>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</si>
  <si>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</si>
  <si>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</si>
  <si>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</si>
  <si>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</si>
  <si>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</si>
  <si>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</si>
  <si>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</si>
  <si>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</si>
  <si>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</si>
  <si>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</si>
  <si>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</si>
  <si>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</si>
  <si>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</si>
  <si>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</si>
  <si>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</si>
  <si>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</si>
  <si>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</si>
  <si>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</si>
  <si>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</si>
  <si>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</si>
  <si>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</si>
  <si>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</si>
  <si>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</si>
  <si>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</si>
  <si>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</si>
  <si>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</si>
  <si>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</si>
  <si>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</si>
  <si>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</si>
  <si>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</si>
  <si>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</si>
  <si>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</si>
  <si>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</si>
  <si>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</si>
  <si>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</si>
  <si>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</si>
  <si>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</si>
  <si>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</si>
  <si>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</si>
  <si>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</si>
  <si>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</si>
  <si>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</si>
  <si>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</si>
  <si>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</si>
  <si>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</si>
  <si>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</si>
  <si>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</si>
  <si>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</si>
  <si>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</si>
  <si>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</si>
  <si>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</si>
  <si>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</si>
  <si>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</si>
  <si>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</si>
  <si>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</si>
  <si>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</si>
  <si>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</si>
  <si>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</si>
  <si>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</si>
  <si>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</si>
  <si>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</si>
  <si>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</si>
  <si>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</si>
  <si>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</si>
  <si>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</si>
  <si>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</si>
  <si>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</si>
  <si>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</si>
  <si>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</si>
  <si>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</si>
  <si>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</si>
  <si>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</si>
  <si>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</si>
  <si>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</si>
  <si>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</si>
  <si>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</si>
  <si>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</si>
  <si>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</si>
  <si>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</si>
  <si>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</si>
  <si>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</si>
  <si>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</si>
  <si>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</si>
  <si>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</si>
  <si>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</si>
  <si>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</si>
  <si>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</si>
  <si>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</si>
  <si>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</si>
  <si>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</si>
  <si>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</si>
  <si>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</si>
  <si>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</si>
  <si>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</si>
  <si>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</si>
  <si>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</si>
  <si>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</si>
  <si>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</si>
  <si>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</si>
  <si>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</si>
  <si>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</si>
  <si>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</si>
  <si>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</si>
  <si>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</si>
  <si>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</si>
  <si>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</si>
  <si>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</si>
  <si>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</si>
  <si>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</si>
  <si>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</si>
  <si>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</si>
  <si>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</si>
  <si>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</si>
  <si>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</si>
  <si>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</si>
  <si>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</si>
  <si>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</si>
  <si>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</si>
  <si>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</si>
  <si>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</si>
  <si>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</si>
  <si>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</si>
  <si>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</si>
  <si>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</si>
  <si>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</si>
  <si>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</si>
  <si>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</si>
  <si>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</si>
  <si>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</si>
  <si>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</si>
  <si>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</si>
  <si>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</si>
  <si>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</si>
  <si>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</si>
  <si>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</si>
  <si>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</si>
  <si>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</si>
  <si>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</si>
  <si>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</si>
  <si>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</si>
  <si>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</si>
  <si>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</si>
  <si>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</si>
  <si>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</si>
  <si>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</si>
  <si>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</si>
  <si>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</si>
  <si>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</si>
  <si>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</si>
  <si>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</si>
  <si>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</si>
  <si>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</si>
  <si>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</si>
  <si>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</si>
  <si>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</si>
  <si>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</si>
  <si>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</si>
  <si>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</si>
  <si>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</si>
  <si>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</si>
  <si>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</si>
  <si>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</si>
  <si>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</si>
  <si>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</si>
  <si>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</si>
  <si>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</si>
  <si>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</si>
  <si>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</si>
  <si>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</si>
  <si>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</si>
  <si>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</si>
  <si>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</si>
  <si>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</si>
  <si>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</si>
  <si>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</si>
  <si>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</si>
  <si>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</si>
  <si>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</si>
  <si>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</si>
  <si>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</si>
  <si>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</si>
  <si>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</si>
  <si>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</si>
  <si>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</si>
  <si>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</si>
  <si>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</si>
  <si>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</si>
  <si>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</si>
  <si>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</si>
  <si>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</si>
  <si>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</si>
  <si>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</si>
  <si>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</si>
  <si>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</si>
  <si>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</si>
  <si>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</si>
  <si>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</si>
  <si>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</si>
  <si>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</si>
  <si>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</si>
  <si>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</si>
  <si>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</si>
  <si>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</si>
  <si>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</si>
  <si>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</si>
  <si>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</si>
  <si>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</si>
  <si>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</si>
  <si>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</si>
  <si>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</si>
  <si>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</si>
  <si>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</si>
  <si>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</si>
  <si>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</si>
  <si>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</si>
  <si>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</si>
  <si>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</si>
  <si>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</si>
  <si>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</si>
  <si>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</si>
  <si>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</si>
  <si>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</si>
  <si>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</si>
  <si>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</si>
  <si>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</si>
  <si>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</si>
  <si>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</si>
  <si>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</si>
  <si>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</si>
  <si>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</si>
  <si>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</si>
  <si>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</si>
  <si>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</si>
  <si>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</si>
  <si>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</si>
  <si>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</si>
  <si>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</si>
  <si>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</si>
  <si>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</si>
  <si>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</si>
  <si>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</si>
  <si>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</si>
  <si>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</si>
  <si>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</si>
  <si>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</si>
  <si>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</si>
  <si>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</si>
  <si>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</si>
  <si>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</si>
  <si>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</si>
  <si>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</si>
  <si>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</si>
  <si>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</si>
  <si>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</si>
  <si>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</si>
  <si>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</si>
  <si>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</si>
  <si>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</si>
  <si>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</si>
  <si>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</si>
  <si>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</si>
  <si>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</si>
  <si>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</si>
  <si>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</si>
  <si>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</si>
  <si>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</si>
  <si>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</si>
  <si>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</si>
  <si>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</si>
  <si>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</si>
  <si>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</si>
  <si>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</si>
  <si>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</si>
  <si>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</si>
  <si>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</si>
  <si>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</si>
  <si>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</si>
  <si>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</si>
  <si>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</si>
  <si>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</si>
  <si>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</si>
  <si>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</si>
  <si>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</si>
  <si>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</si>
  <si>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</si>
  <si>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</si>
  <si>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</si>
  <si>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</si>
  <si>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</si>
  <si>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</si>
  <si>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</si>
  <si>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</si>
  <si>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</si>
  <si>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</si>
  <si>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</si>
  <si>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</si>
  <si>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</si>
  <si>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</si>
  <si>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</si>
  <si>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</si>
  <si>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</si>
  <si>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</si>
  <si>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</si>
  <si>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</si>
  <si>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</si>
  <si>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</si>
  <si>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</si>
  <si>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</si>
  <si>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</si>
  <si>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</si>
  <si>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</si>
  <si>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</si>
  <si>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</si>
  <si>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</si>
  <si>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</si>
  <si>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</si>
  <si>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</si>
  <si>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</si>
  <si>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</si>
  <si>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</si>
  <si>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</si>
  <si>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</si>
  <si>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</si>
  <si>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</si>
  <si>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</si>
  <si>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</si>
  <si>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</si>
  <si>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</si>
  <si>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</si>
  <si>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</si>
  <si>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</si>
  <si>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</si>
  <si>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</si>
  <si>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</si>
  <si>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</si>
  <si>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</si>
  <si>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</si>
  <si>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</si>
  <si>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</si>
  <si>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</si>
  <si>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</si>
  <si>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</si>
  <si>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</si>
  <si>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</si>
  <si>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</si>
  <si>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</si>
  <si>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</si>
  <si>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</si>
  <si>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</si>
  <si>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</si>
  <si>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</si>
  <si>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</si>
  <si>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</si>
  <si>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</si>
  <si>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</si>
  <si>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</si>
  <si>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</si>
  <si>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</si>
  <si>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</si>
  <si>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</si>
  <si>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</si>
  <si>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</si>
  <si>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</si>
  <si>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</si>
  <si>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</si>
  <si>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</si>
  <si>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</si>
  <si>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</si>
  <si>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</si>
  <si>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</si>
  <si>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</si>
  <si>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</si>
  <si>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</si>
  <si>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</si>
  <si>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</si>
  <si>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</si>
  <si>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</si>
  <si>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</si>
  <si>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</si>
  <si>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</si>
  <si>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</si>
  <si>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</si>
  <si>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</si>
  <si>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</si>
  <si>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</si>
  <si>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</si>
  <si>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</si>
  <si>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</si>
  <si>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</si>
  <si>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</si>
  <si>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</si>
  <si>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</si>
  <si>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</si>
  <si>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</si>
  <si>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</si>
  <si>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</si>
  <si>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</si>
  <si>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</si>
  <si>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</si>
  <si>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</si>
  <si>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</si>
  <si>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</si>
  <si>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</si>
  <si>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</si>
  <si>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</si>
  <si>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</si>
  <si>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</si>
  <si>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</si>
  <si>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</si>
  <si>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</si>
  <si>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</si>
  <si>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</si>
  <si>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</si>
  <si>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</si>
  <si>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</si>
  <si>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</si>
  <si>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</si>
  <si>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</si>
  <si>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</si>
  <si>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</si>
  <si>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</si>
  <si>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</si>
  <si>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</si>
  <si>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</si>
  <si>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</si>
  <si>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</si>
  <si>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</si>
  <si>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</si>
  <si>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</si>
  <si>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</si>
  <si>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</si>
  <si>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</si>
  <si>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</si>
  <si>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</si>
  <si>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</si>
  <si>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</si>
  <si>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</si>
  <si>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</si>
  <si>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</si>
  <si>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</si>
  <si>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</si>
  <si>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</si>
  <si>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</si>
  <si>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</si>
  <si>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</si>
  <si>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</si>
  <si>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</si>
  <si>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</si>
  <si>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</si>
  <si>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</si>
  <si>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</si>
  <si>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</si>
  <si>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</si>
  <si>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</si>
  <si>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</si>
  <si>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</si>
  <si>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</si>
  <si>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</si>
  <si>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</si>
  <si>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</si>
  <si>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</si>
  <si>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</si>
  <si>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</si>
  <si>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</si>
  <si>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</si>
  <si>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</si>
  <si>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</si>
  <si>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</si>
  <si>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</si>
  <si>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</si>
  <si>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</si>
  <si>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</si>
  <si>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</si>
  <si>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</si>
  <si>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</si>
  <si>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</si>
  <si>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</si>
  <si>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</si>
  <si>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</si>
  <si>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</si>
  <si>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</si>
  <si>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</si>
  <si>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</si>
  <si>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</si>
  <si>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</si>
  <si>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</si>
  <si>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</si>
  <si>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</si>
  <si>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</si>
  <si>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</si>
  <si>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</si>
  <si>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</si>
  <si>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</si>
  <si>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</si>
  <si>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</si>
  <si>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</si>
  <si>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</si>
  <si>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</si>
  <si>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</si>
  <si>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</si>
  <si>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</si>
  <si>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</si>
  <si>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</si>
  <si>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</si>
  <si>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</si>
  <si>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</si>
  <si>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</si>
  <si>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</si>
  <si>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</si>
  <si>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</si>
  <si>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</si>
  <si>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</si>
  <si>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</si>
  <si>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</si>
  <si>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</si>
  <si>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</si>
  <si>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</si>
  <si>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</si>
  <si>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</si>
  <si>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</si>
  <si>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</si>
  <si>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</si>
  <si>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</si>
  <si>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</si>
  <si>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</si>
  <si>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</si>
  <si>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</si>
  <si>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</si>
  <si>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</si>
  <si>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</si>
  <si>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</si>
  <si>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</si>
  <si>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</si>
  <si>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</si>
  <si>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</si>
  <si>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</si>
  <si>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</si>
  <si>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</si>
  <si>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</si>
  <si>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</si>
  <si>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</si>
  <si>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</si>
  <si>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</si>
  <si>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</si>
  <si>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</si>
  <si>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</si>
  <si>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</si>
  <si>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</si>
  <si>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</si>
  <si>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</si>
  <si>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</si>
  <si>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</si>
  <si>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</si>
  <si>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</si>
  <si>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</si>
  <si>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</si>
  <si>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</si>
  <si>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</si>
  <si>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</si>
  <si>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</si>
  <si>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</si>
  <si>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</si>
  <si>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</si>
  <si>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</si>
  <si>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</si>
  <si>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</si>
  <si>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</si>
  <si>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</si>
  <si>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</si>
  <si>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</si>
  <si>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</si>
  <si>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</si>
  <si>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</si>
  <si>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</si>
  <si>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</si>
  <si>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</si>
  <si>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</si>
  <si>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</si>
  <si>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</si>
  <si>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</si>
  <si>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</si>
  <si>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</si>
  <si>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</si>
  <si>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</si>
  <si>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</si>
  <si>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</si>
  <si>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</si>
  <si>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</si>
  <si>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</si>
  <si>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</si>
  <si>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</si>
  <si>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</si>
  <si>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</si>
  <si>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</si>
  <si>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</si>
  <si>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</si>
  <si>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</si>
  <si>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</si>
  <si>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</si>
  <si>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</si>
  <si>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</si>
  <si>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</si>
  <si>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</si>
  <si>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</si>
  <si>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</si>
  <si>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</si>
  <si>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</si>
  <si>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</si>
  <si>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</si>
  <si>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</si>
  <si>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</si>
  <si>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</si>
  <si>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</si>
  <si>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</si>
  <si>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</si>
  <si>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</si>
  <si>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</si>
  <si>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</si>
  <si>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</si>
  <si>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</si>
  <si>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</si>
  <si>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</si>
  <si>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</si>
  <si>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</si>
  <si>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</si>
  <si>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</si>
  <si>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</si>
  <si>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</si>
  <si>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</si>
  <si>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</si>
  <si>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</si>
  <si>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</si>
  <si>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</si>
  <si>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</si>
  <si>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</si>
  <si>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</si>
  <si>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</si>
  <si>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</si>
  <si>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</si>
  <si>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</si>
  <si>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</si>
  <si>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</si>
  <si>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</si>
  <si>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</si>
  <si>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</si>
  <si>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</si>
  <si>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</si>
  <si>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</si>
  <si>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</si>
  <si>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</si>
  <si>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</si>
  <si>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</si>
  <si>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</si>
  <si>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</si>
  <si>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</si>
  <si>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</si>
  <si>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</si>
  <si>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</si>
  <si>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</si>
  <si>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</si>
  <si>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</si>
  <si>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</si>
  <si>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</si>
  <si>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</si>
  <si>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</si>
  <si>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</si>
  <si>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</si>
  <si>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</si>
  <si>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</si>
  <si>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</si>
  <si>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</si>
  <si>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</si>
  <si>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</si>
  <si>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</si>
  <si>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</si>
  <si>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</si>
  <si>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</si>
  <si>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</si>
  <si>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</si>
  <si>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</si>
  <si>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</si>
  <si>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</si>
  <si>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</si>
  <si>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</si>
  <si>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</si>
  <si>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</si>
  <si>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</si>
  <si>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</si>
  <si>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</si>
  <si>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</si>
  <si>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</si>
  <si>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</si>
  <si>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</si>
  <si>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</si>
  <si>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</si>
  <si>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</si>
  <si>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</si>
  <si>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</si>
  <si>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</si>
  <si>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</si>
  <si>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</si>
  <si>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</si>
  <si>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</si>
  <si>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</si>
  <si>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</si>
  <si>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</si>
  <si>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</si>
  <si>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</si>
  <si>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</si>
  <si>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</si>
  <si>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</si>
  <si>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</si>
  <si>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</si>
  <si>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</si>
  <si>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</si>
  <si>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</si>
  <si>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</si>
  <si>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</si>
  <si>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</si>
  <si>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</si>
  <si>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</si>
  <si>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</si>
  <si>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</si>
  <si>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</si>
  <si>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</si>
  <si>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</si>
  <si>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</si>
  <si>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</si>
  <si>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</si>
  <si>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</si>
  <si>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</si>
  <si>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</si>
  <si>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</si>
  <si>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</si>
  <si>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</si>
  <si>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</si>
  <si>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</si>
  <si>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</si>
  <si>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</si>
  <si>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</si>
  <si>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</si>
  <si>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</si>
  <si>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</si>
  <si>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</si>
  <si>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</si>
  <si>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</si>
  <si>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</si>
  <si>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</si>
  <si>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</si>
  <si>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</si>
  <si>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</si>
  <si>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</si>
  <si>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</si>
  <si>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</si>
  <si>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</si>
  <si>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</si>
  <si>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</si>
  <si>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</si>
  <si>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</si>
  <si>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</si>
  <si>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</si>
  <si>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</si>
  <si>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</si>
  <si>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</si>
  <si>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</si>
  <si>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</si>
  <si>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</si>
  <si>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</si>
  <si>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</si>
  <si>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</si>
  <si>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</si>
  <si>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</si>
  <si>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</si>
  <si>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</si>
  <si>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</si>
  <si>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</si>
  <si>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</si>
  <si>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</si>
  <si>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</si>
  <si>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</si>
  <si>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</si>
  <si>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</si>
  <si>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</si>
  <si>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</si>
  <si>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</si>
  <si>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</si>
  <si>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</si>
  <si>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</si>
  <si>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</si>
  <si>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</si>
  <si>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</si>
  <si>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</si>
  <si>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</si>
  <si>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</si>
  <si>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</si>
  <si>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</si>
  <si>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</si>
  <si>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</si>
  <si>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</si>
  <si>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</si>
  <si>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</si>
  <si>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</si>
  <si>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</si>
  <si>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</si>
  <si>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</si>
  <si>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</si>
  <si>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</si>
  <si>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</si>
  <si>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</si>
  <si>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</si>
  <si>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</si>
  <si>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</si>
  <si>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</si>
  <si>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</si>
  <si>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</si>
  <si>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</si>
  <si>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</si>
  <si>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</si>
  <si>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</si>
  <si>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</si>
  <si>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</si>
  <si>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</si>
  <si>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</si>
  <si>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</si>
  <si>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</si>
  <si>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</si>
  <si>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</si>
  <si>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</si>
  <si>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</si>
  <si>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</si>
  <si>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</si>
  <si>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</si>
  <si>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</si>
  <si>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</si>
  <si>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</si>
  <si>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</si>
  <si>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</si>
  <si>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</si>
  <si>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</si>
  <si>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</si>
  <si>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</si>
  <si>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</si>
  <si>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</si>
  <si>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</si>
  <si>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</si>
  <si>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</si>
  <si>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</si>
  <si>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</si>
  <si>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</si>
  <si>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</si>
  <si>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</si>
  <si>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</si>
  <si>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</si>
  <si>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</si>
  <si>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</si>
  <si>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</si>
  <si>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</si>
  <si>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</si>
  <si>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</si>
  <si>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</si>
  <si>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</si>
  <si>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</si>
  <si>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</si>
  <si>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</si>
  <si>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</si>
  <si>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</si>
  <si>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</si>
  <si>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</si>
  <si>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</si>
  <si>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</si>
  <si>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</si>
  <si>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</si>
  <si>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</si>
  <si>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</si>
  <si>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</si>
  <si>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</si>
  <si>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</si>
  <si>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</si>
  <si>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</si>
  <si>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</si>
  <si>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</si>
  <si>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</si>
  <si>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</si>
  <si>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</si>
  <si>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</si>
  <si>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</si>
  <si>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</si>
  <si>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</si>
  <si>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</si>
  <si>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</si>
  <si>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</si>
  <si>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</si>
  <si>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</si>
  <si>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</si>
  <si>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</si>
  <si>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</si>
  <si>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</si>
  <si>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</si>
  <si>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</si>
  <si>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</si>
  <si>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</si>
  <si>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</si>
  <si>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</si>
  <si>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</si>
  <si>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</si>
  <si>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</si>
  <si>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</si>
  <si>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</si>
  <si>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</si>
  <si>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</si>
  <si>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</si>
  <si>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</si>
  <si>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</si>
  <si>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</si>
  <si>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</si>
  <si>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</si>
  <si>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</si>
  <si>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</si>
  <si>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</si>
  <si>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</si>
  <si>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</si>
  <si>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</si>
  <si>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</si>
  <si>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</si>
  <si>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</si>
  <si>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</si>
  <si>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</si>
  <si>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</si>
  <si>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</si>
  <si>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</si>
  <si>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</si>
  <si>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</si>
  <si>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</si>
  <si>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</si>
  <si>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</si>
  <si>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</si>
  <si>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</si>
  <si>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</si>
  <si>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</si>
  <si>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</si>
  <si>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</si>
  <si>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</si>
  <si>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</si>
  <si>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</si>
  <si>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</si>
  <si>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</si>
  <si>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</si>
  <si>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</si>
  <si>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</si>
  <si>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</si>
  <si>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</si>
  <si>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</si>
  <si>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</si>
  <si>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</si>
  <si>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</si>
  <si>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</si>
  <si>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</si>
  <si>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</si>
  <si>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</si>
  <si>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</si>
  <si>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</si>
  <si>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</si>
  <si>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</si>
  <si>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</si>
  <si>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</si>
  <si>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</si>
  <si>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</si>
  <si>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</si>
  <si>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</si>
  <si>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</si>
  <si>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</si>
  <si>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</si>
  <si>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</si>
  <si>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</si>
  <si>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</si>
  <si>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</si>
  <si>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</si>
  <si>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</si>
  <si>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</si>
  <si>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</si>
  <si>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</si>
  <si>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</si>
  <si>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</si>
  <si>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</si>
  <si>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</si>
  <si>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</si>
  <si>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</si>
  <si>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</si>
  <si>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</si>
  <si>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</si>
  <si>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</si>
  <si>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</si>
  <si>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</si>
  <si>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</si>
  <si>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</si>
  <si>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</si>
  <si>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</si>
  <si>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</si>
  <si>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</si>
  <si>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</si>
  <si>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</si>
  <si>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</si>
  <si>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</si>
  <si>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</si>
  <si>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</si>
  <si>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</si>
  <si>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</si>
  <si>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</si>
  <si>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</si>
  <si>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</si>
  <si>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</si>
  <si>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</si>
  <si>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</si>
  <si>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</si>
  <si>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</si>
  <si>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</si>
  <si>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</si>
  <si>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</si>
  <si>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</si>
  <si>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</si>
  <si>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</si>
  <si>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</si>
  <si>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</si>
  <si>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</si>
  <si>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</si>
  <si>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</si>
  <si>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</si>
  <si>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</si>
  <si>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</si>
  <si>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</si>
  <si>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</si>
  <si>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</si>
  <si>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</si>
  <si>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</si>
  <si>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</si>
  <si>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</si>
  <si>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</si>
  <si>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</si>
  <si>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</si>
  <si>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</si>
  <si>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</si>
  <si>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</si>
  <si>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</si>
  <si>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</si>
  <si>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</si>
  <si>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</si>
  <si>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</si>
  <si>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</si>
  <si>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</si>
  <si>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</si>
  <si>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</si>
  <si>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</si>
  <si>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</si>
  <si>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</si>
  <si>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</si>
  <si>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</si>
  <si>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</si>
  <si>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</si>
  <si>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</si>
  <si>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</si>
  <si>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</si>
  <si>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</si>
  <si>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</si>
  <si>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</si>
  <si>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</si>
  <si>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</si>
  <si>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</si>
  <si>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</si>
  <si>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</si>
  <si>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</si>
  <si>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</si>
  <si>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</si>
  <si>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</si>
  <si>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</si>
  <si>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</si>
  <si>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</si>
  <si>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</si>
  <si>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</si>
  <si>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</si>
  <si>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</si>
  <si>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</si>
  <si>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</si>
  <si>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</si>
  <si>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</si>
  <si>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</si>
  <si>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</si>
  <si>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</si>
  <si>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</si>
  <si>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</si>
  <si>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</si>
  <si>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</si>
  <si>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</si>
  <si>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</si>
  <si>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</si>
  <si>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</si>
  <si>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</si>
  <si>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</si>
  <si>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</si>
  <si>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</si>
  <si>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</si>
  <si>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</si>
  <si>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</si>
  <si>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</si>
  <si>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</si>
  <si>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</si>
  <si>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</si>
  <si>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</si>
  <si>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</si>
  <si>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</si>
  <si>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</si>
  <si>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</si>
  <si>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</si>
  <si>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</si>
  <si>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</si>
  <si>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</si>
  <si>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</si>
  <si>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</si>
  <si>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</si>
  <si>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</si>
  <si>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</si>
  <si>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</si>
  <si>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</si>
  <si>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</si>
  <si>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</si>
  <si>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</si>
  <si>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</si>
  <si>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</si>
  <si>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</si>
  <si>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</si>
  <si>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</si>
  <si>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</si>
  <si>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</si>
  <si>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</si>
  <si>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</si>
  <si>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</si>
  <si>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</si>
  <si>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</si>
  <si>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</si>
  <si>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</si>
  <si>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</si>
  <si>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</si>
  <si>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</si>
  <si>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</si>
  <si>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</si>
  <si>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</si>
  <si>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</si>
  <si>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</si>
  <si>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</si>
  <si>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</si>
  <si>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</si>
  <si>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</si>
  <si>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</si>
  <si>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</si>
  <si>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</si>
  <si>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</si>
  <si>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</si>
  <si>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</si>
  <si>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</si>
  <si>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</si>
  <si>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</si>
  <si>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</si>
  <si>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</si>
  <si>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</si>
  <si>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</si>
  <si>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</si>
  <si>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</si>
  <si>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</si>
  <si>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</si>
  <si>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</si>
  <si>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</si>
  <si>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</si>
  <si>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</si>
  <si>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</si>
  <si>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</si>
  <si>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</si>
  <si>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</si>
  <si>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</si>
  <si>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</si>
  <si>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</si>
  <si>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</si>
  <si>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</si>
  <si>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</si>
  <si>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</si>
  <si>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</si>
  <si>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</si>
  <si>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</si>
  <si>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</si>
  <si>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</si>
  <si>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</si>
  <si>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</si>
  <si>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</si>
  <si>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</si>
  <si>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</si>
  <si>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</si>
  <si>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</si>
  <si>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</si>
  <si>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</si>
  <si>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</si>
  <si>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</si>
  <si>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</si>
  <si>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</si>
  <si>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</si>
  <si>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</si>
  <si>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</si>
  <si>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</si>
  <si>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</si>
  <si>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</si>
  <si>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</si>
  <si>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</si>
  <si>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</si>
  <si>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</si>
  <si>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</si>
  <si>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</si>
  <si>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</si>
  <si>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</si>
  <si>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</si>
  <si>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</si>
  <si>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</si>
  <si>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</si>
  <si>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</si>
  <si>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</si>
  <si>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</si>
  <si>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</si>
  <si>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</si>
  <si>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</si>
  <si>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</si>
  <si>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</si>
  <si>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</si>
  <si>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</si>
  <si>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</si>
  <si>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</si>
  <si>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</si>
  <si>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</si>
  <si>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</si>
  <si>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</si>
  <si>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</si>
  <si>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</si>
  <si>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</si>
  <si>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</si>
  <si>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</si>
  <si>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</si>
  <si>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</si>
  <si>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</si>
  <si>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</si>
  <si>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</si>
  <si>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</si>
  <si>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</si>
  <si>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</si>
  <si>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</si>
  <si>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</si>
  <si>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</si>
  <si>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</si>
  <si>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</si>
  <si>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</si>
  <si>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</si>
  <si>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</si>
  <si>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</si>
  <si>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</si>
  <si>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</si>
  <si>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</si>
  <si>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</si>
  <si>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</si>
  <si>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</si>
  <si>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</si>
  <si>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</si>
  <si>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</si>
  <si>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</si>
  <si>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</si>
  <si>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</si>
  <si>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</si>
  <si>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</si>
  <si>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</si>
  <si>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</si>
  <si>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</si>
  <si>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</si>
  <si>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</si>
  <si>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</si>
  <si>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</si>
  <si>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</si>
  <si>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</si>
  <si>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</si>
  <si>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</si>
  <si>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</si>
  <si>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</si>
  <si>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</si>
  <si>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</si>
  <si>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</si>
  <si>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</si>
  <si>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</si>
  <si>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</si>
  <si>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</si>
  <si>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</si>
  <si>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</si>
  <si>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</si>
  <si>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</si>
  <si>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</si>
  <si>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</si>
  <si>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</si>
  <si>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</si>
  <si>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</si>
  <si>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</si>
  <si>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</si>
  <si>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</si>
  <si>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</si>
  <si>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</si>
  <si>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</si>
  <si>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</si>
  <si>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</si>
  <si>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</si>
  <si>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</si>
  <si>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</si>
  <si>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</si>
  <si>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</si>
  <si>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</si>
  <si>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</si>
  <si>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</si>
  <si>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</si>
  <si>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</si>
  <si>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</si>
  <si>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</si>
  <si>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</si>
  <si>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</si>
  <si>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</si>
  <si>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</si>
  <si>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</si>
  <si>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</si>
  <si>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</si>
  <si>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</si>
  <si>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</si>
  <si>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</si>
  <si>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</si>
  <si>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</si>
  <si>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</si>
  <si>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</si>
  <si>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</si>
  <si>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</si>
  <si>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</si>
  <si>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</si>
  <si>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</si>
  <si>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</si>
  <si>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</si>
  <si>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</si>
  <si>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</si>
  <si>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</si>
  <si>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</si>
  <si>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</si>
  <si>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</si>
  <si>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</si>
  <si>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</si>
  <si>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</si>
  <si>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</si>
  <si>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</si>
  <si>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</si>
  <si>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</si>
  <si>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</si>
  <si>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</si>
  <si>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</si>
  <si>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</si>
  <si>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</si>
  <si>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</si>
  <si>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</si>
  <si>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</si>
  <si>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</si>
  <si>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</si>
  <si>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</si>
  <si>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</si>
  <si>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</si>
  <si>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</si>
  <si>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</si>
  <si>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</si>
  <si>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</si>
  <si>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</si>
  <si>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</si>
  <si>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</si>
  <si>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</si>
  <si>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</si>
  <si>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</si>
  <si>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</si>
  <si>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</si>
  <si>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</si>
  <si>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</si>
  <si>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</si>
  <si>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</si>
  <si>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</si>
  <si>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</si>
  <si>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</si>
  <si>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</si>
  <si>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</si>
  <si>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</si>
  <si>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</si>
  <si>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</si>
  <si>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</si>
  <si>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</si>
  <si>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</si>
  <si>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</si>
  <si>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</si>
  <si>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</si>
  <si>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</si>
  <si>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</si>
  <si>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</si>
  <si>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</si>
  <si>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</si>
  <si>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</si>
  <si>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</si>
  <si>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</si>
  <si>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</si>
  <si>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</si>
  <si>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</si>
  <si>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</si>
  <si>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</si>
  <si>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</si>
  <si>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</si>
  <si>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</si>
  <si>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</si>
  <si>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</si>
  <si>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</si>
  <si>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</si>
  <si>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</si>
  <si>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</si>
  <si>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</si>
  <si>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</si>
  <si>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</si>
  <si>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</si>
  <si>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</si>
  <si>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</si>
  <si>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</si>
  <si>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</si>
  <si>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</si>
  <si>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</si>
  <si>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</si>
  <si>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</si>
  <si>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</si>
  <si>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</si>
  <si>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</si>
  <si>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</si>
  <si>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</si>
  <si>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</si>
  <si>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</si>
  <si>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</si>
  <si>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</si>
  <si>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</si>
  <si>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</si>
  <si>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</si>
  <si>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</si>
  <si>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</si>
  <si>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</si>
  <si>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</si>
  <si>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</si>
  <si>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</si>
  <si>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</si>
  <si>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</si>
  <si>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</si>
  <si>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</si>
  <si>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</si>
  <si>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</si>
  <si>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</si>
  <si>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</si>
  <si>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</si>
  <si>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</si>
  <si>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</si>
  <si>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</si>
  <si>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</si>
  <si>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</si>
  <si>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</si>
  <si>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</si>
  <si>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</si>
  <si>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</si>
  <si>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</si>
  <si>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</si>
  <si>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</si>
  <si>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</si>
  <si>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</si>
  <si>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</si>
  <si>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</si>
  <si>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</si>
  <si>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</si>
  <si>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</si>
  <si>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</si>
  <si>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</si>
  <si>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</si>
  <si>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</si>
  <si>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</si>
  <si>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</si>
  <si>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</si>
  <si>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</si>
  <si>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</si>
  <si>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</si>
  <si>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</si>
  <si>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</si>
  <si>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</si>
  <si>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</si>
  <si>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</si>
  <si>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</si>
  <si>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</si>
  <si>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</si>
  <si>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</si>
  <si>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</si>
  <si>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</si>
  <si>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</si>
  <si>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</si>
  <si>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</si>
  <si>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</si>
  <si>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</si>
  <si>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</si>
  <si>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</si>
  <si>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</si>
  <si>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</si>
  <si>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</si>
  <si>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</si>
  <si>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</si>
  <si>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</si>
  <si>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</si>
  <si>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</si>
  <si>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</si>
  <si>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</si>
  <si>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</si>
  <si>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</si>
  <si>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</si>
  <si>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</si>
  <si>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</si>
  <si>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</si>
  <si>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</si>
  <si>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</si>
  <si>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</si>
  <si>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</si>
  <si>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</si>
  <si>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</si>
  <si>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</si>
  <si>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</si>
  <si>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</si>
  <si>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</si>
  <si>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</si>
  <si>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</si>
  <si>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</si>
  <si>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</si>
  <si>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</si>
  <si>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</si>
  <si>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</si>
  <si>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</si>
  <si>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</si>
  <si>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</si>
  <si>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</si>
  <si>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</si>
  <si>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</si>
  <si>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</si>
  <si>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</si>
  <si>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</si>
  <si>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</si>
  <si>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</si>
  <si>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</si>
  <si>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</si>
  <si>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</si>
  <si>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</si>
  <si>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</si>
  <si>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</si>
  <si>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</si>
  <si>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</si>
  <si>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</si>
  <si>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</si>
  <si>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</si>
  <si>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</si>
  <si>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</si>
  <si>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</si>
  <si>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</si>
  <si>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</si>
  <si>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</si>
  <si>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</si>
  <si>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</si>
  <si>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</si>
  <si>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</si>
  <si>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</si>
  <si>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</si>
  <si>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</si>
  <si>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</si>
  <si>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</si>
  <si>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</si>
  <si>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</si>
  <si>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</si>
  <si>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</si>
  <si>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</si>
  <si>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</si>
  <si>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</si>
  <si>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</si>
  <si>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</si>
  <si>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</si>
  <si>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</si>
  <si>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</si>
  <si>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</si>
  <si>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</si>
  <si>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</si>
  <si>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</si>
  <si>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</si>
  <si>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</si>
  <si>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</si>
  <si>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</si>
  <si>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</si>
  <si>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</si>
  <si>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</si>
  <si>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</si>
  <si>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</si>
  <si>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</si>
  <si>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</si>
  <si>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</si>
  <si>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</si>
  <si>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</si>
  <si>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</si>
  <si>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</si>
  <si>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</si>
  <si>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</si>
  <si>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</si>
  <si>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</si>
  <si>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</si>
  <si>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</si>
  <si>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</si>
  <si>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</si>
  <si>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</si>
  <si>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</si>
  <si>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</si>
  <si>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</si>
  <si>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</si>
  <si>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</si>
  <si>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</si>
  <si>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</si>
  <si>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</si>
  <si>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</si>
  <si>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</si>
  <si>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</si>
  <si>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</si>
  <si>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</si>
  <si>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</si>
  <si>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</si>
  <si>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</si>
  <si>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</si>
  <si>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</si>
  <si>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</si>
  <si>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</si>
  <si>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</si>
  <si>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</si>
  <si>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</si>
  <si>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</si>
  <si>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</si>
  <si>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</si>
  <si>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</si>
  <si>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</si>
  <si>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</si>
  <si>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</si>
  <si>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</si>
  <si>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</si>
  <si>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</si>
  <si>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</si>
  <si>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</si>
  <si>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</si>
  <si>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</si>
  <si>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</si>
  <si>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</si>
  <si>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</si>
  <si>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</si>
  <si>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</si>
  <si>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</si>
  <si>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</si>
  <si>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</si>
  <si>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</si>
  <si>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</si>
  <si>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</si>
  <si>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</si>
  <si>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</si>
  <si>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</si>
  <si>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</si>
  <si>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</si>
  <si>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</si>
  <si>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</si>
  <si>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</si>
  <si>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</si>
  <si>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</si>
  <si>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</si>
  <si>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</si>
  <si>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</si>
  <si>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</si>
  <si>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</si>
  <si>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</si>
  <si>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</si>
  <si>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</si>
  <si>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</si>
  <si>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</si>
  <si>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</si>
  <si>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</si>
  <si>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</si>
  <si>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</si>
  <si>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</si>
  <si>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</si>
  <si>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</si>
  <si>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</si>
  <si>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</si>
  <si>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</si>
  <si>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</si>
  <si>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</si>
  <si>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</si>
  <si>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</si>
  <si>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</si>
  <si>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</si>
  <si>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</si>
  <si>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</si>
  <si>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</si>
  <si>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</si>
  <si>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</si>
  <si>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</si>
  <si>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</si>
  <si>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</si>
  <si>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</si>
  <si>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</si>
  <si>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</si>
  <si>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</si>
  <si>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</si>
  <si>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</si>
  <si>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</si>
  <si>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</si>
  <si>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</si>
  <si>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</si>
  <si>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</si>
  <si>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</si>
  <si>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</si>
  <si>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</si>
  <si>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</si>
  <si>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</si>
  <si>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</si>
  <si>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</si>
  <si>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</si>
  <si>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</si>
  <si>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</si>
  <si>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</si>
  <si>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</si>
  <si>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</si>
  <si>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</si>
  <si>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</si>
  <si>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</si>
  <si>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</si>
  <si>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</si>
  <si>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</si>
  <si>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</si>
  <si>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</si>
  <si>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</si>
  <si>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</si>
  <si>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</si>
  <si>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</si>
  <si>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</si>
  <si>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</si>
  <si>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</si>
  <si>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</si>
  <si>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</si>
  <si>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</si>
  <si>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</si>
  <si>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</si>
  <si>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</si>
  <si>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</si>
  <si>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</si>
  <si>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</si>
  <si>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</si>
  <si>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</si>
  <si>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</si>
  <si>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</si>
  <si>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</si>
  <si>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</si>
  <si>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</si>
  <si>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</si>
  <si>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</si>
  <si>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</si>
  <si>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</si>
  <si>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</si>
  <si>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</si>
  <si>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</si>
  <si>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</si>
  <si>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</si>
  <si>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</si>
  <si>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</si>
  <si>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</si>
  <si>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</si>
  <si>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</si>
  <si>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</si>
  <si>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</si>
  <si>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</si>
  <si>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</si>
  <si>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</si>
  <si>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</si>
  <si>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</si>
  <si>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</si>
  <si>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</si>
  <si>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</si>
  <si>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</si>
  <si>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</si>
  <si>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</si>
  <si>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</si>
  <si>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</si>
  <si>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</si>
  <si>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</si>
  <si>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</si>
  <si>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</si>
  <si>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</si>
  <si>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</si>
  <si>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</si>
  <si>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</si>
  <si>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</si>
  <si>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</si>
  <si>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</si>
  <si>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</si>
  <si>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</si>
  <si>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</si>
  <si>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</si>
  <si>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</si>
  <si>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</si>
  <si>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</si>
  <si>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</si>
  <si>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</si>
  <si>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</si>
  <si>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</si>
  <si>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</si>
  <si>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</si>
  <si>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</si>
  <si>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</si>
  <si>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</si>
  <si>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</si>
  <si>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</si>
  <si>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</si>
  <si>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</si>
  <si>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</si>
  <si>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</si>
  <si>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</si>
  <si>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</si>
  <si>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</si>
  <si>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</si>
  <si>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</si>
  <si>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</si>
  <si>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</si>
  <si>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</si>
  <si>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</si>
  <si>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</si>
  <si>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</si>
  <si>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</si>
  <si>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</si>
  <si>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</si>
  <si>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</si>
  <si>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</si>
  <si>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</si>
  <si>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</si>
  <si>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</si>
  <si>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</si>
  <si>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</si>
  <si>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</si>
  <si>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</si>
  <si>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</si>
  <si>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</si>
  <si>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</si>
  <si>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</si>
  <si>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</si>
  <si>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</si>
  <si>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</si>
  <si>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</si>
  <si>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</si>
  <si>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</si>
  <si>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</si>
  <si>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</si>
  <si>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</si>
  <si>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</si>
  <si>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</si>
  <si>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</si>
  <si>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</si>
  <si>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</si>
  <si>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</si>
  <si>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</si>
  <si>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</si>
  <si>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</si>
  <si>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</si>
  <si>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</si>
  <si>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</si>
  <si>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</si>
  <si>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</si>
  <si>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</si>
  <si>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</si>
  <si>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</si>
  <si>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</si>
  <si>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</si>
  <si>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</si>
  <si>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</si>
  <si>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</si>
  <si>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</si>
  <si>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</si>
  <si>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</si>
  <si>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</si>
  <si>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</si>
  <si>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</si>
  <si>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</si>
  <si>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</si>
  <si>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</si>
  <si>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</si>
  <si>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</si>
  <si>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</si>
  <si>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</si>
  <si>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</si>
  <si>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</si>
  <si>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</si>
  <si>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</si>
  <si>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</si>
  <si>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</si>
  <si>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</si>
  <si>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</si>
  <si>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</si>
  <si>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</si>
  <si>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</si>
  <si>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</si>
  <si>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</si>
  <si>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</si>
  <si>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</si>
  <si>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</si>
  <si>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</si>
  <si>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</si>
  <si>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</si>
  <si>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</si>
  <si>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</si>
  <si>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</si>
  <si>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</si>
  <si>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</si>
  <si>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</si>
  <si>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</si>
  <si>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</si>
  <si>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</si>
  <si>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</si>
  <si>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</si>
  <si>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</si>
  <si>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</si>
  <si>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</si>
  <si>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</si>
  <si>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</si>
  <si>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</si>
  <si>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</si>
  <si>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</si>
  <si>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</si>
  <si>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</si>
  <si>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</si>
  <si>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</si>
  <si>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</si>
  <si>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</si>
  <si>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</si>
  <si>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</si>
  <si>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</si>
  <si>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</si>
  <si>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</si>
  <si>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</si>
  <si>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</si>
  <si>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</si>
  <si>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</si>
  <si>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</si>
  <si>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</si>
  <si>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</si>
  <si>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</si>
  <si>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</si>
  <si>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</si>
  <si>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</si>
  <si>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</si>
  <si>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</si>
  <si>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</si>
  <si>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</si>
  <si>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</si>
  <si>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</si>
  <si>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</si>
  <si>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</si>
  <si>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</si>
  <si>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</si>
  <si>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</si>
  <si>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</si>
  <si>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</si>
  <si>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</si>
  <si>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</si>
  <si>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</si>
  <si>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</si>
  <si>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</si>
  <si>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</si>
  <si>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</si>
  <si>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</si>
  <si>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</si>
  <si>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</si>
  <si>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</si>
  <si>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</si>
  <si>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</si>
  <si>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</si>
  <si>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</si>
  <si>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</si>
  <si>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</si>
  <si>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</si>
  <si>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</si>
  <si>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</si>
  <si>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</si>
  <si>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</si>
  <si>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</si>
  <si>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</si>
  <si>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</si>
  <si>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</si>
  <si>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</si>
  <si>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</si>
  <si>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</si>
  <si>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</si>
  <si>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</si>
  <si>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</si>
  <si>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</si>
  <si>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</si>
  <si>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</si>
  <si>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</si>
  <si>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</si>
  <si>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</si>
  <si>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</si>
  <si>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</si>
  <si>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</si>
  <si>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</si>
  <si>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</si>
  <si>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</si>
  <si>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</si>
  <si>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</si>
  <si>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</si>
  <si>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</si>
  <si>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</si>
  <si>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</si>
  <si>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</si>
  <si>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</si>
  <si>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</si>
  <si>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</si>
  <si>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</si>
  <si>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</si>
  <si>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</si>
  <si>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</si>
  <si>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</si>
  <si>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</si>
  <si>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</si>
  <si>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</si>
  <si>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</si>
  <si>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</si>
  <si>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</si>
  <si>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</si>
  <si>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</si>
  <si>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</si>
  <si>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</si>
  <si>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</si>
  <si>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</si>
  <si>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</si>
  <si>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</si>
  <si>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</si>
  <si>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</si>
  <si>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</si>
  <si>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</si>
  <si>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</si>
  <si>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</si>
  <si>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</si>
  <si>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</si>
  <si>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</si>
  <si>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</si>
  <si>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</si>
  <si>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</si>
  <si>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</si>
  <si>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</si>
  <si>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</si>
  <si>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</si>
  <si>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</si>
  <si>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</si>
  <si>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</si>
  <si>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</si>
  <si>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</si>
  <si>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</si>
  <si>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</si>
  <si>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</si>
  <si>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</si>
  <si>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</si>
  <si>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</si>
  <si>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</si>
  <si>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</si>
  <si>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</si>
  <si>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</si>
  <si>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</si>
  <si>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</si>
  <si>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</si>
  <si>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</si>
  <si>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</si>
  <si>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</si>
  <si>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</si>
  <si>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</si>
  <si>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</si>
  <si>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</si>
  <si>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</si>
  <si>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</si>
  <si>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</si>
  <si>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</si>
  <si>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</si>
  <si>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</si>
  <si>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</si>
  <si>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</si>
  <si>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</si>
  <si>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</si>
  <si>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</si>
  <si>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</si>
  <si>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</si>
  <si>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</si>
  <si>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</si>
  <si>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</si>
  <si>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</si>
  <si>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</si>
  <si>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</si>
  <si>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</si>
  <si>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</si>
  <si>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</si>
  <si>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</si>
  <si>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</si>
  <si>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</si>
  <si>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</si>
  <si>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</si>
  <si>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</si>
  <si>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</si>
  <si>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</si>
  <si>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</si>
  <si>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</si>
  <si>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</si>
  <si>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</si>
  <si>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</si>
  <si>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</si>
  <si>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</si>
  <si>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</si>
  <si>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</si>
  <si>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</si>
  <si>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</si>
  <si>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</si>
  <si>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</si>
  <si>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</si>
  <si>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</si>
  <si>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</si>
  <si>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</si>
  <si>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</si>
  <si>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</si>
  <si>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</si>
  <si>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</si>
  <si>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</si>
  <si>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</si>
  <si>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</si>
  <si>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</si>
  <si>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</si>
  <si>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</si>
  <si>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</si>
  <si>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</si>
  <si>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</si>
  <si>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</si>
  <si>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</si>
  <si>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</si>
  <si>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</si>
  <si>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</si>
  <si>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</si>
  <si>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</si>
  <si>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</si>
  <si>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</si>
  <si>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</si>
  <si>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</si>
  <si>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</si>
  <si>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</si>
  <si>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</si>
  <si>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</si>
  <si>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</si>
  <si>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</si>
  <si>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</si>
  <si>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</si>
  <si>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</si>
  <si>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</si>
  <si>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</si>
  <si>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</si>
  <si>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</si>
  <si>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</si>
  <si>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</si>
  <si>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</si>
  <si>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</si>
  <si>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</si>
  <si>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</si>
  <si>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</si>
  <si>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</si>
  <si>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</si>
  <si>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</si>
  <si>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</si>
  <si>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</si>
  <si>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</si>
  <si>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</si>
  <si>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</si>
  <si>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</si>
  <si>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</si>
  <si>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</si>
  <si>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</si>
  <si>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</si>
  <si>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</si>
  <si>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</si>
  <si>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</si>
  <si>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</si>
  <si>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</si>
  <si>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</si>
  <si>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</si>
  <si>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</si>
  <si>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</si>
  <si>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</si>
  <si>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</si>
  <si>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</si>
  <si>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</si>
  <si>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</si>
  <si>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</si>
  <si>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</si>
  <si>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</si>
  <si>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</si>
  <si>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</si>
  <si>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</si>
  <si>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</si>
  <si>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</si>
  <si>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</si>
  <si>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</si>
  <si>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</si>
  <si>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</si>
  <si>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</si>
  <si>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</si>
  <si>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</si>
  <si>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</si>
  <si>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</si>
  <si>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</si>
  <si>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</si>
  <si>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</si>
  <si>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</si>
  <si>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</si>
  <si>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</si>
  <si>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</si>
  <si>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</si>
  <si>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</si>
  <si>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</si>
  <si>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</si>
  <si>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</si>
  <si>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</si>
  <si>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</si>
  <si>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</si>
  <si>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</si>
  <si>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</si>
  <si>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</si>
  <si>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</si>
  <si>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</si>
  <si>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</si>
  <si>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</si>
  <si>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</si>
  <si>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</si>
  <si>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</si>
  <si>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</si>
  <si>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</si>
  <si>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</si>
  <si>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</si>
  <si>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</si>
  <si>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</si>
  <si>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</si>
  <si>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</si>
  <si>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</si>
  <si>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</si>
  <si>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</si>
  <si>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</si>
  <si>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</si>
  <si>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</si>
  <si>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</si>
  <si>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</si>
  <si>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</si>
  <si>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</si>
  <si>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</si>
  <si>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</si>
  <si>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</si>
  <si>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</si>
  <si>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</si>
  <si>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</si>
  <si>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</si>
  <si>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</si>
  <si>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</si>
  <si>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</si>
  <si>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</si>
  <si>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</si>
  <si>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</si>
  <si>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</si>
  <si>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</si>
  <si>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</si>
  <si>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</si>
  <si>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</si>
  <si>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</si>
  <si>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</si>
  <si>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</si>
  <si>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</si>
  <si>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</si>
  <si>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</si>
  <si>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</si>
  <si>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</si>
  <si>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</si>
  <si>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</si>
  <si>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</si>
  <si>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</si>
  <si>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</si>
  <si>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</si>
  <si>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</si>
  <si>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</si>
  <si>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</si>
  <si>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</si>
  <si>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</si>
  <si>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</si>
  <si>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</si>
  <si>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</si>
  <si>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</si>
  <si>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</si>
  <si>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</si>
  <si>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</si>
  <si>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</si>
  <si>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</si>
  <si>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</si>
  <si>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</si>
  <si>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</si>
  <si>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</si>
  <si>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</si>
  <si>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</si>
  <si>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</si>
  <si>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</si>
  <si>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</si>
  <si>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</si>
  <si>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</si>
  <si>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</si>
  <si>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</si>
  <si>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</si>
  <si>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</si>
  <si>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</si>
  <si>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</si>
  <si>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</si>
  <si>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</si>
  <si>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</si>
  <si>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</si>
  <si>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</si>
  <si>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</si>
  <si>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</si>
  <si>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</si>
  <si>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</si>
  <si>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</si>
  <si>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</si>
  <si>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</si>
  <si>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</si>
  <si>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</si>
  <si>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</si>
  <si>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</si>
  <si>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</si>
  <si>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</si>
  <si>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</si>
  <si>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</si>
  <si>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</si>
  <si>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</si>
  <si>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</si>
  <si>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</si>
  <si>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</si>
  <si>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</si>
  <si>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</si>
  <si>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</si>
  <si>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</si>
  <si>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</si>
  <si>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</si>
  <si>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</si>
  <si>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</si>
  <si>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</si>
  <si>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</si>
  <si>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</si>
  <si>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</si>
  <si>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</si>
  <si>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</si>
  <si>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</si>
  <si>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</si>
  <si>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</si>
  <si>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</si>
  <si>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</si>
  <si>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</si>
  <si>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</si>
  <si>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</si>
  <si>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</si>
  <si>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</si>
  <si>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</si>
  <si>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</si>
  <si>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</si>
  <si>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</si>
  <si>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</si>
  <si>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</si>
  <si>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</si>
  <si>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</si>
  <si>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</si>
  <si>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</si>
  <si>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</si>
  <si>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</si>
  <si>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</si>
  <si>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</si>
  <si>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</si>
  <si>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</si>
  <si>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</si>
  <si>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</si>
  <si>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</si>
  <si>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</si>
  <si>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</si>
  <si>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</si>
  <si>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</si>
  <si>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</si>
  <si>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</si>
  <si>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</si>
  <si>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</si>
  <si>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</si>
  <si>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</si>
  <si>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</si>
  <si>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</si>
  <si>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</si>
  <si>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</si>
  <si>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</si>
  <si>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</si>
  <si>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</si>
  <si>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</si>
  <si>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</si>
  <si>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</si>
  <si>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</si>
  <si>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</si>
  <si>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</si>
  <si>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</si>
  <si>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</si>
  <si>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</si>
  <si>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</si>
  <si>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</si>
  <si>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</si>
  <si>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</si>
  <si>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</si>
  <si>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</si>
  <si>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</si>
  <si>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</si>
  <si>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</si>
  <si>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</si>
  <si>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</si>
  <si>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</si>
  <si>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</si>
  <si>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</si>
  <si>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</si>
  <si>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</si>
  <si>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</si>
  <si>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</si>
  <si>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</si>
  <si>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</si>
  <si>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</si>
  <si>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</si>
  <si>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</si>
  <si>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</si>
  <si>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</si>
  <si>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</si>
  <si>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</si>
  <si>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</si>
  <si>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</si>
  <si>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</si>
  <si>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</si>
  <si>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</si>
  <si>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</si>
  <si>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</si>
  <si>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</si>
  <si>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</si>
  <si>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</si>
  <si>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</si>
  <si>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</si>
  <si>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</si>
  <si>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</si>
  <si>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</si>
  <si>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</si>
  <si>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</si>
  <si>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</si>
  <si>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</si>
  <si>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</si>
  <si>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</si>
  <si>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</si>
  <si>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</si>
  <si>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</si>
  <si>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</si>
  <si>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</si>
  <si>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</si>
  <si>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</si>
  <si>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</si>
  <si>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</si>
  <si>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</si>
  <si>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</si>
  <si>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</si>
  <si>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</si>
  <si>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</si>
  <si>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</si>
  <si>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</si>
  <si>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</si>
  <si>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</si>
  <si>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</si>
  <si>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</si>
  <si>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</si>
  <si>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</si>
  <si>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</si>
  <si>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</si>
  <si>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</si>
  <si>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</si>
  <si>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</si>
  <si>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</si>
  <si>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</si>
  <si>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</si>
  <si>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</si>
  <si>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</si>
  <si>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</si>
  <si>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</si>
  <si>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</si>
  <si>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</si>
  <si>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</si>
  <si>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</si>
  <si>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</si>
  <si>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</si>
  <si>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</si>
  <si>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</si>
  <si>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</si>
  <si>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</si>
  <si>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</si>
  <si>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</si>
  <si>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</si>
  <si>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</si>
  <si>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</si>
  <si>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</si>
  <si>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</si>
  <si>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</si>
  <si>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</si>
  <si>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</si>
  <si>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</si>
  <si>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</si>
  <si>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</si>
  <si>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</si>
  <si>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</si>
  <si>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</si>
  <si>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</si>
  <si>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</si>
  <si>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</si>
  <si>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</si>
  <si>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</si>
  <si>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</si>
  <si>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</si>
  <si>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</si>
  <si>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</si>
  <si>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</si>
  <si>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</si>
  <si>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</si>
  <si>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</si>
  <si>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</si>
  <si>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</si>
  <si>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</si>
  <si>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</si>
  <si>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</si>
  <si>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</si>
  <si>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</si>
  <si>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</si>
  <si>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</si>
  <si>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</si>
  <si>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</si>
  <si>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</si>
  <si>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</si>
  <si>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</si>
  <si>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</si>
  <si>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</si>
  <si>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</si>
  <si>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</si>
  <si>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</si>
  <si>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</si>
  <si>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</si>
  <si>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</si>
  <si>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</si>
  <si>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</si>
  <si>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</si>
  <si>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</si>
  <si>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</si>
  <si>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</si>
  <si>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</si>
  <si>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</si>
  <si>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</si>
  <si>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</si>
  <si>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</si>
  <si>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</si>
  <si>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</si>
  <si>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</si>
  <si>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</si>
  <si>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</si>
  <si>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</si>
  <si>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</si>
  <si>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</si>
  <si>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</si>
  <si>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</si>
  <si>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</si>
  <si>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</si>
  <si>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</si>
  <si>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</si>
  <si>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</si>
  <si>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</si>
  <si>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</si>
  <si>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</si>
  <si>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</si>
  <si>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</si>
  <si>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</si>
  <si>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</si>
  <si>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</si>
  <si>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</si>
  <si>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</si>
  <si>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</si>
  <si>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</si>
  <si>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</si>
  <si>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</si>
  <si>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</si>
  <si>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</si>
  <si>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</si>
  <si>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</si>
  <si>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</si>
  <si>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</si>
  <si>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</si>
  <si>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</si>
  <si>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</si>
  <si>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</si>
  <si>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</si>
  <si>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</si>
  <si>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</si>
  <si>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</si>
  <si>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</si>
  <si>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</si>
  <si>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</si>
  <si>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</si>
  <si>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</si>
  <si>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</si>
  <si>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</si>
  <si>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</si>
  <si>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</si>
  <si>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</si>
  <si>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</si>
  <si>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</si>
  <si>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</si>
  <si>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</si>
  <si>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</si>
  <si>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</si>
  <si>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</si>
  <si>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</si>
  <si>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</si>
  <si>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</si>
  <si>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</si>
  <si>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</si>
  <si>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</si>
  <si>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</si>
  <si>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</si>
  <si>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</si>
  <si>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</si>
  <si>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</si>
  <si>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</si>
  <si>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</si>
  <si>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</si>
  <si>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</si>
  <si>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</si>
  <si>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</si>
  <si>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</si>
  <si>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</si>
  <si>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</si>
  <si>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</si>
  <si>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</si>
  <si>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</si>
  <si>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</si>
  <si>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</si>
  <si>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</si>
  <si>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</si>
  <si>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</si>
  <si>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</si>
  <si>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</si>
  <si>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</si>
  <si>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</si>
  <si>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</si>
  <si>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</si>
  <si>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</si>
  <si>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</si>
  <si>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</si>
  <si>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</si>
  <si>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</si>
  <si>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</si>
  <si>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</si>
  <si>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</si>
  <si>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</si>
  <si>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</si>
  <si>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</si>
  <si>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</si>
  <si>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</si>
  <si>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</si>
  <si>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</si>
  <si>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</si>
  <si>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</si>
  <si>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</si>
  <si>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</si>
  <si>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</si>
  <si>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</si>
  <si>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</si>
  <si>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</si>
  <si>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</si>
  <si>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</si>
  <si>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</si>
  <si>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</si>
  <si>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</si>
  <si>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</si>
  <si>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</si>
  <si>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</si>
  <si>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</si>
  <si>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</si>
  <si>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</si>
  <si>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</si>
  <si>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</si>
  <si>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</si>
  <si>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</si>
  <si>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</si>
  <si>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</si>
  <si>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</si>
  <si>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</si>
  <si>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</si>
  <si>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</si>
  <si>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</si>
  <si>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</si>
  <si>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</si>
  <si>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</si>
  <si>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</si>
  <si>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</si>
  <si>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</si>
  <si>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</si>
  <si>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</si>
  <si>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</si>
  <si>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</si>
  <si>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</si>
  <si>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</si>
  <si>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</si>
  <si>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</si>
  <si>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</si>
  <si>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</si>
  <si>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</si>
  <si>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</si>
  <si>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</si>
  <si>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</si>
  <si>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</si>
  <si>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</si>
  <si>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</si>
  <si>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</si>
  <si>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</si>
  <si>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</si>
  <si>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</si>
  <si>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</si>
  <si>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</si>
  <si>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</si>
  <si>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</si>
  <si>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</si>
  <si>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</si>
  <si>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</si>
  <si>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</si>
  <si>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</si>
  <si>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</si>
  <si>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</si>
  <si>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</si>
  <si>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</si>
  <si>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</si>
  <si>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</si>
  <si>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</si>
  <si>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</si>
  <si>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</si>
  <si>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</si>
  <si>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</si>
  <si>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</si>
  <si>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</si>
  <si>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</si>
  <si>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</si>
  <si>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</si>
  <si>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</si>
  <si>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</si>
  <si>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</si>
  <si>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</si>
  <si>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</si>
  <si>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</si>
  <si>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</si>
  <si>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</si>
  <si>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</si>
  <si>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</si>
  <si>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</si>
  <si>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</si>
  <si>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</si>
  <si>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</si>
  <si>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</si>
  <si>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</si>
  <si>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</si>
  <si>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</si>
  <si>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</si>
  <si>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</si>
  <si>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</si>
  <si>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</si>
  <si>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</si>
  <si>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</si>
  <si>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</si>
  <si>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</si>
  <si>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</si>
  <si>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</si>
  <si>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</si>
  <si>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</si>
  <si>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</si>
  <si>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</si>
  <si>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</si>
  <si>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30000 CASH 120000 SBI CHEQUE</t>
  </si>
  <si>
    <t>ADDRESS</t>
  </si>
  <si>
    <t>B-58 GULJAG HEALTH CARE PRIVATE LIMITED , AMBAJI INDUSTRIAL AREA , ABU ROAD , SIROHI (RAJSTHAN)-307026</t>
  </si>
  <si>
    <t>Near Shatabdi circle. Main Pali Road Jodhpur, Rajasthan</t>
  </si>
  <si>
    <t>210, Sahjanand Complex, CG Road Chandrakheda, Ahmedabad Gujarat - 382424</t>
  </si>
  <si>
    <t>13th floor, flat no.a-1303, mangaldeep opp pal balaji temple, pal road, Jodhpur Rajasthan - 342001</t>
  </si>
  <si>
    <t>B-3033 TO 3035 AND 3050 TO 3052 3RD FLOOR, RRTM, B/H BHARAT CANCER HOSPITAL SAROLI SURAT, GUJRAT</t>
  </si>
  <si>
    <t>Datamini Technologies india Ltd Unite No. 101/104,SDF IV,SEEPZ, Andheri (E) Mumbai 400096 Maharashtra (27)</t>
  </si>
  <si>
    <t>7111/A2,Road No.71,G.I.D.C Sachin , SURAT, GUJRAT</t>
  </si>
  <si>
    <t>E-34, Marudhar Industrial Area Iind Phase Basni Jodhpur 342001 Rajasthan (08)</t>
  </si>
  <si>
    <t>G-178, Special Economy Zone (SEZ) Export Promotion Industrial Park (EPIP) Boranada, Jodhpur 342001 Rajasthan (08)</t>
  </si>
  <si>
    <t>JODHPUR, RAJSTHAN</t>
  </si>
  <si>
    <t>A 52 Sector 58 ,Noida Gautam Buddh Nagar Uttar Pradesh 201301</t>
  </si>
  <si>
    <t>HOUSE NO 67-A/4, NH 21 VPO BHOJOPUR TEHSIL SUNDER NAGAR DISTT  MANDI, NEAR IDBI BANK BHOJPUR, Sundarnagar, mandi, himachal pradesh</t>
  </si>
  <si>
    <t>G75,76,77, PHASE I,RIICO INDUSTRIAL  AREA, NR SBI BANK,JHANWAR FANTA,AIRTEL EXCHANGE, BORANADA , JODHPUR RAJASTHAN</t>
  </si>
  <si>
    <t>7412-014747</t>
  </si>
  <si>
    <t>MANOJ KUMAR MUNOT</t>
  </si>
  <si>
    <t>INDIGO CANCEL</t>
  </si>
  <si>
    <t>cash</t>
  </si>
  <si>
    <t>PRANJUL BHANDARI JI</t>
  </si>
  <si>
    <t>MS PRANJUL BHANDARI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</si>
</sst>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222222"/>
      <name val="Arial"/>
      <family val="2"/>
    </font>
    <font>
      <sz val="11"/>
      <color rgb="FF222222"/>
      <name val="Arial"/>
      <family val="2"/>
    </font>
    <font>
      <sz val="11"/>
      <color rgb="FF000000"/>
      <name val="Opensans_regular"/>
    </font>
    <font>
      <sz val="11"/>
      <color rgb="FF5E5E5E"/>
      <name val="Arial"/>
      <family val="2"/>
    </font>
    <font>
      <u/>
      <sz val="11"/>
      <color rgb="FF0563C1"/>
      <name val="Calibri"/>
      <family val="2"/>
    </font>
    <font>
      <sz val="11"/>
      <color rgb="FF2A2A2E"/>
      <name val="Arial"/>
      <family val="2"/>
    </font>
    <font>
      <sz val="10"/>
      <name val="Arial"/>
      <family val="2"/>
    </font>
    <font>
      <sz val="9"/>
      <color rgb="FF2F2E2E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6"/>
      </right>
      <top style="thin">
        <color theme="6"/>
      </top>
      <bottom style="thin">
        <color indexed="64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1" fillId="0" borderId="0"/>
  </cellStyleXfs>
  <cellXfs count="106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4" xfId="0" applyBorder="1" applyAlignment="1">
      <alignment horizontal="left"/>
    </xf>
    <xf numFmtId="15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right"/>
    </xf>
    <xf numFmtId="0" fontId="4" fillId="0" borderId="4" xfId="1" applyBorder="1"/>
    <xf numFmtId="0" fontId="0" fillId="2" borderId="4" xfId="0" applyFill="1" applyBorder="1"/>
    <xf numFmtId="14" fontId="0" fillId="0" borderId="4" xfId="0" applyNumberFormat="1" applyBorder="1" applyAlignment="1">
      <alignment horizontal="left"/>
    </xf>
    <xf numFmtId="0" fontId="0" fillId="0" borderId="4" xfId="0" applyBorder="1" applyAlignment="1">
      <alignment horizontal="left" vertical="center" indent="1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 indent="16"/>
    </xf>
    <xf numFmtId="16" fontId="0" fillId="0" borderId="4" xfId="0" applyNumberFormat="1" applyBorder="1" applyAlignment="1">
      <alignment horizontal="left"/>
    </xf>
    <xf numFmtId="0" fontId="1" fillId="0" borderId="4" xfId="0" applyFont="1" applyBorder="1"/>
    <xf numFmtId="15" fontId="0" fillId="0" borderId="4" xfId="0" applyNumberFormat="1" applyBorder="1"/>
    <xf numFmtId="0" fontId="0" fillId="5" borderId="4" xfId="0" applyFill="1" applyBorder="1"/>
    <xf numFmtId="0" fontId="0" fillId="6" borderId="4" xfId="0" applyFill="1" applyBorder="1" applyAlignment="1">
      <alignment horizontal="left"/>
    </xf>
    <xf numFmtId="0" fontId="0" fillId="6" borderId="4" xfId="0" applyFill="1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15" fontId="0" fillId="6" borderId="4" xfId="0" applyNumberFormat="1" applyFill="1" applyBorder="1"/>
    <xf numFmtId="0" fontId="0" fillId="6" borderId="4" xfId="0" applyFill="1" applyBorder="1" applyAlignment="1">
      <alignment horizontal="right"/>
    </xf>
    <xf numFmtId="0" fontId="0" fillId="6" borderId="0" xfId="0" applyFill="1"/>
    <xf numFmtId="0" fontId="0" fillId="0" borderId="4" xfId="0" applyFont="1" applyBorder="1"/>
    <xf numFmtId="15" fontId="0" fillId="8" borderId="4" xfId="0" applyNumberFormat="1" applyFont="1" applyFill="1" applyBorder="1"/>
    <xf numFmtId="0" fontId="0" fillId="8" borderId="4" xfId="0" applyFont="1" applyFill="1" applyBorder="1"/>
    <xf numFmtId="15" fontId="0" fillId="9" borderId="4" xfId="0" applyNumberFormat="1" applyFont="1" applyFill="1" applyBorder="1"/>
    <xf numFmtId="0" fontId="0" fillId="0" borderId="12" xfId="0" applyFill="1" applyBorder="1"/>
    <xf numFmtId="0" fontId="11" fillId="6" borderId="13" xfId="0" applyNumberFormat="1" applyFont="1" applyFill="1" applyBorder="1" applyAlignment="1">
      <alignment wrapText="1"/>
    </xf>
    <xf numFmtId="0" fontId="1" fillId="6" borderId="14" xfId="0" applyFont="1" applyFill="1" applyBorder="1"/>
    <xf numFmtId="0" fontId="0" fillId="8" borderId="4" xfId="0" applyFont="1" applyFill="1" applyBorder="1" applyAlignment="1">
      <alignment horizontal="left" vertical="top"/>
    </xf>
    <xf numFmtId="0" fontId="0" fillId="0" borderId="4" xfId="0" applyFont="1" applyBorder="1" applyAlignment="1">
      <alignment horizontal="left" vertical="top"/>
    </xf>
    <xf numFmtId="0" fontId="0" fillId="2" borderId="4" xfId="0" applyFont="1" applyFill="1" applyBorder="1"/>
    <xf numFmtId="0" fontId="0" fillId="4" borderId="4" xfId="0" applyFont="1" applyFill="1" applyBorder="1"/>
    <xf numFmtId="0" fontId="0" fillId="0" borderId="4" xfId="0" applyFill="1" applyBorder="1"/>
    <xf numFmtId="0" fontId="0" fillId="8" borderId="2" xfId="0" applyFont="1" applyFill="1" applyBorder="1"/>
    <xf numFmtId="0" fontId="0" fillId="0" borderId="2" xfId="0" applyFont="1" applyBorder="1"/>
    <xf numFmtId="0" fontId="2" fillId="2" borderId="4" xfId="0" applyFont="1" applyFill="1" applyBorder="1"/>
    <xf numFmtId="0" fontId="2" fillId="2" borderId="4" xfId="0" applyFont="1" applyFill="1" applyBorder="1" applyAlignment="1">
      <alignment horizontal="left"/>
    </xf>
    <xf numFmtId="0" fontId="8" fillId="0" borderId="4" xfId="0" applyFont="1" applyBorder="1"/>
    <xf numFmtId="0" fontId="5" fillId="0" borderId="4" xfId="0" applyFont="1" applyBorder="1"/>
    <xf numFmtId="0" fontId="6" fillId="0" borderId="4" xfId="0" applyFont="1" applyBorder="1"/>
    <xf numFmtId="0" fontId="11" fillId="2" borderId="4" xfId="2" applyNumberFormat="1" applyFont="1" applyFill="1" applyBorder="1" applyAlignment="1"/>
    <xf numFmtId="0" fontId="11" fillId="8" borderId="4" xfId="2" applyNumberFormat="1" applyFont="1" applyFill="1" applyBorder="1" applyAlignment="1"/>
    <xf numFmtId="0" fontId="6" fillId="7" borderId="4" xfId="0" applyFont="1" applyFill="1" applyBorder="1" applyAlignment="1">
      <alignment horizontal="right" vertical="top"/>
    </xf>
    <xf numFmtId="0" fontId="7" fillId="0" borderId="4" xfId="0" applyFont="1" applyBorder="1"/>
    <xf numFmtId="0" fontId="0" fillId="7" borderId="4" xfId="0" applyFill="1" applyBorder="1"/>
    <xf numFmtId="0" fontId="0" fillId="3" borderId="4" xfId="0" applyFill="1" applyBorder="1"/>
    <xf numFmtId="0" fontId="0" fillId="3" borderId="4" xfId="0" applyFill="1" applyBorder="1" applyAlignment="1">
      <alignment horizontal="right"/>
    </xf>
    <xf numFmtId="0" fontId="0" fillId="3" borderId="4" xfId="0" applyFill="1" applyBorder="1" applyAlignment="1">
      <alignment horizontal="left"/>
    </xf>
    <xf numFmtId="0" fontId="9" fillId="3" borderId="4" xfId="1" applyFont="1" applyFill="1" applyBorder="1"/>
    <xf numFmtId="0" fontId="8" fillId="4" borderId="4" xfId="0" applyFont="1" applyFill="1" applyBorder="1"/>
    <xf numFmtId="0" fontId="9" fillId="0" borderId="4" xfId="1" applyFont="1" applyBorder="1"/>
    <xf numFmtId="14" fontId="0" fillId="0" borderId="4" xfId="0" applyNumberFormat="1" applyBorder="1" applyAlignment="1">
      <alignment horizontal="right"/>
    </xf>
    <xf numFmtId="0" fontId="10" fillId="0" borderId="4" xfId="0" applyFont="1" applyBorder="1"/>
    <xf numFmtId="15" fontId="0" fillId="0" borderId="4" xfId="0" applyNumberFormat="1" applyBorder="1" applyAlignment="1">
      <alignment horizontal="right"/>
    </xf>
    <xf numFmtId="0" fontId="0" fillId="0" borderId="4" xfId="0" applyBorder="1" applyAlignment="1">
      <alignment horizontal="right" vertical="center" wrapText="1"/>
    </xf>
    <xf numFmtId="0" fontId="0" fillId="0" borderId="4" xfId="0" applyBorder="1" applyAlignment="1">
      <alignment horizontal="left" vertical="center" wrapText="1"/>
    </xf>
    <xf numFmtId="0" fontId="2" fillId="2" borderId="12" xfId="0" applyFont="1" applyFill="1" applyBorder="1"/>
    <xf numFmtId="0" fontId="0" fillId="0" borderId="0" xfId="0" applyBorder="1"/>
    <xf numFmtId="0" fontId="2" fillId="2" borderId="6" xfId="0" applyFont="1" applyFill="1" applyBorder="1"/>
    <xf numFmtId="15" fontId="3" fillId="2" borderId="2" xfId="0" applyNumberFormat="1" applyFont="1" applyFill="1" applyBorder="1" applyAlignment="1">
      <alignment horizontal="left"/>
    </xf>
    <xf numFmtId="0" fontId="2" fillId="2" borderId="2" xfId="0" applyFont="1" applyFill="1" applyBorder="1"/>
    <xf numFmtId="15" fontId="0" fillId="0" borderId="2" xfId="0" applyNumberFormat="1" applyBorder="1"/>
    <xf numFmtId="0" fontId="0" fillId="0" borderId="3" xfId="0" applyBorder="1"/>
    <xf numFmtId="0" fontId="0" fillId="0" borderId="3" xfId="0" applyBorder="1" applyAlignment="1">
      <alignment horizontal="left"/>
    </xf>
    <xf numFmtId="0" fontId="0" fillId="2" borderId="3" xfId="0" applyFont="1" applyFill="1" applyBorder="1"/>
    <xf numFmtId="15" fontId="0" fillId="0" borderId="3" xfId="0" applyNumberFormat="1" applyFill="1" applyBorder="1"/>
    <xf numFmtId="15" fontId="0" fillId="0" borderId="3" xfId="0" applyNumberFormat="1" applyFill="1" applyBorder="1" applyAlignment="1">
      <alignment horizontal="left"/>
    </xf>
    <xf numFmtId="0" fontId="13" fillId="2" borderId="4" xfId="0" applyFont="1" applyFill="1" applyBorder="1" applyAlignment="1">
      <alignment horizontal="left" vertical="top"/>
    </xf>
    <xf numFmtId="0" fontId="13" fillId="2" borderId="4" xfId="0" applyFont="1" applyFill="1" applyBorder="1"/>
    <xf numFmtId="0" fontId="13" fillId="2" borderId="6" xfId="0" applyFont="1" applyFill="1" applyBorder="1"/>
    <xf numFmtId="0" fontId="0" fillId="8" borderId="6" xfId="0" applyFont="1" applyFill="1" applyBorder="1"/>
    <xf numFmtId="0" fontId="0" fillId="8" borderId="15" xfId="0" applyFont="1" applyFill="1" applyBorder="1"/>
    <xf numFmtId="15" fontId="0" fillId="0" borderId="4" xfId="0" applyNumberFormat="1" applyFont="1" applyBorder="1"/>
    <xf numFmtId="0" fontId="0" fillId="0" borderId="6" xfId="0" applyFont="1" applyBorder="1"/>
    <xf numFmtId="0" fontId="0" fillId="0" borderId="11" xfId="0" applyFont="1" applyBorder="1"/>
    <xf numFmtId="0" fontId="11" fillId="4" borderId="16" xfId="0" applyNumberFormat="1" applyFont="1" applyFill="1" applyBorder="1" applyAlignment="1">
      <alignment horizontal="right" wrapText="1"/>
    </xf>
    <xf numFmtId="16" fontId="0" fillId="0" borderId="4" xfId="0" applyNumberFormat="1" applyFont="1" applyBorder="1"/>
    <xf numFmtId="0" fontId="0" fillId="8" borderId="11" xfId="0" applyFont="1" applyFill="1" applyBorder="1" applyAlignment="1">
      <alignment horizontal="left" vertical="top"/>
    </xf>
    <xf numFmtId="0" fontId="0" fillId="8" borderId="11" xfId="0" applyFont="1" applyFill="1" applyBorder="1"/>
    <xf numFmtId="15" fontId="0" fillId="8" borderId="11" xfId="0" applyNumberFormat="1" applyFont="1" applyFill="1" applyBorder="1"/>
    <xf numFmtId="0" fontId="0" fillId="8" borderId="17" xfId="0" applyFont="1" applyFill="1" applyBorder="1"/>
    <xf numFmtId="0" fontId="0" fillId="0" borderId="1" xfId="0" applyBorder="1"/>
    <xf numFmtId="0" fontId="0" fillId="0" borderId="5" xfId="0" applyBorder="1"/>
    <xf numFmtId="15" fontId="0" fillId="0" borderId="7" xfId="0" applyNumberFormat="1" applyBorder="1"/>
    <xf numFmtId="0" fontId="0" fillId="8" borderId="10" xfId="0" applyFont="1" applyFill="1" applyBorder="1"/>
    <xf numFmtId="0" fontId="0" fillId="0" borderId="7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12" fillId="0" borderId="4" xfId="0" applyFont="1" applyBorder="1" applyAlignment="1">
      <alignment vertical="center" wrapText="1"/>
    </xf>
    <xf numFmtId="0" fontId="14" fillId="2" borderId="4" xfId="0" applyFont="1" applyFill="1" applyBorder="1"/>
    <xf numFmtId="0" fontId="14" fillId="2" borderId="0" xfId="0" applyFont="1" applyFill="1"/>
    <xf numFmtId="0" fontId="9" fillId="6" borderId="4" xfId="1" applyFont="1" applyFill="1" applyBorder="1"/>
    <xf numFmtId="0" fontId="6" fillId="6" borderId="4" xfId="0" applyFont="1" applyFill="1" applyBorder="1"/>
    <xf numFmtId="0" fontId="0" fillId="0" borderId="11" xfId="0" applyFont="1" applyBorder="1" applyAlignment="1">
      <alignment horizontal="left" vertical="top"/>
    </xf>
    <xf numFmtId="15" fontId="0" fillId="0" borderId="11" xfId="0" applyNumberFormat="1" applyFont="1" applyBorder="1"/>
    <xf numFmtId="0" fontId="0" fillId="0" borderId="17" xfId="0" applyFont="1" applyBorder="1"/>
    <xf numFmtId="0" fontId="0" fillId="0" borderId="4" xfId="0" applyFont="1" applyBorder="1" applyAlignment="1">
      <alignment horizontal="right"/>
    </xf>
    <xf numFmtId="0" fontId="0" fillId="8" borderId="11" xfId="0" applyFont="1" applyFill="1" applyBorder="1" applyAlignment="1">
      <alignment horizontal="right"/>
    </xf>
    <xf numFmtId="0" fontId="0" fillId="0" borderId="11" xfId="0" applyFont="1" applyBorder="1" applyAlignment="1">
      <alignment horizontal="right"/>
    </xf>
    <xf numFmtId="0" fontId="0" fillId="0" borderId="12" xfId="0" applyFont="1" applyFill="1" applyBorder="1"/>
    <xf numFmtId="15" fontId="0" fillId="0" borderId="0" xfId="0" applyNumberFormat="1"/>
    <xf numFmtId="0" fontId="0" fillId="0" borderId="0" xfId="0" applyNumberFormat="1"/>
    <xf numFmtId="0" fontId="0" fillId="0" borderId="4" xfId="0" applyNumberFormat="1" applyFont="1" applyBorder="1"/>
  </cellXfs>
  <cellStyles count="3">
    <cellStyle name="Hyperlink" xfId="1" builtinId="8"/>
    <cellStyle name="Normal" xfId="0" builtinId="0"/>
    <cellStyle name="Normal 2" xfId="2"/>
  </cellStyles>
  <dxfs count="1638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0" formatCode="d\-mmm\-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OSHIKA\INVOICE%20AND%20PAYMENT%20STATUS\INVOICE%20GST%20PAY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 AND CASH PAYMENT"/>
      <sheetName val="UPDATE OF CX'S REPLY"/>
      <sheetName val="received amount"/>
      <sheetName val="reminder"/>
      <sheetName val="INVOICE GST PAYMENT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2" name="Table3" displayName="Table3" ref="A1:XFD27" totalsRowShown="0" headerRowDxfId="16387" headerRowBorderDxfId="16386" tableBorderDxfId="16385" totalsRowBorderDxfId="16384">
  <autoFilter ref="A1:XFD27"/>
  <tableColumns count="16384">
    <tableColumn id="1" name="DATE" dataDxfId="16383"/>
    <tableColumn id="2" name="NAME" dataDxfId="16382"/>
    <tableColumn id="3" name="RECIVED" dataDxfId="16381"/>
    <tableColumn id="5" name="TYPE" dataDxfId="16380"/>
    <tableColumn id="6" name="Column1" dataDxfId="16379"/>
    <tableColumn id="4" name="Column2" dataDxfId="16378"/>
    <tableColumn id="7" name="Column3" dataDxfId="16377"/>
    <tableColumn id="8" name="Column4" dataDxfId="16376"/>
    <tableColumn id="9" name="Column5" dataDxfId="16375"/>
    <tableColumn id="10" name="Column6" dataDxfId="16374"/>
    <tableColumn id="11" name="Column7" dataDxfId="16373"/>
    <tableColumn id="12" name="Column8" dataDxfId="16372"/>
    <tableColumn id="13" name="Column9" dataDxfId="16371"/>
    <tableColumn id="14" name="Column10" dataDxfId="16370"/>
    <tableColumn id="15" name="Column11" dataDxfId="16369"/>
    <tableColumn id="16" name="Column12" dataDxfId="16368"/>
    <tableColumn id="17" name="Column13" dataDxfId="16367"/>
    <tableColumn id="18" name="Column14" dataDxfId="16366"/>
    <tableColumn id="19" name="Column15" dataDxfId="16365"/>
    <tableColumn id="20" name="Column16" dataDxfId="16364"/>
    <tableColumn id="21" name="Column17" dataDxfId="16363"/>
    <tableColumn id="22" name="Column18" dataDxfId="16362"/>
    <tableColumn id="23" name="Column19" dataDxfId="16361"/>
    <tableColumn id="24" name="Column20" dataDxfId="16360"/>
    <tableColumn id="25" name="Column21" dataDxfId="16359"/>
    <tableColumn id="26" name="Column22" dataDxfId="16358"/>
    <tableColumn id="27" name="Column23" dataDxfId="16357"/>
    <tableColumn id="28" name="Column24" dataDxfId="16356"/>
    <tableColumn id="29" name="Column25" dataDxfId="16355"/>
    <tableColumn id="30" name="Column26" dataDxfId="16354"/>
    <tableColumn id="31" name="Column27" dataDxfId="16353"/>
    <tableColumn id="32" name="Column28" dataDxfId="16352"/>
    <tableColumn id="33" name="Column29" dataDxfId="16351"/>
    <tableColumn id="34" name="Column30" dataDxfId="16350"/>
    <tableColumn id="35" name="Column31" dataDxfId="16349"/>
    <tableColumn id="36" name="Column32" dataDxfId="16348"/>
    <tableColumn id="37" name="Column33" dataDxfId="16347"/>
    <tableColumn id="38" name="Column34" dataDxfId="16346"/>
    <tableColumn id="39" name="Column35" dataDxfId="16345"/>
    <tableColumn id="40" name="Column36" dataDxfId="16344"/>
    <tableColumn id="41" name="Column37" dataDxfId="16343"/>
    <tableColumn id="42" name="Column38" dataDxfId="16342"/>
    <tableColumn id="43" name="Column39" dataDxfId="16341"/>
    <tableColumn id="44" name="Column40" dataDxfId="16340"/>
    <tableColumn id="45" name="Column41" dataDxfId="16339"/>
    <tableColumn id="46" name="Column42" dataDxfId="16338"/>
    <tableColumn id="47" name="Column43" dataDxfId="16337"/>
    <tableColumn id="48" name="Column44" dataDxfId="16336"/>
    <tableColumn id="49" name="Column45" dataDxfId="16335"/>
    <tableColumn id="50" name="Column46" dataDxfId="16334"/>
    <tableColumn id="51" name="Column47" dataDxfId="16333"/>
    <tableColumn id="52" name="Column48" dataDxfId="16332"/>
    <tableColumn id="53" name="Column49" dataDxfId="16331"/>
    <tableColumn id="54" name="Column50" dataDxfId="16330"/>
    <tableColumn id="55" name="Column51" dataDxfId="16329"/>
    <tableColumn id="56" name="Column52" dataDxfId="16328"/>
    <tableColumn id="57" name="Column53" dataDxfId="16327"/>
    <tableColumn id="58" name="Column54" dataDxfId="16326"/>
    <tableColumn id="59" name="Column55" dataDxfId="16325"/>
    <tableColumn id="60" name="Column56" dataDxfId="16324"/>
    <tableColumn id="61" name="Column57" dataDxfId="16323"/>
    <tableColumn id="62" name="Column58" dataDxfId="16322"/>
    <tableColumn id="63" name="Column59" dataDxfId="16321"/>
    <tableColumn id="64" name="Column60" dataDxfId="16320"/>
    <tableColumn id="65" name="Column61" dataDxfId="16319"/>
    <tableColumn id="66" name="Column62" dataDxfId="16318"/>
    <tableColumn id="67" name="Column63" dataDxfId="16317"/>
    <tableColumn id="68" name="Column64" dataDxfId="16316"/>
    <tableColumn id="69" name="Column65" dataDxfId="16315"/>
    <tableColumn id="70" name="Column66" dataDxfId="16314"/>
    <tableColumn id="71" name="Column67" dataDxfId="16313"/>
    <tableColumn id="72" name="Column68" dataDxfId="16312"/>
    <tableColumn id="73" name="Column69" dataDxfId="16311"/>
    <tableColumn id="74" name="Column70" dataDxfId="16310"/>
    <tableColumn id="75" name="Column71" dataDxfId="16309"/>
    <tableColumn id="76" name="Column72" dataDxfId="16308"/>
    <tableColumn id="77" name="Column73" dataDxfId="16307"/>
    <tableColumn id="78" name="Column74" dataDxfId="16306"/>
    <tableColumn id="79" name="Column75" dataDxfId="16305"/>
    <tableColumn id="80" name="Column76" dataDxfId="16304"/>
    <tableColumn id="81" name="Column77" dataDxfId="16303"/>
    <tableColumn id="82" name="Column78" dataDxfId="16302"/>
    <tableColumn id="83" name="Column79" dataDxfId="16301"/>
    <tableColumn id="84" name="Column80" dataDxfId="16300"/>
    <tableColumn id="85" name="Column81" dataDxfId="16299"/>
    <tableColumn id="86" name="Column82" dataDxfId="16298"/>
    <tableColumn id="87" name="Column83" dataDxfId="16297"/>
    <tableColumn id="88" name="Column84" dataDxfId="16296"/>
    <tableColumn id="89" name="Column85" dataDxfId="16295"/>
    <tableColumn id="90" name="Column86" dataDxfId="16294"/>
    <tableColumn id="91" name="Column87" dataDxfId="16293"/>
    <tableColumn id="92" name="Column88" dataDxfId="16292"/>
    <tableColumn id="93" name="Column89" dataDxfId="16291"/>
    <tableColumn id="94" name="Column90" dataDxfId="16290"/>
    <tableColumn id="95" name="Column91" dataDxfId="16289"/>
    <tableColumn id="96" name="Column92" dataDxfId="16288"/>
    <tableColumn id="97" name="Column93" dataDxfId="16287"/>
    <tableColumn id="98" name="Column94" dataDxfId="16286"/>
    <tableColumn id="99" name="Column95" dataDxfId="16285"/>
    <tableColumn id="100" name="Column96" dataDxfId="16284"/>
    <tableColumn id="101" name="Column97" dataDxfId="16283"/>
    <tableColumn id="102" name="Column98" dataDxfId="16282"/>
    <tableColumn id="103" name="Column99" dataDxfId="16281"/>
    <tableColumn id="104" name="Column100" dataDxfId="16280"/>
    <tableColumn id="105" name="Column101" dataDxfId="16279"/>
    <tableColumn id="106" name="Column102" dataDxfId="16278"/>
    <tableColumn id="107" name="Column103" dataDxfId="16277"/>
    <tableColumn id="108" name="Column104" dataDxfId="16276"/>
    <tableColumn id="109" name="Column105" dataDxfId="16275"/>
    <tableColumn id="110" name="Column106" dataDxfId="16274"/>
    <tableColumn id="111" name="Column107" dataDxfId="16273"/>
    <tableColumn id="112" name="Column108" dataDxfId="16272"/>
    <tableColumn id="113" name="Column109" dataDxfId="16271"/>
    <tableColumn id="114" name="Column110" dataDxfId="16270"/>
    <tableColumn id="115" name="Column111" dataDxfId="16269"/>
    <tableColumn id="116" name="Column112" dataDxfId="16268"/>
    <tableColumn id="117" name="Column113" dataDxfId="16267"/>
    <tableColumn id="118" name="Column114" dataDxfId="16266"/>
    <tableColumn id="119" name="Column115" dataDxfId="16265"/>
    <tableColumn id="120" name="Column116" dataDxfId="16264"/>
    <tableColumn id="121" name="Column117" dataDxfId="16263"/>
    <tableColumn id="122" name="Column118" dataDxfId="16262"/>
    <tableColumn id="123" name="Column119" dataDxfId="16261"/>
    <tableColumn id="124" name="Column120" dataDxfId="16260"/>
    <tableColumn id="125" name="Column121" dataDxfId="16259"/>
    <tableColumn id="126" name="Column122" dataDxfId="16258"/>
    <tableColumn id="127" name="Column123" dataDxfId="16257"/>
    <tableColumn id="128" name="Column124" dataDxfId="16256"/>
    <tableColumn id="129" name="Column125" dataDxfId="16255"/>
    <tableColumn id="130" name="Column126" dataDxfId="16254"/>
    <tableColumn id="131" name="Column127" dataDxfId="16253"/>
    <tableColumn id="132" name="Column128" dataDxfId="16252"/>
    <tableColumn id="133" name="Column129" dataDxfId="16251"/>
    <tableColumn id="134" name="Column130" dataDxfId="16250"/>
    <tableColumn id="135" name="Column131" dataDxfId="16249"/>
    <tableColumn id="136" name="Column132" dataDxfId="16248"/>
    <tableColumn id="137" name="Column133" dataDxfId="16247"/>
    <tableColumn id="138" name="Column134" dataDxfId="16246"/>
    <tableColumn id="139" name="Column135" dataDxfId="16245"/>
    <tableColumn id="140" name="Column136" dataDxfId="16244"/>
    <tableColumn id="141" name="Column137" dataDxfId="16243"/>
    <tableColumn id="142" name="Column138" dataDxfId="16242"/>
    <tableColumn id="143" name="Column139" dataDxfId="16241"/>
    <tableColumn id="144" name="Column140" dataDxfId="16240"/>
    <tableColumn id="145" name="Column141" dataDxfId="16239"/>
    <tableColumn id="146" name="Column142" dataDxfId="16238"/>
    <tableColumn id="147" name="Column143" dataDxfId="16237"/>
    <tableColumn id="148" name="Column144" dataDxfId="16236"/>
    <tableColumn id="149" name="Column145" dataDxfId="16235"/>
    <tableColumn id="150" name="Column146" dataDxfId="16234"/>
    <tableColumn id="151" name="Column147" dataDxfId="16233"/>
    <tableColumn id="152" name="Column148" dataDxfId="16232"/>
    <tableColumn id="153" name="Column149" dataDxfId="16231"/>
    <tableColumn id="154" name="Column150" dataDxfId="16230"/>
    <tableColumn id="155" name="Column151" dataDxfId="16229"/>
    <tableColumn id="156" name="Column152" dataDxfId="16228"/>
    <tableColumn id="157" name="Column153" dataDxfId="16227"/>
    <tableColumn id="158" name="Column154" dataDxfId="16226"/>
    <tableColumn id="159" name="Column155" dataDxfId="16225"/>
    <tableColumn id="160" name="Column156" dataDxfId="16224"/>
    <tableColumn id="161" name="Column157" dataDxfId="16223"/>
    <tableColumn id="162" name="Column158" dataDxfId="16222"/>
    <tableColumn id="163" name="Column159" dataDxfId="16221"/>
    <tableColumn id="164" name="Column160" dataDxfId="16220"/>
    <tableColumn id="165" name="Column161" dataDxfId="16219"/>
    <tableColumn id="166" name="Column162" dataDxfId="16218"/>
    <tableColumn id="167" name="Column163" dataDxfId="16217"/>
    <tableColumn id="168" name="Column164" dataDxfId="16216"/>
    <tableColumn id="169" name="Column165" dataDxfId="16215"/>
    <tableColumn id="170" name="Column166" dataDxfId="16214"/>
    <tableColumn id="171" name="Column167" dataDxfId="16213"/>
    <tableColumn id="172" name="Column168" dataDxfId="16212"/>
    <tableColumn id="173" name="Column169" dataDxfId="16211"/>
    <tableColumn id="174" name="Column170" dataDxfId="16210"/>
    <tableColumn id="175" name="Column171" dataDxfId="16209"/>
    <tableColumn id="176" name="Column172" dataDxfId="16208"/>
    <tableColumn id="177" name="Column173" dataDxfId="16207"/>
    <tableColumn id="178" name="Column174" dataDxfId="16206"/>
    <tableColumn id="179" name="Column175" dataDxfId="16205"/>
    <tableColumn id="180" name="Column176" dataDxfId="16204"/>
    <tableColumn id="181" name="Column177" dataDxfId="16203"/>
    <tableColumn id="182" name="Column178" dataDxfId="16202"/>
    <tableColumn id="183" name="Column179" dataDxfId="16201"/>
    <tableColumn id="184" name="Column180" dataDxfId="16200"/>
    <tableColumn id="185" name="Column181" dataDxfId="16199"/>
    <tableColumn id="186" name="Column182" dataDxfId="16198"/>
    <tableColumn id="187" name="Column183" dataDxfId="16197"/>
    <tableColumn id="188" name="Column184" dataDxfId="16196"/>
    <tableColumn id="189" name="Column185" dataDxfId="16195"/>
    <tableColumn id="190" name="Column186" dataDxfId="16194"/>
    <tableColumn id="191" name="Column187" dataDxfId="16193"/>
    <tableColumn id="192" name="Column188" dataDxfId="16192"/>
    <tableColumn id="193" name="Column189" dataDxfId="16191"/>
    <tableColumn id="194" name="Column190" dataDxfId="16190"/>
    <tableColumn id="195" name="Column191" dataDxfId="16189"/>
    <tableColumn id="196" name="Column192" dataDxfId="16188"/>
    <tableColumn id="197" name="Column193" dataDxfId="16187"/>
    <tableColumn id="198" name="Column194" dataDxfId="16186"/>
    <tableColumn id="199" name="Column195" dataDxfId="16185"/>
    <tableColumn id="200" name="Column196" dataDxfId="16184"/>
    <tableColumn id="201" name="Column197" dataDxfId="16183"/>
    <tableColumn id="202" name="Column198" dataDxfId="16182"/>
    <tableColumn id="203" name="Column199" dataDxfId="16181"/>
    <tableColumn id="204" name="Column200" dataDxfId="16180"/>
    <tableColumn id="205" name="Column201" dataDxfId="16179"/>
    <tableColumn id="206" name="Column202" dataDxfId="16178"/>
    <tableColumn id="207" name="Column203" dataDxfId="16177"/>
    <tableColumn id="208" name="Column204" dataDxfId="16176"/>
    <tableColumn id="209" name="Column205" dataDxfId="16175"/>
    <tableColumn id="210" name="Column206" dataDxfId="16174"/>
    <tableColumn id="211" name="Column207" dataDxfId="16173"/>
    <tableColumn id="212" name="Column208" dataDxfId="16172"/>
    <tableColumn id="213" name="Column209" dataDxfId="16171"/>
    <tableColumn id="214" name="Column210" dataDxfId="16170"/>
    <tableColumn id="215" name="Column211" dataDxfId="16169"/>
    <tableColumn id="216" name="Column212" dataDxfId="16168"/>
    <tableColumn id="217" name="Column213" dataDxfId="16167"/>
    <tableColumn id="218" name="Column214" dataDxfId="16166"/>
    <tableColumn id="219" name="Column215" dataDxfId="16165"/>
    <tableColumn id="220" name="Column216" dataDxfId="16164"/>
    <tableColumn id="221" name="Column217" dataDxfId="16163"/>
    <tableColumn id="222" name="Column218" dataDxfId="16162"/>
    <tableColumn id="223" name="Column219" dataDxfId="16161"/>
    <tableColumn id="224" name="Column220" dataDxfId="16160"/>
    <tableColumn id="225" name="Column221" dataDxfId="16159"/>
    <tableColumn id="226" name="Column222" dataDxfId="16158"/>
    <tableColumn id="227" name="Column223" dataDxfId="16157"/>
    <tableColumn id="228" name="Column224" dataDxfId="16156"/>
    <tableColumn id="229" name="Column225" dataDxfId="16155"/>
    <tableColumn id="230" name="Column226" dataDxfId="16154"/>
    <tableColumn id="231" name="Column227" dataDxfId="16153"/>
    <tableColumn id="232" name="Column228" dataDxfId="16152"/>
    <tableColumn id="233" name="Column229" dataDxfId="16151"/>
    <tableColumn id="234" name="Column230" dataDxfId="16150"/>
    <tableColumn id="235" name="Column231" dataDxfId="16149"/>
    <tableColumn id="236" name="Column232" dataDxfId="16148"/>
    <tableColumn id="237" name="Column233" dataDxfId="16147"/>
    <tableColumn id="238" name="Column234" dataDxfId="16146"/>
    <tableColumn id="239" name="Column235" dataDxfId="16145"/>
    <tableColumn id="240" name="Column236" dataDxfId="16144"/>
    <tableColumn id="241" name="Column237" dataDxfId="16143"/>
    <tableColumn id="242" name="Column238" dataDxfId="16142"/>
    <tableColumn id="243" name="Column239" dataDxfId="16141"/>
    <tableColumn id="244" name="Column240" dataDxfId="16140"/>
    <tableColumn id="245" name="Column241" dataDxfId="16139"/>
    <tableColumn id="246" name="Column242" dataDxfId="16138"/>
    <tableColumn id="247" name="Column243" dataDxfId="16137"/>
    <tableColumn id="248" name="Column244" dataDxfId="16136"/>
    <tableColumn id="249" name="Column245" dataDxfId="16135"/>
    <tableColumn id="250" name="Column246" dataDxfId="16134"/>
    <tableColumn id="251" name="Column247" dataDxfId="16133"/>
    <tableColumn id="252" name="Column248" dataDxfId="16132"/>
    <tableColumn id="253" name="Column249" dataDxfId="16131"/>
    <tableColumn id="254" name="Column250" dataDxfId="16130"/>
    <tableColumn id="255" name="Column251" dataDxfId="16129"/>
    <tableColumn id="256" name="Column252" dataDxfId="16128"/>
    <tableColumn id="257" name="Column253" dataDxfId="16127"/>
    <tableColumn id="258" name="Column254" dataDxfId="16126"/>
    <tableColumn id="259" name="Column255" dataDxfId="16125"/>
    <tableColumn id="260" name="Column256" dataDxfId="16124"/>
    <tableColumn id="261" name="Column257" dataDxfId="16123"/>
    <tableColumn id="262" name="Column258" dataDxfId="16122"/>
    <tableColumn id="263" name="Column259" dataDxfId="16121"/>
    <tableColumn id="264" name="Column260" dataDxfId="16120"/>
    <tableColumn id="265" name="Column261" dataDxfId="16119"/>
    <tableColumn id="266" name="Column262" dataDxfId="16118"/>
    <tableColumn id="267" name="Column263" dataDxfId="16117"/>
    <tableColumn id="268" name="Column264" dataDxfId="16116"/>
    <tableColumn id="269" name="Column265" dataDxfId="16115"/>
    <tableColumn id="270" name="Column266" dataDxfId="16114"/>
    <tableColumn id="271" name="Column267" dataDxfId="16113"/>
    <tableColumn id="272" name="Column268" dataDxfId="16112"/>
    <tableColumn id="273" name="Column269" dataDxfId="16111"/>
    <tableColumn id="274" name="Column270" dataDxfId="16110"/>
    <tableColumn id="275" name="Column271" dataDxfId="16109"/>
    <tableColumn id="276" name="Column272" dataDxfId="16108"/>
    <tableColumn id="277" name="Column273" dataDxfId="16107"/>
    <tableColumn id="278" name="Column274" dataDxfId="16106"/>
    <tableColumn id="279" name="Column275" dataDxfId="16105"/>
    <tableColumn id="280" name="Column276" dataDxfId="16104"/>
    <tableColumn id="281" name="Column277" dataDxfId="16103"/>
    <tableColumn id="282" name="Column278" dataDxfId="16102"/>
    <tableColumn id="283" name="Column279" dataDxfId="16101"/>
    <tableColumn id="284" name="Column280" dataDxfId="16100"/>
    <tableColumn id="285" name="Column281" dataDxfId="16099"/>
    <tableColumn id="286" name="Column282" dataDxfId="16098"/>
    <tableColumn id="287" name="Column283" dataDxfId="16097"/>
    <tableColumn id="288" name="Column284" dataDxfId="16096"/>
    <tableColumn id="289" name="Column285" dataDxfId="16095"/>
    <tableColumn id="290" name="Column286" dataDxfId="16094"/>
    <tableColumn id="291" name="Column287" dataDxfId="16093"/>
    <tableColumn id="292" name="Column288" dataDxfId="16092"/>
    <tableColumn id="293" name="Column289" dataDxfId="16091"/>
    <tableColumn id="294" name="Column290" dataDxfId="16090"/>
    <tableColumn id="295" name="Column291" dataDxfId="16089"/>
    <tableColumn id="296" name="Column292" dataDxfId="16088"/>
    <tableColumn id="297" name="Column293" dataDxfId="16087"/>
    <tableColumn id="298" name="Column294" dataDxfId="16086"/>
    <tableColumn id="299" name="Column295" dataDxfId="16085"/>
    <tableColumn id="300" name="Column296" dataDxfId="16084"/>
    <tableColumn id="301" name="Column297" dataDxfId="16083"/>
    <tableColumn id="302" name="Column298" dataDxfId="16082"/>
    <tableColumn id="303" name="Column299" dataDxfId="16081"/>
    <tableColumn id="304" name="Column300" dataDxfId="16080"/>
    <tableColumn id="305" name="Column301" dataDxfId="16079"/>
    <tableColumn id="306" name="Column302" dataDxfId="16078"/>
    <tableColumn id="307" name="Column303" dataDxfId="16077"/>
    <tableColumn id="308" name="Column304" dataDxfId="16076"/>
    <tableColumn id="309" name="Column305" dataDxfId="16075"/>
    <tableColumn id="310" name="Column306" dataDxfId="16074"/>
    <tableColumn id="311" name="Column307" dataDxfId="16073"/>
    <tableColumn id="312" name="Column308" dataDxfId="16072"/>
    <tableColumn id="313" name="Column309" dataDxfId="16071"/>
    <tableColumn id="314" name="Column310" dataDxfId="16070"/>
    <tableColumn id="315" name="Column311" dataDxfId="16069"/>
    <tableColumn id="316" name="Column312" dataDxfId="16068"/>
    <tableColumn id="317" name="Column313" dataDxfId="16067"/>
    <tableColumn id="318" name="Column314" dataDxfId="16066"/>
    <tableColumn id="319" name="Column315" dataDxfId="16065"/>
    <tableColumn id="320" name="Column316" dataDxfId="16064"/>
    <tableColumn id="321" name="Column317" dataDxfId="16063"/>
    <tableColumn id="322" name="Column318" dataDxfId="16062"/>
    <tableColumn id="323" name="Column319" dataDxfId="16061"/>
    <tableColumn id="324" name="Column320" dataDxfId="16060"/>
    <tableColumn id="325" name="Column321" dataDxfId="16059"/>
    <tableColumn id="326" name="Column322" dataDxfId="16058"/>
    <tableColumn id="327" name="Column323" dataDxfId="16057"/>
    <tableColumn id="328" name="Column324" dataDxfId="16056"/>
    <tableColumn id="329" name="Column325" dataDxfId="16055"/>
    <tableColumn id="330" name="Column326" dataDxfId="16054"/>
    <tableColumn id="331" name="Column327" dataDxfId="16053"/>
    <tableColumn id="332" name="Column328" dataDxfId="16052"/>
    <tableColumn id="333" name="Column329" dataDxfId="16051"/>
    <tableColumn id="334" name="Column330" dataDxfId="16050"/>
    <tableColumn id="335" name="Column331" dataDxfId="16049"/>
    <tableColumn id="336" name="Column332" dataDxfId="16048"/>
    <tableColumn id="337" name="Column333" dataDxfId="16047"/>
    <tableColumn id="338" name="Column334" dataDxfId="16046"/>
    <tableColumn id="339" name="Column335" dataDxfId="16045"/>
    <tableColumn id="340" name="Column336" dataDxfId="16044"/>
    <tableColumn id="341" name="Column337" dataDxfId="16043"/>
    <tableColumn id="342" name="Column338" dataDxfId="16042"/>
    <tableColumn id="343" name="Column339" dataDxfId="16041"/>
    <tableColumn id="344" name="Column340" dataDxfId="16040"/>
    <tableColumn id="345" name="Column341" dataDxfId="16039"/>
    <tableColumn id="346" name="Column342" dataDxfId="16038"/>
    <tableColumn id="347" name="Column343" dataDxfId="16037"/>
    <tableColumn id="348" name="Column344" dataDxfId="16036"/>
    <tableColumn id="349" name="Column345" dataDxfId="16035"/>
    <tableColumn id="350" name="Column346" dataDxfId="16034"/>
    <tableColumn id="351" name="Column347" dataDxfId="16033"/>
    <tableColumn id="352" name="Column348" dataDxfId="16032"/>
    <tableColumn id="353" name="Column349" dataDxfId="16031"/>
    <tableColumn id="354" name="Column350" dataDxfId="16030"/>
    <tableColumn id="355" name="Column351" dataDxfId="16029"/>
    <tableColumn id="356" name="Column352" dataDxfId="16028"/>
    <tableColumn id="357" name="Column353" dataDxfId="16027"/>
    <tableColumn id="358" name="Column354" dataDxfId="16026"/>
    <tableColumn id="359" name="Column355" dataDxfId="16025"/>
    <tableColumn id="360" name="Column356" dataDxfId="16024"/>
    <tableColumn id="361" name="Column357" dataDxfId="16023"/>
    <tableColumn id="362" name="Column358" dataDxfId="16022"/>
    <tableColumn id="363" name="Column359" dataDxfId="16021"/>
    <tableColumn id="364" name="Column360" dataDxfId="16020"/>
    <tableColumn id="365" name="Column361" dataDxfId="16019"/>
    <tableColumn id="366" name="Column362" dataDxfId="16018"/>
    <tableColumn id="367" name="Column363" dataDxfId="16017"/>
    <tableColumn id="368" name="Column364" dataDxfId="16016"/>
    <tableColumn id="369" name="Column365" dataDxfId="16015"/>
    <tableColumn id="370" name="Column366" dataDxfId="16014"/>
    <tableColumn id="371" name="Column367" dataDxfId="16013"/>
    <tableColumn id="372" name="Column368" dataDxfId="16012"/>
    <tableColumn id="373" name="Column369" dataDxfId="16011"/>
    <tableColumn id="374" name="Column370" dataDxfId="16010"/>
    <tableColumn id="375" name="Column371" dataDxfId="16009"/>
    <tableColumn id="376" name="Column372" dataDxfId="16008"/>
    <tableColumn id="377" name="Column373" dataDxfId="16007"/>
    <tableColumn id="378" name="Column374" dataDxfId="16006"/>
    <tableColumn id="379" name="Column375" dataDxfId="16005"/>
    <tableColumn id="380" name="Column376" dataDxfId="16004"/>
    <tableColumn id="381" name="Column377" dataDxfId="16003"/>
    <tableColumn id="382" name="Column378" dataDxfId="16002"/>
    <tableColumn id="383" name="Column379" dataDxfId="16001"/>
    <tableColumn id="384" name="Column380" dataDxfId="16000"/>
    <tableColumn id="385" name="Column381" dataDxfId="15999"/>
    <tableColumn id="386" name="Column382" dataDxfId="15998"/>
    <tableColumn id="387" name="Column383" dataDxfId="15997"/>
    <tableColumn id="388" name="Column384" dataDxfId="15996"/>
    <tableColumn id="389" name="Column385" dataDxfId="15995"/>
    <tableColumn id="390" name="Column386" dataDxfId="15994"/>
    <tableColumn id="391" name="Column387" dataDxfId="15993"/>
    <tableColumn id="392" name="Column388" dataDxfId="15992"/>
    <tableColumn id="393" name="Column389" dataDxfId="15991"/>
    <tableColumn id="394" name="Column390" dataDxfId="15990"/>
    <tableColumn id="395" name="Column391" dataDxfId="15989"/>
    <tableColumn id="396" name="Column392" dataDxfId="15988"/>
    <tableColumn id="397" name="Column393" dataDxfId="15987"/>
    <tableColumn id="398" name="Column394" dataDxfId="15986"/>
    <tableColumn id="399" name="Column395" dataDxfId="15985"/>
    <tableColumn id="400" name="Column396" dataDxfId="15984"/>
    <tableColumn id="401" name="Column397" dataDxfId="15983"/>
    <tableColumn id="402" name="Column398" dataDxfId="15982"/>
    <tableColumn id="403" name="Column399" dataDxfId="15981"/>
    <tableColumn id="404" name="Column400" dataDxfId="15980"/>
    <tableColumn id="405" name="Column401" dataDxfId="15979"/>
    <tableColumn id="406" name="Column402" dataDxfId="15978"/>
    <tableColumn id="407" name="Column403" dataDxfId="15977"/>
    <tableColumn id="408" name="Column404" dataDxfId="15976"/>
    <tableColumn id="409" name="Column405" dataDxfId="15975"/>
    <tableColumn id="410" name="Column406" dataDxfId="15974"/>
    <tableColumn id="411" name="Column407" dataDxfId="15973"/>
    <tableColumn id="412" name="Column408" dataDxfId="15972"/>
    <tableColumn id="413" name="Column409" dataDxfId="15971"/>
    <tableColumn id="414" name="Column410" dataDxfId="15970"/>
    <tableColumn id="415" name="Column411" dataDxfId="15969"/>
    <tableColumn id="416" name="Column412" dataDxfId="15968"/>
    <tableColumn id="417" name="Column413" dataDxfId="15967"/>
    <tableColumn id="418" name="Column414" dataDxfId="15966"/>
    <tableColumn id="419" name="Column415" dataDxfId="15965"/>
    <tableColumn id="420" name="Column416" dataDxfId="15964"/>
    <tableColumn id="421" name="Column417" dataDxfId="15963"/>
    <tableColumn id="422" name="Column418" dataDxfId="15962"/>
    <tableColumn id="423" name="Column419" dataDxfId="15961"/>
    <tableColumn id="424" name="Column420" dataDxfId="15960"/>
    <tableColumn id="425" name="Column421" dataDxfId="15959"/>
    <tableColumn id="426" name="Column422" dataDxfId="15958"/>
    <tableColumn id="427" name="Column423" dataDxfId="15957"/>
    <tableColumn id="428" name="Column424" dataDxfId="15956"/>
    <tableColumn id="429" name="Column425" dataDxfId="15955"/>
    <tableColumn id="430" name="Column426" dataDxfId="15954"/>
    <tableColumn id="431" name="Column427" dataDxfId="15953"/>
    <tableColumn id="432" name="Column428" dataDxfId="15952"/>
    <tableColumn id="433" name="Column429" dataDxfId="15951"/>
    <tableColumn id="434" name="Column430" dataDxfId="15950"/>
    <tableColumn id="435" name="Column431" dataDxfId="15949"/>
    <tableColumn id="436" name="Column432" dataDxfId="15948"/>
    <tableColumn id="437" name="Column433" dataDxfId="15947"/>
    <tableColumn id="438" name="Column434" dataDxfId="15946"/>
    <tableColumn id="439" name="Column435" dataDxfId="15945"/>
    <tableColumn id="440" name="Column436" dataDxfId="15944"/>
    <tableColumn id="441" name="Column437" dataDxfId="15943"/>
    <tableColumn id="442" name="Column438" dataDxfId="15942"/>
    <tableColumn id="443" name="Column439" dataDxfId="15941"/>
    <tableColumn id="444" name="Column440" dataDxfId="15940"/>
    <tableColumn id="445" name="Column441" dataDxfId="15939"/>
    <tableColumn id="446" name="Column442" dataDxfId="15938"/>
    <tableColumn id="447" name="Column443" dataDxfId="15937"/>
    <tableColumn id="448" name="Column444" dataDxfId="15936"/>
    <tableColumn id="449" name="Column445" dataDxfId="15935"/>
    <tableColumn id="450" name="Column446" dataDxfId="15934"/>
    <tableColumn id="451" name="Column447" dataDxfId="15933"/>
    <tableColumn id="452" name="Column448" dataDxfId="15932"/>
    <tableColumn id="453" name="Column449" dataDxfId="15931"/>
    <tableColumn id="454" name="Column450" dataDxfId="15930"/>
    <tableColumn id="455" name="Column451" dataDxfId="15929"/>
    <tableColumn id="456" name="Column452" dataDxfId="15928"/>
    <tableColumn id="457" name="Column453" dataDxfId="15927"/>
    <tableColumn id="458" name="Column454" dataDxfId="15926"/>
    <tableColumn id="459" name="Column455" dataDxfId="15925"/>
    <tableColumn id="460" name="Column456" dataDxfId="15924"/>
    <tableColumn id="461" name="Column457" dataDxfId="15923"/>
    <tableColumn id="462" name="Column458" dataDxfId="15922"/>
    <tableColumn id="463" name="Column459" dataDxfId="15921"/>
    <tableColumn id="464" name="Column460" dataDxfId="15920"/>
    <tableColumn id="465" name="Column461" dataDxfId="15919"/>
    <tableColumn id="466" name="Column462" dataDxfId="15918"/>
    <tableColumn id="467" name="Column463" dataDxfId="15917"/>
    <tableColumn id="468" name="Column464" dataDxfId="15916"/>
    <tableColumn id="469" name="Column465" dataDxfId="15915"/>
    <tableColumn id="470" name="Column466" dataDxfId="15914"/>
    <tableColumn id="471" name="Column467" dataDxfId="15913"/>
    <tableColumn id="472" name="Column468" dataDxfId="15912"/>
    <tableColumn id="473" name="Column469" dataDxfId="15911"/>
    <tableColumn id="474" name="Column470" dataDxfId="15910"/>
    <tableColumn id="475" name="Column471" dataDxfId="15909"/>
    <tableColumn id="476" name="Column472" dataDxfId="15908"/>
    <tableColumn id="477" name="Column473" dataDxfId="15907"/>
    <tableColumn id="478" name="Column474" dataDxfId="15906"/>
    <tableColumn id="479" name="Column475" dataDxfId="15905"/>
    <tableColumn id="480" name="Column476" dataDxfId="15904"/>
    <tableColumn id="481" name="Column477" dataDxfId="15903"/>
    <tableColumn id="482" name="Column478" dataDxfId="15902"/>
    <tableColumn id="483" name="Column479" dataDxfId="15901"/>
    <tableColumn id="484" name="Column480" dataDxfId="15900"/>
    <tableColumn id="485" name="Column481" dataDxfId="15899"/>
    <tableColumn id="486" name="Column482" dataDxfId="15898"/>
    <tableColumn id="487" name="Column483" dataDxfId="15897"/>
    <tableColumn id="488" name="Column484" dataDxfId="15896"/>
    <tableColumn id="489" name="Column485" dataDxfId="15895"/>
    <tableColumn id="490" name="Column486" dataDxfId="15894"/>
    <tableColumn id="491" name="Column487" dataDxfId="15893"/>
    <tableColumn id="492" name="Column488" dataDxfId="15892"/>
    <tableColumn id="493" name="Column489" dataDxfId="15891"/>
    <tableColumn id="494" name="Column490" dataDxfId="15890"/>
    <tableColumn id="495" name="Column491" dataDxfId="15889"/>
    <tableColumn id="496" name="Column492" dataDxfId="15888"/>
    <tableColumn id="497" name="Column493" dataDxfId="15887"/>
    <tableColumn id="498" name="Column494" dataDxfId="15886"/>
    <tableColumn id="499" name="Column495" dataDxfId="15885"/>
    <tableColumn id="500" name="Column496" dataDxfId="15884"/>
    <tableColumn id="501" name="Column497" dataDxfId="15883"/>
    <tableColumn id="502" name="Column498" dataDxfId="15882"/>
    <tableColumn id="503" name="Column499" dataDxfId="15881"/>
    <tableColumn id="504" name="Column500" dataDxfId="15880"/>
    <tableColumn id="505" name="Column501" dataDxfId="15879"/>
    <tableColumn id="506" name="Column502" dataDxfId="15878"/>
    <tableColumn id="507" name="Column503" dataDxfId="15877"/>
    <tableColumn id="508" name="Column504" dataDxfId="15876"/>
    <tableColumn id="509" name="Column505" dataDxfId="15875"/>
    <tableColumn id="510" name="Column506" dataDxfId="15874"/>
    <tableColumn id="511" name="Column507" dataDxfId="15873"/>
    <tableColumn id="512" name="Column508" dataDxfId="15872"/>
    <tableColumn id="513" name="Column509" dataDxfId="15871"/>
    <tableColumn id="514" name="Column510" dataDxfId="15870"/>
    <tableColumn id="515" name="Column511" dataDxfId="15869"/>
    <tableColumn id="516" name="Column512" dataDxfId="15868"/>
    <tableColumn id="517" name="Column513" dataDxfId="15867"/>
    <tableColumn id="518" name="Column514" dataDxfId="15866"/>
    <tableColumn id="519" name="Column515" dataDxfId="15865"/>
    <tableColumn id="520" name="Column516" dataDxfId="15864"/>
    <tableColumn id="521" name="Column517" dataDxfId="15863"/>
    <tableColumn id="522" name="Column518" dataDxfId="15862"/>
    <tableColumn id="523" name="Column519" dataDxfId="15861"/>
    <tableColumn id="524" name="Column520" dataDxfId="15860"/>
    <tableColumn id="525" name="Column521" dataDxfId="15859"/>
    <tableColumn id="526" name="Column522" dataDxfId="15858"/>
    <tableColumn id="527" name="Column523" dataDxfId="15857"/>
    <tableColumn id="528" name="Column524" dataDxfId="15856"/>
    <tableColumn id="529" name="Column525" dataDxfId="15855"/>
    <tableColumn id="530" name="Column526" dataDxfId="15854"/>
    <tableColumn id="531" name="Column527" dataDxfId="15853"/>
    <tableColumn id="532" name="Column528" dataDxfId="15852"/>
    <tableColumn id="533" name="Column529" dataDxfId="15851"/>
    <tableColumn id="534" name="Column530" dataDxfId="15850"/>
    <tableColumn id="535" name="Column531" dataDxfId="15849"/>
    <tableColumn id="536" name="Column532" dataDxfId="15848"/>
    <tableColumn id="537" name="Column533" dataDxfId="15847"/>
    <tableColumn id="538" name="Column534" dataDxfId="15846"/>
    <tableColumn id="539" name="Column535" dataDxfId="15845"/>
    <tableColumn id="540" name="Column536" dataDxfId="15844"/>
    <tableColumn id="541" name="Column537" dataDxfId="15843"/>
    <tableColumn id="542" name="Column538" dataDxfId="15842"/>
    <tableColumn id="543" name="Column539" dataDxfId="15841"/>
    <tableColumn id="544" name="Column540" dataDxfId="15840"/>
    <tableColumn id="545" name="Column541" dataDxfId="15839"/>
    <tableColumn id="546" name="Column542" dataDxfId="15838"/>
    <tableColumn id="547" name="Column543" dataDxfId="15837"/>
    <tableColumn id="548" name="Column544" dataDxfId="15836"/>
    <tableColumn id="549" name="Column545" dataDxfId="15835"/>
    <tableColumn id="550" name="Column546" dataDxfId="15834"/>
    <tableColumn id="551" name="Column547" dataDxfId="15833"/>
    <tableColumn id="552" name="Column548" dataDxfId="15832"/>
    <tableColumn id="553" name="Column549" dataDxfId="15831"/>
    <tableColumn id="554" name="Column550" dataDxfId="15830"/>
    <tableColumn id="555" name="Column551" dataDxfId="15829"/>
    <tableColumn id="556" name="Column552" dataDxfId="15828"/>
    <tableColumn id="557" name="Column553" dataDxfId="15827"/>
    <tableColumn id="558" name="Column554" dataDxfId="15826"/>
    <tableColumn id="559" name="Column555" dataDxfId="15825"/>
    <tableColumn id="560" name="Column556" dataDxfId="15824"/>
    <tableColumn id="561" name="Column557" dataDxfId="15823"/>
    <tableColumn id="562" name="Column558" dataDxfId="15822"/>
    <tableColumn id="563" name="Column559" dataDxfId="15821"/>
    <tableColumn id="564" name="Column560" dataDxfId="15820"/>
    <tableColumn id="565" name="Column561" dataDxfId="15819"/>
    <tableColumn id="566" name="Column562" dataDxfId="15818"/>
    <tableColumn id="567" name="Column563" dataDxfId="15817"/>
    <tableColumn id="568" name="Column564" dataDxfId="15816"/>
    <tableColumn id="569" name="Column565" dataDxfId="15815"/>
    <tableColumn id="570" name="Column566" dataDxfId="15814"/>
    <tableColumn id="571" name="Column567" dataDxfId="15813"/>
    <tableColumn id="572" name="Column568" dataDxfId="15812"/>
    <tableColumn id="573" name="Column569" dataDxfId="15811"/>
    <tableColumn id="574" name="Column570" dataDxfId="15810"/>
    <tableColumn id="575" name="Column571" dataDxfId="15809"/>
    <tableColumn id="576" name="Column572" dataDxfId="15808"/>
    <tableColumn id="577" name="Column573" dataDxfId="15807"/>
    <tableColumn id="578" name="Column574" dataDxfId="15806"/>
    <tableColumn id="579" name="Column575" dataDxfId="15805"/>
    <tableColumn id="580" name="Column576" dataDxfId="15804"/>
    <tableColumn id="581" name="Column577" dataDxfId="15803"/>
    <tableColumn id="582" name="Column578" dataDxfId="15802"/>
    <tableColumn id="583" name="Column579" dataDxfId="15801"/>
    <tableColumn id="584" name="Column580" dataDxfId="15800"/>
    <tableColumn id="585" name="Column581" dataDxfId="15799"/>
    <tableColumn id="586" name="Column582" dataDxfId="15798"/>
    <tableColumn id="587" name="Column583" dataDxfId="15797"/>
    <tableColumn id="588" name="Column584" dataDxfId="15796"/>
    <tableColumn id="589" name="Column585" dataDxfId="15795"/>
    <tableColumn id="590" name="Column586" dataDxfId="15794"/>
    <tableColumn id="591" name="Column587" dataDxfId="15793"/>
    <tableColumn id="592" name="Column588" dataDxfId="15792"/>
    <tableColumn id="593" name="Column589" dataDxfId="15791"/>
    <tableColumn id="594" name="Column590" dataDxfId="15790"/>
    <tableColumn id="595" name="Column591" dataDxfId="15789"/>
    <tableColumn id="596" name="Column592" dataDxfId="15788"/>
    <tableColumn id="597" name="Column593" dataDxfId="15787"/>
    <tableColumn id="598" name="Column594" dataDxfId="15786"/>
    <tableColumn id="599" name="Column595" dataDxfId="15785"/>
    <tableColumn id="600" name="Column596" dataDxfId="15784"/>
    <tableColumn id="601" name="Column597" dataDxfId="15783"/>
    <tableColumn id="602" name="Column598" dataDxfId="15782"/>
    <tableColumn id="603" name="Column599" dataDxfId="15781"/>
    <tableColumn id="604" name="Column600" dataDxfId="15780"/>
    <tableColumn id="605" name="Column601" dataDxfId="15779"/>
    <tableColumn id="606" name="Column602" dataDxfId="15778"/>
    <tableColumn id="607" name="Column603" dataDxfId="15777"/>
    <tableColumn id="608" name="Column604" dataDxfId="15776"/>
    <tableColumn id="609" name="Column605" dataDxfId="15775"/>
    <tableColumn id="610" name="Column606" dataDxfId="15774"/>
    <tableColumn id="611" name="Column607" dataDxfId="15773"/>
    <tableColumn id="612" name="Column608" dataDxfId="15772"/>
    <tableColumn id="613" name="Column609" dataDxfId="15771"/>
    <tableColumn id="614" name="Column610" dataDxfId="15770"/>
    <tableColumn id="615" name="Column611" dataDxfId="15769"/>
    <tableColumn id="616" name="Column612" dataDxfId="15768"/>
    <tableColumn id="617" name="Column613" dataDxfId="15767"/>
    <tableColumn id="618" name="Column614" dataDxfId="15766"/>
    <tableColumn id="619" name="Column615" dataDxfId="15765"/>
    <tableColumn id="620" name="Column616" dataDxfId="15764"/>
    <tableColumn id="621" name="Column617" dataDxfId="15763"/>
    <tableColumn id="622" name="Column618" dataDxfId="15762"/>
    <tableColumn id="623" name="Column619" dataDxfId="15761"/>
    <tableColumn id="624" name="Column620" dataDxfId="15760"/>
    <tableColumn id="625" name="Column621" dataDxfId="15759"/>
    <tableColumn id="626" name="Column622" dataDxfId="15758"/>
    <tableColumn id="627" name="Column623" dataDxfId="15757"/>
    <tableColumn id="628" name="Column624" dataDxfId="15756"/>
    <tableColumn id="629" name="Column625" dataDxfId="15755"/>
    <tableColumn id="630" name="Column626" dataDxfId="15754"/>
    <tableColumn id="631" name="Column627" dataDxfId="15753"/>
    <tableColumn id="632" name="Column628" dataDxfId="15752"/>
    <tableColumn id="633" name="Column629" dataDxfId="15751"/>
    <tableColumn id="634" name="Column630" dataDxfId="15750"/>
    <tableColumn id="635" name="Column631" dataDxfId="15749"/>
    <tableColumn id="636" name="Column632" dataDxfId="15748"/>
    <tableColumn id="637" name="Column633" dataDxfId="15747"/>
    <tableColumn id="638" name="Column634" dataDxfId="15746"/>
    <tableColumn id="639" name="Column635" dataDxfId="15745"/>
    <tableColumn id="640" name="Column636" dataDxfId="15744"/>
    <tableColumn id="641" name="Column637" dataDxfId="15743"/>
    <tableColumn id="642" name="Column638" dataDxfId="15742"/>
    <tableColumn id="643" name="Column639" dataDxfId="15741"/>
    <tableColumn id="644" name="Column640" dataDxfId="15740"/>
    <tableColumn id="645" name="Column641" dataDxfId="15739"/>
    <tableColumn id="646" name="Column642" dataDxfId="15738"/>
    <tableColumn id="647" name="Column643" dataDxfId="15737"/>
    <tableColumn id="648" name="Column644" dataDxfId="15736"/>
    <tableColumn id="649" name="Column645" dataDxfId="15735"/>
    <tableColumn id="650" name="Column646" dataDxfId="15734"/>
    <tableColumn id="651" name="Column647" dataDxfId="15733"/>
    <tableColumn id="652" name="Column648" dataDxfId="15732"/>
    <tableColumn id="653" name="Column649" dataDxfId="15731"/>
    <tableColumn id="654" name="Column650" dataDxfId="15730"/>
    <tableColumn id="655" name="Column651" dataDxfId="15729"/>
    <tableColumn id="656" name="Column652" dataDxfId="15728"/>
    <tableColumn id="657" name="Column653" dataDxfId="15727"/>
    <tableColumn id="658" name="Column654" dataDxfId="15726"/>
    <tableColumn id="659" name="Column655" dataDxfId="15725"/>
    <tableColumn id="660" name="Column656" dataDxfId="15724"/>
    <tableColumn id="661" name="Column657" dataDxfId="15723"/>
    <tableColumn id="662" name="Column658" dataDxfId="15722"/>
    <tableColumn id="663" name="Column659" dataDxfId="15721"/>
    <tableColumn id="664" name="Column660" dataDxfId="15720"/>
    <tableColumn id="665" name="Column661" dataDxfId="15719"/>
    <tableColumn id="666" name="Column662" dataDxfId="15718"/>
    <tableColumn id="667" name="Column663" dataDxfId="15717"/>
    <tableColumn id="668" name="Column664" dataDxfId="15716"/>
    <tableColumn id="669" name="Column665" dataDxfId="15715"/>
    <tableColumn id="670" name="Column666" dataDxfId="15714"/>
    <tableColumn id="671" name="Column667" dataDxfId="15713"/>
    <tableColumn id="672" name="Column668" dataDxfId="15712"/>
    <tableColumn id="673" name="Column669" dataDxfId="15711"/>
    <tableColumn id="674" name="Column670" dataDxfId="15710"/>
    <tableColumn id="675" name="Column671" dataDxfId="15709"/>
    <tableColumn id="676" name="Column672" dataDxfId="15708"/>
    <tableColumn id="677" name="Column673" dataDxfId="15707"/>
    <tableColumn id="678" name="Column674" dataDxfId="15706"/>
    <tableColumn id="679" name="Column675" dataDxfId="15705"/>
    <tableColumn id="680" name="Column676" dataDxfId="15704"/>
    <tableColumn id="681" name="Column677" dataDxfId="15703"/>
    <tableColumn id="682" name="Column678" dataDxfId="15702"/>
    <tableColumn id="683" name="Column679" dataDxfId="15701"/>
    <tableColumn id="684" name="Column680" dataDxfId="15700"/>
    <tableColumn id="685" name="Column681" dataDxfId="15699"/>
    <tableColumn id="686" name="Column682" dataDxfId="15698"/>
    <tableColumn id="687" name="Column683" dataDxfId="15697"/>
    <tableColumn id="688" name="Column684" dataDxfId="15696"/>
    <tableColumn id="689" name="Column685" dataDxfId="15695"/>
    <tableColumn id="690" name="Column686" dataDxfId="15694"/>
    <tableColumn id="691" name="Column687" dataDxfId="15693"/>
    <tableColumn id="692" name="Column688" dataDxfId="15692"/>
    <tableColumn id="693" name="Column689" dataDxfId="15691"/>
    <tableColumn id="694" name="Column690" dataDxfId="15690"/>
    <tableColumn id="695" name="Column691" dataDxfId="15689"/>
    <tableColumn id="696" name="Column692" dataDxfId="15688"/>
    <tableColumn id="697" name="Column693" dataDxfId="15687"/>
    <tableColumn id="698" name="Column694" dataDxfId="15686"/>
    <tableColumn id="699" name="Column695" dataDxfId="15685"/>
    <tableColumn id="700" name="Column696" dataDxfId="15684"/>
    <tableColumn id="701" name="Column697" dataDxfId="15683"/>
    <tableColumn id="702" name="Column698" dataDxfId="15682"/>
    <tableColumn id="703" name="Column699" dataDxfId="15681"/>
    <tableColumn id="704" name="Column700" dataDxfId="15680"/>
    <tableColumn id="705" name="Column701" dataDxfId="15679"/>
    <tableColumn id="706" name="Column702" dataDxfId="15678"/>
    <tableColumn id="707" name="Column703" dataDxfId="15677"/>
    <tableColumn id="708" name="Column704" dataDxfId="15676"/>
    <tableColumn id="709" name="Column705" dataDxfId="15675"/>
    <tableColumn id="710" name="Column706" dataDxfId="15674"/>
    <tableColumn id="711" name="Column707" dataDxfId="15673"/>
    <tableColumn id="712" name="Column708" dataDxfId="15672"/>
    <tableColumn id="713" name="Column709" dataDxfId="15671"/>
    <tableColumn id="714" name="Column710" dataDxfId="15670"/>
    <tableColumn id="715" name="Column711" dataDxfId="15669"/>
    <tableColumn id="716" name="Column712" dataDxfId="15668"/>
    <tableColumn id="717" name="Column713" dataDxfId="15667"/>
    <tableColumn id="718" name="Column714" dataDxfId="15666"/>
    <tableColumn id="719" name="Column715" dataDxfId="15665"/>
    <tableColumn id="720" name="Column716" dataDxfId="15664"/>
    <tableColumn id="721" name="Column717" dataDxfId="15663"/>
    <tableColumn id="722" name="Column718" dataDxfId="15662"/>
    <tableColumn id="723" name="Column719" dataDxfId="15661"/>
    <tableColumn id="724" name="Column720" dataDxfId="15660"/>
    <tableColumn id="725" name="Column721" dataDxfId="15659"/>
    <tableColumn id="726" name="Column722" dataDxfId="15658"/>
    <tableColumn id="727" name="Column723" dataDxfId="15657"/>
    <tableColumn id="728" name="Column724" dataDxfId="15656"/>
    <tableColumn id="729" name="Column725" dataDxfId="15655"/>
    <tableColumn id="730" name="Column726" dataDxfId="15654"/>
    <tableColumn id="731" name="Column727" dataDxfId="15653"/>
    <tableColumn id="732" name="Column728" dataDxfId="15652"/>
    <tableColumn id="733" name="Column729" dataDxfId="15651"/>
    <tableColumn id="734" name="Column730" dataDxfId="15650"/>
    <tableColumn id="735" name="Column731" dataDxfId="15649"/>
    <tableColumn id="736" name="Column732" dataDxfId="15648"/>
    <tableColumn id="737" name="Column733" dataDxfId="15647"/>
    <tableColumn id="738" name="Column734" dataDxfId="15646"/>
    <tableColumn id="739" name="Column735" dataDxfId="15645"/>
    <tableColumn id="740" name="Column736" dataDxfId="15644"/>
    <tableColumn id="741" name="Column737" dataDxfId="15643"/>
    <tableColumn id="742" name="Column738" dataDxfId="15642"/>
    <tableColumn id="743" name="Column739" dataDxfId="15641"/>
    <tableColumn id="744" name="Column740" dataDxfId="15640"/>
    <tableColumn id="745" name="Column741" dataDxfId="15639"/>
    <tableColumn id="746" name="Column742" dataDxfId="15638"/>
    <tableColumn id="747" name="Column743" dataDxfId="15637"/>
    <tableColumn id="748" name="Column744" dataDxfId="15636"/>
    <tableColumn id="749" name="Column745" dataDxfId="15635"/>
    <tableColumn id="750" name="Column746" dataDxfId="15634"/>
    <tableColumn id="751" name="Column747" dataDxfId="15633"/>
    <tableColumn id="752" name="Column748" dataDxfId="15632"/>
    <tableColumn id="753" name="Column749" dataDxfId="15631"/>
    <tableColumn id="754" name="Column750" dataDxfId="15630"/>
    <tableColumn id="755" name="Column751" dataDxfId="15629"/>
    <tableColumn id="756" name="Column752" dataDxfId="15628"/>
    <tableColumn id="757" name="Column753" dataDxfId="15627"/>
    <tableColumn id="758" name="Column754" dataDxfId="15626"/>
    <tableColumn id="759" name="Column755" dataDxfId="15625"/>
    <tableColumn id="760" name="Column756" dataDxfId="15624"/>
    <tableColumn id="761" name="Column757" dataDxfId="15623"/>
    <tableColumn id="762" name="Column758" dataDxfId="15622"/>
    <tableColumn id="763" name="Column759" dataDxfId="15621"/>
    <tableColumn id="764" name="Column760" dataDxfId="15620"/>
    <tableColumn id="765" name="Column761" dataDxfId="15619"/>
    <tableColumn id="766" name="Column762" dataDxfId="15618"/>
    <tableColumn id="767" name="Column763" dataDxfId="15617"/>
    <tableColumn id="768" name="Column764" dataDxfId="15616"/>
    <tableColumn id="769" name="Column765" dataDxfId="15615"/>
    <tableColumn id="770" name="Column766" dataDxfId="15614"/>
    <tableColumn id="771" name="Column767" dataDxfId="15613"/>
    <tableColumn id="772" name="Column768" dataDxfId="15612"/>
    <tableColumn id="773" name="Column769" dataDxfId="15611"/>
    <tableColumn id="774" name="Column770" dataDxfId="15610"/>
    <tableColumn id="775" name="Column771" dataDxfId="15609"/>
    <tableColumn id="776" name="Column772" dataDxfId="15608"/>
    <tableColumn id="777" name="Column773" dataDxfId="15607"/>
    <tableColumn id="778" name="Column774" dataDxfId="15606"/>
    <tableColumn id="779" name="Column775" dataDxfId="15605"/>
    <tableColumn id="780" name="Column776" dataDxfId="15604"/>
    <tableColumn id="781" name="Column777" dataDxfId="15603"/>
    <tableColumn id="782" name="Column778" dataDxfId="15602"/>
    <tableColumn id="783" name="Column779" dataDxfId="15601"/>
    <tableColumn id="784" name="Column780" dataDxfId="15600"/>
    <tableColumn id="785" name="Column781" dataDxfId="15599"/>
    <tableColumn id="786" name="Column782" dataDxfId="15598"/>
    <tableColumn id="787" name="Column783" dataDxfId="15597"/>
    <tableColumn id="788" name="Column784" dataDxfId="15596"/>
    <tableColumn id="789" name="Column785" dataDxfId="15595"/>
    <tableColumn id="790" name="Column786" dataDxfId="15594"/>
    <tableColumn id="791" name="Column787" dataDxfId="15593"/>
    <tableColumn id="792" name="Column788" dataDxfId="15592"/>
    <tableColumn id="793" name="Column789" dataDxfId="15591"/>
    <tableColumn id="794" name="Column790" dataDxfId="15590"/>
    <tableColumn id="795" name="Column791" dataDxfId="15589"/>
    <tableColumn id="796" name="Column792" dataDxfId="15588"/>
    <tableColumn id="797" name="Column793" dataDxfId="15587"/>
    <tableColumn id="798" name="Column794" dataDxfId="15586"/>
    <tableColumn id="799" name="Column795" dataDxfId="15585"/>
    <tableColumn id="800" name="Column796" dataDxfId="15584"/>
    <tableColumn id="801" name="Column797" dataDxfId="15583"/>
    <tableColumn id="802" name="Column798" dataDxfId="15582"/>
    <tableColumn id="803" name="Column799" dataDxfId="15581"/>
    <tableColumn id="804" name="Column800" dataDxfId="15580"/>
    <tableColumn id="805" name="Column801" dataDxfId="15579"/>
    <tableColumn id="806" name="Column802" dataDxfId="15578"/>
    <tableColumn id="807" name="Column803" dataDxfId="15577"/>
    <tableColumn id="808" name="Column804" dataDxfId="15576"/>
    <tableColumn id="809" name="Column805" dataDxfId="15575"/>
    <tableColumn id="810" name="Column806" dataDxfId="15574"/>
    <tableColumn id="811" name="Column807" dataDxfId="15573"/>
    <tableColumn id="812" name="Column808" dataDxfId="15572"/>
    <tableColumn id="813" name="Column809" dataDxfId="15571"/>
    <tableColumn id="814" name="Column810" dataDxfId="15570"/>
    <tableColumn id="815" name="Column811" dataDxfId="15569"/>
    <tableColumn id="816" name="Column812" dataDxfId="15568"/>
    <tableColumn id="817" name="Column813" dataDxfId="15567"/>
    <tableColumn id="818" name="Column814" dataDxfId="15566"/>
    <tableColumn id="819" name="Column815" dataDxfId="15565"/>
    <tableColumn id="820" name="Column816" dataDxfId="15564"/>
    <tableColumn id="821" name="Column817" dataDxfId="15563"/>
    <tableColumn id="822" name="Column818" dataDxfId="15562"/>
    <tableColumn id="823" name="Column819" dataDxfId="15561"/>
    <tableColumn id="824" name="Column820" dataDxfId="15560"/>
    <tableColumn id="825" name="Column821" dataDxfId="15559"/>
    <tableColumn id="826" name="Column822" dataDxfId="15558"/>
    <tableColumn id="827" name="Column823" dataDxfId="15557"/>
    <tableColumn id="828" name="Column824" dataDxfId="15556"/>
    <tableColumn id="829" name="Column825" dataDxfId="15555"/>
    <tableColumn id="830" name="Column826" dataDxfId="15554"/>
    <tableColumn id="831" name="Column827" dataDxfId="15553"/>
    <tableColumn id="832" name="Column828" dataDxfId="15552"/>
    <tableColumn id="833" name="Column829" dataDxfId="15551"/>
    <tableColumn id="834" name="Column830" dataDxfId="15550"/>
    <tableColumn id="835" name="Column831" dataDxfId="15549"/>
    <tableColumn id="836" name="Column832" dataDxfId="15548"/>
    <tableColumn id="837" name="Column833" dataDxfId="15547"/>
    <tableColumn id="838" name="Column834" dataDxfId="15546"/>
    <tableColumn id="839" name="Column835" dataDxfId="15545"/>
    <tableColumn id="840" name="Column836" dataDxfId="15544"/>
    <tableColumn id="841" name="Column837" dataDxfId="15543"/>
    <tableColumn id="842" name="Column838" dataDxfId="15542"/>
    <tableColumn id="843" name="Column839" dataDxfId="15541"/>
    <tableColumn id="844" name="Column840" dataDxfId="15540"/>
    <tableColumn id="845" name="Column841" dataDxfId="15539"/>
    <tableColumn id="846" name="Column842" dataDxfId="15538"/>
    <tableColumn id="847" name="Column843" dataDxfId="15537"/>
    <tableColumn id="848" name="Column844" dataDxfId="15536"/>
    <tableColumn id="849" name="Column845" dataDxfId="15535"/>
    <tableColumn id="850" name="Column846" dataDxfId="15534"/>
    <tableColumn id="851" name="Column847" dataDxfId="15533"/>
    <tableColumn id="852" name="Column848" dataDxfId="15532"/>
    <tableColumn id="853" name="Column849" dataDxfId="15531"/>
    <tableColumn id="854" name="Column850" dataDxfId="15530"/>
    <tableColumn id="855" name="Column851" dataDxfId="15529"/>
    <tableColumn id="856" name="Column852" dataDxfId="15528"/>
    <tableColumn id="857" name="Column853" dataDxfId="15527"/>
    <tableColumn id="858" name="Column854" dataDxfId="15526"/>
    <tableColumn id="859" name="Column855" dataDxfId="15525"/>
    <tableColumn id="860" name="Column856" dataDxfId="15524"/>
    <tableColumn id="861" name="Column857" dataDxfId="15523"/>
    <tableColumn id="862" name="Column858" dataDxfId="15522"/>
    <tableColumn id="863" name="Column859" dataDxfId="15521"/>
    <tableColumn id="864" name="Column860" dataDxfId="15520"/>
    <tableColumn id="865" name="Column861" dataDxfId="15519"/>
    <tableColumn id="866" name="Column862" dataDxfId="15518"/>
    <tableColumn id="867" name="Column863" dataDxfId="15517"/>
    <tableColumn id="868" name="Column864" dataDxfId="15516"/>
    <tableColumn id="869" name="Column865" dataDxfId="15515"/>
    <tableColumn id="870" name="Column866" dataDxfId="15514"/>
    <tableColumn id="871" name="Column867" dataDxfId="15513"/>
    <tableColumn id="872" name="Column868" dataDxfId="15512"/>
    <tableColumn id="873" name="Column869" dataDxfId="15511"/>
    <tableColumn id="874" name="Column870" dataDxfId="15510"/>
    <tableColumn id="875" name="Column871" dataDxfId="15509"/>
    <tableColumn id="876" name="Column872" dataDxfId="15508"/>
    <tableColumn id="877" name="Column873" dataDxfId="15507"/>
    <tableColumn id="878" name="Column874" dataDxfId="15506"/>
    <tableColumn id="879" name="Column875" dataDxfId="15505"/>
    <tableColumn id="880" name="Column876" dataDxfId="15504"/>
    <tableColumn id="881" name="Column877" dataDxfId="15503"/>
    <tableColumn id="882" name="Column878" dataDxfId="15502"/>
    <tableColumn id="883" name="Column879" dataDxfId="15501"/>
    <tableColumn id="884" name="Column880" dataDxfId="15500"/>
    <tableColumn id="885" name="Column881" dataDxfId="15499"/>
    <tableColumn id="886" name="Column882" dataDxfId="15498"/>
    <tableColumn id="887" name="Column883" dataDxfId="15497"/>
    <tableColumn id="888" name="Column884" dataDxfId="15496"/>
    <tableColumn id="889" name="Column885" dataDxfId="15495"/>
    <tableColumn id="890" name="Column886" dataDxfId="15494"/>
    <tableColumn id="891" name="Column887" dataDxfId="15493"/>
    <tableColumn id="892" name="Column888" dataDxfId="15492"/>
    <tableColumn id="893" name="Column889" dataDxfId="15491"/>
    <tableColumn id="894" name="Column890" dataDxfId="15490"/>
    <tableColumn id="895" name="Column891" dataDxfId="15489"/>
    <tableColumn id="896" name="Column892" dataDxfId="15488"/>
    <tableColumn id="897" name="Column893" dataDxfId="15487"/>
    <tableColumn id="898" name="Column894" dataDxfId="15486"/>
    <tableColumn id="899" name="Column895" dataDxfId="15485"/>
    <tableColumn id="900" name="Column896" dataDxfId="15484"/>
    <tableColumn id="901" name="Column897" dataDxfId="15483"/>
    <tableColumn id="902" name="Column898" dataDxfId="15482"/>
    <tableColumn id="903" name="Column899" dataDxfId="15481"/>
    <tableColumn id="904" name="Column900" dataDxfId="15480"/>
    <tableColumn id="905" name="Column901" dataDxfId="15479"/>
    <tableColumn id="906" name="Column902" dataDxfId="15478"/>
    <tableColumn id="907" name="Column903" dataDxfId="15477"/>
    <tableColumn id="908" name="Column904" dataDxfId="15476"/>
    <tableColumn id="909" name="Column905" dataDxfId="15475"/>
    <tableColumn id="910" name="Column906" dataDxfId="15474"/>
    <tableColumn id="911" name="Column907" dataDxfId="15473"/>
    <tableColumn id="912" name="Column908" dataDxfId="15472"/>
    <tableColumn id="913" name="Column909" dataDxfId="15471"/>
    <tableColumn id="914" name="Column910" dataDxfId="15470"/>
    <tableColumn id="915" name="Column911" dataDxfId="15469"/>
    <tableColumn id="916" name="Column912" dataDxfId="15468"/>
    <tableColumn id="917" name="Column913" dataDxfId="15467"/>
    <tableColumn id="918" name="Column914" dataDxfId="15466"/>
    <tableColumn id="919" name="Column915" dataDxfId="15465"/>
    <tableColumn id="920" name="Column916" dataDxfId="15464"/>
    <tableColumn id="921" name="Column917" dataDxfId="15463"/>
    <tableColumn id="922" name="Column918" dataDxfId="15462"/>
    <tableColumn id="923" name="Column919" dataDxfId="15461"/>
    <tableColumn id="924" name="Column920" dataDxfId="15460"/>
    <tableColumn id="925" name="Column921" dataDxfId="15459"/>
    <tableColumn id="926" name="Column922" dataDxfId="15458"/>
    <tableColumn id="927" name="Column923" dataDxfId="15457"/>
    <tableColumn id="928" name="Column924" dataDxfId="15456"/>
    <tableColumn id="929" name="Column925" dataDxfId="15455"/>
    <tableColumn id="930" name="Column926" dataDxfId="15454"/>
    <tableColumn id="931" name="Column927" dataDxfId="15453"/>
    <tableColumn id="932" name="Column928" dataDxfId="15452"/>
    <tableColumn id="933" name="Column929" dataDxfId="15451"/>
    <tableColumn id="934" name="Column930" dataDxfId="15450"/>
    <tableColumn id="935" name="Column931" dataDxfId="15449"/>
    <tableColumn id="936" name="Column932" dataDxfId="15448"/>
    <tableColumn id="937" name="Column933" dataDxfId="15447"/>
    <tableColumn id="938" name="Column934" dataDxfId="15446"/>
    <tableColumn id="939" name="Column935" dataDxfId="15445"/>
    <tableColumn id="940" name="Column936" dataDxfId="15444"/>
    <tableColumn id="941" name="Column937" dataDxfId="15443"/>
    <tableColumn id="942" name="Column938" dataDxfId="15442"/>
    <tableColumn id="943" name="Column939" dataDxfId="15441"/>
    <tableColumn id="944" name="Column940" dataDxfId="15440"/>
    <tableColumn id="945" name="Column941" dataDxfId="15439"/>
    <tableColumn id="946" name="Column942" dataDxfId="15438"/>
    <tableColumn id="947" name="Column943" dataDxfId="15437"/>
    <tableColumn id="948" name="Column944" dataDxfId="15436"/>
    <tableColumn id="949" name="Column945" dataDxfId="15435"/>
    <tableColumn id="950" name="Column946" dataDxfId="15434"/>
    <tableColumn id="951" name="Column947" dataDxfId="15433"/>
    <tableColumn id="952" name="Column948" dataDxfId="15432"/>
    <tableColumn id="953" name="Column949" dataDxfId="15431"/>
    <tableColumn id="954" name="Column950" dataDxfId="15430"/>
    <tableColumn id="955" name="Column951" dataDxfId="15429"/>
    <tableColumn id="956" name="Column952" dataDxfId="15428"/>
    <tableColumn id="957" name="Column953" dataDxfId="15427"/>
    <tableColumn id="958" name="Column954" dataDxfId="15426"/>
    <tableColumn id="959" name="Column955" dataDxfId="15425"/>
    <tableColumn id="960" name="Column956" dataDxfId="15424"/>
    <tableColumn id="961" name="Column957" dataDxfId="15423"/>
    <tableColumn id="962" name="Column958" dataDxfId="15422"/>
    <tableColumn id="963" name="Column959" dataDxfId="15421"/>
    <tableColumn id="964" name="Column960" dataDxfId="15420"/>
    <tableColumn id="965" name="Column961" dataDxfId="15419"/>
    <tableColumn id="966" name="Column962" dataDxfId="15418"/>
    <tableColumn id="967" name="Column963" dataDxfId="15417"/>
    <tableColumn id="968" name="Column964" dataDxfId="15416"/>
    <tableColumn id="969" name="Column965" dataDxfId="15415"/>
    <tableColumn id="970" name="Column966" dataDxfId="15414"/>
    <tableColumn id="971" name="Column967" dataDxfId="15413"/>
    <tableColumn id="972" name="Column968" dataDxfId="15412"/>
    <tableColumn id="973" name="Column969" dataDxfId="15411"/>
    <tableColumn id="974" name="Column970" dataDxfId="15410"/>
    <tableColumn id="975" name="Column971" dataDxfId="15409"/>
    <tableColumn id="976" name="Column972" dataDxfId="15408"/>
    <tableColumn id="977" name="Column973" dataDxfId="15407"/>
    <tableColumn id="978" name="Column974" dataDxfId="15406"/>
    <tableColumn id="979" name="Column975" dataDxfId="15405"/>
    <tableColumn id="980" name="Column976" dataDxfId="15404"/>
    <tableColumn id="981" name="Column977" dataDxfId="15403"/>
    <tableColumn id="982" name="Column978" dataDxfId="15402"/>
    <tableColumn id="983" name="Column979" dataDxfId="15401"/>
    <tableColumn id="984" name="Column980" dataDxfId="15400"/>
    <tableColumn id="985" name="Column981" dataDxfId="15399"/>
    <tableColumn id="986" name="Column982" dataDxfId="15398"/>
    <tableColumn id="987" name="Column983" dataDxfId="15397"/>
    <tableColumn id="988" name="Column984" dataDxfId="15396"/>
    <tableColumn id="989" name="Column985" dataDxfId="15395"/>
    <tableColumn id="990" name="Column986" dataDxfId="15394"/>
    <tableColumn id="991" name="Column987" dataDxfId="15393"/>
    <tableColumn id="992" name="Column988" dataDxfId="15392"/>
    <tableColumn id="993" name="Column989" dataDxfId="15391"/>
    <tableColumn id="994" name="Column990" dataDxfId="15390"/>
    <tableColumn id="995" name="Column991" dataDxfId="15389"/>
    <tableColumn id="996" name="Column992" dataDxfId="15388"/>
    <tableColumn id="997" name="Column993" dataDxfId="15387"/>
    <tableColumn id="998" name="Column994" dataDxfId="15386"/>
    <tableColumn id="999" name="Column995" dataDxfId="15385"/>
    <tableColumn id="1000" name="Column996" dataDxfId="15384"/>
    <tableColumn id="1001" name="Column997" dataDxfId="15383"/>
    <tableColumn id="1002" name="Column998" dataDxfId="15382"/>
    <tableColumn id="1003" name="Column999" dataDxfId="15381"/>
    <tableColumn id="1004" name="Column1000" dataDxfId="15380"/>
    <tableColumn id="1005" name="Column1001" dataDxfId="15379"/>
    <tableColumn id="1006" name="Column1002" dataDxfId="15378"/>
    <tableColumn id="1007" name="Column1003" dataDxfId="15377"/>
    <tableColumn id="1008" name="Column1004" dataDxfId="15376"/>
    <tableColumn id="1009" name="Column1005" dataDxfId="15375"/>
    <tableColumn id="1010" name="Column1006" dataDxfId="15374"/>
    <tableColumn id="1011" name="Column1007" dataDxfId="15373"/>
    <tableColumn id="1012" name="Column1008" dataDxfId="15372"/>
    <tableColumn id="1013" name="Column1009" dataDxfId="15371"/>
    <tableColumn id="1014" name="Column1010" dataDxfId="15370"/>
    <tableColumn id="1015" name="Column1011" dataDxfId="15369"/>
    <tableColumn id="1016" name="Column1012" dataDxfId="15368"/>
    <tableColumn id="1017" name="Column1013" dataDxfId="15367"/>
    <tableColumn id="1018" name="Column1014" dataDxfId="15366"/>
    <tableColumn id="1019" name="Column1015" dataDxfId="15365"/>
    <tableColumn id="1020" name="Column1016" dataDxfId="15364"/>
    <tableColumn id="1021" name="Column1017" dataDxfId="15363"/>
    <tableColumn id="1022" name="Column1018" dataDxfId="15362"/>
    <tableColumn id="1023" name="Column1019" dataDxfId="15361"/>
    <tableColumn id="1024" name="Column1020" dataDxfId="15360"/>
    <tableColumn id="1025" name="Column1021" dataDxfId="15359"/>
    <tableColumn id="1026" name="Column1022" dataDxfId="15358"/>
    <tableColumn id="1027" name="Column1023" dataDxfId="15357"/>
    <tableColumn id="1028" name="Column1024" dataDxfId="15356"/>
    <tableColumn id="1029" name="Column1025" dataDxfId="15355"/>
    <tableColumn id="1030" name="Column1026" dataDxfId="15354"/>
    <tableColumn id="1031" name="Column1027" dataDxfId="15353"/>
    <tableColumn id="1032" name="Column1028" dataDxfId="15352"/>
    <tableColumn id="1033" name="Column1029" dataDxfId="15351"/>
    <tableColumn id="1034" name="Column1030" dataDxfId="15350"/>
    <tableColumn id="1035" name="Column1031" dataDxfId="15349"/>
    <tableColumn id="1036" name="Column1032" dataDxfId="15348"/>
    <tableColumn id="1037" name="Column1033" dataDxfId="15347"/>
    <tableColumn id="1038" name="Column1034" dataDxfId="15346"/>
    <tableColumn id="1039" name="Column1035" dataDxfId="15345"/>
    <tableColumn id="1040" name="Column1036" dataDxfId="15344"/>
    <tableColumn id="1041" name="Column1037" dataDxfId="15343"/>
    <tableColumn id="1042" name="Column1038" dataDxfId="15342"/>
    <tableColumn id="1043" name="Column1039" dataDxfId="15341"/>
    <tableColumn id="1044" name="Column1040" dataDxfId="15340"/>
    <tableColumn id="1045" name="Column1041" dataDxfId="15339"/>
    <tableColumn id="1046" name="Column1042" dataDxfId="15338"/>
    <tableColumn id="1047" name="Column1043" dataDxfId="15337"/>
    <tableColumn id="1048" name="Column1044" dataDxfId="15336"/>
    <tableColumn id="1049" name="Column1045" dataDxfId="15335"/>
    <tableColumn id="1050" name="Column1046" dataDxfId="15334"/>
    <tableColumn id="1051" name="Column1047" dataDxfId="15333"/>
    <tableColumn id="1052" name="Column1048" dataDxfId="15332"/>
    <tableColumn id="1053" name="Column1049" dataDxfId="15331"/>
    <tableColumn id="1054" name="Column1050" dataDxfId="15330"/>
    <tableColumn id="1055" name="Column1051" dataDxfId="15329"/>
    <tableColumn id="1056" name="Column1052" dataDxfId="15328"/>
    <tableColumn id="1057" name="Column1053" dataDxfId="15327"/>
    <tableColumn id="1058" name="Column1054" dataDxfId="15326"/>
    <tableColumn id="1059" name="Column1055" dataDxfId="15325"/>
    <tableColumn id="1060" name="Column1056" dataDxfId="15324"/>
    <tableColumn id="1061" name="Column1057" dataDxfId="15323"/>
    <tableColumn id="1062" name="Column1058" dataDxfId="15322"/>
    <tableColumn id="1063" name="Column1059" dataDxfId="15321"/>
    <tableColumn id="1064" name="Column1060" dataDxfId="15320"/>
    <tableColumn id="1065" name="Column1061" dataDxfId="15319"/>
    <tableColumn id="1066" name="Column1062" dataDxfId="15318"/>
    <tableColumn id="1067" name="Column1063" dataDxfId="15317"/>
    <tableColumn id="1068" name="Column1064" dataDxfId="15316"/>
    <tableColumn id="1069" name="Column1065" dataDxfId="15315"/>
    <tableColumn id="1070" name="Column1066" dataDxfId="15314"/>
    <tableColumn id="1071" name="Column1067" dataDxfId="15313"/>
    <tableColumn id="1072" name="Column1068" dataDxfId="15312"/>
    <tableColumn id="1073" name="Column1069" dataDxfId="15311"/>
    <tableColumn id="1074" name="Column1070" dataDxfId="15310"/>
    <tableColumn id="1075" name="Column1071" dataDxfId="15309"/>
    <tableColumn id="1076" name="Column1072" dataDxfId="15308"/>
    <tableColumn id="1077" name="Column1073" dataDxfId="15307"/>
    <tableColumn id="1078" name="Column1074" dataDxfId="15306"/>
    <tableColumn id="1079" name="Column1075" dataDxfId="15305"/>
    <tableColumn id="1080" name="Column1076" dataDxfId="15304"/>
    <tableColumn id="1081" name="Column1077" dataDxfId="15303"/>
    <tableColumn id="1082" name="Column1078" dataDxfId="15302"/>
    <tableColumn id="1083" name="Column1079" dataDxfId="15301"/>
    <tableColumn id="1084" name="Column1080" dataDxfId="15300"/>
    <tableColumn id="1085" name="Column1081" dataDxfId="15299"/>
    <tableColumn id="1086" name="Column1082" dataDxfId="15298"/>
    <tableColumn id="1087" name="Column1083" dataDxfId="15297"/>
    <tableColumn id="1088" name="Column1084" dataDxfId="15296"/>
    <tableColumn id="1089" name="Column1085" dataDxfId="15295"/>
    <tableColumn id="1090" name="Column1086" dataDxfId="15294"/>
    <tableColumn id="1091" name="Column1087" dataDxfId="15293"/>
    <tableColumn id="1092" name="Column1088" dataDxfId="15292"/>
    <tableColumn id="1093" name="Column1089" dataDxfId="15291"/>
    <tableColumn id="1094" name="Column1090" dataDxfId="15290"/>
    <tableColumn id="1095" name="Column1091" dataDxfId="15289"/>
    <tableColumn id="1096" name="Column1092" dataDxfId="15288"/>
    <tableColumn id="1097" name="Column1093" dataDxfId="15287"/>
    <tableColumn id="1098" name="Column1094" dataDxfId="15286"/>
    <tableColumn id="1099" name="Column1095" dataDxfId="15285"/>
    <tableColumn id="1100" name="Column1096" dataDxfId="15284"/>
    <tableColumn id="1101" name="Column1097" dataDxfId="15283"/>
    <tableColumn id="1102" name="Column1098" dataDxfId="15282"/>
    <tableColumn id="1103" name="Column1099" dataDxfId="15281"/>
    <tableColumn id="1104" name="Column1100" dataDxfId="15280"/>
    <tableColumn id="1105" name="Column1101" dataDxfId="15279"/>
    <tableColumn id="1106" name="Column1102" dataDxfId="15278"/>
    <tableColumn id="1107" name="Column1103" dataDxfId="15277"/>
    <tableColumn id="1108" name="Column1104" dataDxfId="15276"/>
    <tableColumn id="1109" name="Column1105" dataDxfId="15275"/>
    <tableColumn id="1110" name="Column1106" dataDxfId="15274"/>
    <tableColumn id="1111" name="Column1107" dataDxfId="15273"/>
    <tableColumn id="1112" name="Column1108" dataDxfId="15272"/>
    <tableColumn id="1113" name="Column1109" dataDxfId="15271"/>
    <tableColumn id="1114" name="Column1110" dataDxfId="15270"/>
    <tableColumn id="1115" name="Column1111" dataDxfId="15269"/>
    <tableColumn id="1116" name="Column1112" dataDxfId="15268"/>
    <tableColumn id="1117" name="Column1113" dataDxfId="15267"/>
    <tableColumn id="1118" name="Column1114" dataDxfId="15266"/>
    <tableColumn id="1119" name="Column1115" dataDxfId="15265"/>
    <tableColumn id="1120" name="Column1116" dataDxfId="15264"/>
    <tableColumn id="1121" name="Column1117" dataDxfId="15263"/>
    <tableColumn id="1122" name="Column1118" dataDxfId="15262"/>
    <tableColumn id="1123" name="Column1119" dataDxfId="15261"/>
    <tableColumn id="1124" name="Column1120" dataDxfId="15260"/>
    <tableColumn id="1125" name="Column1121" dataDxfId="15259"/>
    <tableColumn id="1126" name="Column1122" dataDxfId="15258"/>
    <tableColumn id="1127" name="Column1123" dataDxfId="15257"/>
    <tableColumn id="1128" name="Column1124" dataDxfId="15256"/>
    <tableColumn id="1129" name="Column1125" dataDxfId="15255"/>
    <tableColumn id="1130" name="Column1126" dataDxfId="15254"/>
    <tableColumn id="1131" name="Column1127" dataDxfId="15253"/>
    <tableColumn id="1132" name="Column1128" dataDxfId="15252"/>
    <tableColumn id="1133" name="Column1129" dataDxfId="15251"/>
    <tableColumn id="1134" name="Column1130" dataDxfId="15250"/>
    <tableColumn id="1135" name="Column1131" dataDxfId="15249"/>
    <tableColumn id="1136" name="Column1132" dataDxfId="15248"/>
    <tableColumn id="1137" name="Column1133" dataDxfId="15247"/>
    <tableColumn id="1138" name="Column1134" dataDxfId="15246"/>
    <tableColumn id="1139" name="Column1135" dataDxfId="15245"/>
    <tableColumn id="1140" name="Column1136" dataDxfId="15244"/>
    <tableColumn id="1141" name="Column1137" dataDxfId="15243"/>
    <tableColumn id="1142" name="Column1138" dataDxfId="15242"/>
    <tableColumn id="1143" name="Column1139" dataDxfId="15241"/>
    <tableColumn id="1144" name="Column1140" dataDxfId="15240"/>
    <tableColumn id="1145" name="Column1141" dataDxfId="15239"/>
    <tableColumn id="1146" name="Column1142" dataDxfId="15238"/>
    <tableColumn id="1147" name="Column1143" dataDxfId="15237"/>
    <tableColumn id="1148" name="Column1144" dataDxfId="15236"/>
    <tableColumn id="1149" name="Column1145" dataDxfId="15235"/>
    <tableColumn id="1150" name="Column1146" dataDxfId="15234"/>
    <tableColumn id="1151" name="Column1147" dataDxfId="15233"/>
    <tableColumn id="1152" name="Column1148" dataDxfId="15232"/>
    <tableColumn id="1153" name="Column1149" dataDxfId="15231"/>
    <tableColumn id="1154" name="Column1150" dataDxfId="15230"/>
    <tableColumn id="1155" name="Column1151" dataDxfId="15229"/>
    <tableColumn id="1156" name="Column1152" dataDxfId="15228"/>
    <tableColumn id="1157" name="Column1153" dataDxfId="15227"/>
    <tableColumn id="1158" name="Column1154" dataDxfId="15226"/>
    <tableColumn id="1159" name="Column1155" dataDxfId="15225"/>
    <tableColumn id="1160" name="Column1156" dataDxfId="15224"/>
    <tableColumn id="1161" name="Column1157" dataDxfId="15223"/>
    <tableColumn id="1162" name="Column1158" dataDxfId="15222"/>
    <tableColumn id="1163" name="Column1159" dataDxfId="15221"/>
    <tableColumn id="1164" name="Column1160" dataDxfId="15220"/>
    <tableColumn id="1165" name="Column1161" dataDxfId="15219"/>
    <tableColumn id="1166" name="Column1162" dataDxfId="15218"/>
    <tableColumn id="1167" name="Column1163" dataDxfId="15217"/>
    <tableColumn id="1168" name="Column1164" dataDxfId="15216"/>
    <tableColumn id="1169" name="Column1165" dataDxfId="15215"/>
    <tableColumn id="1170" name="Column1166" dataDxfId="15214"/>
    <tableColumn id="1171" name="Column1167" dataDxfId="15213"/>
    <tableColumn id="1172" name="Column1168" dataDxfId="15212"/>
    <tableColumn id="1173" name="Column1169" dataDxfId="15211"/>
    <tableColumn id="1174" name="Column1170" dataDxfId="15210"/>
    <tableColumn id="1175" name="Column1171" dataDxfId="15209"/>
    <tableColumn id="1176" name="Column1172" dataDxfId="15208"/>
    <tableColumn id="1177" name="Column1173" dataDxfId="15207"/>
    <tableColumn id="1178" name="Column1174" dataDxfId="15206"/>
    <tableColumn id="1179" name="Column1175" dataDxfId="15205"/>
    <tableColumn id="1180" name="Column1176" dataDxfId="15204"/>
    <tableColumn id="1181" name="Column1177" dataDxfId="15203"/>
    <tableColumn id="1182" name="Column1178" dataDxfId="15202"/>
    <tableColumn id="1183" name="Column1179" dataDxfId="15201"/>
    <tableColumn id="1184" name="Column1180" dataDxfId="15200"/>
    <tableColumn id="1185" name="Column1181" dataDxfId="15199"/>
    <tableColumn id="1186" name="Column1182" dataDxfId="15198"/>
    <tableColumn id="1187" name="Column1183" dataDxfId="15197"/>
    <tableColumn id="1188" name="Column1184" dataDxfId="15196"/>
    <tableColumn id="1189" name="Column1185" dataDxfId="15195"/>
    <tableColumn id="1190" name="Column1186" dataDxfId="15194"/>
    <tableColumn id="1191" name="Column1187" dataDxfId="15193"/>
    <tableColumn id="1192" name="Column1188" dataDxfId="15192"/>
    <tableColumn id="1193" name="Column1189" dataDxfId="15191"/>
    <tableColumn id="1194" name="Column1190" dataDxfId="15190"/>
    <tableColumn id="1195" name="Column1191" dataDxfId="15189"/>
    <tableColumn id="1196" name="Column1192" dataDxfId="15188"/>
    <tableColumn id="1197" name="Column1193" dataDxfId="15187"/>
    <tableColumn id="1198" name="Column1194" dataDxfId="15186"/>
    <tableColumn id="1199" name="Column1195" dataDxfId="15185"/>
    <tableColumn id="1200" name="Column1196" dataDxfId="15184"/>
    <tableColumn id="1201" name="Column1197" dataDxfId="15183"/>
    <tableColumn id="1202" name="Column1198" dataDxfId="15182"/>
    <tableColumn id="1203" name="Column1199" dataDxfId="15181"/>
    <tableColumn id="1204" name="Column1200" dataDxfId="15180"/>
    <tableColumn id="1205" name="Column1201" dataDxfId="15179"/>
    <tableColumn id="1206" name="Column1202" dataDxfId="15178"/>
    <tableColumn id="1207" name="Column1203" dataDxfId="15177"/>
    <tableColumn id="1208" name="Column1204" dataDxfId="15176"/>
    <tableColumn id="1209" name="Column1205" dataDxfId="15175"/>
    <tableColumn id="1210" name="Column1206" dataDxfId="15174"/>
    <tableColumn id="1211" name="Column1207" dataDxfId="15173"/>
    <tableColumn id="1212" name="Column1208" dataDxfId="15172"/>
    <tableColumn id="1213" name="Column1209" dataDxfId="15171"/>
    <tableColumn id="1214" name="Column1210" dataDxfId="15170"/>
    <tableColumn id="1215" name="Column1211" dataDxfId="15169"/>
    <tableColumn id="1216" name="Column1212" dataDxfId="15168"/>
    <tableColumn id="1217" name="Column1213" dataDxfId="15167"/>
    <tableColumn id="1218" name="Column1214" dataDxfId="15166"/>
    <tableColumn id="1219" name="Column1215" dataDxfId="15165"/>
    <tableColumn id="1220" name="Column1216" dataDxfId="15164"/>
    <tableColumn id="1221" name="Column1217" dataDxfId="15163"/>
    <tableColumn id="1222" name="Column1218" dataDxfId="15162"/>
    <tableColumn id="1223" name="Column1219" dataDxfId="15161"/>
    <tableColumn id="1224" name="Column1220" dataDxfId="15160"/>
    <tableColumn id="1225" name="Column1221" dataDxfId="15159"/>
    <tableColumn id="1226" name="Column1222" dataDxfId="15158"/>
    <tableColumn id="1227" name="Column1223" dataDxfId="15157"/>
    <tableColumn id="1228" name="Column1224" dataDxfId="15156"/>
    <tableColumn id="1229" name="Column1225" dataDxfId="15155"/>
    <tableColumn id="1230" name="Column1226" dataDxfId="15154"/>
    <tableColumn id="1231" name="Column1227" dataDxfId="15153"/>
    <tableColumn id="1232" name="Column1228" dataDxfId="15152"/>
    <tableColumn id="1233" name="Column1229" dataDxfId="15151"/>
    <tableColumn id="1234" name="Column1230" dataDxfId="15150"/>
    <tableColumn id="1235" name="Column1231" dataDxfId="15149"/>
    <tableColumn id="1236" name="Column1232" dataDxfId="15148"/>
    <tableColumn id="1237" name="Column1233" dataDxfId="15147"/>
    <tableColumn id="1238" name="Column1234" dataDxfId="15146"/>
    <tableColumn id="1239" name="Column1235" dataDxfId="15145"/>
    <tableColumn id="1240" name="Column1236" dataDxfId="15144"/>
    <tableColumn id="1241" name="Column1237" dataDxfId="15143"/>
    <tableColumn id="1242" name="Column1238" dataDxfId="15142"/>
    <tableColumn id="1243" name="Column1239" dataDxfId="15141"/>
    <tableColumn id="1244" name="Column1240" dataDxfId="15140"/>
    <tableColumn id="1245" name="Column1241" dataDxfId="15139"/>
    <tableColumn id="1246" name="Column1242" dataDxfId="15138"/>
    <tableColumn id="1247" name="Column1243" dataDxfId="15137"/>
    <tableColumn id="1248" name="Column1244" dataDxfId="15136"/>
    <tableColumn id="1249" name="Column1245" dataDxfId="15135"/>
    <tableColumn id="1250" name="Column1246" dataDxfId="15134"/>
    <tableColumn id="1251" name="Column1247" dataDxfId="15133"/>
    <tableColumn id="1252" name="Column1248" dataDxfId="15132"/>
    <tableColumn id="1253" name="Column1249" dataDxfId="15131"/>
    <tableColumn id="1254" name="Column1250" dataDxfId="15130"/>
    <tableColumn id="1255" name="Column1251" dataDxfId="15129"/>
    <tableColumn id="1256" name="Column1252" dataDxfId="15128"/>
    <tableColumn id="1257" name="Column1253" dataDxfId="15127"/>
    <tableColumn id="1258" name="Column1254" dataDxfId="15126"/>
    <tableColumn id="1259" name="Column1255" dataDxfId="15125"/>
    <tableColumn id="1260" name="Column1256" dataDxfId="15124"/>
    <tableColumn id="1261" name="Column1257" dataDxfId="15123"/>
    <tableColumn id="1262" name="Column1258" dataDxfId="15122"/>
    <tableColumn id="1263" name="Column1259" dataDxfId="15121"/>
    <tableColumn id="1264" name="Column1260" dataDxfId="15120"/>
    <tableColumn id="1265" name="Column1261" dataDxfId="15119"/>
    <tableColumn id="1266" name="Column1262" dataDxfId="15118"/>
    <tableColumn id="1267" name="Column1263" dataDxfId="15117"/>
    <tableColumn id="1268" name="Column1264" dataDxfId="15116"/>
    <tableColumn id="1269" name="Column1265" dataDxfId="15115"/>
    <tableColumn id="1270" name="Column1266" dataDxfId="15114"/>
    <tableColumn id="1271" name="Column1267" dataDxfId="15113"/>
    <tableColumn id="1272" name="Column1268" dataDxfId="15112"/>
    <tableColumn id="1273" name="Column1269" dataDxfId="15111"/>
    <tableColumn id="1274" name="Column1270" dataDxfId="15110"/>
    <tableColumn id="1275" name="Column1271" dataDxfId="15109"/>
    <tableColumn id="1276" name="Column1272" dataDxfId="15108"/>
    <tableColumn id="1277" name="Column1273" dataDxfId="15107"/>
    <tableColumn id="1278" name="Column1274" dataDxfId="15106"/>
    <tableColumn id="1279" name="Column1275" dataDxfId="15105"/>
    <tableColumn id="1280" name="Column1276" dataDxfId="15104"/>
    <tableColumn id="1281" name="Column1277" dataDxfId="15103"/>
    <tableColumn id="1282" name="Column1278" dataDxfId="15102"/>
    <tableColumn id="1283" name="Column1279" dataDxfId="15101"/>
    <tableColumn id="1284" name="Column1280" dataDxfId="15100"/>
    <tableColumn id="1285" name="Column1281" dataDxfId="15099"/>
    <tableColumn id="1286" name="Column1282" dataDxfId="15098"/>
    <tableColumn id="1287" name="Column1283" dataDxfId="15097"/>
    <tableColumn id="1288" name="Column1284" dataDxfId="15096"/>
    <tableColumn id="1289" name="Column1285" dataDxfId="15095"/>
    <tableColumn id="1290" name="Column1286" dataDxfId="15094"/>
    <tableColumn id="1291" name="Column1287" dataDxfId="15093"/>
    <tableColumn id="1292" name="Column1288" dataDxfId="15092"/>
    <tableColumn id="1293" name="Column1289" dataDxfId="15091"/>
    <tableColumn id="1294" name="Column1290" dataDxfId="15090"/>
    <tableColumn id="1295" name="Column1291" dataDxfId="15089"/>
    <tableColumn id="1296" name="Column1292" dataDxfId="15088"/>
    <tableColumn id="1297" name="Column1293" dataDxfId="15087"/>
    <tableColumn id="1298" name="Column1294" dataDxfId="15086"/>
    <tableColumn id="1299" name="Column1295" dataDxfId="15085"/>
    <tableColumn id="1300" name="Column1296" dataDxfId="15084"/>
    <tableColumn id="1301" name="Column1297" dataDxfId="15083"/>
    <tableColumn id="1302" name="Column1298" dataDxfId="15082"/>
    <tableColumn id="1303" name="Column1299" dataDxfId="15081"/>
    <tableColumn id="1304" name="Column1300" dataDxfId="15080"/>
    <tableColumn id="1305" name="Column1301" dataDxfId="15079"/>
    <tableColumn id="1306" name="Column1302" dataDxfId="15078"/>
    <tableColumn id="1307" name="Column1303" dataDxfId="15077"/>
    <tableColumn id="1308" name="Column1304" dataDxfId="15076"/>
    <tableColumn id="1309" name="Column1305" dataDxfId="15075"/>
    <tableColumn id="1310" name="Column1306" dataDxfId="15074"/>
    <tableColumn id="1311" name="Column1307" dataDxfId="15073"/>
    <tableColumn id="1312" name="Column1308" dataDxfId="15072"/>
    <tableColumn id="1313" name="Column1309" dataDxfId="15071"/>
    <tableColumn id="1314" name="Column1310" dataDxfId="15070"/>
    <tableColumn id="1315" name="Column1311" dataDxfId="15069"/>
    <tableColumn id="1316" name="Column1312" dataDxfId="15068"/>
    <tableColumn id="1317" name="Column1313" dataDxfId="15067"/>
    <tableColumn id="1318" name="Column1314" dataDxfId="15066"/>
    <tableColumn id="1319" name="Column1315" dataDxfId="15065"/>
    <tableColumn id="1320" name="Column1316" dataDxfId="15064"/>
    <tableColumn id="1321" name="Column1317" dataDxfId="15063"/>
    <tableColumn id="1322" name="Column1318" dataDxfId="15062"/>
    <tableColumn id="1323" name="Column1319" dataDxfId="15061"/>
    <tableColumn id="1324" name="Column1320" dataDxfId="15060"/>
    <tableColumn id="1325" name="Column1321" dataDxfId="15059"/>
    <tableColumn id="1326" name="Column1322" dataDxfId="15058"/>
    <tableColumn id="1327" name="Column1323" dataDxfId="15057"/>
    <tableColumn id="1328" name="Column1324" dataDxfId="15056"/>
    <tableColumn id="1329" name="Column1325" dataDxfId="15055"/>
    <tableColumn id="1330" name="Column1326" dataDxfId="15054"/>
    <tableColumn id="1331" name="Column1327" dataDxfId="15053"/>
    <tableColumn id="1332" name="Column1328" dataDxfId="15052"/>
    <tableColumn id="1333" name="Column1329" dataDxfId="15051"/>
    <tableColumn id="1334" name="Column1330" dataDxfId="15050"/>
    <tableColumn id="1335" name="Column1331" dataDxfId="15049"/>
    <tableColumn id="1336" name="Column1332" dataDxfId="15048"/>
    <tableColumn id="1337" name="Column1333" dataDxfId="15047"/>
    <tableColumn id="1338" name="Column1334" dataDxfId="15046"/>
    <tableColumn id="1339" name="Column1335" dataDxfId="15045"/>
    <tableColumn id="1340" name="Column1336" dataDxfId="15044"/>
    <tableColumn id="1341" name="Column1337" dataDxfId="15043"/>
    <tableColumn id="1342" name="Column1338" dataDxfId="15042"/>
    <tableColumn id="1343" name="Column1339" dataDxfId="15041"/>
    <tableColumn id="1344" name="Column1340" dataDxfId="15040"/>
    <tableColumn id="1345" name="Column1341" dataDxfId="15039"/>
    <tableColumn id="1346" name="Column1342" dataDxfId="15038"/>
    <tableColumn id="1347" name="Column1343" dataDxfId="15037"/>
    <tableColumn id="1348" name="Column1344" dataDxfId="15036"/>
    <tableColumn id="1349" name="Column1345" dataDxfId="15035"/>
    <tableColumn id="1350" name="Column1346" dataDxfId="15034"/>
    <tableColumn id="1351" name="Column1347" dataDxfId="15033"/>
    <tableColumn id="1352" name="Column1348" dataDxfId="15032"/>
    <tableColumn id="1353" name="Column1349" dataDxfId="15031"/>
    <tableColumn id="1354" name="Column1350" dataDxfId="15030"/>
    <tableColumn id="1355" name="Column1351" dataDxfId="15029"/>
    <tableColumn id="1356" name="Column1352" dataDxfId="15028"/>
    <tableColumn id="1357" name="Column1353" dataDxfId="15027"/>
    <tableColumn id="1358" name="Column1354" dataDxfId="15026"/>
    <tableColumn id="1359" name="Column1355" dataDxfId="15025"/>
    <tableColumn id="1360" name="Column1356" dataDxfId="15024"/>
    <tableColumn id="1361" name="Column1357" dataDxfId="15023"/>
    <tableColumn id="1362" name="Column1358" dataDxfId="15022"/>
    <tableColumn id="1363" name="Column1359" dataDxfId="15021"/>
    <tableColumn id="1364" name="Column1360" dataDxfId="15020"/>
    <tableColumn id="1365" name="Column1361" dataDxfId="15019"/>
    <tableColumn id="1366" name="Column1362" dataDxfId="15018"/>
    <tableColumn id="1367" name="Column1363" dataDxfId="15017"/>
    <tableColumn id="1368" name="Column1364" dataDxfId="15016"/>
    <tableColumn id="1369" name="Column1365" dataDxfId="15015"/>
    <tableColumn id="1370" name="Column1366" dataDxfId="15014"/>
    <tableColumn id="1371" name="Column1367" dataDxfId="15013"/>
    <tableColumn id="1372" name="Column1368" dataDxfId="15012"/>
    <tableColumn id="1373" name="Column1369" dataDxfId="15011"/>
    <tableColumn id="1374" name="Column1370" dataDxfId="15010"/>
    <tableColumn id="1375" name="Column1371" dataDxfId="15009"/>
    <tableColumn id="1376" name="Column1372" dataDxfId="15008"/>
    <tableColumn id="1377" name="Column1373" dataDxfId="15007"/>
    <tableColumn id="1378" name="Column1374" dataDxfId="15006"/>
    <tableColumn id="1379" name="Column1375" dataDxfId="15005"/>
    <tableColumn id="1380" name="Column1376" dataDxfId="15004"/>
    <tableColumn id="1381" name="Column1377" dataDxfId="15003"/>
    <tableColumn id="1382" name="Column1378" dataDxfId="15002"/>
    <tableColumn id="1383" name="Column1379" dataDxfId="15001"/>
    <tableColumn id="1384" name="Column1380" dataDxfId="15000"/>
    <tableColumn id="1385" name="Column1381" dataDxfId="14999"/>
    <tableColumn id="1386" name="Column1382" dataDxfId="14998"/>
    <tableColumn id="1387" name="Column1383" dataDxfId="14997"/>
    <tableColumn id="1388" name="Column1384" dataDxfId="14996"/>
    <tableColumn id="1389" name="Column1385" dataDxfId="14995"/>
    <tableColumn id="1390" name="Column1386" dataDxfId="14994"/>
    <tableColumn id="1391" name="Column1387" dataDxfId="14993"/>
    <tableColumn id="1392" name="Column1388" dataDxfId="14992"/>
    <tableColumn id="1393" name="Column1389" dataDxfId="14991"/>
    <tableColumn id="1394" name="Column1390" dataDxfId="14990"/>
    <tableColumn id="1395" name="Column1391" dataDxfId="14989"/>
    <tableColumn id="1396" name="Column1392" dataDxfId="14988"/>
    <tableColumn id="1397" name="Column1393" dataDxfId="14987"/>
    <tableColumn id="1398" name="Column1394" dataDxfId="14986"/>
    <tableColumn id="1399" name="Column1395" dataDxfId="14985"/>
    <tableColumn id="1400" name="Column1396" dataDxfId="14984"/>
    <tableColumn id="1401" name="Column1397" dataDxfId="14983"/>
    <tableColumn id="1402" name="Column1398" dataDxfId="14982"/>
    <tableColumn id="1403" name="Column1399" dataDxfId="14981"/>
    <tableColumn id="1404" name="Column1400" dataDxfId="14980"/>
    <tableColumn id="1405" name="Column1401" dataDxfId="14979"/>
    <tableColumn id="1406" name="Column1402" dataDxfId="14978"/>
    <tableColumn id="1407" name="Column1403" dataDxfId="14977"/>
    <tableColumn id="1408" name="Column1404" dataDxfId="14976"/>
    <tableColumn id="1409" name="Column1405" dataDxfId="14975"/>
    <tableColumn id="1410" name="Column1406" dataDxfId="14974"/>
    <tableColumn id="1411" name="Column1407" dataDxfId="14973"/>
    <tableColumn id="1412" name="Column1408" dataDxfId="14972"/>
    <tableColumn id="1413" name="Column1409" dataDxfId="14971"/>
    <tableColumn id="1414" name="Column1410" dataDxfId="14970"/>
    <tableColumn id="1415" name="Column1411" dataDxfId="14969"/>
    <tableColumn id="1416" name="Column1412" dataDxfId="14968"/>
    <tableColumn id="1417" name="Column1413" dataDxfId="14967"/>
    <tableColumn id="1418" name="Column1414" dataDxfId="14966"/>
    <tableColumn id="1419" name="Column1415" dataDxfId="14965"/>
    <tableColumn id="1420" name="Column1416" dataDxfId="14964"/>
    <tableColumn id="1421" name="Column1417" dataDxfId="14963"/>
    <tableColumn id="1422" name="Column1418" dataDxfId="14962"/>
    <tableColumn id="1423" name="Column1419" dataDxfId="14961"/>
    <tableColumn id="1424" name="Column1420" dataDxfId="14960"/>
    <tableColumn id="1425" name="Column1421" dataDxfId="14959"/>
    <tableColumn id="1426" name="Column1422" dataDxfId="14958"/>
    <tableColumn id="1427" name="Column1423" dataDxfId="14957"/>
    <tableColumn id="1428" name="Column1424" dataDxfId="14956"/>
    <tableColumn id="1429" name="Column1425" dataDxfId="14955"/>
    <tableColumn id="1430" name="Column1426" dataDxfId="14954"/>
    <tableColumn id="1431" name="Column1427" dataDxfId="14953"/>
    <tableColumn id="1432" name="Column1428" dataDxfId="14952"/>
    <tableColumn id="1433" name="Column1429" dataDxfId="14951"/>
    <tableColumn id="1434" name="Column1430" dataDxfId="14950"/>
    <tableColumn id="1435" name="Column1431" dataDxfId="14949"/>
    <tableColumn id="1436" name="Column1432" dataDxfId="14948"/>
    <tableColumn id="1437" name="Column1433" dataDxfId="14947"/>
    <tableColumn id="1438" name="Column1434" dataDxfId="14946"/>
    <tableColumn id="1439" name="Column1435" dataDxfId="14945"/>
    <tableColumn id="1440" name="Column1436" dataDxfId="14944"/>
    <tableColumn id="1441" name="Column1437" dataDxfId="14943"/>
    <tableColumn id="1442" name="Column1438" dataDxfId="14942"/>
    <tableColumn id="1443" name="Column1439" dataDxfId="14941"/>
    <tableColumn id="1444" name="Column1440" dataDxfId="14940"/>
    <tableColumn id="1445" name="Column1441" dataDxfId="14939"/>
    <tableColumn id="1446" name="Column1442" dataDxfId="14938"/>
    <tableColumn id="1447" name="Column1443" dataDxfId="14937"/>
    <tableColumn id="1448" name="Column1444" dataDxfId="14936"/>
    <tableColumn id="1449" name="Column1445" dataDxfId="14935"/>
    <tableColumn id="1450" name="Column1446" dataDxfId="14934"/>
    <tableColumn id="1451" name="Column1447" dataDxfId="14933"/>
    <tableColumn id="1452" name="Column1448" dataDxfId="14932"/>
    <tableColumn id="1453" name="Column1449" dataDxfId="14931"/>
    <tableColumn id="1454" name="Column1450" dataDxfId="14930"/>
    <tableColumn id="1455" name="Column1451" dataDxfId="14929"/>
    <tableColumn id="1456" name="Column1452" dataDxfId="14928"/>
    <tableColumn id="1457" name="Column1453" dataDxfId="14927"/>
    <tableColumn id="1458" name="Column1454" dataDxfId="14926"/>
    <tableColumn id="1459" name="Column1455" dataDxfId="14925"/>
    <tableColumn id="1460" name="Column1456" dataDxfId="14924"/>
    <tableColumn id="1461" name="Column1457" dataDxfId="14923"/>
    <tableColumn id="1462" name="Column1458" dataDxfId="14922"/>
    <tableColumn id="1463" name="Column1459" dataDxfId="14921"/>
    <tableColumn id="1464" name="Column1460" dataDxfId="14920"/>
    <tableColumn id="1465" name="Column1461" dataDxfId="14919"/>
    <tableColumn id="1466" name="Column1462" dataDxfId="14918"/>
    <tableColumn id="1467" name="Column1463" dataDxfId="14917"/>
    <tableColumn id="1468" name="Column1464" dataDxfId="14916"/>
    <tableColumn id="1469" name="Column1465" dataDxfId="14915"/>
    <tableColumn id="1470" name="Column1466" dataDxfId="14914"/>
    <tableColumn id="1471" name="Column1467" dataDxfId="14913"/>
    <tableColumn id="1472" name="Column1468" dataDxfId="14912"/>
    <tableColumn id="1473" name="Column1469" dataDxfId="14911"/>
    <tableColumn id="1474" name="Column1470" dataDxfId="14910"/>
    <tableColumn id="1475" name="Column1471" dataDxfId="14909"/>
    <tableColumn id="1476" name="Column1472" dataDxfId="14908"/>
    <tableColumn id="1477" name="Column1473" dataDxfId="14907"/>
    <tableColumn id="1478" name="Column1474" dataDxfId="14906"/>
    <tableColumn id="1479" name="Column1475" dataDxfId="14905"/>
    <tableColumn id="1480" name="Column1476" dataDxfId="14904"/>
    <tableColumn id="1481" name="Column1477" dataDxfId="14903"/>
    <tableColumn id="1482" name="Column1478" dataDxfId="14902"/>
    <tableColumn id="1483" name="Column1479" dataDxfId="14901"/>
    <tableColumn id="1484" name="Column1480" dataDxfId="14900"/>
    <tableColumn id="1485" name="Column1481" dataDxfId="14899"/>
    <tableColumn id="1486" name="Column1482" dataDxfId="14898"/>
    <tableColumn id="1487" name="Column1483" dataDxfId="14897"/>
    <tableColumn id="1488" name="Column1484" dataDxfId="14896"/>
    <tableColumn id="1489" name="Column1485" dataDxfId="14895"/>
    <tableColumn id="1490" name="Column1486" dataDxfId="14894"/>
    <tableColumn id="1491" name="Column1487" dataDxfId="14893"/>
    <tableColumn id="1492" name="Column1488" dataDxfId="14892"/>
    <tableColumn id="1493" name="Column1489" dataDxfId="14891"/>
    <tableColumn id="1494" name="Column1490" dataDxfId="14890"/>
    <tableColumn id="1495" name="Column1491" dataDxfId="14889"/>
    <tableColumn id="1496" name="Column1492" dataDxfId="14888"/>
    <tableColumn id="1497" name="Column1493" dataDxfId="14887"/>
    <tableColumn id="1498" name="Column1494" dataDxfId="14886"/>
    <tableColumn id="1499" name="Column1495" dataDxfId="14885"/>
    <tableColumn id="1500" name="Column1496" dataDxfId="14884"/>
    <tableColumn id="1501" name="Column1497" dataDxfId="14883"/>
    <tableColumn id="1502" name="Column1498" dataDxfId="14882"/>
    <tableColumn id="1503" name="Column1499" dataDxfId="14881"/>
    <tableColumn id="1504" name="Column1500" dataDxfId="14880"/>
    <tableColumn id="1505" name="Column1501" dataDxfId="14879"/>
    <tableColumn id="1506" name="Column1502" dataDxfId="14878"/>
    <tableColumn id="1507" name="Column1503" dataDxfId="14877"/>
    <tableColumn id="1508" name="Column1504" dataDxfId="14876"/>
    <tableColumn id="1509" name="Column1505" dataDxfId="14875"/>
    <tableColumn id="1510" name="Column1506" dataDxfId="14874"/>
    <tableColumn id="1511" name="Column1507" dataDxfId="14873"/>
    <tableColumn id="1512" name="Column1508" dataDxfId="14872"/>
    <tableColumn id="1513" name="Column1509" dataDxfId="14871"/>
    <tableColumn id="1514" name="Column1510" dataDxfId="14870"/>
    <tableColumn id="1515" name="Column1511" dataDxfId="14869"/>
    <tableColumn id="1516" name="Column1512" dataDxfId="14868"/>
    <tableColumn id="1517" name="Column1513" dataDxfId="14867"/>
    <tableColumn id="1518" name="Column1514" dataDxfId="14866"/>
    <tableColumn id="1519" name="Column1515" dataDxfId="14865"/>
    <tableColumn id="1520" name="Column1516" dataDxfId="14864"/>
    <tableColumn id="1521" name="Column1517" dataDxfId="14863"/>
    <tableColumn id="1522" name="Column1518" dataDxfId="14862"/>
    <tableColumn id="1523" name="Column1519" dataDxfId="14861"/>
    <tableColumn id="1524" name="Column1520" dataDxfId="14860"/>
    <tableColumn id="1525" name="Column1521" dataDxfId="14859"/>
    <tableColumn id="1526" name="Column1522" dataDxfId="14858"/>
    <tableColumn id="1527" name="Column1523" dataDxfId="14857"/>
    <tableColumn id="1528" name="Column1524" dataDxfId="14856"/>
    <tableColumn id="1529" name="Column1525" dataDxfId="14855"/>
    <tableColumn id="1530" name="Column1526" dataDxfId="14854"/>
    <tableColumn id="1531" name="Column1527" dataDxfId="14853"/>
    <tableColumn id="1532" name="Column1528" dataDxfId="14852"/>
    <tableColumn id="1533" name="Column1529" dataDxfId="14851"/>
    <tableColumn id="1534" name="Column1530" dataDxfId="14850"/>
    <tableColumn id="1535" name="Column1531" dataDxfId="14849"/>
    <tableColumn id="1536" name="Column1532" dataDxfId="14848"/>
    <tableColumn id="1537" name="Column1533" dataDxfId="14847"/>
    <tableColumn id="1538" name="Column1534" dataDxfId="14846"/>
    <tableColumn id="1539" name="Column1535" dataDxfId="14845"/>
    <tableColumn id="1540" name="Column1536" dataDxfId="14844"/>
    <tableColumn id="1541" name="Column1537" dataDxfId="14843"/>
    <tableColumn id="1542" name="Column1538" dataDxfId="14842"/>
    <tableColumn id="1543" name="Column1539" dataDxfId="14841"/>
    <tableColumn id="1544" name="Column1540" dataDxfId="14840"/>
    <tableColumn id="1545" name="Column1541" dataDxfId="14839"/>
    <tableColumn id="1546" name="Column1542" dataDxfId="14838"/>
    <tableColumn id="1547" name="Column1543" dataDxfId="14837"/>
    <tableColumn id="1548" name="Column1544" dataDxfId="14836"/>
    <tableColumn id="1549" name="Column1545" dataDxfId="14835"/>
    <tableColumn id="1550" name="Column1546" dataDxfId="14834"/>
    <tableColumn id="1551" name="Column1547" dataDxfId="14833"/>
    <tableColumn id="1552" name="Column1548" dataDxfId="14832"/>
    <tableColumn id="1553" name="Column1549" dataDxfId="14831"/>
    <tableColumn id="1554" name="Column1550" dataDxfId="14830"/>
    <tableColumn id="1555" name="Column1551" dataDxfId="14829"/>
    <tableColumn id="1556" name="Column1552" dataDxfId="14828"/>
    <tableColumn id="1557" name="Column1553" dataDxfId="14827"/>
    <tableColumn id="1558" name="Column1554" dataDxfId="14826"/>
    <tableColumn id="1559" name="Column1555" dataDxfId="14825"/>
    <tableColumn id="1560" name="Column1556" dataDxfId="14824"/>
    <tableColumn id="1561" name="Column1557" dataDxfId="14823"/>
    <tableColumn id="1562" name="Column1558" dataDxfId="14822"/>
    <tableColumn id="1563" name="Column1559" dataDxfId="14821"/>
    <tableColumn id="1564" name="Column1560" dataDxfId="14820"/>
    <tableColumn id="1565" name="Column1561" dataDxfId="14819"/>
    <tableColumn id="1566" name="Column1562" dataDxfId="14818"/>
    <tableColumn id="1567" name="Column1563" dataDxfId="14817"/>
    <tableColumn id="1568" name="Column1564" dataDxfId="14816"/>
    <tableColumn id="1569" name="Column1565" dataDxfId="14815"/>
    <tableColumn id="1570" name="Column1566" dataDxfId="14814"/>
    <tableColumn id="1571" name="Column1567" dataDxfId="14813"/>
    <tableColumn id="1572" name="Column1568" dataDxfId="14812"/>
    <tableColumn id="1573" name="Column1569" dataDxfId="14811"/>
    <tableColumn id="1574" name="Column1570" dataDxfId="14810"/>
    <tableColumn id="1575" name="Column1571" dataDxfId="14809"/>
    <tableColumn id="1576" name="Column1572" dataDxfId="14808"/>
    <tableColumn id="1577" name="Column1573" dataDxfId="14807"/>
    <tableColumn id="1578" name="Column1574" dataDxfId="14806"/>
    <tableColumn id="1579" name="Column1575" dataDxfId="14805"/>
    <tableColumn id="1580" name="Column1576" dataDxfId="14804"/>
    <tableColumn id="1581" name="Column1577" dataDxfId="14803"/>
    <tableColumn id="1582" name="Column1578" dataDxfId="14802"/>
    <tableColumn id="1583" name="Column1579" dataDxfId="14801"/>
    <tableColumn id="1584" name="Column1580" dataDxfId="14800"/>
    <tableColumn id="1585" name="Column1581" dataDxfId="14799"/>
    <tableColumn id="1586" name="Column1582" dataDxfId="14798"/>
    <tableColumn id="1587" name="Column1583" dataDxfId="14797"/>
    <tableColumn id="1588" name="Column1584" dataDxfId="14796"/>
    <tableColumn id="1589" name="Column1585" dataDxfId="14795"/>
    <tableColumn id="1590" name="Column1586" dataDxfId="14794"/>
    <tableColumn id="1591" name="Column1587" dataDxfId="14793"/>
    <tableColumn id="1592" name="Column1588" dataDxfId="14792"/>
    <tableColumn id="1593" name="Column1589" dataDxfId="14791"/>
    <tableColumn id="1594" name="Column1590" dataDxfId="14790"/>
    <tableColumn id="1595" name="Column1591" dataDxfId="14789"/>
    <tableColumn id="1596" name="Column1592" dataDxfId="14788"/>
    <tableColumn id="1597" name="Column1593" dataDxfId="14787"/>
    <tableColumn id="1598" name="Column1594" dataDxfId="14786"/>
    <tableColumn id="1599" name="Column1595" dataDxfId="14785"/>
    <tableColumn id="1600" name="Column1596" dataDxfId="14784"/>
    <tableColumn id="1601" name="Column1597" dataDxfId="14783"/>
    <tableColumn id="1602" name="Column1598" dataDxfId="14782"/>
    <tableColumn id="1603" name="Column1599" dataDxfId="14781"/>
    <tableColumn id="1604" name="Column1600" dataDxfId="14780"/>
    <tableColumn id="1605" name="Column1601" dataDxfId="14779"/>
    <tableColumn id="1606" name="Column1602" dataDxfId="14778"/>
    <tableColumn id="1607" name="Column1603" dataDxfId="14777"/>
    <tableColumn id="1608" name="Column1604" dataDxfId="14776"/>
    <tableColumn id="1609" name="Column1605" dataDxfId="14775"/>
    <tableColumn id="1610" name="Column1606" dataDxfId="14774"/>
    <tableColumn id="1611" name="Column1607" dataDxfId="14773"/>
    <tableColumn id="1612" name="Column1608" dataDxfId="14772"/>
    <tableColumn id="1613" name="Column1609" dataDxfId="14771"/>
    <tableColumn id="1614" name="Column1610" dataDxfId="14770"/>
    <tableColumn id="1615" name="Column1611" dataDxfId="14769"/>
    <tableColumn id="1616" name="Column1612" dataDxfId="14768"/>
    <tableColumn id="1617" name="Column1613" dataDxfId="14767"/>
    <tableColumn id="1618" name="Column1614" dataDxfId="14766"/>
    <tableColumn id="1619" name="Column1615" dataDxfId="14765"/>
    <tableColumn id="1620" name="Column1616" dataDxfId="14764"/>
    <tableColumn id="1621" name="Column1617" dataDxfId="14763"/>
    <tableColumn id="1622" name="Column1618" dataDxfId="14762"/>
    <tableColumn id="1623" name="Column1619" dataDxfId="14761"/>
    <tableColumn id="1624" name="Column1620" dataDxfId="14760"/>
    <tableColumn id="1625" name="Column1621" dataDxfId="14759"/>
    <tableColumn id="1626" name="Column1622" dataDxfId="14758"/>
    <tableColumn id="1627" name="Column1623" dataDxfId="14757"/>
    <tableColumn id="1628" name="Column1624" dataDxfId="14756"/>
    <tableColumn id="1629" name="Column1625" dataDxfId="14755"/>
    <tableColumn id="1630" name="Column1626" dataDxfId="14754"/>
    <tableColumn id="1631" name="Column1627" dataDxfId="14753"/>
    <tableColumn id="1632" name="Column1628" dataDxfId="14752"/>
    <tableColumn id="1633" name="Column1629" dataDxfId="14751"/>
    <tableColumn id="1634" name="Column1630" dataDxfId="14750"/>
    <tableColumn id="1635" name="Column1631" dataDxfId="14749"/>
    <tableColumn id="1636" name="Column1632" dataDxfId="14748"/>
    <tableColumn id="1637" name="Column1633" dataDxfId="14747"/>
    <tableColumn id="1638" name="Column1634" dataDxfId="14746"/>
    <tableColumn id="1639" name="Column1635" dataDxfId="14745"/>
    <tableColumn id="1640" name="Column1636" dataDxfId="14744"/>
    <tableColumn id="1641" name="Column1637" dataDxfId="14743"/>
    <tableColumn id="1642" name="Column1638" dataDxfId="14742"/>
    <tableColumn id="1643" name="Column1639" dataDxfId="14741"/>
    <tableColumn id="1644" name="Column1640" dataDxfId="14740"/>
    <tableColumn id="1645" name="Column1641" dataDxfId="14739"/>
    <tableColumn id="1646" name="Column1642" dataDxfId="14738"/>
    <tableColumn id="1647" name="Column1643" dataDxfId="14737"/>
    <tableColumn id="1648" name="Column1644" dataDxfId="14736"/>
    <tableColumn id="1649" name="Column1645" dataDxfId="14735"/>
    <tableColumn id="1650" name="Column1646" dataDxfId="14734"/>
    <tableColumn id="1651" name="Column1647" dataDxfId="14733"/>
    <tableColumn id="1652" name="Column1648" dataDxfId="14732"/>
    <tableColumn id="1653" name="Column1649" dataDxfId="14731"/>
    <tableColumn id="1654" name="Column1650" dataDxfId="14730"/>
    <tableColumn id="1655" name="Column1651" dataDxfId="14729"/>
    <tableColumn id="1656" name="Column1652" dataDxfId="14728"/>
    <tableColumn id="1657" name="Column1653" dataDxfId="14727"/>
    <tableColumn id="1658" name="Column1654" dataDxfId="14726"/>
    <tableColumn id="1659" name="Column1655" dataDxfId="14725"/>
    <tableColumn id="1660" name="Column1656" dataDxfId="14724"/>
    <tableColumn id="1661" name="Column1657" dataDxfId="14723"/>
    <tableColumn id="1662" name="Column1658" dataDxfId="14722"/>
    <tableColumn id="1663" name="Column1659" dataDxfId="14721"/>
    <tableColumn id="1664" name="Column1660" dataDxfId="14720"/>
    <tableColumn id="1665" name="Column1661" dataDxfId="14719"/>
    <tableColumn id="1666" name="Column1662" dataDxfId="14718"/>
    <tableColumn id="1667" name="Column1663" dataDxfId="14717"/>
    <tableColumn id="1668" name="Column1664" dataDxfId="14716"/>
    <tableColumn id="1669" name="Column1665" dataDxfId="14715"/>
    <tableColumn id="1670" name="Column1666" dataDxfId="14714"/>
    <tableColumn id="1671" name="Column1667" dataDxfId="14713"/>
    <tableColumn id="1672" name="Column1668" dataDxfId="14712"/>
    <tableColumn id="1673" name="Column1669" dataDxfId="14711"/>
    <tableColumn id="1674" name="Column1670" dataDxfId="14710"/>
    <tableColumn id="1675" name="Column1671" dataDxfId="14709"/>
    <tableColumn id="1676" name="Column1672" dataDxfId="14708"/>
    <tableColumn id="1677" name="Column1673" dataDxfId="14707"/>
    <tableColumn id="1678" name="Column1674" dataDxfId="14706"/>
    <tableColumn id="1679" name="Column1675" dataDxfId="14705"/>
    <tableColumn id="1680" name="Column1676" dataDxfId="14704"/>
    <tableColumn id="1681" name="Column1677" dataDxfId="14703"/>
    <tableColumn id="1682" name="Column1678" dataDxfId="14702"/>
    <tableColumn id="1683" name="Column1679" dataDxfId="14701"/>
    <tableColumn id="1684" name="Column1680" dataDxfId="14700"/>
    <tableColumn id="1685" name="Column1681" dataDxfId="14699"/>
    <tableColumn id="1686" name="Column1682" dataDxfId="14698"/>
    <tableColumn id="1687" name="Column1683" dataDxfId="14697"/>
    <tableColumn id="1688" name="Column1684" dataDxfId="14696"/>
    <tableColumn id="1689" name="Column1685" dataDxfId="14695"/>
    <tableColumn id="1690" name="Column1686" dataDxfId="14694"/>
    <tableColumn id="1691" name="Column1687" dataDxfId="14693"/>
    <tableColumn id="1692" name="Column1688" dataDxfId="14692"/>
    <tableColumn id="1693" name="Column1689" dataDxfId="14691"/>
    <tableColumn id="1694" name="Column1690" dataDxfId="14690"/>
    <tableColumn id="1695" name="Column1691" dataDxfId="14689"/>
    <tableColumn id="1696" name="Column1692" dataDxfId="14688"/>
    <tableColumn id="1697" name="Column1693" dataDxfId="14687"/>
    <tableColumn id="1698" name="Column1694" dataDxfId="14686"/>
    <tableColumn id="1699" name="Column1695" dataDxfId="14685"/>
    <tableColumn id="1700" name="Column1696" dataDxfId="14684"/>
    <tableColumn id="1701" name="Column1697" dataDxfId="14683"/>
    <tableColumn id="1702" name="Column1698" dataDxfId="14682"/>
    <tableColumn id="1703" name="Column1699" dataDxfId="14681"/>
    <tableColumn id="1704" name="Column1700" dataDxfId="14680"/>
    <tableColumn id="1705" name="Column1701" dataDxfId="14679"/>
    <tableColumn id="1706" name="Column1702" dataDxfId="14678"/>
    <tableColumn id="1707" name="Column1703" dataDxfId="14677"/>
    <tableColumn id="1708" name="Column1704" dataDxfId="14676"/>
    <tableColumn id="1709" name="Column1705" dataDxfId="14675"/>
    <tableColumn id="1710" name="Column1706" dataDxfId="14674"/>
    <tableColumn id="1711" name="Column1707" dataDxfId="14673"/>
    <tableColumn id="1712" name="Column1708" dataDxfId="14672"/>
    <tableColumn id="1713" name="Column1709" dataDxfId="14671"/>
    <tableColumn id="1714" name="Column1710" dataDxfId="14670"/>
    <tableColumn id="1715" name="Column1711" dataDxfId="14669"/>
    <tableColumn id="1716" name="Column1712" dataDxfId="14668"/>
    <tableColumn id="1717" name="Column1713" dataDxfId="14667"/>
    <tableColumn id="1718" name="Column1714" dataDxfId="14666"/>
    <tableColumn id="1719" name="Column1715" dataDxfId="14665"/>
    <tableColumn id="1720" name="Column1716" dataDxfId="14664"/>
    <tableColumn id="1721" name="Column1717" dataDxfId="14663"/>
    <tableColumn id="1722" name="Column1718" dataDxfId="14662"/>
    <tableColumn id="1723" name="Column1719" dataDxfId="14661"/>
    <tableColumn id="1724" name="Column1720" dataDxfId="14660"/>
    <tableColumn id="1725" name="Column1721" dataDxfId="14659"/>
    <tableColumn id="1726" name="Column1722" dataDxfId="14658"/>
    <tableColumn id="1727" name="Column1723" dataDxfId="14657"/>
    <tableColumn id="1728" name="Column1724" dataDxfId="14656"/>
    <tableColumn id="1729" name="Column1725" dataDxfId="14655"/>
    <tableColumn id="1730" name="Column1726" dataDxfId="14654"/>
    <tableColumn id="1731" name="Column1727" dataDxfId="14653"/>
    <tableColumn id="1732" name="Column1728" dataDxfId="14652"/>
    <tableColumn id="1733" name="Column1729" dataDxfId="14651"/>
    <tableColumn id="1734" name="Column1730" dataDxfId="14650"/>
    <tableColumn id="1735" name="Column1731" dataDxfId="14649"/>
    <tableColumn id="1736" name="Column1732" dataDxfId="14648"/>
    <tableColumn id="1737" name="Column1733" dataDxfId="14647"/>
    <tableColumn id="1738" name="Column1734" dataDxfId="14646"/>
    <tableColumn id="1739" name="Column1735" dataDxfId="14645"/>
    <tableColumn id="1740" name="Column1736" dataDxfId="14644"/>
    <tableColumn id="1741" name="Column1737" dataDxfId="14643"/>
    <tableColumn id="1742" name="Column1738" dataDxfId="14642"/>
    <tableColumn id="1743" name="Column1739" dataDxfId="14641"/>
    <tableColumn id="1744" name="Column1740" dataDxfId="14640"/>
    <tableColumn id="1745" name="Column1741" dataDxfId="14639"/>
    <tableColumn id="1746" name="Column1742" dataDxfId="14638"/>
    <tableColumn id="1747" name="Column1743" dataDxfId="14637"/>
    <tableColumn id="1748" name="Column1744" dataDxfId="14636"/>
    <tableColumn id="1749" name="Column1745" dataDxfId="14635"/>
    <tableColumn id="1750" name="Column1746" dataDxfId="14634"/>
    <tableColumn id="1751" name="Column1747" dataDxfId="14633"/>
    <tableColumn id="1752" name="Column1748" dataDxfId="14632"/>
    <tableColumn id="1753" name="Column1749" dataDxfId="14631"/>
    <tableColumn id="1754" name="Column1750" dataDxfId="14630"/>
    <tableColumn id="1755" name="Column1751" dataDxfId="14629"/>
    <tableColumn id="1756" name="Column1752" dataDxfId="14628"/>
    <tableColumn id="1757" name="Column1753" dataDxfId="14627"/>
    <tableColumn id="1758" name="Column1754" dataDxfId="14626"/>
    <tableColumn id="1759" name="Column1755" dataDxfId="14625"/>
    <tableColumn id="1760" name="Column1756" dataDxfId="14624"/>
    <tableColumn id="1761" name="Column1757" dataDxfId="14623"/>
    <tableColumn id="1762" name="Column1758" dataDxfId="14622"/>
    <tableColumn id="1763" name="Column1759" dataDxfId="14621"/>
    <tableColumn id="1764" name="Column1760" dataDxfId="14620"/>
    <tableColumn id="1765" name="Column1761" dataDxfId="14619"/>
    <tableColumn id="1766" name="Column1762" dataDxfId="14618"/>
    <tableColumn id="1767" name="Column1763" dataDxfId="14617"/>
    <tableColumn id="1768" name="Column1764" dataDxfId="14616"/>
    <tableColumn id="1769" name="Column1765" dataDxfId="14615"/>
    <tableColumn id="1770" name="Column1766" dataDxfId="14614"/>
    <tableColumn id="1771" name="Column1767" dataDxfId="14613"/>
    <tableColumn id="1772" name="Column1768" dataDxfId="14612"/>
    <tableColumn id="1773" name="Column1769" dataDxfId="14611"/>
    <tableColumn id="1774" name="Column1770" dataDxfId="14610"/>
    <tableColumn id="1775" name="Column1771" dataDxfId="14609"/>
    <tableColumn id="1776" name="Column1772" dataDxfId="14608"/>
    <tableColumn id="1777" name="Column1773" dataDxfId="14607"/>
    <tableColumn id="1778" name="Column1774" dataDxfId="14606"/>
    <tableColumn id="1779" name="Column1775" dataDxfId="14605"/>
    <tableColumn id="1780" name="Column1776" dataDxfId="14604"/>
    <tableColumn id="1781" name="Column1777" dataDxfId="14603"/>
    <tableColumn id="1782" name="Column1778" dataDxfId="14602"/>
    <tableColumn id="1783" name="Column1779" dataDxfId="14601"/>
    <tableColumn id="1784" name="Column1780" dataDxfId="14600"/>
    <tableColumn id="1785" name="Column1781" dataDxfId="14599"/>
    <tableColumn id="1786" name="Column1782" dataDxfId="14598"/>
    <tableColumn id="1787" name="Column1783" dataDxfId="14597"/>
    <tableColumn id="1788" name="Column1784" dataDxfId="14596"/>
    <tableColumn id="1789" name="Column1785" dataDxfId="14595"/>
    <tableColumn id="1790" name="Column1786" dataDxfId="14594"/>
    <tableColumn id="1791" name="Column1787" dataDxfId="14593"/>
    <tableColumn id="1792" name="Column1788" dataDxfId="14592"/>
    <tableColumn id="1793" name="Column1789" dataDxfId="14591"/>
    <tableColumn id="1794" name="Column1790" dataDxfId="14590"/>
    <tableColumn id="1795" name="Column1791" dataDxfId="14589"/>
    <tableColumn id="1796" name="Column1792" dataDxfId="14588"/>
    <tableColumn id="1797" name="Column1793" dataDxfId="14587"/>
    <tableColumn id="1798" name="Column1794" dataDxfId="14586"/>
    <tableColumn id="1799" name="Column1795" dataDxfId="14585"/>
    <tableColumn id="1800" name="Column1796" dataDxfId="14584"/>
    <tableColumn id="1801" name="Column1797" dataDxfId="14583"/>
    <tableColumn id="1802" name="Column1798" dataDxfId="14582"/>
    <tableColumn id="1803" name="Column1799" dataDxfId="14581"/>
    <tableColumn id="1804" name="Column1800" dataDxfId="14580"/>
    <tableColumn id="1805" name="Column1801" dataDxfId="14579"/>
    <tableColumn id="1806" name="Column1802" dataDxfId="14578"/>
    <tableColumn id="1807" name="Column1803" dataDxfId="14577"/>
    <tableColumn id="1808" name="Column1804" dataDxfId="14576"/>
    <tableColumn id="1809" name="Column1805" dataDxfId="14575"/>
    <tableColumn id="1810" name="Column1806" dataDxfId="14574"/>
    <tableColumn id="1811" name="Column1807" dataDxfId="14573"/>
    <tableColumn id="1812" name="Column1808" dataDxfId="14572"/>
    <tableColumn id="1813" name="Column1809" dataDxfId="14571"/>
    <tableColumn id="1814" name="Column1810" dataDxfId="14570"/>
    <tableColumn id="1815" name="Column1811" dataDxfId="14569"/>
    <tableColumn id="1816" name="Column1812" dataDxfId="14568"/>
    <tableColumn id="1817" name="Column1813" dataDxfId="14567"/>
    <tableColumn id="1818" name="Column1814" dataDxfId="14566"/>
    <tableColumn id="1819" name="Column1815" dataDxfId="14565"/>
    <tableColumn id="1820" name="Column1816" dataDxfId="14564"/>
    <tableColumn id="1821" name="Column1817" dataDxfId="14563"/>
    <tableColumn id="1822" name="Column1818" dataDxfId="14562"/>
    <tableColumn id="1823" name="Column1819" dataDxfId="14561"/>
    <tableColumn id="1824" name="Column1820" dataDxfId="14560"/>
    <tableColumn id="1825" name="Column1821" dataDxfId="14559"/>
    <tableColumn id="1826" name="Column1822" dataDxfId="14558"/>
    <tableColumn id="1827" name="Column1823" dataDxfId="14557"/>
    <tableColumn id="1828" name="Column1824" dataDxfId="14556"/>
    <tableColumn id="1829" name="Column1825" dataDxfId="14555"/>
    <tableColumn id="1830" name="Column1826" dataDxfId="14554"/>
    <tableColumn id="1831" name="Column1827" dataDxfId="14553"/>
    <tableColumn id="1832" name="Column1828" dataDxfId="14552"/>
    <tableColumn id="1833" name="Column1829" dataDxfId="14551"/>
    <tableColumn id="1834" name="Column1830" dataDxfId="14550"/>
    <tableColumn id="1835" name="Column1831" dataDxfId="14549"/>
    <tableColumn id="1836" name="Column1832" dataDxfId="14548"/>
    <tableColumn id="1837" name="Column1833" dataDxfId="14547"/>
    <tableColumn id="1838" name="Column1834" dataDxfId="14546"/>
    <tableColumn id="1839" name="Column1835" dataDxfId="14545"/>
    <tableColumn id="1840" name="Column1836" dataDxfId="14544"/>
    <tableColumn id="1841" name="Column1837" dataDxfId="14543"/>
    <tableColumn id="1842" name="Column1838" dataDxfId="14542"/>
    <tableColumn id="1843" name="Column1839" dataDxfId="14541"/>
    <tableColumn id="1844" name="Column1840" dataDxfId="14540"/>
    <tableColumn id="1845" name="Column1841" dataDxfId="14539"/>
    <tableColumn id="1846" name="Column1842" dataDxfId="14538"/>
    <tableColumn id="1847" name="Column1843" dataDxfId="14537"/>
    <tableColumn id="1848" name="Column1844" dataDxfId="14536"/>
    <tableColumn id="1849" name="Column1845" dataDxfId="14535"/>
    <tableColumn id="1850" name="Column1846" dataDxfId="14534"/>
    <tableColumn id="1851" name="Column1847" dataDxfId="14533"/>
    <tableColumn id="1852" name="Column1848" dataDxfId="14532"/>
    <tableColumn id="1853" name="Column1849" dataDxfId="14531"/>
    <tableColumn id="1854" name="Column1850" dataDxfId="14530"/>
    <tableColumn id="1855" name="Column1851" dataDxfId="14529"/>
    <tableColumn id="1856" name="Column1852" dataDxfId="14528"/>
    <tableColumn id="1857" name="Column1853" dataDxfId="14527"/>
    <tableColumn id="1858" name="Column1854" dataDxfId="14526"/>
    <tableColumn id="1859" name="Column1855" dataDxfId="14525"/>
    <tableColumn id="1860" name="Column1856" dataDxfId="14524"/>
    <tableColumn id="1861" name="Column1857" dataDxfId="14523"/>
    <tableColumn id="1862" name="Column1858" dataDxfId="14522"/>
    <tableColumn id="1863" name="Column1859" dataDxfId="14521"/>
    <tableColumn id="1864" name="Column1860" dataDxfId="14520"/>
    <tableColumn id="1865" name="Column1861" dataDxfId="14519"/>
    <tableColumn id="1866" name="Column1862" dataDxfId="14518"/>
    <tableColumn id="1867" name="Column1863" dataDxfId="14517"/>
    <tableColumn id="1868" name="Column1864" dataDxfId="14516"/>
    <tableColumn id="1869" name="Column1865" dataDxfId="14515"/>
    <tableColumn id="1870" name="Column1866" dataDxfId="14514"/>
    <tableColumn id="1871" name="Column1867" dataDxfId="14513"/>
    <tableColumn id="1872" name="Column1868" dataDxfId="14512"/>
    <tableColumn id="1873" name="Column1869" dataDxfId="14511"/>
    <tableColumn id="1874" name="Column1870" dataDxfId="14510"/>
    <tableColumn id="1875" name="Column1871" dataDxfId="14509"/>
    <tableColumn id="1876" name="Column1872" dataDxfId="14508"/>
    <tableColumn id="1877" name="Column1873" dataDxfId="14507"/>
    <tableColumn id="1878" name="Column1874" dataDxfId="14506"/>
    <tableColumn id="1879" name="Column1875" dataDxfId="14505"/>
    <tableColumn id="1880" name="Column1876" dataDxfId="14504"/>
    <tableColumn id="1881" name="Column1877" dataDxfId="14503"/>
    <tableColumn id="1882" name="Column1878" dataDxfId="14502"/>
    <tableColumn id="1883" name="Column1879" dataDxfId="14501"/>
    <tableColumn id="1884" name="Column1880" dataDxfId="14500"/>
    <tableColumn id="1885" name="Column1881" dataDxfId="14499"/>
    <tableColumn id="1886" name="Column1882" dataDxfId="14498"/>
    <tableColumn id="1887" name="Column1883" dataDxfId="14497"/>
    <tableColumn id="1888" name="Column1884" dataDxfId="14496"/>
    <tableColumn id="1889" name="Column1885" dataDxfId="14495"/>
    <tableColumn id="1890" name="Column1886" dataDxfId="14494"/>
    <tableColumn id="1891" name="Column1887" dataDxfId="14493"/>
    <tableColumn id="1892" name="Column1888" dataDxfId="14492"/>
    <tableColumn id="1893" name="Column1889" dataDxfId="14491"/>
    <tableColumn id="1894" name="Column1890" dataDxfId="14490"/>
    <tableColumn id="1895" name="Column1891" dataDxfId="14489"/>
    <tableColumn id="1896" name="Column1892" dataDxfId="14488"/>
    <tableColumn id="1897" name="Column1893" dataDxfId="14487"/>
    <tableColumn id="1898" name="Column1894" dataDxfId="14486"/>
    <tableColumn id="1899" name="Column1895" dataDxfId="14485"/>
    <tableColumn id="1900" name="Column1896" dataDxfId="14484"/>
    <tableColumn id="1901" name="Column1897" dataDxfId="14483"/>
    <tableColumn id="1902" name="Column1898" dataDxfId="14482"/>
    <tableColumn id="1903" name="Column1899" dataDxfId="14481"/>
    <tableColumn id="1904" name="Column1900" dataDxfId="14480"/>
    <tableColumn id="1905" name="Column1901" dataDxfId="14479"/>
    <tableColumn id="1906" name="Column1902" dataDxfId="14478"/>
    <tableColumn id="1907" name="Column1903" dataDxfId="14477"/>
    <tableColumn id="1908" name="Column1904" dataDxfId="14476"/>
    <tableColumn id="1909" name="Column1905" dataDxfId="14475"/>
    <tableColumn id="1910" name="Column1906" dataDxfId="14474"/>
    <tableColumn id="1911" name="Column1907" dataDxfId="14473"/>
    <tableColumn id="1912" name="Column1908" dataDxfId="14472"/>
    <tableColumn id="1913" name="Column1909" dataDxfId="14471"/>
    <tableColumn id="1914" name="Column1910" dataDxfId="14470"/>
    <tableColumn id="1915" name="Column1911" dataDxfId="14469"/>
    <tableColumn id="1916" name="Column1912" dataDxfId="14468"/>
    <tableColumn id="1917" name="Column1913" dataDxfId="14467"/>
    <tableColumn id="1918" name="Column1914" dataDxfId="14466"/>
    <tableColumn id="1919" name="Column1915" dataDxfId="14465"/>
    <tableColumn id="1920" name="Column1916" dataDxfId="14464"/>
    <tableColumn id="1921" name="Column1917" dataDxfId="14463"/>
    <tableColumn id="1922" name="Column1918" dataDxfId="14462"/>
    <tableColumn id="1923" name="Column1919" dataDxfId="14461"/>
    <tableColumn id="1924" name="Column1920" dataDxfId="14460"/>
    <tableColumn id="1925" name="Column1921" dataDxfId="14459"/>
    <tableColumn id="1926" name="Column1922" dataDxfId="14458"/>
    <tableColumn id="1927" name="Column1923" dataDxfId="14457"/>
    <tableColumn id="1928" name="Column1924" dataDxfId="14456"/>
    <tableColumn id="1929" name="Column1925" dataDxfId="14455"/>
    <tableColumn id="1930" name="Column1926" dataDxfId="14454"/>
    <tableColumn id="1931" name="Column1927" dataDxfId="14453"/>
    <tableColumn id="1932" name="Column1928" dataDxfId="14452"/>
    <tableColumn id="1933" name="Column1929" dataDxfId="14451"/>
    <tableColumn id="1934" name="Column1930" dataDxfId="14450"/>
    <tableColumn id="1935" name="Column1931" dataDxfId="14449"/>
    <tableColumn id="1936" name="Column1932" dataDxfId="14448"/>
    <tableColumn id="1937" name="Column1933" dataDxfId="14447"/>
    <tableColumn id="1938" name="Column1934" dataDxfId="14446"/>
    <tableColumn id="1939" name="Column1935" dataDxfId="14445"/>
    <tableColumn id="1940" name="Column1936" dataDxfId="14444"/>
    <tableColumn id="1941" name="Column1937" dataDxfId="14443"/>
    <tableColumn id="1942" name="Column1938" dataDxfId="14442"/>
    <tableColumn id="1943" name="Column1939" dataDxfId="14441"/>
    <tableColumn id="1944" name="Column1940" dataDxfId="14440"/>
    <tableColumn id="1945" name="Column1941" dataDxfId="14439"/>
    <tableColumn id="1946" name="Column1942" dataDxfId="14438"/>
    <tableColumn id="1947" name="Column1943" dataDxfId="14437"/>
    <tableColumn id="1948" name="Column1944" dataDxfId="14436"/>
    <tableColumn id="1949" name="Column1945" dataDxfId="14435"/>
    <tableColumn id="1950" name="Column1946" dataDxfId="14434"/>
    <tableColumn id="1951" name="Column1947" dataDxfId="14433"/>
    <tableColumn id="1952" name="Column1948" dataDxfId="14432"/>
    <tableColumn id="1953" name="Column1949" dataDxfId="14431"/>
    <tableColumn id="1954" name="Column1950" dataDxfId="14430"/>
    <tableColumn id="1955" name="Column1951" dataDxfId="14429"/>
    <tableColumn id="1956" name="Column1952" dataDxfId="14428"/>
    <tableColumn id="1957" name="Column1953" dataDxfId="14427"/>
    <tableColumn id="1958" name="Column1954" dataDxfId="14426"/>
    <tableColumn id="1959" name="Column1955" dataDxfId="14425"/>
    <tableColumn id="1960" name="Column1956" dataDxfId="14424"/>
    <tableColumn id="1961" name="Column1957" dataDxfId="14423"/>
    <tableColumn id="1962" name="Column1958" dataDxfId="14422"/>
    <tableColumn id="1963" name="Column1959" dataDxfId="14421"/>
    <tableColumn id="1964" name="Column1960" dataDxfId="14420"/>
    <tableColumn id="1965" name="Column1961" dataDxfId="14419"/>
    <tableColumn id="1966" name="Column1962" dataDxfId="14418"/>
    <tableColumn id="1967" name="Column1963" dataDxfId="14417"/>
    <tableColumn id="1968" name="Column1964" dataDxfId="14416"/>
    <tableColumn id="1969" name="Column1965" dataDxfId="14415"/>
    <tableColumn id="1970" name="Column1966" dataDxfId="14414"/>
    <tableColumn id="1971" name="Column1967" dataDxfId="14413"/>
    <tableColumn id="1972" name="Column1968" dataDxfId="14412"/>
    <tableColumn id="1973" name="Column1969" dataDxfId="14411"/>
    <tableColumn id="1974" name="Column1970" dataDxfId="14410"/>
    <tableColumn id="1975" name="Column1971" dataDxfId="14409"/>
    <tableColumn id="1976" name="Column1972" dataDxfId="14408"/>
    <tableColumn id="1977" name="Column1973" dataDxfId="14407"/>
    <tableColumn id="1978" name="Column1974" dataDxfId="14406"/>
    <tableColumn id="1979" name="Column1975" dataDxfId="14405"/>
    <tableColumn id="1980" name="Column1976" dataDxfId="14404"/>
    <tableColumn id="1981" name="Column1977" dataDxfId="14403"/>
    <tableColumn id="1982" name="Column1978" dataDxfId="14402"/>
    <tableColumn id="1983" name="Column1979" dataDxfId="14401"/>
    <tableColumn id="1984" name="Column1980" dataDxfId="14400"/>
    <tableColumn id="1985" name="Column1981" dataDxfId="14399"/>
    <tableColumn id="1986" name="Column1982" dataDxfId="14398"/>
    <tableColumn id="1987" name="Column1983" dataDxfId="14397"/>
    <tableColumn id="1988" name="Column1984" dataDxfId="14396"/>
    <tableColumn id="1989" name="Column1985" dataDxfId="14395"/>
    <tableColumn id="1990" name="Column1986" dataDxfId="14394"/>
    <tableColumn id="1991" name="Column1987" dataDxfId="14393"/>
    <tableColumn id="1992" name="Column1988" dataDxfId="14392"/>
    <tableColumn id="1993" name="Column1989" dataDxfId="14391"/>
    <tableColumn id="1994" name="Column1990" dataDxfId="14390"/>
    <tableColumn id="1995" name="Column1991" dataDxfId="14389"/>
    <tableColumn id="1996" name="Column1992" dataDxfId="14388"/>
    <tableColumn id="1997" name="Column1993" dataDxfId="14387"/>
    <tableColumn id="1998" name="Column1994" dataDxfId="14386"/>
    <tableColumn id="1999" name="Column1995" dataDxfId="14385"/>
    <tableColumn id="2000" name="Column1996" dataDxfId="14384"/>
    <tableColumn id="2001" name="Column1997" dataDxfId="14383"/>
    <tableColumn id="2002" name="Column1998" dataDxfId="14382"/>
    <tableColumn id="2003" name="Column1999" dataDxfId="14381"/>
    <tableColumn id="2004" name="Column2000" dataDxfId="14380"/>
    <tableColumn id="2005" name="Column2001" dataDxfId="14379"/>
    <tableColumn id="2006" name="Column2002" dataDxfId="14378"/>
    <tableColumn id="2007" name="Column2003" dataDxfId="14377"/>
    <tableColumn id="2008" name="Column2004" dataDxfId="14376"/>
    <tableColumn id="2009" name="Column2005" dataDxfId="14375"/>
    <tableColumn id="2010" name="Column2006" dataDxfId="14374"/>
    <tableColumn id="2011" name="Column2007" dataDxfId="14373"/>
    <tableColumn id="2012" name="Column2008" dataDxfId="14372"/>
    <tableColumn id="2013" name="Column2009" dataDxfId="14371"/>
    <tableColumn id="2014" name="Column2010" dataDxfId="14370"/>
    <tableColumn id="2015" name="Column2011" dataDxfId="14369"/>
    <tableColumn id="2016" name="Column2012" dataDxfId="14368"/>
    <tableColumn id="2017" name="Column2013" dataDxfId="14367"/>
    <tableColumn id="2018" name="Column2014" dataDxfId="14366"/>
    <tableColumn id="2019" name="Column2015" dataDxfId="14365"/>
    <tableColumn id="2020" name="Column2016" dataDxfId="14364"/>
    <tableColumn id="2021" name="Column2017" dataDxfId="14363"/>
    <tableColumn id="2022" name="Column2018" dataDxfId="14362"/>
    <tableColumn id="2023" name="Column2019" dataDxfId="14361"/>
    <tableColumn id="2024" name="Column2020" dataDxfId="14360"/>
    <tableColumn id="2025" name="Column2021" dataDxfId="14359"/>
    <tableColumn id="2026" name="Column2022" dataDxfId="14358"/>
    <tableColumn id="2027" name="Column2023" dataDxfId="14357"/>
    <tableColumn id="2028" name="Column2024" dataDxfId="14356"/>
    <tableColumn id="2029" name="Column2025" dataDxfId="14355"/>
    <tableColumn id="2030" name="Column2026" dataDxfId="14354"/>
    <tableColumn id="2031" name="Column2027" dataDxfId="14353"/>
    <tableColumn id="2032" name="Column2028" dataDxfId="14352"/>
    <tableColumn id="2033" name="Column2029" dataDxfId="14351"/>
    <tableColumn id="2034" name="Column2030" dataDxfId="14350"/>
    <tableColumn id="2035" name="Column2031" dataDxfId="14349"/>
    <tableColumn id="2036" name="Column2032" dataDxfId="14348"/>
    <tableColumn id="2037" name="Column2033" dataDxfId="14347"/>
    <tableColumn id="2038" name="Column2034" dataDxfId="14346"/>
    <tableColumn id="2039" name="Column2035" dataDxfId="14345"/>
    <tableColumn id="2040" name="Column2036" dataDxfId="14344"/>
    <tableColumn id="2041" name="Column2037" dataDxfId="14343"/>
    <tableColumn id="2042" name="Column2038" dataDxfId="14342"/>
    <tableColumn id="2043" name="Column2039" dataDxfId="14341"/>
    <tableColumn id="2044" name="Column2040" dataDxfId="14340"/>
    <tableColumn id="2045" name="Column2041" dataDxfId="14339"/>
    <tableColumn id="2046" name="Column2042" dataDxfId="14338"/>
    <tableColumn id="2047" name="Column2043" dataDxfId="14337"/>
    <tableColumn id="2048" name="Column2044" dataDxfId="14336"/>
    <tableColumn id="2049" name="Column2045" dataDxfId="14335"/>
    <tableColumn id="2050" name="Column2046" dataDxfId="14334"/>
    <tableColumn id="2051" name="Column2047" dataDxfId="14333"/>
    <tableColumn id="2052" name="Column2048" dataDxfId="14332"/>
    <tableColumn id="2053" name="Column2049" dataDxfId="14331"/>
    <tableColumn id="2054" name="Column2050" dataDxfId="14330"/>
    <tableColumn id="2055" name="Column2051" dataDxfId="14329"/>
    <tableColumn id="2056" name="Column2052" dataDxfId="14328"/>
    <tableColumn id="2057" name="Column2053" dataDxfId="14327"/>
    <tableColumn id="2058" name="Column2054" dataDxfId="14326"/>
    <tableColumn id="2059" name="Column2055" dataDxfId="14325"/>
    <tableColumn id="2060" name="Column2056" dataDxfId="14324"/>
    <tableColumn id="2061" name="Column2057" dataDxfId="14323"/>
    <tableColumn id="2062" name="Column2058" dataDxfId="14322"/>
    <tableColumn id="2063" name="Column2059" dataDxfId="14321"/>
    <tableColumn id="2064" name="Column2060" dataDxfId="14320"/>
    <tableColumn id="2065" name="Column2061" dataDxfId="14319"/>
    <tableColumn id="2066" name="Column2062" dataDxfId="14318"/>
    <tableColumn id="2067" name="Column2063" dataDxfId="14317"/>
    <tableColumn id="2068" name="Column2064" dataDxfId="14316"/>
    <tableColumn id="2069" name="Column2065" dataDxfId="14315"/>
    <tableColumn id="2070" name="Column2066" dataDxfId="14314"/>
    <tableColumn id="2071" name="Column2067" dataDxfId="14313"/>
    <tableColumn id="2072" name="Column2068" dataDxfId="14312"/>
    <tableColumn id="2073" name="Column2069" dataDxfId="14311"/>
    <tableColumn id="2074" name="Column2070" dataDxfId="14310"/>
    <tableColumn id="2075" name="Column2071" dataDxfId="14309"/>
    <tableColumn id="2076" name="Column2072" dataDxfId="14308"/>
    <tableColumn id="2077" name="Column2073" dataDxfId="14307"/>
    <tableColumn id="2078" name="Column2074" dataDxfId="14306"/>
    <tableColumn id="2079" name="Column2075" dataDxfId="14305"/>
    <tableColumn id="2080" name="Column2076" dataDxfId="14304"/>
    <tableColumn id="2081" name="Column2077" dataDxfId="14303"/>
    <tableColumn id="2082" name="Column2078" dataDxfId="14302"/>
    <tableColumn id="2083" name="Column2079" dataDxfId="14301"/>
    <tableColumn id="2084" name="Column2080" dataDxfId="14300"/>
    <tableColumn id="2085" name="Column2081" dataDxfId="14299"/>
    <tableColumn id="2086" name="Column2082" dataDxfId="14298"/>
    <tableColumn id="2087" name="Column2083" dataDxfId="14297"/>
    <tableColumn id="2088" name="Column2084" dataDxfId="14296"/>
    <tableColumn id="2089" name="Column2085" dataDxfId="14295"/>
    <tableColumn id="2090" name="Column2086" dataDxfId="14294"/>
    <tableColumn id="2091" name="Column2087" dataDxfId="14293"/>
    <tableColumn id="2092" name="Column2088" dataDxfId="14292"/>
    <tableColumn id="2093" name="Column2089" dataDxfId="14291"/>
    <tableColumn id="2094" name="Column2090" dataDxfId="14290"/>
    <tableColumn id="2095" name="Column2091" dataDxfId="14289"/>
    <tableColumn id="2096" name="Column2092" dataDxfId="14288"/>
    <tableColumn id="2097" name="Column2093" dataDxfId="14287"/>
    <tableColumn id="2098" name="Column2094" dataDxfId="14286"/>
    <tableColumn id="2099" name="Column2095" dataDxfId="14285"/>
    <tableColumn id="2100" name="Column2096" dataDxfId="14284"/>
    <tableColumn id="2101" name="Column2097" dataDxfId="14283"/>
    <tableColumn id="2102" name="Column2098" dataDxfId="14282"/>
    <tableColumn id="2103" name="Column2099" dataDxfId="14281"/>
    <tableColumn id="2104" name="Column2100" dataDxfId="14280"/>
    <tableColumn id="2105" name="Column2101" dataDxfId="14279"/>
    <tableColumn id="2106" name="Column2102" dataDxfId="14278"/>
    <tableColumn id="2107" name="Column2103" dataDxfId="14277"/>
    <tableColumn id="2108" name="Column2104" dataDxfId="14276"/>
    <tableColumn id="2109" name="Column2105" dataDxfId="14275"/>
    <tableColumn id="2110" name="Column2106" dataDxfId="14274"/>
    <tableColumn id="2111" name="Column2107" dataDxfId="14273"/>
    <tableColumn id="2112" name="Column2108" dataDxfId="14272"/>
    <tableColumn id="2113" name="Column2109" dataDxfId="14271"/>
    <tableColumn id="2114" name="Column2110" dataDxfId="14270"/>
    <tableColumn id="2115" name="Column2111" dataDxfId="14269"/>
    <tableColumn id="2116" name="Column2112" dataDxfId="14268"/>
    <tableColumn id="2117" name="Column2113" dataDxfId="14267"/>
    <tableColumn id="2118" name="Column2114" dataDxfId="14266"/>
    <tableColumn id="2119" name="Column2115" dataDxfId="14265"/>
    <tableColumn id="2120" name="Column2116" dataDxfId="14264"/>
    <tableColumn id="2121" name="Column2117" dataDxfId="14263"/>
    <tableColumn id="2122" name="Column2118" dataDxfId="14262"/>
    <tableColumn id="2123" name="Column2119" dataDxfId="14261"/>
    <tableColumn id="2124" name="Column2120" dataDxfId="14260"/>
    <tableColumn id="2125" name="Column2121" dataDxfId="14259"/>
    <tableColumn id="2126" name="Column2122" dataDxfId="14258"/>
    <tableColumn id="2127" name="Column2123" dataDxfId="14257"/>
    <tableColumn id="2128" name="Column2124" dataDxfId="14256"/>
    <tableColumn id="2129" name="Column2125" dataDxfId="14255"/>
    <tableColumn id="2130" name="Column2126" dataDxfId="14254"/>
    <tableColumn id="2131" name="Column2127" dataDxfId="14253"/>
    <tableColumn id="2132" name="Column2128" dataDxfId="14252"/>
    <tableColumn id="2133" name="Column2129" dataDxfId="14251"/>
    <tableColumn id="2134" name="Column2130" dataDxfId="14250"/>
    <tableColumn id="2135" name="Column2131" dataDxfId="14249"/>
    <tableColumn id="2136" name="Column2132" dataDxfId="14248"/>
    <tableColumn id="2137" name="Column2133" dataDxfId="14247"/>
    <tableColumn id="2138" name="Column2134" dataDxfId="14246"/>
    <tableColumn id="2139" name="Column2135" dataDxfId="14245"/>
    <tableColumn id="2140" name="Column2136" dataDxfId="14244"/>
    <tableColumn id="2141" name="Column2137" dataDxfId="14243"/>
    <tableColumn id="2142" name="Column2138" dataDxfId="14242"/>
    <tableColumn id="2143" name="Column2139" dataDxfId="14241"/>
    <tableColumn id="2144" name="Column2140" dataDxfId="14240"/>
    <tableColumn id="2145" name="Column2141" dataDxfId="14239"/>
    <tableColumn id="2146" name="Column2142" dataDxfId="14238"/>
    <tableColumn id="2147" name="Column2143" dataDxfId="14237"/>
    <tableColumn id="2148" name="Column2144" dataDxfId="14236"/>
    <tableColumn id="2149" name="Column2145" dataDxfId="14235"/>
    <tableColumn id="2150" name="Column2146" dataDxfId="14234"/>
    <tableColumn id="2151" name="Column2147" dataDxfId="14233"/>
    <tableColumn id="2152" name="Column2148" dataDxfId="14232"/>
    <tableColumn id="2153" name="Column2149" dataDxfId="14231"/>
    <tableColumn id="2154" name="Column2150" dataDxfId="14230"/>
    <tableColumn id="2155" name="Column2151" dataDxfId="14229"/>
    <tableColumn id="2156" name="Column2152" dataDxfId="14228"/>
    <tableColumn id="2157" name="Column2153" dataDxfId="14227"/>
    <tableColumn id="2158" name="Column2154" dataDxfId="14226"/>
    <tableColumn id="2159" name="Column2155" dataDxfId="14225"/>
    <tableColumn id="2160" name="Column2156" dataDxfId="14224"/>
    <tableColumn id="2161" name="Column2157" dataDxfId="14223"/>
    <tableColumn id="2162" name="Column2158" dataDxfId="14222"/>
    <tableColumn id="2163" name="Column2159" dataDxfId="14221"/>
    <tableColumn id="2164" name="Column2160" dataDxfId="14220"/>
    <tableColumn id="2165" name="Column2161" dataDxfId="14219"/>
    <tableColumn id="2166" name="Column2162" dataDxfId="14218"/>
    <tableColumn id="2167" name="Column2163" dataDxfId="14217"/>
    <tableColumn id="2168" name="Column2164" dataDxfId="14216"/>
    <tableColumn id="2169" name="Column2165" dataDxfId="14215"/>
    <tableColumn id="2170" name="Column2166" dataDxfId="14214"/>
    <tableColumn id="2171" name="Column2167" dataDxfId="14213"/>
    <tableColumn id="2172" name="Column2168" dataDxfId="14212"/>
    <tableColumn id="2173" name="Column2169" dataDxfId="14211"/>
    <tableColumn id="2174" name="Column2170" dataDxfId="14210"/>
    <tableColumn id="2175" name="Column2171" dataDxfId="14209"/>
    <tableColumn id="2176" name="Column2172" dataDxfId="14208"/>
    <tableColumn id="2177" name="Column2173" dataDxfId="14207"/>
    <tableColumn id="2178" name="Column2174" dataDxfId="14206"/>
    <tableColumn id="2179" name="Column2175" dataDxfId="14205"/>
    <tableColumn id="2180" name="Column2176" dataDxfId="14204"/>
    <tableColumn id="2181" name="Column2177" dataDxfId="14203"/>
    <tableColumn id="2182" name="Column2178" dataDxfId="14202"/>
    <tableColumn id="2183" name="Column2179" dataDxfId="14201"/>
    <tableColumn id="2184" name="Column2180" dataDxfId="14200"/>
    <tableColumn id="2185" name="Column2181" dataDxfId="14199"/>
    <tableColumn id="2186" name="Column2182" dataDxfId="14198"/>
    <tableColumn id="2187" name="Column2183" dataDxfId="14197"/>
    <tableColumn id="2188" name="Column2184" dataDxfId="14196"/>
    <tableColumn id="2189" name="Column2185" dataDxfId="14195"/>
    <tableColumn id="2190" name="Column2186" dataDxfId="14194"/>
    <tableColumn id="2191" name="Column2187" dataDxfId="14193"/>
    <tableColumn id="2192" name="Column2188" dataDxfId="14192"/>
    <tableColumn id="2193" name="Column2189" dataDxfId="14191"/>
    <tableColumn id="2194" name="Column2190" dataDxfId="14190"/>
    <tableColumn id="2195" name="Column2191" dataDxfId="14189"/>
    <tableColumn id="2196" name="Column2192" dataDxfId="14188"/>
    <tableColumn id="2197" name="Column2193" dataDxfId="14187"/>
    <tableColumn id="2198" name="Column2194" dataDxfId="14186"/>
    <tableColumn id="2199" name="Column2195" dataDxfId="14185"/>
    <tableColumn id="2200" name="Column2196" dataDxfId="14184"/>
    <tableColumn id="2201" name="Column2197" dataDxfId="14183"/>
    <tableColumn id="2202" name="Column2198" dataDxfId="14182"/>
    <tableColumn id="2203" name="Column2199" dataDxfId="14181"/>
    <tableColumn id="2204" name="Column2200" dataDxfId="14180"/>
    <tableColumn id="2205" name="Column2201" dataDxfId="14179"/>
    <tableColumn id="2206" name="Column2202" dataDxfId="14178"/>
    <tableColumn id="2207" name="Column2203" dataDxfId="14177"/>
    <tableColumn id="2208" name="Column2204" dataDxfId="14176"/>
    <tableColumn id="2209" name="Column2205" dataDxfId="14175"/>
    <tableColumn id="2210" name="Column2206" dataDxfId="14174"/>
    <tableColumn id="2211" name="Column2207" dataDxfId="14173"/>
    <tableColumn id="2212" name="Column2208" dataDxfId="14172"/>
    <tableColumn id="2213" name="Column2209" dataDxfId="14171"/>
    <tableColumn id="2214" name="Column2210" dataDxfId="14170"/>
    <tableColumn id="2215" name="Column2211" dataDxfId="14169"/>
    <tableColumn id="2216" name="Column2212" dataDxfId="14168"/>
    <tableColumn id="2217" name="Column2213" dataDxfId="14167"/>
    <tableColumn id="2218" name="Column2214" dataDxfId="14166"/>
    <tableColumn id="2219" name="Column2215" dataDxfId="14165"/>
    <tableColumn id="2220" name="Column2216" dataDxfId="14164"/>
    <tableColumn id="2221" name="Column2217" dataDxfId="14163"/>
    <tableColumn id="2222" name="Column2218" dataDxfId="14162"/>
    <tableColumn id="2223" name="Column2219" dataDxfId="14161"/>
    <tableColumn id="2224" name="Column2220" dataDxfId="14160"/>
    <tableColumn id="2225" name="Column2221" dataDxfId="14159"/>
    <tableColumn id="2226" name="Column2222" dataDxfId="14158"/>
    <tableColumn id="2227" name="Column2223" dataDxfId="14157"/>
    <tableColumn id="2228" name="Column2224" dataDxfId="14156"/>
    <tableColumn id="2229" name="Column2225" dataDxfId="14155"/>
    <tableColumn id="2230" name="Column2226" dataDxfId="14154"/>
    <tableColumn id="2231" name="Column2227" dataDxfId="14153"/>
    <tableColumn id="2232" name="Column2228" dataDxfId="14152"/>
    <tableColumn id="2233" name="Column2229" dataDxfId="14151"/>
    <tableColumn id="2234" name="Column2230" dataDxfId="14150"/>
    <tableColumn id="2235" name="Column2231" dataDxfId="14149"/>
    <tableColumn id="2236" name="Column2232" dataDxfId="14148"/>
    <tableColumn id="2237" name="Column2233" dataDxfId="14147"/>
    <tableColumn id="2238" name="Column2234" dataDxfId="14146"/>
    <tableColumn id="2239" name="Column2235" dataDxfId="14145"/>
    <tableColumn id="2240" name="Column2236" dataDxfId="14144"/>
    <tableColumn id="2241" name="Column2237" dataDxfId="14143"/>
    <tableColumn id="2242" name="Column2238" dataDxfId="14142"/>
    <tableColumn id="2243" name="Column2239" dataDxfId="14141"/>
    <tableColumn id="2244" name="Column2240" dataDxfId="14140"/>
    <tableColumn id="2245" name="Column2241" dataDxfId="14139"/>
    <tableColumn id="2246" name="Column2242" dataDxfId="14138"/>
    <tableColumn id="2247" name="Column2243" dataDxfId="14137"/>
    <tableColumn id="2248" name="Column2244" dataDxfId="14136"/>
    <tableColumn id="2249" name="Column2245" dataDxfId="14135"/>
    <tableColumn id="2250" name="Column2246" dataDxfId="14134"/>
    <tableColumn id="2251" name="Column2247" dataDxfId="14133"/>
    <tableColumn id="2252" name="Column2248" dataDxfId="14132"/>
    <tableColumn id="2253" name="Column2249" dataDxfId="14131"/>
    <tableColumn id="2254" name="Column2250" dataDxfId="14130"/>
    <tableColumn id="2255" name="Column2251" dataDxfId="14129"/>
    <tableColumn id="2256" name="Column2252" dataDxfId="14128"/>
    <tableColumn id="2257" name="Column2253" dataDxfId="14127"/>
    <tableColumn id="2258" name="Column2254" dataDxfId="14126"/>
    <tableColumn id="2259" name="Column2255" dataDxfId="14125"/>
    <tableColumn id="2260" name="Column2256" dataDxfId="14124"/>
    <tableColumn id="2261" name="Column2257" dataDxfId="14123"/>
    <tableColumn id="2262" name="Column2258" dataDxfId="14122"/>
    <tableColumn id="2263" name="Column2259" dataDxfId="14121"/>
    <tableColumn id="2264" name="Column2260" dataDxfId="14120"/>
    <tableColumn id="2265" name="Column2261" dataDxfId="14119"/>
    <tableColumn id="2266" name="Column2262" dataDxfId="14118"/>
    <tableColumn id="2267" name="Column2263" dataDxfId="14117"/>
    <tableColumn id="2268" name="Column2264" dataDxfId="14116"/>
    <tableColumn id="2269" name="Column2265" dataDxfId="14115"/>
    <tableColumn id="2270" name="Column2266" dataDxfId="14114"/>
    <tableColumn id="2271" name="Column2267" dataDxfId="14113"/>
    <tableColumn id="2272" name="Column2268" dataDxfId="14112"/>
    <tableColumn id="2273" name="Column2269" dataDxfId="14111"/>
    <tableColumn id="2274" name="Column2270" dataDxfId="14110"/>
    <tableColumn id="2275" name="Column2271" dataDxfId="14109"/>
    <tableColumn id="2276" name="Column2272" dataDxfId="14108"/>
    <tableColumn id="2277" name="Column2273" dataDxfId="14107"/>
    <tableColumn id="2278" name="Column2274" dataDxfId="14106"/>
    <tableColumn id="2279" name="Column2275" dataDxfId="14105"/>
    <tableColumn id="2280" name="Column2276" dataDxfId="14104"/>
    <tableColumn id="2281" name="Column2277" dataDxfId="14103"/>
    <tableColumn id="2282" name="Column2278" dataDxfId="14102"/>
    <tableColumn id="2283" name="Column2279" dataDxfId="14101"/>
    <tableColumn id="2284" name="Column2280" dataDxfId="14100"/>
    <tableColumn id="2285" name="Column2281" dataDxfId="14099"/>
    <tableColumn id="2286" name="Column2282" dataDxfId="14098"/>
    <tableColumn id="2287" name="Column2283" dataDxfId="14097"/>
    <tableColumn id="2288" name="Column2284" dataDxfId="14096"/>
    <tableColumn id="2289" name="Column2285" dataDxfId="14095"/>
    <tableColumn id="2290" name="Column2286" dataDxfId="14094"/>
    <tableColumn id="2291" name="Column2287" dataDxfId="14093"/>
    <tableColumn id="2292" name="Column2288" dataDxfId="14092"/>
    <tableColumn id="2293" name="Column2289" dataDxfId="14091"/>
    <tableColumn id="2294" name="Column2290" dataDxfId="14090"/>
    <tableColumn id="2295" name="Column2291" dataDxfId="14089"/>
    <tableColumn id="2296" name="Column2292" dataDxfId="14088"/>
    <tableColumn id="2297" name="Column2293" dataDxfId="14087"/>
    <tableColumn id="2298" name="Column2294" dataDxfId="14086"/>
    <tableColumn id="2299" name="Column2295" dataDxfId="14085"/>
    <tableColumn id="2300" name="Column2296" dataDxfId="14084"/>
    <tableColumn id="2301" name="Column2297" dataDxfId="14083"/>
    <tableColumn id="2302" name="Column2298" dataDxfId="14082"/>
    <tableColumn id="2303" name="Column2299" dataDxfId="14081"/>
    <tableColumn id="2304" name="Column2300" dataDxfId="14080"/>
    <tableColumn id="2305" name="Column2301" dataDxfId="14079"/>
    <tableColumn id="2306" name="Column2302" dataDxfId="14078"/>
    <tableColumn id="2307" name="Column2303" dataDxfId="14077"/>
    <tableColumn id="2308" name="Column2304" dataDxfId="14076"/>
    <tableColumn id="2309" name="Column2305" dataDxfId="14075"/>
    <tableColumn id="2310" name="Column2306" dataDxfId="14074"/>
    <tableColumn id="2311" name="Column2307" dataDxfId="14073"/>
    <tableColumn id="2312" name="Column2308" dataDxfId="14072"/>
    <tableColumn id="2313" name="Column2309" dataDxfId="14071"/>
    <tableColumn id="2314" name="Column2310" dataDxfId="14070"/>
    <tableColumn id="2315" name="Column2311" dataDxfId="14069"/>
    <tableColumn id="2316" name="Column2312" dataDxfId="14068"/>
    <tableColumn id="2317" name="Column2313" dataDxfId="14067"/>
    <tableColumn id="2318" name="Column2314" dataDxfId="14066"/>
    <tableColumn id="2319" name="Column2315" dataDxfId="14065"/>
    <tableColumn id="2320" name="Column2316" dataDxfId="14064"/>
    <tableColumn id="2321" name="Column2317" dataDxfId="14063"/>
    <tableColumn id="2322" name="Column2318" dataDxfId="14062"/>
    <tableColumn id="2323" name="Column2319" dataDxfId="14061"/>
    <tableColumn id="2324" name="Column2320" dataDxfId="14060"/>
    <tableColumn id="2325" name="Column2321" dataDxfId="14059"/>
    <tableColumn id="2326" name="Column2322" dataDxfId="14058"/>
    <tableColumn id="2327" name="Column2323" dataDxfId="14057"/>
    <tableColumn id="2328" name="Column2324" dataDxfId="14056"/>
    <tableColumn id="2329" name="Column2325" dataDxfId="14055"/>
    <tableColumn id="2330" name="Column2326" dataDxfId="14054"/>
    <tableColumn id="2331" name="Column2327" dataDxfId="14053"/>
    <tableColumn id="2332" name="Column2328" dataDxfId="14052"/>
    <tableColumn id="2333" name="Column2329" dataDxfId="14051"/>
    <tableColumn id="2334" name="Column2330" dataDxfId="14050"/>
    <tableColumn id="2335" name="Column2331" dataDxfId="14049"/>
    <tableColumn id="2336" name="Column2332" dataDxfId="14048"/>
    <tableColumn id="2337" name="Column2333" dataDxfId="14047"/>
    <tableColumn id="2338" name="Column2334" dataDxfId="14046"/>
    <tableColumn id="2339" name="Column2335" dataDxfId="14045"/>
    <tableColumn id="2340" name="Column2336" dataDxfId="14044"/>
    <tableColumn id="2341" name="Column2337" dataDxfId="14043"/>
    <tableColumn id="2342" name="Column2338" dataDxfId="14042"/>
    <tableColumn id="2343" name="Column2339" dataDxfId="14041"/>
    <tableColumn id="2344" name="Column2340" dataDxfId="14040"/>
    <tableColumn id="2345" name="Column2341" dataDxfId="14039"/>
    <tableColumn id="2346" name="Column2342" dataDxfId="14038"/>
    <tableColumn id="2347" name="Column2343" dataDxfId="14037"/>
    <tableColumn id="2348" name="Column2344" dataDxfId="14036"/>
    <tableColumn id="2349" name="Column2345" dataDxfId="14035"/>
    <tableColumn id="2350" name="Column2346" dataDxfId="14034"/>
    <tableColumn id="2351" name="Column2347" dataDxfId="14033"/>
    <tableColumn id="2352" name="Column2348" dataDxfId="14032"/>
    <tableColumn id="2353" name="Column2349" dataDxfId="14031"/>
    <tableColumn id="2354" name="Column2350" dataDxfId="14030"/>
    <tableColumn id="2355" name="Column2351" dataDxfId="14029"/>
    <tableColumn id="2356" name="Column2352" dataDxfId="14028"/>
    <tableColumn id="2357" name="Column2353" dataDxfId="14027"/>
    <tableColumn id="2358" name="Column2354" dataDxfId="14026"/>
    <tableColumn id="2359" name="Column2355" dataDxfId="14025"/>
    <tableColumn id="2360" name="Column2356" dataDxfId="14024"/>
    <tableColumn id="2361" name="Column2357" dataDxfId="14023"/>
    <tableColumn id="2362" name="Column2358" dataDxfId="14022"/>
    <tableColumn id="2363" name="Column2359" dataDxfId="14021"/>
    <tableColumn id="2364" name="Column2360" dataDxfId="14020"/>
    <tableColumn id="2365" name="Column2361" dataDxfId="14019"/>
    <tableColumn id="2366" name="Column2362" dataDxfId="14018"/>
    <tableColumn id="2367" name="Column2363" dataDxfId="14017"/>
    <tableColumn id="2368" name="Column2364" dataDxfId="14016"/>
    <tableColumn id="2369" name="Column2365" dataDxfId="14015"/>
    <tableColumn id="2370" name="Column2366" dataDxfId="14014"/>
    <tableColumn id="2371" name="Column2367" dataDxfId="14013"/>
    <tableColumn id="2372" name="Column2368" dataDxfId="14012"/>
    <tableColumn id="2373" name="Column2369" dataDxfId="14011"/>
    <tableColumn id="2374" name="Column2370" dataDxfId="14010"/>
    <tableColumn id="2375" name="Column2371" dataDxfId="14009"/>
    <tableColumn id="2376" name="Column2372" dataDxfId="14008"/>
    <tableColumn id="2377" name="Column2373" dataDxfId="14007"/>
    <tableColumn id="2378" name="Column2374" dataDxfId="14006"/>
    <tableColumn id="2379" name="Column2375" dataDxfId="14005"/>
    <tableColumn id="2380" name="Column2376" dataDxfId="14004"/>
    <tableColumn id="2381" name="Column2377" dataDxfId="14003"/>
    <tableColumn id="2382" name="Column2378" dataDxfId="14002"/>
    <tableColumn id="2383" name="Column2379" dataDxfId="14001"/>
    <tableColumn id="2384" name="Column2380" dataDxfId="14000"/>
    <tableColumn id="2385" name="Column2381" dataDxfId="13999"/>
    <tableColumn id="2386" name="Column2382" dataDxfId="13998"/>
    <tableColumn id="2387" name="Column2383" dataDxfId="13997"/>
    <tableColumn id="2388" name="Column2384" dataDxfId="13996"/>
    <tableColumn id="2389" name="Column2385" dataDxfId="13995"/>
    <tableColumn id="2390" name="Column2386" dataDxfId="13994"/>
    <tableColumn id="2391" name="Column2387" dataDxfId="13993"/>
    <tableColumn id="2392" name="Column2388" dataDxfId="13992"/>
    <tableColumn id="2393" name="Column2389" dataDxfId="13991"/>
    <tableColumn id="2394" name="Column2390" dataDxfId="13990"/>
    <tableColumn id="2395" name="Column2391" dataDxfId="13989"/>
    <tableColumn id="2396" name="Column2392" dataDxfId="13988"/>
    <tableColumn id="2397" name="Column2393" dataDxfId="13987"/>
    <tableColumn id="2398" name="Column2394" dataDxfId="13986"/>
    <tableColumn id="2399" name="Column2395" dataDxfId="13985"/>
    <tableColumn id="2400" name="Column2396" dataDxfId="13984"/>
    <tableColumn id="2401" name="Column2397" dataDxfId="13983"/>
    <tableColumn id="2402" name="Column2398" dataDxfId="13982"/>
    <tableColumn id="2403" name="Column2399" dataDxfId="13981"/>
    <tableColumn id="2404" name="Column2400" dataDxfId="13980"/>
    <tableColumn id="2405" name="Column2401" dataDxfId="13979"/>
    <tableColumn id="2406" name="Column2402" dataDxfId="13978"/>
    <tableColumn id="2407" name="Column2403" dataDxfId="13977"/>
    <tableColumn id="2408" name="Column2404" dataDxfId="13976"/>
    <tableColumn id="2409" name="Column2405" dataDxfId="13975"/>
    <tableColumn id="2410" name="Column2406" dataDxfId="13974"/>
    <tableColumn id="2411" name="Column2407" dataDxfId="13973"/>
    <tableColumn id="2412" name="Column2408" dataDxfId="13972"/>
    <tableColumn id="2413" name="Column2409" dataDxfId="13971"/>
    <tableColumn id="2414" name="Column2410" dataDxfId="13970"/>
    <tableColumn id="2415" name="Column2411" dataDxfId="13969"/>
    <tableColumn id="2416" name="Column2412" dataDxfId="13968"/>
    <tableColumn id="2417" name="Column2413" dataDxfId="13967"/>
    <tableColumn id="2418" name="Column2414" dataDxfId="13966"/>
    <tableColumn id="2419" name="Column2415" dataDxfId="13965"/>
    <tableColumn id="2420" name="Column2416" dataDxfId="13964"/>
    <tableColumn id="2421" name="Column2417" dataDxfId="13963"/>
    <tableColumn id="2422" name="Column2418" dataDxfId="13962"/>
    <tableColumn id="2423" name="Column2419" dataDxfId="13961"/>
    <tableColumn id="2424" name="Column2420" dataDxfId="13960"/>
    <tableColumn id="2425" name="Column2421" dataDxfId="13959"/>
    <tableColumn id="2426" name="Column2422" dataDxfId="13958"/>
    <tableColumn id="2427" name="Column2423" dataDxfId="13957"/>
    <tableColumn id="2428" name="Column2424" dataDxfId="13956"/>
    <tableColumn id="2429" name="Column2425" dataDxfId="13955"/>
    <tableColumn id="2430" name="Column2426" dataDxfId="13954"/>
    <tableColumn id="2431" name="Column2427" dataDxfId="13953"/>
    <tableColumn id="2432" name="Column2428" dataDxfId="13952"/>
    <tableColumn id="2433" name="Column2429" dataDxfId="13951"/>
    <tableColumn id="2434" name="Column2430" dataDxfId="13950"/>
    <tableColumn id="2435" name="Column2431" dataDxfId="13949"/>
    <tableColumn id="2436" name="Column2432" dataDxfId="13948"/>
    <tableColumn id="2437" name="Column2433" dataDxfId="13947"/>
    <tableColumn id="2438" name="Column2434" dataDxfId="13946"/>
    <tableColumn id="2439" name="Column2435" dataDxfId="13945"/>
    <tableColumn id="2440" name="Column2436" dataDxfId="13944"/>
    <tableColumn id="2441" name="Column2437" dataDxfId="13943"/>
    <tableColumn id="2442" name="Column2438" dataDxfId="13942"/>
    <tableColumn id="2443" name="Column2439" dataDxfId="13941"/>
    <tableColumn id="2444" name="Column2440" dataDxfId="13940"/>
    <tableColumn id="2445" name="Column2441" dataDxfId="13939"/>
    <tableColumn id="2446" name="Column2442" dataDxfId="13938"/>
    <tableColumn id="2447" name="Column2443" dataDxfId="13937"/>
    <tableColumn id="2448" name="Column2444" dataDxfId="13936"/>
    <tableColumn id="2449" name="Column2445" dataDxfId="13935"/>
    <tableColumn id="2450" name="Column2446" dataDxfId="13934"/>
    <tableColumn id="2451" name="Column2447" dataDxfId="13933"/>
    <tableColumn id="2452" name="Column2448" dataDxfId="13932"/>
    <tableColumn id="2453" name="Column2449" dataDxfId="13931"/>
    <tableColumn id="2454" name="Column2450" dataDxfId="13930"/>
    <tableColumn id="2455" name="Column2451" dataDxfId="13929"/>
    <tableColumn id="2456" name="Column2452" dataDxfId="13928"/>
    <tableColumn id="2457" name="Column2453" dataDxfId="13927"/>
    <tableColumn id="2458" name="Column2454" dataDxfId="13926"/>
    <tableColumn id="2459" name="Column2455" dataDxfId="13925"/>
    <tableColumn id="2460" name="Column2456" dataDxfId="13924"/>
    <tableColumn id="2461" name="Column2457" dataDxfId="13923"/>
    <tableColumn id="2462" name="Column2458" dataDxfId="13922"/>
    <tableColumn id="2463" name="Column2459" dataDxfId="13921"/>
    <tableColumn id="2464" name="Column2460" dataDxfId="13920"/>
    <tableColumn id="2465" name="Column2461" dataDxfId="13919"/>
    <tableColumn id="2466" name="Column2462" dataDxfId="13918"/>
    <tableColumn id="2467" name="Column2463" dataDxfId="13917"/>
    <tableColumn id="2468" name="Column2464" dataDxfId="13916"/>
    <tableColumn id="2469" name="Column2465" dataDxfId="13915"/>
    <tableColumn id="2470" name="Column2466" dataDxfId="13914"/>
    <tableColumn id="2471" name="Column2467" dataDxfId="13913"/>
    <tableColumn id="2472" name="Column2468" dataDxfId="13912"/>
    <tableColumn id="2473" name="Column2469" dataDxfId="13911"/>
    <tableColumn id="2474" name="Column2470" dataDxfId="13910"/>
    <tableColumn id="2475" name="Column2471" dataDxfId="13909"/>
    <tableColumn id="2476" name="Column2472" dataDxfId="13908"/>
    <tableColumn id="2477" name="Column2473" dataDxfId="13907"/>
    <tableColumn id="2478" name="Column2474" dataDxfId="13906"/>
    <tableColumn id="2479" name="Column2475" dataDxfId="13905"/>
    <tableColumn id="2480" name="Column2476" dataDxfId="13904"/>
    <tableColumn id="2481" name="Column2477" dataDxfId="13903"/>
    <tableColumn id="2482" name="Column2478" dataDxfId="13902"/>
    <tableColumn id="2483" name="Column2479" dataDxfId="13901"/>
    <tableColumn id="2484" name="Column2480" dataDxfId="13900"/>
    <tableColumn id="2485" name="Column2481" dataDxfId="13899"/>
    <tableColumn id="2486" name="Column2482" dataDxfId="13898"/>
    <tableColumn id="2487" name="Column2483" dataDxfId="13897"/>
    <tableColumn id="2488" name="Column2484" dataDxfId="13896"/>
    <tableColumn id="2489" name="Column2485" dataDxfId="13895"/>
    <tableColumn id="2490" name="Column2486" dataDxfId="13894"/>
    <tableColumn id="2491" name="Column2487" dataDxfId="13893"/>
    <tableColumn id="2492" name="Column2488" dataDxfId="13892"/>
    <tableColumn id="2493" name="Column2489" dataDxfId="13891"/>
    <tableColumn id="2494" name="Column2490" dataDxfId="13890"/>
    <tableColumn id="2495" name="Column2491" dataDxfId="13889"/>
    <tableColumn id="2496" name="Column2492" dataDxfId="13888"/>
    <tableColumn id="2497" name="Column2493" dataDxfId="13887"/>
    <tableColumn id="2498" name="Column2494" dataDxfId="13886"/>
    <tableColumn id="2499" name="Column2495" dataDxfId="13885"/>
    <tableColumn id="2500" name="Column2496" dataDxfId="13884"/>
    <tableColumn id="2501" name="Column2497" dataDxfId="13883"/>
    <tableColumn id="2502" name="Column2498" dataDxfId="13882"/>
    <tableColumn id="2503" name="Column2499" dataDxfId="13881"/>
    <tableColumn id="2504" name="Column2500" dataDxfId="13880"/>
    <tableColumn id="2505" name="Column2501" dataDxfId="13879"/>
    <tableColumn id="2506" name="Column2502" dataDxfId="13878"/>
    <tableColumn id="2507" name="Column2503" dataDxfId="13877"/>
    <tableColumn id="2508" name="Column2504" dataDxfId="13876"/>
    <tableColumn id="2509" name="Column2505" dataDxfId="13875"/>
    <tableColumn id="2510" name="Column2506" dataDxfId="13874"/>
    <tableColumn id="2511" name="Column2507" dataDxfId="13873"/>
    <tableColumn id="2512" name="Column2508" dataDxfId="13872"/>
    <tableColumn id="2513" name="Column2509" dataDxfId="13871"/>
    <tableColumn id="2514" name="Column2510" dataDxfId="13870"/>
    <tableColumn id="2515" name="Column2511" dataDxfId="13869"/>
    <tableColumn id="2516" name="Column2512" dataDxfId="13868"/>
    <tableColumn id="2517" name="Column2513" dataDxfId="13867"/>
    <tableColumn id="2518" name="Column2514" dataDxfId="13866"/>
    <tableColumn id="2519" name="Column2515" dataDxfId="13865"/>
    <tableColumn id="2520" name="Column2516" dataDxfId="13864"/>
    <tableColumn id="2521" name="Column2517" dataDxfId="13863"/>
    <tableColumn id="2522" name="Column2518" dataDxfId="13862"/>
    <tableColumn id="2523" name="Column2519" dataDxfId="13861"/>
    <tableColumn id="2524" name="Column2520" dataDxfId="13860"/>
    <tableColumn id="2525" name="Column2521" dataDxfId="13859"/>
    <tableColumn id="2526" name="Column2522" dataDxfId="13858"/>
    <tableColumn id="2527" name="Column2523" dataDxfId="13857"/>
    <tableColumn id="2528" name="Column2524" dataDxfId="13856"/>
    <tableColumn id="2529" name="Column2525" dataDxfId="13855"/>
    <tableColumn id="2530" name="Column2526" dataDxfId="13854"/>
    <tableColumn id="2531" name="Column2527" dataDxfId="13853"/>
    <tableColumn id="2532" name="Column2528" dataDxfId="13852"/>
    <tableColumn id="2533" name="Column2529" dataDxfId="13851"/>
    <tableColumn id="2534" name="Column2530" dataDxfId="13850"/>
    <tableColumn id="2535" name="Column2531" dataDxfId="13849"/>
    <tableColumn id="2536" name="Column2532" dataDxfId="13848"/>
    <tableColumn id="2537" name="Column2533" dataDxfId="13847"/>
    <tableColumn id="2538" name="Column2534" dataDxfId="13846"/>
    <tableColumn id="2539" name="Column2535" dataDxfId="13845"/>
    <tableColumn id="2540" name="Column2536" dataDxfId="13844"/>
    <tableColumn id="2541" name="Column2537" dataDxfId="13843"/>
    <tableColumn id="2542" name="Column2538" dataDxfId="13842"/>
    <tableColumn id="2543" name="Column2539" dataDxfId="13841"/>
    <tableColumn id="2544" name="Column2540" dataDxfId="13840"/>
    <tableColumn id="2545" name="Column2541" dataDxfId="13839"/>
    <tableColumn id="2546" name="Column2542" dataDxfId="13838"/>
    <tableColumn id="2547" name="Column2543" dataDxfId="13837"/>
    <tableColumn id="2548" name="Column2544" dataDxfId="13836"/>
    <tableColumn id="2549" name="Column2545" dataDxfId="13835"/>
    <tableColumn id="2550" name="Column2546" dataDxfId="13834"/>
    <tableColumn id="2551" name="Column2547" dataDxfId="13833"/>
    <tableColumn id="2552" name="Column2548" dataDxfId="13832"/>
    <tableColumn id="2553" name="Column2549" dataDxfId="13831"/>
    <tableColumn id="2554" name="Column2550" dataDxfId="13830"/>
    <tableColumn id="2555" name="Column2551" dataDxfId="13829"/>
    <tableColumn id="2556" name="Column2552" dataDxfId="13828"/>
    <tableColumn id="2557" name="Column2553" dataDxfId="13827"/>
    <tableColumn id="2558" name="Column2554" dataDxfId="13826"/>
    <tableColumn id="2559" name="Column2555" dataDxfId="13825"/>
    <tableColumn id="2560" name="Column2556" dataDxfId="13824"/>
    <tableColumn id="2561" name="Column2557" dataDxfId="13823"/>
    <tableColumn id="2562" name="Column2558" dataDxfId="13822"/>
    <tableColumn id="2563" name="Column2559" dataDxfId="13821"/>
    <tableColumn id="2564" name="Column2560" dataDxfId="13820"/>
    <tableColumn id="2565" name="Column2561" dataDxfId="13819"/>
    <tableColumn id="2566" name="Column2562" dataDxfId="13818"/>
    <tableColumn id="2567" name="Column2563" dataDxfId="13817"/>
    <tableColumn id="2568" name="Column2564" dataDxfId="13816"/>
    <tableColumn id="2569" name="Column2565" dataDxfId="13815"/>
    <tableColumn id="2570" name="Column2566" dataDxfId="13814"/>
    <tableColumn id="2571" name="Column2567" dataDxfId="13813"/>
    <tableColumn id="2572" name="Column2568" dataDxfId="13812"/>
    <tableColumn id="2573" name="Column2569" dataDxfId="13811"/>
    <tableColumn id="2574" name="Column2570" dataDxfId="13810"/>
    <tableColumn id="2575" name="Column2571" dataDxfId="13809"/>
    <tableColumn id="2576" name="Column2572" dataDxfId="13808"/>
    <tableColumn id="2577" name="Column2573" dataDxfId="13807"/>
    <tableColumn id="2578" name="Column2574" dataDxfId="13806"/>
    <tableColumn id="2579" name="Column2575" dataDxfId="13805"/>
    <tableColumn id="2580" name="Column2576" dataDxfId="13804"/>
    <tableColumn id="2581" name="Column2577" dataDxfId="13803"/>
    <tableColumn id="2582" name="Column2578" dataDxfId="13802"/>
    <tableColumn id="2583" name="Column2579" dataDxfId="13801"/>
    <tableColumn id="2584" name="Column2580" dataDxfId="13800"/>
    <tableColumn id="2585" name="Column2581" dataDxfId="13799"/>
    <tableColumn id="2586" name="Column2582" dataDxfId="13798"/>
    <tableColumn id="2587" name="Column2583" dataDxfId="13797"/>
    <tableColumn id="2588" name="Column2584" dataDxfId="13796"/>
    <tableColumn id="2589" name="Column2585" dataDxfId="13795"/>
    <tableColumn id="2590" name="Column2586" dataDxfId="13794"/>
    <tableColumn id="2591" name="Column2587" dataDxfId="13793"/>
    <tableColumn id="2592" name="Column2588" dataDxfId="13792"/>
    <tableColumn id="2593" name="Column2589" dataDxfId="13791"/>
    <tableColumn id="2594" name="Column2590" dataDxfId="13790"/>
    <tableColumn id="2595" name="Column2591" dataDxfId="13789"/>
    <tableColumn id="2596" name="Column2592" dataDxfId="13788"/>
    <tableColumn id="2597" name="Column2593" dataDxfId="13787"/>
    <tableColumn id="2598" name="Column2594" dataDxfId="13786"/>
    <tableColumn id="2599" name="Column2595" dataDxfId="13785"/>
    <tableColumn id="2600" name="Column2596" dataDxfId="13784"/>
    <tableColumn id="2601" name="Column2597" dataDxfId="13783"/>
    <tableColumn id="2602" name="Column2598" dataDxfId="13782"/>
    <tableColumn id="2603" name="Column2599" dataDxfId="13781"/>
    <tableColumn id="2604" name="Column2600" dataDxfId="13780"/>
    <tableColumn id="2605" name="Column2601" dataDxfId="13779"/>
    <tableColumn id="2606" name="Column2602" dataDxfId="13778"/>
    <tableColumn id="2607" name="Column2603" dataDxfId="13777"/>
    <tableColumn id="2608" name="Column2604" dataDxfId="13776"/>
    <tableColumn id="2609" name="Column2605" dataDxfId="13775"/>
    <tableColumn id="2610" name="Column2606" dataDxfId="13774"/>
    <tableColumn id="2611" name="Column2607" dataDxfId="13773"/>
    <tableColumn id="2612" name="Column2608" dataDxfId="13772"/>
    <tableColumn id="2613" name="Column2609" dataDxfId="13771"/>
    <tableColumn id="2614" name="Column2610" dataDxfId="13770"/>
    <tableColumn id="2615" name="Column2611" dataDxfId="13769"/>
    <tableColumn id="2616" name="Column2612" dataDxfId="13768"/>
    <tableColumn id="2617" name="Column2613" dataDxfId="13767"/>
    <tableColumn id="2618" name="Column2614" dataDxfId="13766"/>
    <tableColumn id="2619" name="Column2615" dataDxfId="13765"/>
    <tableColumn id="2620" name="Column2616" dataDxfId="13764"/>
    <tableColumn id="2621" name="Column2617" dataDxfId="13763"/>
    <tableColumn id="2622" name="Column2618" dataDxfId="13762"/>
    <tableColumn id="2623" name="Column2619" dataDxfId="13761"/>
    <tableColumn id="2624" name="Column2620" dataDxfId="13760"/>
    <tableColumn id="2625" name="Column2621" dataDxfId="13759"/>
    <tableColumn id="2626" name="Column2622" dataDxfId="13758"/>
    <tableColumn id="2627" name="Column2623" dataDxfId="13757"/>
    <tableColumn id="2628" name="Column2624" dataDxfId="13756"/>
    <tableColumn id="2629" name="Column2625" dataDxfId="13755"/>
    <tableColumn id="2630" name="Column2626" dataDxfId="13754"/>
    <tableColumn id="2631" name="Column2627" dataDxfId="13753"/>
    <tableColumn id="2632" name="Column2628" dataDxfId="13752"/>
    <tableColumn id="2633" name="Column2629" dataDxfId="13751"/>
    <tableColumn id="2634" name="Column2630" dataDxfId="13750"/>
    <tableColumn id="2635" name="Column2631" dataDxfId="13749"/>
    <tableColumn id="2636" name="Column2632" dataDxfId="13748"/>
    <tableColumn id="2637" name="Column2633" dataDxfId="13747"/>
    <tableColumn id="2638" name="Column2634" dataDxfId="13746"/>
    <tableColumn id="2639" name="Column2635" dataDxfId="13745"/>
    <tableColumn id="2640" name="Column2636" dataDxfId="13744"/>
    <tableColumn id="2641" name="Column2637" dataDxfId="13743"/>
    <tableColumn id="2642" name="Column2638" dataDxfId="13742"/>
    <tableColumn id="2643" name="Column2639" dataDxfId="13741"/>
    <tableColumn id="2644" name="Column2640" dataDxfId="13740"/>
    <tableColumn id="2645" name="Column2641" dataDxfId="13739"/>
    <tableColumn id="2646" name="Column2642" dataDxfId="13738"/>
    <tableColumn id="2647" name="Column2643" dataDxfId="13737"/>
    <tableColumn id="2648" name="Column2644" dataDxfId="13736"/>
    <tableColumn id="2649" name="Column2645" dataDxfId="13735"/>
    <tableColumn id="2650" name="Column2646" dataDxfId="13734"/>
    <tableColumn id="2651" name="Column2647" dataDxfId="13733"/>
    <tableColumn id="2652" name="Column2648" dataDxfId="13732"/>
    <tableColumn id="2653" name="Column2649" dataDxfId="13731"/>
    <tableColumn id="2654" name="Column2650" dataDxfId="13730"/>
    <tableColumn id="2655" name="Column2651" dataDxfId="13729"/>
    <tableColumn id="2656" name="Column2652" dataDxfId="13728"/>
    <tableColumn id="2657" name="Column2653" dataDxfId="13727"/>
    <tableColumn id="2658" name="Column2654" dataDxfId="13726"/>
    <tableColumn id="2659" name="Column2655" dataDxfId="13725"/>
    <tableColumn id="2660" name="Column2656" dataDxfId="13724"/>
    <tableColumn id="2661" name="Column2657" dataDxfId="13723"/>
    <tableColumn id="2662" name="Column2658" dataDxfId="13722"/>
    <tableColumn id="2663" name="Column2659" dataDxfId="13721"/>
    <tableColumn id="2664" name="Column2660" dataDxfId="13720"/>
    <tableColumn id="2665" name="Column2661" dataDxfId="13719"/>
    <tableColumn id="2666" name="Column2662" dataDxfId="13718"/>
    <tableColumn id="2667" name="Column2663" dataDxfId="13717"/>
    <tableColumn id="2668" name="Column2664" dataDxfId="13716"/>
    <tableColumn id="2669" name="Column2665" dataDxfId="13715"/>
    <tableColumn id="2670" name="Column2666" dataDxfId="13714"/>
    <tableColumn id="2671" name="Column2667" dataDxfId="13713"/>
    <tableColumn id="2672" name="Column2668" dataDxfId="13712"/>
    <tableColumn id="2673" name="Column2669" dataDxfId="13711"/>
    <tableColumn id="2674" name="Column2670" dataDxfId="13710"/>
    <tableColumn id="2675" name="Column2671" dataDxfId="13709"/>
    <tableColumn id="2676" name="Column2672" dataDxfId="13708"/>
    <tableColumn id="2677" name="Column2673" dataDxfId="13707"/>
    <tableColumn id="2678" name="Column2674" dataDxfId="13706"/>
    <tableColumn id="2679" name="Column2675" dataDxfId="13705"/>
    <tableColumn id="2680" name="Column2676" dataDxfId="13704"/>
    <tableColumn id="2681" name="Column2677" dataDxfId="13703"/>
    <tableColumn id="2682" name="Column2678" dataDxfId="13702"/>
    <tableColumn id="2683" name="Column2679" dataDxfId="13701"/>
    <tableColumn id="2684" name="Column2680" dataDxfId="13700"/>
    <tableColumn id="2685" name="Column2681" dataDxfId="13699"/>
    <tableColumn id="2686" name="Column2682" dataDxfId="13698"/>
    <tableColumn id="2687" name="Column2683" dataDxfId="13697"/>
    <tableColumn id="2688" name="Column2684" dataDxfId="13696"/>
    <tableColumn id="2689" name="Column2685" dataDxfId="13695"/>
    <tableColumn id="2690" name="Column2686" dataDxfId="13694"/>
    <tableColumn id="2691" name="Column2687" dataDxfId="13693"/>
    <tableColumn id="2692" name="Column2688" dataDxfId="13692"/>
    <tableColumn id="2693" name="Column2689" dataDxfId="13691"/>
    <tableColumn id="2694" name="Column2690" dataDxfId="13690"/>
    <tableColumn id="2695" name="Column2691" dataDxfId="13689"/>
    <tableColumn id="2696" name="Column2692" dataDxfId="13688"/>
    <tableColumn id="2697" name="Column2693" dataDxfId="13687"/>
    <tableColumn id="2698" name="Column2694" dataDxfId="13686"/>
    <tableColumn id="2699" name="Column2695" dataDxfId="13685"/>
    <tableColumn id="2700" name="Column2696" dataDxfId="13684"/>
    <tableColumn id="2701" name="Column2697" dataDxfId="13683"/>
    <tableColumn id="2702" name="Column2698" dataDxfId="13682"/>
    <tableColumn id="2703" name="Column2699" dataDxfId="13681"/>
    <tableColumn id="2704" name="Column2700" dataDxfId="13680"/>
    <tableColumn id="2705" name="Column2701" dataDxfId="13679"/>
    <tableColumn id="2706" name="Column2702" dataDxfId="13678"/>
    <tableColumn id="2707" name="Column2703" dataDxfId="13677"/>
    <tableColumn id="2708" name="Column2704" dataDxfId="13676"/>
    <tableColumn id="2709" name="Column2705" dataDxfId="13675"/>
    <tableColumn id="2710" name="Column2706" dataDxfId="13674"/>
    <tableColumn id="2711" name="Column2707" dataDxfId="13673"/>
    <tableColumn id="2712" name="Column2708" dataDxfId="13672"/>
    <tableColumn id="2713" name="Column2709" dataDxfId="13671"/>
    <tableColumn id="2714" name="Column2710" dataDxfId="13670"/>
    <tableColumn id="2715" name="Column2711" dataDxfId="13669"/>
    <tableColumn id="2716" name="Column2712" dataDxfId="13668"/>
    <tableColumn id="2717" name="Column2713" dataDxfId="13667"/>
    <tableColumn id="2718" name="Column2714" dataDxfId="13666"/>
    <tableColumn id="2719" name="Column2715" dataDxfId="13665"/>
    <tableColumn id="2720" name="Column2716" dataDxfId="13664"/>
    <tableColumn id="2721" name="Column2717" dataDxfId="13663"/>
    <tableColumn id="2722" name="Column2718" dataDxfId="13662"/>
    <tableColumn id="2723" name="Column2719" dataDxfId="13661"/>
    <tableColumn id="2724" name="Column2720" dataDxfId="13660"/>
    <tableColumn id="2725" name="Column2721" dataDxfId="13659"/>
    <tableColumn id="2726" name="Column2722" dataDxfId="13658"/>
    <tableColumn id="2727" name="Column2723" dataDxfId="13657"/>
    <tableColumn id="2728" name="Column2724" dataDxfId="13656"/>
    <tableColumn id="2729" name="Column2725" dataDxfId="13655"/>
    <tableColumn id="2730" name="Column2726" dataDxfId="13654"/>
    <tableColumn id="2731" name="Column2727" dataDxfId="13653"/>
    <tableColumn id="2732" name="Column2728" dataDxfId="13652"/>
    <tableColumn id="2733" name="Column2729" dataDxfId="13651"/>
    <tableColumn id="2734" name="Column2730" dataDxfId="13650"/>
    <tableColumn id="2735" name="Column2731" dataDxfId="13649"/>
    <tableColumn id="2736" name="Column2732" dataDxfId="13648"/>
    <tableColumn id="2737" name="Column2733" dataDxfId="13647"/>
    <tableColumn id="2738" name="Column2734" dataDxfId="13646"/>
    <tableColumn id="2739" name="Column2735" dataDxfId="13645"/>
    <tableColumn id="2740" name="Column2736" dataDxfId="13644"/>
    <tableColumn id="2741" name="Column2737" dataDxfId="13643"/>
    <tableColumn id="2742" name="Column2738" dataDxfId="13642"/>
    <tableColumn id="2743" name="Column2739" dataDxfId="13641"/>
    <tableColumn id="2744" name="Column2740" dataDxfId="13640"/>
    <tableColumn id="2745" name="Column2741" dataDxfId="13639"/>
    <tableColumn id="2746" name="Column2742" dataDxfId="13638"/>
    <tableColumn id="2747" name="Column2743" dataDxfId="13637"/>
    <tableColumn id="2748" name="Column2744" dataDxfId="13636"/>
    <tableColumn id="2749" name="Column2745" dataDxfId="13635"/>
    <tableColumn id="2750" name="Column2746" dataDxfId="13634"/>
    <tableColumn id="2751" name="Column2747" dataDxfId="13633"/>
    <tableColumn id="2752" name="Column2748" dataDxfId="13632"/>
    <tableColumn id="2753" name="Column2749" dataDxfId="13631"/>
    <tableColumn id="2754" name="Column2750" dataDxfId="13630"/>
    <tableColumn id="2755" name="Column2751" dataDxfId="13629"/>
    <tableColumn id="2756" name="Column2752" dataDxfId="13628"/>
    <tableColumn id="2757" name="Column2753" dataDxfId="13627"/>
    <tableColumn id="2758" name="Column2754" dataDxfId="13626"/>
    <tableColumn id="2759" name="Column2755" dataDxfId="13625"/>
    <tableColumn id="2760" name="Column2756" dataDxfId="13624"/>
    <tableColumn id="2761" name="Column2757" dataDxfId="13623"/>
    <tableColumn id="2762" name="Column2758" dataDxfId="13622"/>
    <tableColumn id="2763" name="Column2759" dataDxfId="13621"/>
    <tableColumn id="2764" name="Column2760" dataDxfId="13620"/>
    <tableColumn id="2765" name="Column2761" dataDxfId="13619"/>
    <tableColumn id="2766" name="Column2762" dataDxfId="13618"/>
    <tableColumn id="2767" name="Column2763" dataDxfId="13617"/>
    <tableColumn id="2768" name="Column2764" dataDxfId="13616"/>
    <tableColumn id="2769" name="Column2765" dataDxfId="13615"/>
    <tableColumn id="2770" name="Column2766" dataDxfId="13614"/>
    <tableColumn id="2771" name="Column2767" dataDxfId="13613"/>
    <tableColumn id="2772" name="Column2768" dataDxfId="13612"/>
    <tableColumn id="2773" name="Column2769" dataDxfId="13611"/>
    <tableColumn id="2774" name="Column2770" dataDxfId="13610"/>
    <tableColumn id="2775" name="Column2771" dataDxfId="13609"/>
    <tableColumn id="2776" name="Column2772" dataDxfId="13608"/>
    <tableColumn id="2777" name="Column2773" dataDxfId="13607"/>
    <tableColumn id="2778" name="Column2774" dataDxfId="13606"/>
    <tableColumn id="2779" name="Column2775" dataDxfId="13605"/>
    <tableColumn id="2780" name="Column2776" dataDxfId="13604"/>
    <tableColumn id="2781" name="Column2777" dataDxfId="13603"/>
    <tableColumn id="2782" name="Column2778" dataDxfId="13602"/>
    <tableColumn id="2783" name="Column2779" dataDxfId="13601"/>
    <tableColumn id="2784" name="Column2780" dataDxfId="13600"/>
    <tableColumn id="2785" name="Column2781" dataDxfId="13599"/>
    <tableColumn id="2786" name="Column2782" dataDxfId="13598"/>
    <tableColumn id="2787" name="Column2783" dataDxfId="13597"/>
    <tableColumn id="2788" name="Column2784" dataDxfId="13596"/>
    <tableColumn id="2789" name="Column2785" dataDxfId="13595"/>
    <tableColumn id="2790" name="Column2786" dataDxfId="13594"/>
    <tableColumn id="2791" name="Column2787" dataDxfId="13593"/>
    <tableColumn id="2792" name="Column2788" dataDxfId="13592"/>
    <tableColumn id="2793" name="Column2789" dataDxfId="13591"/>
    <tableColumn id="2794" name="Column2790" dataDxfId="13590"/>
    <tableColumn id="2795" name="Column2791" dataDxfId="13589"/>
    <tableColumn id="2796" name="Column2792" dataDxfId="13588"/>
    <tableColumn id="2797" name="Column2793" dataDxfId="13587"/>
    <tableColumn id="2798" name="Column2794" dataDxfId="13586"/>
    <tableColumn id="2799" name="Column2795" dataDxfId="13585"/>
    <tableColumn id="2800" name="Column2796" dataDxfId="13584"/>
    <tableColumn id="2801" name="Column2797" dataDxfId="13583"/>
    <tableColumn id="2802" name="Column2798" dataDxfId="13582"/>
    <tableColumn id="2803" name="Column2799" dataDxfId="13581"/>
    <tableColumn id="2804" name="Column2800" dataDxfId="13580"/>
    <tableColumn id="2805" name="Column2801" dataDxfId="13579"/>
    <tableColumn id="2806" name="Column2802" dataDxfId="13578"/>
    <tableColumn id="2807" name="Column2803" dataDxfId="13577"/>
    <tableColumn id="2808" name="Column2804" dataDxfId="13576"/>
    <tableColumn id="2809" name="Column2805" dataDxfId="13575"/>
    <tableColumn id="2810" name="Column2806" dataDxfId="13574"/>
    <tableColumn id="2811" name="Column2807" dataDxfId="13573"/>
    <tableColumn id="2812" name="Column2808" dataDxfId="13572"/>
    <tableColumn id="2813" name="Column2809" dataDxfId="13571"/>
    <tableColumn id="2814" name="Column2810" dataDxfId="13570"/>
    <tableColumn id="2815" name="Column2811" dataDxfId="13569"/>
    <tableColumn id="2816" name="Column2812" dataDxfId="13568"/>
    <tableColumn id="2817" name="Column2813" dataDxfId="13567"/>
    <tableColumn id="2818" name="Column2814" dataDxfId="13566"/>
    <tableColumn id="2819" name="Column2815" dataDxfId="13565"/>
    <tableColumn id="2820" name="Column2816" dataDxfId="13564"/>
    <tableColumn id="2821" name="Column2817" dataDxfId="13563"/>
    <tableColumn id="2822" name="Column2818" dataDxfId="13562"/>
    <tableColumn id="2823" name="Column2819" dataDxfId="13561"/>
    <tableColumn id="2824" name="Column2820" dataDxfId="13560"/>
    <tableColumn id="2825" name="Column2821" dataDxfId="13559"/>
    <tableColumn id="2826" name="Column2822" dataDxfId="13558"/>
    <tableColumn id="2827" name="Column2823" dataDxfId="13557"/>
    <tableColumn id="2828" name="Column2824" dataDxfId="13556"/>
    <tableColumn id="2829" name="Column2825" dataDxfId="13555"/>
    <tableColumn id="2830" name="Column2826" dataDxfId="13554"/>
    <tableColumn id="2831" name="Column2827" dataDxfId="13553"/>
    <tableColumn id="2832" name="Column2828" dataDxfId="13552"/>
    <tableColumn id="2833" name="Column2829" dataDxfId="13551"/>
    <tableColumn id="2834" name="Column2830" dataDxfId="13550"/>
    <tableColumn id="2835" name="Column2831" dataDxfId="13549"/>
    <tableColumn id="2836" name="Column2832" dataDxfId="13548"/>
    <tableColumn id="2837" name="Column2833" dataDxfId="13547"/>
    <tableColumn id="2838" name="Column2834" dataDxfId="13546"/>
    <tableColumn id="2839" name="Column2835" dataDxfId="13545"/>
    <tableColumn id="2840" name="Column2836" dataDxfId="13544"/>
    <tableColumn id="2841" name="Column2837" dataDxfId="13543"/>
    <tableColumn id="2842" name="Column2838" dataDxfId="13542"/>
    <tableColumn id="2843" name="Column2839" dataDxfId="13541"/>
    <tableColumn id="2844" name="Column2840" dataDxfId="13540"/>
    <tableColumn id="2845" name="Column2841" dataDxfId="13539"/>
    <tableColumn id="2846" name="Column2842" dataDxfId="13538"/>
    <tableColumn id="2847" name="Column2843" dataDxfId="13537"/>
    <tableColumn id="2848" name="Column2844" dataDxfId="13536"/>
    <tableColumn id="2849" name="Column2845" dataDxfId="13535"/>
    <tableColumn id="2850" name="Column2846" dataDxfId="13534"/>
    <tableColumn id="2851" name="Column2847" dataDxfId="13533"/>
    <tableColumn id="2852" name="Column2848" dataDxfId="13532"/>
    <tableColumn id="2853" name="Column2849" dataDxfId="13531"/>
    <tableColumn id="2854" name="Column2850" dataDxfId="13530"/>
    <tableColumn id="2855" name="Column2851" dataDxfId="13529"/>
    <tableColumn id="2856" name="Column2852" dataDxfId="13528"/>
    <tableColumn id="2857" name="Column2853" dataDxfId="13527"/>
    <tableColumn id="2858" name="Column2854" dataDxfId="13526"/>
    <tableColumn id="2859" name="Column2855" dataDxfId="13525"/>
    <tableColumn id="2860" name="Column2856" dataDxfId="13524"/>
    <tableColumn id="2861" name="Column2857" dataDxfId="13523"/>
    <tableColumn id="2862" name="Column2858" dataDxfId="13522"/>
    <tableColumn id="2863" name="Column2859" dataDxfId="13521"/>
    <tableColumn id="2864" name="Column2860" dataDxfId="13520"/>
    <tableColumn id="2865" name="Column2861" dataDxfId="13519"/>
    <tableColumn id="2866" name="Column2862" dataDxfId="13518"/>
    <tableColumn id="2867" name="Column2863" dataDxfId="13517"/>
    <tableColumn id="2868" name="Column2864" dataDxfId="13516"/>
    <tableColumn id="2869" name="Column2865" dataDxfId="13515"/>
    <tableColumn id="2870" name="Column2866" dataDxfId="13514"/>
    <tableColumn id="2871" name="Column2867" dataDxfId="13513"/>
    <tableColumn id="2872" name="Column2868" dataDxfId="13512"/>
    <tableColumn id="2873" name="Column2869" dataDxfId="13511"/>
    <tableColumn id="2874" name="Column2870" dataDxfId="13510"/>
    <tableColumn id="2875" name="Column2871" dataDxfId="13509"/>
    <tableColumn id="2876" name="Column2872" dataDxfId="13508"/>
    <tableColumn id="2877" name="Column2873" dataDxfId="13507"/>
    <tableColumn id="2878" name="Column2874" dataDxfId="13506"/>
    <tableColumn id="2879" name="Column2875" dataDxfId="13505"/>
    <tableColumn id="2880" name="Column2876" dataDxfId="13504"/>
    <tableColumn id="2881" name="Column2877" dataDxfId="13503"/>
    <tableColumn id="2882" name="Column2878" dataDxfId="13502"/>
    <tableColumn id="2883" name="Column2879" dataDxfId="13501"/>
    <tableColumn id="2884" name="Column2880" dataDxfId="13500"/>
    <tableColumn id="2885" name="Column2881" dataDxfId="13499"/>
    <tableColumn id="2886" name="Column2882" dataDxfId="13498"/>
    <tableColumn id="2887" name="Column2883" dataDxfId="13497"/>
    <tableColumn id="2888" name="Column2884" dataDxfId="13496"/>
    <tableColumn id="2889" name="Column2885" dataDxfId="13495"/>
    <tableColumn id="2890" name="Column2886" dataDxfId="13494"/>
    <tableColumn id="2891" name="Column2887" dataDxfId="13493"/>
    <tableColumn id="2892" name="Column2888" dataDxfId="13492"/>
    <tableColumn id="2893" name="Column2889" dataDxfId="13491"/>
    <tableColumn id="2894" name="Column2890" dataDxfId="13490"/>
    <tableColumn id="2895" name="Column2891" dataDxfId="13489"/>
    <tableColumn id="2896" name="Column2892" dataDxfId="13488"/>
    <tableColumn id="2897" name="Column2893" dataDxfId="13487"/>
    <tableColumn id="2898" name="Column2894" dataDxfId="13486"/>
    <tableColumn id="2899" name="Column2895" dataDxfId="13485"/>
    <tableColumn id="2900" name="Column2896" dataDxfId="13484"/>
    <tableColumn id="2901" name="Column2897" dataDxfId="13483"/>
    <tableColumn id="2902" name="Column2898" dataDxfId="13482"/>
    <tableColumn id="2903" name="Column2899" dataDxfId="13481"/>
    <tableColumn id="2904" name="Column2900" dataDxfId="13480"/>
    <tableColumn id="2905" name="Column2901" dataDxfId="13479"/>
    <tableColumn id="2906" name="Column2902" dataDxfId="13478"/>
    <tableColumn id="2907" name="Column2903" dataDxfId="13477"/>
    <tableColumn id="2908" name="Column2904" dataDxfId="13476"/>
    <tableColumn id="2909" name="Column2905" dataDxfId="13475"/>
    <tableColumn id="2910" name="Column2906" dataDxfId="13474"/>
    <tableColumn id="2911" name="Column2907" dataDxfId="13473"/>
    <tableColumn id="2912" name="Column2908" dataDxfId="13472"/>
    <tableColumn id="2913" name="Column2909" dataDxfId="13471"/>
    <tableColumn id="2914" name="Column2910" dataDxfId="13470"/>
    <tableColumn id="2915" name="Column2911" dataDxfId="13469"/>
    <tableColumn id="2916" name="Column2912" dataDxfId="13468"/>
    <tableColumn id="2917" name="Column2913" dataDxfId="13467"/>
    <tableColumn id="2918" name="Column2914" dataDxfId="13466"/>
    <tableColumn id="2919" name="Column2915" dataDxfId="13465"/>
    <tableColumn id="2920" name="Column2916" dataDxfId="13464"/>
    <tableColumn id="2921" name="Column2917" dataDxfId="13463"/>
    <tableColumn id="2922" name="Column2918" dataDxfId="13462"/>
    <tableColumn id="2923" name="Column2919" dataDxfId="13461"/>
    <tableColumn id="2924" name="Column2920" dataDxfId="13460"/>
    <tableColumn id="2925" name="Column2921" dataDxfId="13459"/>
    <tableColumn id="2926" name="Column2922" dataDxfId="13458"/>
    <tableColumn id="2927" name="Column2923" dataDxfId="13457"/>
    <tableColumn id="2928" name="Column2924" dataDxfId="13456"/>
    <tableColumn id="2929" name="Column2925" dataDxfId="13455"/>
    <tableColumn id="2930" name="Column2926" dataDxfId="13454"/>
    <tableColumn id="2931" name="Column2927" dataDxfId="13453"/>
    <tableColumn id="2932" name="Column2928" dataDxfId="13452"/>
    <tableColumn id="2933" name="Column2929" dataDxfId="13451"/>
    <tableColumn id="2934" name="Column2930" dataDxfId="13450"/>
    <tableColumn id="2935" name="Column2931" dataDxfId="13449"/>
    <tableColumn id="2936" name="Column2932" dataDxfId="13448"/>
    <tableColumn id="2937" name="Column2933" dataDxfId="13447"/>
    <tableColumn id="2938" name="Column2934" dataDxfId="13446"/>
    <tableColumn id="2939" name="Column2935" dataDxfId="13445"/>
    <tableColumn id="2940" name="Column2936" dataDxfId="13444"/>
    <tableColumn id="2941" name="Column2937" dataDxfId="13443"/>
    <tableColumn id="2942" name="Column2938" dataDxfId="13442"/>
    <tableColumn id="2943" name="Column2939" dataDxfId="13441"/>
    <tableColumn id="2944" name="Column2940" dataDxfId="13440"/>
    <tableColumn id="2945" name="Column2941" dataDxfId="13439"/>
    <tableColumn id="2946" name="Column2942" dataDxfId="13438"/>
    <tableColumn id="2947" name="Column2943" dataDxfId="13437"/>
    <tableColumn id="2948" name="Column2944" dataDxfId="13436"/>
    <tableColumn id="2949" name="Column2945" dataDxfId="13435"/>
    <tableColumn id="2950" name="Column2946" dataDxfId="13434"/>
    <tableColumn id="2951" name="Column2947" dataDxfId="13433"/>
    <tableColumn id="2952" name="Column2948" dataDxfId="13432"/>
    <tableColumn id="2953" name="Column2949" dataDxfId="13431"/>
    <tableColumn id="2954" name="Column2950" dataDxfId="13430"/>
    <tableColumn id="2955" name="Column2951" dataDxfId="13429"/>
    <tableColumn id="2956" name="Column2952" dataDxfId="13428"/>
    <tableColumn id="2957" name="Column2953" dataDxfId="13427"/>
    <tableColumn id="2958" name="Column2954" dataDxfId="13426"/>
    <tableColumn id="2959" name="Column2955" dataDxfId="13425"/>
    <tableColumn id="2960" name="Column2956" dataDxfId="13424"/>
    <tableColumn id="2961" name="Column2957" dataDxfId="13423"/>
    <tableColumn id="2962" name="Column2958" dataDxfId="13422"/>
    <tableColumn id="2963" name="Column2959" dataDxfId="13421"/>
    <tableColumn id="2964" name="Column2960" dataDxfId="13420"/>
    <tableColumn id="2965" name="Column2961" dataDxfId="13419"/>
    <tableColumn id="2966" name="Column2962" dataDxfId="13418"/>
    <tableColumn id="2967" name="Column2963" dataDxfId="13417"/>
    <tableColumn id="2968" name="Column2964" dataDxfId="13416"/>
    <tableColumn id="2969" name="Column2965" dataDxfId="13415"/>
    <tableColumn id="2970" name="Column2966" dataDxfId="13414"/>
    <tableColumn id="2971" name="Column2967" dataDxfId="13413"/>
    <tableColumn id="2972" name="Column2968" dataDxfId="13412"/>
    <tableColumn id="2973" name="Column2969" dataDxfId="13411"/>
    <tableColumn id="2974" name="Column2970" dataDxfId="13410"/>
    <tableColumn id="2975" name="Column2971" dataDxfId="13409"/>
    <tableColumn id="2976" name="Column2972" dataDxfId="13408"/>
    <tableColumn id="2977" name="Column2973" dataDxfId="13407"/>
    <tableColumn id="2978" name="Column2974" dataDxfId="13406"/>
    <tableColumn id="2979" name="Column2975" dataDxfId="13405"/>
    <tableColumn id="2980" name="Column2976" dataDxfId="13404"/>
    <tableColumn id="2981" name="Column2977" dataDxfId="13403"/>
    <tableColumn id="2982" name="Column2978" dataDxfId="13402"/>
    <tableColumn id="2983" name="Column2979" dataDxfId="13401"/>
    <tableColumn id="2984" name="Column2980" dataDxfId="13400"/>
    <tableColumn id="2985" name="Column2981" dataDxfId="13399"/>
    <tableColumn id="2986" name="Column2982" dataDxfId="13398"/>
    <tableColumn id="2987" name="Column2983" dataDxfId="13397"/>
    <tableColumn id="2988" name="Column2984" dataDxfId="13396"/>
    <tableColumn id="2989" name="Column2985" dataDxfId="13395"/>
    <tableColumn id="2990" name="Column2986" dataDxfId="13394"/>
    <tableColumn id="2991" name="Column2987" dataDxfId="13393"/>
    <tableColumn id="2992" name="Column2988" dataDxfId="13392"/>
    <tableColumn id="2993" name="Column2989" dataDxfId="13391"/>
    <tableColumn id="2994" name="Column2990" dataDxfId="13390"/>
    <tableColumn id="2995" name="Column2991" dataDxfId="13389"/>
    <tableColumn id="2996" name="Column2992" dataDxfId="13388"/>
    <tableColumn id="2997" name="Column2993" dataDxfId="13387"/>
    <tableColumn id="2998" name="Column2994" dataDxfId="13386"/>
    <tableColumn id="2999" name="Column2995" dataDxfId="13385"/>
    <tableColumn id="3000" name="Column2996" dataDxfId="13384"/>
    <tableColumn id="3001" name="Column2997" dataDxfId="13383"/>
    <tableColumn id="3002" name="Column2998" dataDxfId="13382"/>
    <tableColumn id="3003" name="Column2999" dataDxfId="13381"/>
    <tableColumn id="3004" name="Column3000" dataDxfId="13380"/>
    <tableColumn id="3005" name="Column3001" dataDxfId="13379"/>
    <tableColumn id="3006" name="Column3002" dataDxfId="13378"/>
    <tableColumn id="3007" name="Column3003" dataDxfId="13377"/>
    <tableColumn id="3008" name="Column3004" dataDxfId="13376"/>
    <tableColumn id="3009" name="Column3005" dataDxfId="13375"/>
    <tableColumn id="3010" name="Column3006" dataDxfId="13374"/>
    <tableColumn id="3011" name="Column3007" dataDxfId="13373"/>
    <tableColumn id="3012" name="Column3008" dataDxfId="13372"/>
    <tableColumn id="3013" name="Column3009" dataDxfId="13371"/>
    <tableColumn id="3014" name="Column3010" dataDxfId="13370"/>
    <tableColumn id="3015" name="Column3011" dataDxfId="13369"/>
    <tableColumn id="3016" name="Column3012" dataDxfId="13368"/>
    <tableColumn id="3017" name="Column3013" dataDxfId="13367"/>
    <tableColumn id="3018" name="Column3014" dataDxfId="13366"/>
    <tableColumn id="3019" name="Column3015" dataDxfId="13365"/>
    <tableColumn id="3020" name="Column3016" dataDxfId="13364"/>
    <tableColumn id="3021" name="Column3017" dataDxfId="13363"/>
    <tableColumn id="3022" name="Column3018" dataDxfId="13362"/>
    <tableColumn id="3023" name="Column3019" dataDxfId="13361"/>
    <tableColumn id="3024" name="Column3020" dataDxfId="13360"/>
    <tableColumn id="3025" name="Column3021" dataDxfId="13359"/>
    <tableColumn id="3026" name="Column3022" dataDxfId="13358"/>
    <tableColumn id="3027" name="Column3023" dataDxfId="13357"/>
    <tableColumn id="3028" name="Column3024" dataDxfId="13356"/>
    <tableColumn id="3029" name="Column3025" dataDxfId="13355"/>
    <tableColumn id="3030" name="Column3026" dataDxfId="13354"/>
    <tableColumn id="3031" name="Column3027" dataDxfId="13353"/>
    <tableColumn id="3032" name="Column3028" dataDxfId="13352"/>
    <tableColumn id="3033" name="Column3029" dataDxfId="13351"/>
    <tableColumn id="3034" name="Column3030" dataDxfId="13350"/>
    <tableColumn id="3035" name="Column3031" dataDxfId="13349"/>
    <tableColumn id="3036" name="Column3032" dataDxfId="13348"/>
    <tableColumn id="3037" name="Column3033" dataDxfId="13347"/>
    <tableColumn id="3038" name="Column3034" dataDxfId="13346"/>
    <tableColumn id="3039" name="Column3035" dataDxfId="13345"/>
    <tableColumn id="3040" name="Column3036" dataDxfId="13344"/>
    <tableColumn id="3041" name="Column3037" dataDxfId="13343"/>
    <tableColumn id="3042" name="Column3038" dataDxfId="13342"/>
    <tableColumn id="3043" name="Column3039" dataDxfId="13341"/>
    <tableColumn id="3044" name="Column3040" dataDxfId="13340"/>
    <tableColumn id="3045" name="Column3041" dataDxfId="13339"/>
    <tableColumn id="3046" name="Column3042" dataDxfId="13338"/>
    <tableColumn id="3047" name="Column3043" dataDxfId="13337"/>
    <tableColumn id="3048" name="Column3044" dataDxfId="13336"/>
    <tableColumn id="3049" name="Column3045" dataDxfId="13335"/>
    <tableColumn id="3050" name="Column3046" dataDxfId="13334"/>
    <tableColumn id="3051" name="Column3047" dataDxfId="13333"/>
    <tableColumn id="3052" name="Column3048" dataDxfId="13332"/>
    <tableColumn id="3053" name="Column3049" dataDxfId="13331"/>
    <tableColumn id="3054" name="Column3050" dataDxfId="13330"/>
    <tableColumn id="3055" name="Column3051" dataDxfId="13329"/>
    <tableColumn id="3056" name="Column3052" dataDxfId="13328"/>
    <tableColumn id="3057" name="Column3053" dataDxfId="13327"/>
    <tableColumn id="3058" name="Column3054" dataDxfId="13326"/>
    <tableColumn id="3059" name="Column3055" dataDxfId="13325"/>
    <tableColumn id="3060" name="Column3056" dataDxfId="13324"/>
    <tableColumn id="3061" name="Column3057" dataDxfId="13323"/>
    <tableColumn id="3062" name="Column3058" dataDxfId="13322"/>
    <tableColumn id="3063" name="Column3059" dataDxfId="13321"/>
    <tableColumn id="3064" name="Column3060" dataDxfId="13320"/>
    <tableColumn id="3065" name="Column3061" dataDxfId="13319"/>
    <tableColumn id="3066" name="Column3062" dataDxfId="13318"/>
    <tableColumn id="3067" name="Column3063" dataDxfId="13317"/>
    <tableColumn id="3068" name="Column3064" dataDxfId="13316"/>
    <tableColumn id="3069" name="Column3065" dataDxfId="13315"/>
    <tableColumn id="3070" name="Column3066" dataDxfId="13314"/>
    <tableColumn id="3071" name="Column3067" dataDxfId="13313"/>
    <tableColumn id="3072" name="Column3068" dataDxfId="13312"/>
    <tableColumn id="3073" name="Column3069" dataDxfId="13311"/>
    <tableColumn id="3074" name="Column3070" dataDxfId="13310"/>
    <tableColumn id="3075" name="Column3071" dataDxfId="13309"/>
    <tableColumn id="3076" name="Column3072" dataDxfId="13308"/>
    <tableColumn id="3077" name="Column3073" dataDxfId="13307"/>
    <tableColumn id="3078" name="Column3074" dataDxfId="13306"/>
    <tableColumn id="3079" name="Column3075" dataDxfId="13305"/>
    <tableColumn id="3080" name="Column3076" dataDxfId="13304"/>
    <tableColumn id="3081" name="Column3077" dataDxfId="13303"/>
    <tableColumn id="3082" name="Column3078" dataDxfId="13302"/>
    <tableColumn id="3083" name="Column3079" dataDxfId="13301"/>
    <tableColumn id="3084" name="Column3080" dataDxfId="13300"/>
    <tableColumn id="3085" name="Column3081" dataDxfId="13299"/>
    <tableColumn id="3086" name="Column3082" dataDxfId="13298"/>
    <tableColumn id="3087" name="Column3083" dataDxfId="13297"/>
    <tableColumn id="3088" name="Column3084" dataDxfId="13296"/>
    <tableColumn id="3089" name="Column3085" dataDxfId="13295"/>
    <tableColumn id="3090" name="Column3086" dataDxfId="13294"/>
    <tableColumn id="3091" name="Column3087" dataDxfId="13293"/>
    <tableColumn id="3092" name="Column3088" dataDxfId="13292"/>
    <tableColumn id="3093" name="Column3089" dataDxfId="13291"/>
    <tableColumn id="3094" name="Column3090" dataDxfId="13290"/>
    <tableColumn id="3095" name="Column3091" dataDxfId="13289"/>
    <tableColumn id="3096" name="Column3092" dataDxfId="13288"/>
    <tableColumn id="3097" name="Column3093" dataDxfId="13287"/>
    <tableColumn id="3098" name="Column3094" dataDxfId="13286"/>
    <tableColumn id="3099" name="Column3095" dataDxfId="13285"/>
    <tableColumn id="3100" name="Column3096" dataDxfId="13284"/>
    <tableColumn id="3101" name="Column3097" dataDxfId="13283"/>
    <tableColumn id="3102" name="Column3098" dataDxfId="13282"/>
    <tableColumn id="3103" name="Column3099" dataDxfId="13281"/>
    <tableColumn id="3104" name="Column3100" dataDxfId="13280"/>
    <tableColumn id="3105" name="Column3101" dataDxfId="13279"/>
    <tableColumn id="3106" name="Column3102" dataDxfId="13278"/>
    <tableColumn id="3107" name="Column3103" dataDxfId="13277"/>
    <tableColumn id="3108" name="Column3104" dataDxfId="13276"/>
    <tableColumn id="3109" name="Column3105" dataDxfId="13275"/>
    <tableColumn id="3110" name="Column3106" dataDxfId="13274"/>
    <tableColumn id="3111" name="Column3107" dataDxfId="13273"/>
    <tableColumn id="3112" name="Column3108" dataDxfId="13272"/>
    <tableColumn id="3113" name="Column3109" dataDxfId="13271"/>
    <tableColumn id="3114" name="Column3110" dataDxfId="13270"/>
    <tableColumn id="3115" name="Column3111" dataDxfId="13269"/>
    <tableColumn id="3116" name="Column3112" dataDxfId="13268"/>
    <tableColumn id="3117" name="Column3113" dataDxfId="13267"/>
    <tableColumn id="3118" name="Column3114" dataDxfId="13266"/>
    <tableColumn id="3119" name="Column3115" dataDxfId="13265"/>
    <tableColumn id="3120" name="Column3116" dataDxfId="13264"/>
    <tableColumn id="3121" name="Column3117" dataDxfId="13263"/>
    <tableColumn id="3122" name="Column3118" dataDxfId="13262"/>
    <tableColumn id="3123" name="Column3119" dataDxfId="13261"/>
    <tableColumn id="3124" name="Column3120" dataDxfId="13260"/>
    <tableColumn id="3125" name="Column3121" dataDxfId="13259"/>
    <tableColumn id="3126" name="Column3122" dataDxfId="13258"/>
    <tableColumn id="3127" name="Column3123" dataDxfId="13257"/>
    <tableColumn id="3128" name="Column3124" dataDxfId="13256"/>
    <tableColumn id="3129" name="Column3125" dataDxfId="13255"/>
    <tableColumn id="3130" name="Column3126" dataDxfId="13254"/>
    <tableColumn id="3131" name="Column3127" dataDxfId="13253"/>
    <tableColumn id="3132" name="Column3128" dataDxfId="13252"/>
    <tableColumn id="3133" name="Column3129" dataDxfId="13251"/>
    <tableColumn id="3134" name="Column3130" dataDxfId="13250"/>
    <tableColumn id="3135" name="Column3131" dataDxfId="13249"/>
    <tableColumn id="3136" name="Column3132" dataDxfId="13248"/>
    <tableColumn id="3137" name="Column3133" dataDxfId="13247"/>
    <tableColumn id="3138" name="Column3134" dataDxfId="13246"/>
    <tableColumn id="3139" name="Column3135" dataDxfId="13245"/>
    <tableColumn id="3140" name="Column3136" dataDxfId="13244"/>
    <tableColumn id="3141" name="Column3137" dataDxfId="13243"/>
    <tableColumn id="3142" name="Column3138" dataDxfId="13242"/>
    <tableColumn id="3143" name="Column3139" dataDxfId="13241"/>
    <tableColumn id="3144" name="Column3140" dataDxfId="13240"/>
    <tableColumn id="3145" name="Column3141" dataDxfId="13239"/>
    <tableColumn id="3146" name="Column3142" dataDxfId="13238"/>
    <tableColumn id="3147" name="Column3143" dataDxfId="13237"/>
    <tableColumn id="3148" name="Column3144" dataDxfId="13236"/>
    <tableColumn id="3149" name="Column3145" dataDxfId="13235"/>
    <tableColumn id="3150" name="Column3146" dataDxfId="13234"/>
    <tableColumn id="3151" name="Column3147" dataDxfId="13233"/>
    <tableColumn id="3152" name="Column3148" dataDxfId="13232"/>
    <tableColumn id="3153" name="Column3149" dataDxfId="13231"/>
    <tableColumn id="3154" name="Column3150" dataDxfId="13230"/>
    <tableColumn id="3155" name="Column3151" dataDxfId="13229"/>
    <tableColumn id="3156" name="Column3152" dataDxfId="13228"/>
    <tableColumn id="3157" name="Column3153" dataDxfId="13227"/>
    <tableColumn id="3158" name="Column3154" dataDxfId="13226"/>
    <tableColumn id="3159" name="Column3155" dataDxfId="13225"/>
    <tableColumn id="3160" name="Column3156" dataDxfId="13224"/>
    <tableColumn id="3161" name="Column3157" dataDxfId="13223"/>
    <tableColumn id="3162" name="Column3158" dataDxfId="13222"/>
    <tableColumn id="3163" name="Column3159" dataDxfId="13221"/>
    <tableColumn id="3164" name="Column3160" dataDxfId="13220"/>
    <tableColumn id="3165" name="Column3161" dataDxfId="13219"/>
    <tableColumn id="3166" name="Column3162" dataDxfId="13218"/>
    <tableColumn id="3167" name="Column3163" dataDxfId="13217"/>
    <tableColumn id="3168" name="Column3164" dataDxfId="13216"/>
    <tableColumn id="3169" name="Column3165" dataDxfId="13215"/>
    <tableColumn id="3170" name="Column3166" dataDxfId="13214"/>
    <tableColumn id="3171" name="Column3167" dataDxfId="13213"/>
    <tableColumn id="3172" name="Column3168" dataDxfId="13212"/>
    <tableColumn id="3173" name="Column3169" dataDxfId="13211"/>
    <tableColumn id="3174" name="Column3170" dataDxfId="13210"/>
    <tableColumn id="3175" name="Column3171" dataDxfId="13209"/>
    <tableColumn id="3176" name="Column3172" dataDxfId="13208"/>
    <tableColumn id="3177" name="Column3173" dataDxfId="13207"/>
    <tableColumn id="3178" name="Column3174" dataDxfId="13206"/>
    <tableColumn id="3179" name="Column3175" dataDxfId="13205"/>
    <tableColumn id="3180" name="Column3176" dataDxfId="13204"/>
    <tableColumn id="3181" name="Column3177" dataDxfId="13203"/>
    <tableColumn id="3182" name="Column3178" dataDxfId="13202"/>
    <tableColumn id="3183" name="Column3179" dataDxfId="13201"/>
    <tableColumn id="3184" name="Column3180" dataDxfId="13200"/>
    <tableColumn id="3185" name="Column3181" dataDxfId="13199"/>
    <tableColumn id="3186" name="Column3182" dataDxfId="13198"/>
    <tableColumn id="3187" name="Column3183" dataDxfId="13197"/>
    <tableColumn id="3188" name="Column3184" dataDxfId="13196"/>
    <tableColumn id="3189" name="Column3185" dataDxfId="13195"/>
    <tableColumn id="3190" name="Column3186" dataDxfId="13194"/>
    <tableColumn id="3191" name="Column3187" dataDxfId="13193"/>
    <tableColumn id="3192" name="Column3188" dataDxfId="13192"/>
    <tableColumn id="3193" name="Column3189" dataDxfId="13191"/>
    <tableColumn id="3194" name="Column3190" dataDxfId="13190"/>
    <tableColumn id="3195" name="Column3191" dataDxfId="13189"/>
    <tableColumn id="3196" name="Column3192" dataDxfId="13188"/>
    <tableColumn id="3197" name="Column3193" dataDxfId="13187"/>
    <tableColumn id="3198" name="Column3194" dataDxfId="13186"/>
    <tableColumn id="3199" name="Column3195" dataDxfId="13185"/>
    <tableColumn id="3200" name="Column3196" dataDxfId="13184"/>
    <tableColumn id="3201" name="Column3197" dataDxfId="13183"/>
    <tableColumn id="3202" name="Column3198" dataDxfId="13182"/>
    <tableColumn id="3203" name="Column3199" dataDxfId="13181"/>
    <tableColumn id="3204" name="Column3200" dataDxfId="13180"/>
    <tableColumn id="3205" name="Column3201" dataDxfId="13179"/>
    <tableColumn id="3206" name="Column3202" dataDxfId="13178"/>
    <tableColumn id="3207" name="Column3203" dataDxfId="13177"/>
    <tableColumn id="3208" name="Column3204" dataDxfId="13176"/>
    <tableColumn id="3209" name="Column3205" dataDxfId="13175"/>
    <tableColumn id="3210" name="Column3206" dataDxfId="13174"/>
    <tableColumn id="3211" name="Column3207" dataDxfId="13173"/>
    <tableColumn id="3212" name="Column3208" dataDxfId="13172"/>
    <tableColumn id="3213" name="Column3209" dataDxfId="13171"/>
    <tableColumn id="3214" name="Column3210" dataDxfId="13170"/>
    <tableColumn id="3215" name="Column3211" dataDxfId="13169"/>
    <tableColumn id="3216" name="Column3212" dataDxfId="13168"/>
    <tableColumn id="3217" name="Column3213" dataDxfId="13167"/>
    <tableColumn id="3218" name="Column3214" dataDxfId="13166"/>
    <tableColumn id="3219" name="Column3215" dataDxfId="13165"/>
    <tableColumn id="3220" name="Column3216" dataDxfId="13164"/>
    <tableColumn id="3221" name="Column3217" dataDxfId="13163"/>
    <tableColumn id="3222" name="Column3218" dataDxfId="13162"/>
    <tableColumn id="3223" name="Column3219" dataDxfId="13161"/>
    <tableColumn id="3224" name="Column3220" dataDxfId="13160"/>
    <tableColumn id="3225" name="Column3221" dataDxfId="13159"/>
    <tableColumn id="3226" name="Column3222" dataDxfId="13158"/>
    <tableColumn id="3227" name="Column3223" dataDxfId="13157"/>
    <tableColumn id="3228" name="Column3224" dataDxfId="13156"/>
    <tableColumn id="3229" name="Column3225" dataDxfId="13155"/>
    <tableColumn id="3230" name="Column3226" dataDxfId="13154"/>
    <tableColumn id="3231" name="Column3227" dataDxfId="13153"/>
    <tableColumn id="3232" name="Column3228" dataDxfId="13152"/>
    <tableColumn id="3233" name="Column3229" dataDxfId="13151"/>
    <tableColumn id="3234" name="Column3230" dataDxfId="13150"/>
    <tableColumn id="3235" name="Column3231" dataDxfId="13149"/>
    <tableColumn id="3236" name="Column3232" dataDxfId="13148"/>
    <tableColumn id="3237" name="Column3233" dataDxfId="13147"/>
    <tableColumn id="3238" name="Column3234" dataDxfId="13146"/>
    <tableColumn id="3239" name="Column3235" dataDxfId="13145"/>
    <tableColumn id="3240" name="Column3236" dataDxfId="13144"/>
    <tableColumn id="3241" name="Column3237" dataDxfId="13143"/>
    <tableColumn id="3242" name="Column3238" dataDxfId="13142"/>
    <tableColumn id="3243" name="Column3239" dataDxfId="13141"/>
    <tableColumn id="3244" name="Column3240" dataDxfId="13140"/>
    <tableColumn id="3245" name="Column3241" dataDxfId="13139"/>
    <tableColumn id="3246" name="Column3242" dataDxfId="13138"/>
    <tableColumn id="3247" name="Column3243" dataDxfId="13137"/>
    <tableColumn id="3248" name="Column3244" dataDxfId="13136"/>
    <tableColumn id="3249" name="Column3245" dataDxfId="13135"/>
    <tableColumn id="3250" name="Column3246" dataDxfId="13134"/>
    <tableColumn id="3251" name="Column3247" dataDxfId="13133"/>
    <tableColumn id="3252" name="Column3248" dataDxfId="13132"/>
    <tableColumn id="3253" name="Column3249" dataDxfId="13131"/>
    <tableColumn id="3254" name="Column3250" dataDxfId="13130"/>
    <tableColumn id="3255" name="Column3251" dataDxfId="13129"/>
    <tableColumn id="3256" name="Column3252" dataDxfId="13128"/>
    <tableColumn id="3257" name="Column3253" dataDxfId="13127"/>
    <tableColumn id="3258" name="Column3254" dataDxfId="13126"/>
    <tableColumn id="3259" name="Column3255" dataDxfId="13125"/>
    <tableColumn id="3260" name="Column3256" dataDxfId="13124"/>
    <tableColumn id="3261" name="Column3257" dataDxfId="13123"/>
    <tableColumn id="3262" name="Column3258" dataDxfId="13122"/>
    <tableColumn id="3263" name="Column3259" dataDxfId="13121"/>
    <tableColumn id="3264" name="Column3260" dataDxfId="13120"/>
    <tableColumn id="3265" name="Column3261" dataDxfId="13119"/>
    <tableColumn id="3266" name="Column3262" dataDxfId="13118"/>
    <tableColumn id="3267" name="Column3263" dataDxfId="13117"/>
    <tableColumn id="3268" name="Column3264" dataDxfId="13116"/>
    <tableColumn id="3269" name="Column3265" dataDxfId="13115"/>
    <tableColumn id="3270" name="Column3266" dataDxfId="13114"/>
    <tableColumn id="3271" name="Column3267" dataDxfId="13113"/>
    <tableColumn id="3272" name="Column3268" dataDxfId="13112"/>
    <tableColumn id="3273" name="Column3269" dataDxfId="13111"/>
    <tableColumn id="3274" name="Column3270" dataDxfId="13110"/>
    <tableColumn id="3275" name="Column3271" dataDxfId="13109"/>
    <tableColumn id="3276" name="Column3272" dataDxfId="13108"/>
    <tableColumn id="3277" name="Column3273" dataDxfId="13107"/>
    <tableColumn id="3278" name="Column3274" dataDxfId="13106"/>
    <tableColumn id="3279" name="Column3275" dataDxfId="13105"/>
    <tableColumn id="3280" name="Column3276" dataDxfId="13104"/>
    <tableColumn id="3281" name="Column3277" dataDxfId="13103"/>
    <tableColumn id="3282" name="Column3278" dataDxfId="13102"/>
    <tableColumn id="3283" name="Column3279" dataDxfId="13101"/>
    <tableColumn id="3284" name="Column3280" dataDxfId="13100"/>
    <tableColumn id="3285" name="Column3281" dataDxfId="13099"/>
    <tableColumn id="3286" name="Column3282" dataDxfId="13098"/>
    <tableColumn id="3287" name="Column3283" dataDxfId="13097"/>
    <tableColumn id="3288" name="Column3284" dataDxfId="13096"/>
    <tableColumn id="3289" name="Column3285" dataDxfId="13095"/>
    <tableColumn id="3290" name="Column3286" dataDxfId="13094"/>
    <tableColumn id="3291" name="Column3287" dataDxfId="13093"/>
    <tableColumn id="3292" name="Column3288" dataDxfId="13092"/>
    <tableColumn id="3293" name="Column3289" dataDxfId="13091"/>
    <tableColumn id="3294" name="Column3290" dataDxfId="13090"/>
    <tableColumn id="3295" name="Column3291" dataDxfId="13089"/>
    <tableColumn id="3296" name="Column3292" dataDxfId="13088"/>
    <tableColumn id="3297" name="Column3293" dataDxfId="13087"/>
    <tableColumn id="3298" name="Column3294" dataDxfId="13086"/>
    <tableColumn id="3299" name="Column3295" dataDxfId="13085"/>
    <tableColumn id="3300" name="Column3296" dataDxfId="13084"/>
    <tableColumn id="3301" name="Column3297" dataDxfId="13083"/>
    <tableColumn id="3302" name="Column3298" dataDxfId="13082"/>
    <tableColumn id="3303" name="Column3299" dataDxfId="13081"/>
    <tableColumn id="3304" name="Column3300" dataDxfId="13080"/>
    <tableColumn id="3305" name="Column3301" dataDxfId="13079"/>
    <tableColumn id="3306" name="Column3302" dataDxfId="13078"/>
    <tableColumn id="3307" name="Column3303" dataDxfId="13077"/>
    <tableColumn id="3308" name="Column3304" dataDxfId="13076"/>
    <tableColumn id="3309" name="Column3305" dataDxfId="13075"/>
    <tableColumn id="3310" name="Column3306" dataDxfId="13074"/>
    <tableColumn id="3311" name="Column3307" dataDxfId="13073"/>
    <tableColumn id="3312" name="Column3308" dataDxfId="13072"/>
    <tableColumn id="3313" name="Column3309" dataDxfId="13071"/>
    <tableColumn id="3314" name="Column3310" dataDxfId="13070"/>
    <tableColumn id="3315" name="Column3311" dataDxfId="13069"/>
    <tableColumn id="3316" name="Column3312" dataDxfId="13068"/>
    <tableColumn id="3317" name="Column3313" dataDxfId="13067"/>
    <tableColumn id="3318" name="Column3314" dataDxfId="13066"/>
    <tableColumn id="3319" name="Column3315" dataDxfId="13065"/>
    <tableColumn id="3320" name="Column3316" dataDxfId="13064"/>
    <tableColumn id="3321" name="Column3317" dataDxfId="13063"/>
    <tableColumn id="3322" name="Column3318" dataDxfId="13062"/>
    <tableColumn id="3323" name="Column3319" dataDxfId="13061"/>
    <tableColumn id="3324" name="Column3320" dataDxfId="13060"/>
    <tableColumn id="3325" name="Column3321" dataDxfId="13059"/>
    <tableColumn id="3326" name="Column3322" dataDxfId="13058"/>
    <tableColumn id="3327" name="Column3323" dataDxfId="13057"/>
    <tableColumn id="3328" name="Column3324" dataDxfId="13056"/>
    <tableColumn id="3329" name="Column3325" dataDxfId="13055"/>
    <tableColumn id="3330" name="Column3326" dataDxfId="13054"/>
    <tableColumn id="3331" name="Column3327" dataDxfId="13053"/>
    <tableColumn id="3332" name="Column3328" dataDxfId="13052"/>
    <tableColumn id="3333" name="Column3329" dataDxfId="13051"/>
    <tableColumn id="3334" name="Column3330" dataDxfId="13050"/>
    <tableColumn id="3335" name="Column3331" dataDxfId="13049"/>
    <tableColumn id="3336" name="Column3332" dataDxfId="13048"/>
    <tableColumn id="3337" name="Column3333" dataDxfId="13047"/>
    <tableColumn id="3338" name="Column3334" dataDxfId="13046"/>
    <tableColumn id="3339" name="Column3335" dataDxfId="13045"/>
    <tableColumn id="3340" name="Column3336" dataDxfId="13044"/>
    <tableColumn id="3341" name="Column3337" dataDxfId="13043"/>
    <tableColumn id="3342" name="Column3338" dataDxfId="13042"/>
    <tableColumn id="3343" name="Column3339" dataDxfId="13041"/>
    <tableColumn id="3344" name="Column3340" dataDxfId="13040"/>
    <tableColumn id="3345" name="Column3341" dataDxfId="13039"/>
    <tableColumn id="3346" name="Column3342" dataDxfId="13038"/>
    <tableColumn id="3347" name="Column3343" dataDxfId="13037"/>
    <tableColumn id="3348" name="Column3344" dataDxfId="13036"/>
    <tableColumn id="3349" name="Column3345" dataDxfId="13035"/>
    <tableColumn id="3350" name="Column3346" dataDxfId="13034"/>
    <tableColumn id="3351" name="Column3347" dataDxfId="13033"/>
    <tableColumn id="3352" name="Column3348" dataDxfId="13032"/>
    <tableColumn id="3353" name="Column3349" dataDxfId="13031"/>
    <tableColumn id="3354" name="Column3350" dataDxfId="13030"/>
    <tableColumn id="3355" name="Column3351" dataDxfId="13029"/>
    <tableColumn id="3356" name="Column3352" dataDxfId="13028"/>
    <tableColumn id="3357" name="Column3353" dataDxfId="13027"/>
    <tableColumn id="3358" name="Column3354" dataDxfId="13026"/>
    <tableColumn id="3359" name="Column3355" dataDxfId="13025"/>
    <tableColumn id="3360" name="Column3356" dataDxfId="13024"/>
    <tableColumn id="3361" name="Column3357" dataDxfId="13023"/>
    <tableColumn id="3362" name="Column3358" dataDxfId="13022"/>
    <tableColumn id="3363" name="Column3359" dataDxfId="13021"/>
    <tableColumn id="3364" name="Column3360" dataDxfId="13020"/>
    <tableColumn id="3365" name="Column3361" dataDxfId="13019"/>
    <tableColumn id="3366" name="Column3362" dataDxfId="13018"/>
    <tableColumn id="3367" name="Column3363" dataDxfId="13017"/>
    <tableColumn id="3368" name="Column3364" dataDxfId="13016"/>
    <tableColumn id="3369" name="Column3365" dataDxfId="13015"/>
    <tableColumn id="3370" name="Column3366" dataDxfId="13014"/>
    <tableColumn id="3371" name="Column3367" dataDxfId="13013"/>
    <tableColumn id="3372" name="Column3368" dataDxfId="13012"/>
    <tableColumn id="3373" name="Column3369" dataDxfId="13011"/>
    <tableColumn id="3374" name="Column3370" dataDxfId="13010"/>
    <tableColumn id="3375" name="Column3371" dataDxfId="13009"/>
    <tableColumn id="3376" name="Column3372" dataDxfId="13008"/>
    <tableColumn id="3377" name="Column3373" dataDxfId="13007"/>
    <tableColumn id="3378" name="Column3374" dataDxfId="13006"/>
    <tableColumn id="3379" name="Column3375" dataDxfId="13005"/>
    <tableColumn id="3380" name="Column3376" dataDxfId="13004"/>
    <tableColumn id="3381" name="Column3377" dataDxfId="13003"/>
    <tableColumn id="3382" name="Column3378" dataDxfId="13002"/>
    <tableColumn id="3383" name="Column3379" dataDxfId="13001"/>
    <tableColumn id="3384" name="Column3380" dataDxfId="13000"/>
    <tableColumn id="3385" name="Column3381" dataDxfId="12999"/>
    <tableColumn id="3386" name="Column3382" dataDxfId="12998"/>
    <tableColumn id="3387" name="Column3383" dataDxfId="12997"/>
    <tableColumn id="3388" name="Column3384" dataDxfId="12996"/>
    <tableColumn id="3389" name="Column3385" dataDxfId="12995"/>
    <tableColumn id="3390" name="Column3386" dataDxfId="12994"/>
    <tableColumn id="3391" name="Column3387" dataDxfId="12993"/>
    <tableColumn id="3392" name="Column3388" dataDxfId="12992"/>
    <tableColumn id="3393" name="Column3389" dataDxfId="12991"/>
    <tableColumn id="3394" name="Column3390" dataDxfId="12990"/>
    <tableColumn id="3395" name="Column3391" dataDxfId="12989"/>
    <tableColumn id="3396" name="Column3392" dataDxfId="12988"/>
    <tableColumn id="3397" name="Column3393" dataDxfId="12987"/>
    <tableColumn id="3398" name="Column3394" dataDxfId="12986"/>
    <tableColumn id="3399" name="Column3395" dataDxfId="12985"/>
    <tableColumn id="3400" name="Column3396" dataDxfId="12984"/>
    <tableColumn id="3401" name="Column3397" dataDxfId="12983"/>
    <tableColumn id="3402" name="Column3398" dataDxfId="12982"/>
    <tableColumn id="3403" name="Column3399" dataDxfId="12981"/>
    <tableColumn id="3404" name="Column3400" dataDxfId="12980"/>
    <tableColumn id="3405" name="Column3401" dataDxfId="12979"/>
    <tableColumn id="3406" name="Column3402" dataDxfId="12978"/>
    <tableColumn id="3407" name="Column3403" dataDxfId="12977"/>
    <tableColumn id="3408" name="Column3404" dataDxfId="12976"/>
    <tableColumn id="3409" name="Column3405" dataDxfId="12975"/>
    <tableColumn id="3410" name="Column3406" dataDxfId="12974"/>
    <tableColumn id="3411" name="Column3407" dataDxfId="12973"/>
    <tableColumn id="3412" name="Column3408" dataDxfId="12972"/>
    <tableColumn id="3413" name="Column3409" dataDxfId="12971"/>
    <tableColumn id="3414" name="Column3410" dataDxfId="12970"/>
    <tableColumn id="3415" name="Column3411" dataDxfId="12969"/>
    <tableColumn id="3416" name="Column3412" dataDxfId="12968"/>
    <tableColumn id="3417" name="Column3413" dataDxfId="12967"/>
    <tableColumn id="3418" name="Column3414" dataDxfId="12966"/>
    <tableColumn id="3419" name="Column3415" dataDxfId="12965"/>
    <tableColumn id="3420" name="Column3416" dataDxfId="12964"/>
    <tableColumn id="3421" name="Column3417" dataDxfId="12963"/>
    <tableColumn id="3422" name="Column3418" dataDxfId="12962"/>
    <tableColumn id="3423" name="Column3419" dataDxfId="12961"/>
    <tableColumn id="3424" name="Column3420" dataDxfId="12960"/>
    <tableColumn id="3425" name="Column3421" dataDxfId="12959"/>
    <tableColumn id="3426" name="Column3422" dataDxfId="12958"/>
    <tableColumn id="3427" name="Column3423" dataDxfId="12957"/>
    <tableColumn id="3428" name="Column3424" dataDxfId="12956"/>
    <tableColumn id="3429" name="Column3425" dataDxfId="12955"/>
    <tableColumn id="3430" name="Column3426" dataDxfId="12954"/>
    <tableColumn id="3431" name="Column3427" dataDxfId="12953"/>
    <tableColumn id="3432" name="Column3428" dataDxfId="12952"/>
    <tableColumn id="3433" name="Column3429" dataDxfId="12951"/>
    <tableColumn id="3434" name="Column3430" dataDxfId="12950"/>
    <tableColumn id="3435" name="Column3431" dataDxfId="12949"/>
    <tableColumn id="3436" name="Column3432" dataDxfId="12948"/>
    <tableColumn id="3437" name="Column3433" dataDxfId="12947"/>
    <tableColumn id="3438" name="Column3434" dataDxfId="12946"/>
    <tableColumn id="3439" name="Column3435" dataDxfId="12945"/>
    <tableColumn id="3440" name="Column3436" dataDxfId="12944"/>
    <tableColumn id="3441" name="Column3437" dataDxfId="12943"/>
    <tableColumn id="3442" name="Column3438" dataDxfId="12942"/>
    <tableColumn id="3443" name="Column3439" dataDxfId="12941"/>
    <tableColumn id="3444" name="Column3440" dataDxfId="12940"/>
    <tableColumn id="3445" name="Column3441" dataDxfId="12939"/>
    <tableColumn id="3446" name="Column3442" dataDxfId="12938"/>
    <tableColumn id="3447" name="Column3443" dataDxfId="12937"/>
    <tableColumn id="3448" name="Column3444" dataDxfId="12936"/>
    <tableColumn id="3449" name="Column3445" dataDxfId="12935"/>
    <tableColumn id="3450" name="Column3446" dataDxfId="12934"/>
    <tableColumn id="3451" name="Column3447" dataDxfId="12933"/>
    <tableColumn id="3452" name="Column3448" dataDxfId="12932"/>
    <tableColumn id="3453" name="Column3449" dataDxfId="12931"/>
    <tableColumn id="3454" name="Column3450" dataDxfId="12930"/>
    <tableColumn id="3455" name="Column3451" dataDxfId="12929"/>
    <tableColumn id="3456" name="Column3452" dataDxfId="12928"/>
    <tableColumn id="3457" name="Column3453" dataDxfId="12927"/>
    <tableColumn id="3458" name="Column3454" dataDxfId="12926"/>
    <tableColumn id="3459" name="Column3455" dataDxfId="12925"/>
    <tableColumn id="3460" name="Column3456" dataDxfId="12924"/>
    <tableColumn id="3461" name="Column3457" dataDxfId="12923"/>
    <tableColumn id="3462" name="Column3458" dataDxfId="12922"/>
    <tableColumn id="3463" name="Column3459" dataDxfId="12921"/>
    <tableColumn id="3464" name="Column3460" dataDxfId="12920"/>
    <tableColumn id="3465" name="Column3461" dataDxfId="12919"/>
    <tableColumn id="3466" name="Column3462" dataDxfId="12918"/>
    <tableColumn id="3467" name="Column3463" dataDxfId="12917"/>
    <tableColumn id="3468" name="Column3464" dataDxfId="12916"/>
    <tableColumn id="3469" name="Column3465" dataDxfId="12915"/>
    <tableColumn id="3470" name="Column3466" dataDxfId="12914"/>
    <tableColumn id="3471" name="Column3467" dataDxfId="12913"/>
    <tableColumn id="3472" name="Column3468" dataDxfId="12912"/>
    <tableColumn id="3473" name="Column3469" dataDxfId="12911"/>
    <tableColumn id="3474" name="Column3470" dataDxfId="12910"/>
    <tableColumn id="3475" name="Column3471" dataDxfId="12909"/>
    <tableColumn id="3476" name="Column3472" dataDxfId="12908"/>
    <tableColumn id="3477" name="Column3473" dataDxfId="12907"/>
    <tableColumn id="3478" name="Column3474" dataDxfId="12906"/>
    <tableColumn id="3479" name="Column3475" dataDxfId="12905"/>
    <tableColumn id="3480" name="Column3476" dataDxfId="12904"/>
    <tableColumn id="3481" name="Column3477" dataDxfId="12903"/>
    <tableColumn id="3482" name="Column3478" dataDxfId="12902"/>
    <tableColumn id="3483" name="Column3479" dataDxfId="12901"/>
    <tableColumn id="3484" name="Column3480" dataDxfId="12900"/>
    <tableColumn id="3485" name="Column3481" dataDxfId="12899"/>
    <tableColumn id="3486" name="Column3482" dataDxfId="12898"/>
    <tableColumn id="3487" name="Column3483" dataDxfId="12897"/>
    <tableColumn id="3488" name="Column3484" dataDxfId="12896"/>
    <tableColumn id="3489" name="Column3485" dataDxfId="12895"/>
    <tableColumn id="3490" name="Column3486" dataDxfId="12894"/>
    <tableColumn id="3491" name="Column3487" dataDxfId="12893"/>
    <tableColumn id="3492" name="Column3488" dataDxfId="12892"/>
    <tableColumn id="3493" name="Column3489" dataDxfId="12891"/>
    <tableColumn id="3494" name="Column3490" dataDxfId="12890"/>
    <tableColumn id="3495" name="Column3491" dataDxfId="12889"/>
    <tableColumn id="3496" name="Column3492" dataDxfId="12888"/>
    <tableColumn id="3497" name="Column3493" dataDxfId="12887"/>
    <tableColumn id="3498" name="Column3494" dataDxfId="12886"/>
    <tableColumn id="3499" name="Column3495" dataDxfId="12885"/>
    <tableColumn id="3500" name="Column3496" dataDxfId="12884"/>
    <tableColumn id="3501" name="Column3497" dataDxfId="12883"/>
    <tableColumn id="3502" name="Column3498" dataDxfId="12882"/>
    <tableColumn id="3503" name="Column3499" dataDxfId="12881"/>
    <tableColumn id="3504" name="Column3500" dataDxfId="12880"/>
    <tableColumn id="3505" name="Column3501" dataDxfId="12879"/>
    <tableColumn id="3506" name="Column3502" dataDxfId="12878"/>
    <tableColumn id="3507" name="Column3503" dataDxfId="12877"/>
    <tableColumn id="3508" name="Column3504" dataDxfId="12876"/>
    <tableColumn id="3509" name="Column3505" dataDxfId="12875"/>
    <tableColumn id="3510" name="Column3506" dataDxfId="12874"/>
    <tableColumn id="3511" name="Column3507" dataDxfId="12873"/>
    <tableColumn id="3512" name="Column3508" dataDxfId="12872"/>
    <tableColumn id="3513" name="Column3509" dataDxfId="12871"/>
    <tableColumn id="3514" name="Column3510" dataDxfId="12870"/>
    <tableColumn id="3515" name="Column3511" dataDxfId="12869"/>
    <tableColumn id="3516" name="Column3512" dataDxfId="12868"/>
    <tableColumn id="3517" name="Column3513" dataDxfId="12867"/>
    <tableColumn id="3518" name="Column3514" dataDxfId="12866"/>
    <tableColumn id="3519" name="Column3515" dataDxfId="12865"/>
    <tableColumn id="3520" name="Column3516" dataDxfId="12864"/>
    <tableColumn id="3521" name="Column3517" dataDxfId="12863"/>
    <tableColumn id="3522" name="Column3518" dataDxfId="12862"/>
    <tableColumn id="3523" name="Column3519" dataDxfId="12861"/>
    <tableColumn id="3524" name="Column3520" dataDxfId="12860"/>
    <tableColumn id="3525" name="Column3521" dataDxfId="12859"/>
    <tableColumn id="3526" name="Column3522" dataDxfId="12858"/>
    <tableColumn id="3527" name="Column3523" dataDxfId="12857"/>
    <tableColumn id="3528" name="Column3524" dataDxfId="12856"/>
    <tableColumn id="3529" name="Column3525" dataDxfId="12855"/>
    <tableColumn id="3530" name="Column3526" dataDxfId="12854"/>
    <tableColumn id="3531" name="Column3527" dataDxfId="12853"/>
    <tableColumn id="3532" name="Column3528" dataDxfId="12852"/>
    <tableColumn id="3533" name="Column3529" dataDxfId="12851"/>
    <tableColumn id="3534" name="Column3530" dataDxfId="12850"/>
    <tableColumn id="3535" name="Column3531" dataDxfId="12849"/>
    <tableColumn id="3536" name="Column3532" dataDxfId="12848"/>
    <tableColumn id="3537" name="Column3533" dataDxfId="12847"/>
    <tableColumn id="3538" name="Column3534" dataDxfId="12846"/>
    <tableColumn id="3539" name="Column3535" dataDxfId="12845"/>
    <tableColumn id="3540" name="Column3536" dataDxfId="12844"/>
    <tableColumn id="3541" name="Column3537" dataDxfId="12843"/>
    <tableColumn id="3542" name="Column3538" dataDxfId="12842"/>
    <tableColumn id="3543" name="Column3539" dataDxfId="12841"/>
    <tableColumn id="3544" name="Column3540" dataDxfId="12840"/>
    <tableColumn id="3545" name="Column3541" dataDxfId="12839"/>
    <tableColumn id="3546" name="Column3542" dataDxfId="12838"/>
    <tableColumn id="3547" name="Column3543" dataDxfId="12837"/>
    <tableColumn id="3548" name="Column3544" dataDxfId="12836"/>
    <tableColumn id="3549" name="Column3545" dataDxfId="12835"/>
    <tableColumn id="3550" name="Column3546" dataDxfId="12834"/>
    <tableColumn id="3551" name="Column3547" dataDxfId="12833"/>
    <tableColumn id="3552" name="Column3548" dataDxfId="12832"/>
    <tableColumn id="3553" name="Column3549" dataDxfId="12831"/>
    <tableColumn id="3554" name="Column3550" dataDxfId="12830"/>
    <tableColumn id="3555" name="Column3551" dataDxfId="12829"/>
    <tableColumn id="3556" name="Column3552" dataDxfId="12828"/>
    <tableColumn id="3557" name="Column3553" dataDxfId="12827"/>
    <tableColumn id="3558" name="Column3554" dataDxfId="12826"/>
    <tableColumn id="3559" name="Column3555" dataDxfId="12825"/>
    <tableColumn id="3560" name="Column3556" dataDxfId="12824"/>
    <tableColumn id="3561" name="Column3557" dataDxfId="12823"/>
    <tableColumn id="3562" name="Column3558" dataDxfId="12822"/>
    <tableColumn id="3563" name="Column3559" dataDxfId="12821"/>
    <tableColumn id="3564" name="Column3560" dataDxfId="12820"/>
    <tableColumn id="3565" name="Column3561" dataDxfId="12819"/>
    <tableColumn id="3566" name="Column3562" dataDxfId="12818"/>
    <tableColumn id="3567" name="Column3563" dataDxfId="12817"/>
    <tableColumn id="3568" name="Column3564" dataDxfId="12816"/>
    <tableColumn id="3569" name="Column3565" dataDxfId="12815"/>
    <tableColumn id="3570" name="Column3566" dataDxfId="12814"/>
    <tableColumn id="3571" name="Column3567" dataDxfId="12813"/>
    <tableColumn id="3572" name="Column3568" dataDxfId="12812"/>
    <tableColumn id="3573" name="Column3569" dataDxfId="12811"/>
    <tableColumn id="3574" name="Column3570" dataDxfId="12810"/>
    <tableColumn id="3575" name="Column3571" dataDxfId="12809"/>
    <tableColumn id="3576" name="Column3572" dataDxfId="12808"/>
    <tableColumn id="3577" name="Column3573" dataDxfId="12807"/>
    <tableColumn id="3578" name="Column3574" dataDxfId="12806"/>
    <tableColumn id="3579" name="Column3575" dataDxfId="12805"/>
    <tableColumn id="3580" name="Column3576" dataDxfId="12804"/>
    <tableColumn id="3581" name="Column3577" dataDxfId="12803"/>
    <tableColumn id="3582" name="Column3578" dataDxfId="12802"/>
    <tableColumn id="3583" name="Column3579" dataDxfId="12801"/>
    <tableColumn id="3584" name="Column3580" dataDxfId="12800"/>
    <tableColumn id="3585" name="Column3581" dataDxfId="12799"/>
    <tableColumn id="3586" name="Column3582" dataDxfId="12798"/>
    <tableColumn id="3587" name="Column3583" dataDxfId="12797"/>
    <tableColumn id="3588" name="Column3584" dataDxfId="12796"/>
    <tableColumn id="3589" name="Column3585" dataDxfId="12795"/>
    <tableColumn id="3590" name="Column3586" dataDxfId="12794"/>
    <tableColumn id="3591" name="Column3587" dataDxfId="12793"/>
    <tableColumn id="3592" name="Column3588" dataDxfId="12792"/>
    <tableColumn id="3593" name="Column3589" dataDxfId="12791"/>
    <tableColumn id="3594" name="Column3590" dataDxfId="12790"/>
    <tableColumn id="3595" name="Column3591" dataDxfId="12789"/>
    <tableColumn id="3596" name="Column3592" dataDxfId="12788"/>
    <tableColumn id="3597" name="Column3593" dataDxfId="12787"/>
    <tableColumn id="3598" name="Column3594" dataDxfId="12786"/>
    <tableColumn id="3599" name="Column3595" dataDxfId="12785"/>
    <tableColumn id="3600" name="Column3596" dataDxfId="12784"/>
    <tableColumn id="3601" name="Column3597" dataDxfId="12783"/>
    <tableColumn id="3602" name="Column3598" dataDxfId="12782"/>
    <tableColumn id="3603" name="Column3599" dataDxfId="12781"/>
    <tableColumn id="3604" name="Column3600" dataDxfId="12780"/>
    <tableColumn id="3605" name="Column3601" dataDxfId="12779"/>
    <tableColumn id="3606" name="Column3602" dataDxfId="12778"/>
    <tableColumn id="3607" name="Column3603" dataDxfId="12777"/>
    <tableColumn id="3608" name="Column3604" dataDxfId="12776"/>
    <tableColumn id="3609" name="Column3605" dataDxfId="12775"/>
    <tableColumn id="3610" name="Column3606" dataDxfId="12774"/>
    <tableColumn id="3611" name="Column3607" dataDxfId="12773"/>
    <tableColumn id="3612" name="Column3608" dataDxfId="12772"/>
    <tableColumn id="3613" name="Column3609" dataDxfId="12771"/>
    <tableColumn id="3614" name="Column3610" dataDxfId="12770"/>
    <tableColumn id="3615" name="Column3611" dataDxfId="12769"/>
    <tableColumn id="3616" name="Column3612" dataDxfId="12768"/>
    <tableColumn id="3617" name="Column3613" dataDxfId="12767"/>
    <tableColumn id="3618" name="Column3614" dataDxfId="12766"/>
    <tableColumn id="3619" name="Column3615" dataDxfId="12765"/>
    <tableColumn id="3620" name="Column3616" dataDxfId="12764"/>
    <tableColumn id="3621" name="Column3617" dataDxfId="12763"/>
    <tableColumn id="3622" name="Column3618" dataDxfId="12762"/>
    <tableColumn id="3623" name="Column3619" dataDxfId="12761"/>
    <tableColumn id="3624" name="Column3620" dataDxfId="12760"/>
    <tableColumn id="3625" name="Column3621" dataDxfId="12759"/>
    <tableColumn id="3626" name="Column3622" dataDxfId="12758"/>
    <tableColumn id="3627" name="Column3623" dataDxfId="12757"/>
    <tableColumn id="3628" name="Column3624" dataDxfId="12756"/>
    <tableColumn id="3629" name="Column3625" dataDxfId="12755"/>
    <tableColumn id="3630" name="Column3626" dataDxfId="12754"/>
    <tableColumn id="3631" name="Column3627" dataDxfId="12753"/>
    <tableColumn id="3632" name="Column3628" dataDxfId="12752"/>
    <tableColumn id="3633" name="Column3629" dataDxfId="12751"/>
    <tableColumn id="3634" name="Column3630" dataDxfId="12750"/>
    <tableColumn id="3635" name="Column3631" dataDxfId="12749"/>
    <tableColumn id="3636" name="Column3632" dataDxfId="12748"/>
    <tableColumn id="3637" name="Column3633" dataDxfId="12747"/>
    <tableColumn id="3638" name="Column3634" dataDxfId="12746"/>
    <tableColumn id="3639" name="Column3635" dataDxfId="12745"/>
    <tableColumn id="3640" name="Column3636" dataDxfId="12744"/>
    <tableColumn id="3641" name="Column3637" dataDxfId="12743"/>
    <tableColumn id="3642" name="Column3638" dataDxfId="12742"/>
    <tableColumn id="3643" name="Column3639" dataDxfId="12741"/>
    <tableColumn id="3644" name="Column3640" dataDxfId="12740"/>
    <tableColumn id="3645" name="Column3641" dataDxfId="12739"/>
    <tableColumn id="3646" name="Column3642" dataDxfId="12738"/>
    <tableColumn id="3647" name="Column3643" dataDxfId="12737"/>
    <tableColumn id="3648" name="Column3644" dataDxfId="12736"/>
    <tableColumn id="3649" name="Column3645" dataDxfId="12735"/>
    <tableColumn id="3650" name="Column3646" dataDxfId="12734"/>
    <tableColumn id="3651" name="Column3647" dataDxfId="12733"/>
    <tableColumn id="3652" name="Column3648" dataDxfId="12732"/>
    <tableColumn id="3653" name="Column3649" dataDxfId="12731"/>
    <tableColumn id="3654" name="Column3650" dataDxfId="12730"/>
    <tableColumn id="3655" name="Column3651" dataDxfId="12729"/>
    <tableColumn id="3656" name="Column3652" dataDxfId="12728"/>
    <tableColumn id="3657" name="Column3653" dataDxfId="12727"/>
    <tableColumn id="3658" name="Column3654" dataDxfId="12726"/>
    <tableColumn id="3659" name="Column3655" dataDxfId="12725"/>
    <tableColumn id="3660" name="Column3656" dataDxfId="12724"/>
    <tableColumn id="3661" name="Column3657" dataDxfId="12723"/>
    <tableColumn id="3662" name="Column3658" dataDxfId="12722"/>
    <tableColumn id="3663" name="Column3659" dataDxfId="12721"/>
    <tableColumn id="3664" name="Column3660" dataDxfId="12720"/>
    <tableColumn id="3665" name="Column3661" dataDxfId="12719"/>
    <tableColumn id="3666" name="Column3662" dataDxfId="12718"/>
    <tableColumn id="3667" name="Column3663" dataDxfId="12717"/>
    <tableColumn id="3668" name="Column3664" dataDxfId="12716"/>
    <tableColumn id="3669" name="Column3665" dataDxfId="12715"/>
    <tableColumn id="3670" name="Column3666" dataDxfId="12714"/>
    <tableColumn id="3671" name="Column3667" dataDxfId="12713"/>
    <tableColumn id="3672" name="Column3668" dataDxfId="12712"/>
    <tableColumn id="3673" name="Column3669" dataDxfId="12711"/>
    <tableColumn id="3674" name="Column3670" dataDxfId="12710"/>
    <tableColumn id="3675" name="Column3671" dataDxfId="12709"/>
    <tableColumn id="3676" name="Column3672" dataDxfId="12708"/>
    <tableColumn id="3677" name="Column3673" dataDxfId="12707"/>
    <tableColumn id="3678" name="Column3674" dataDxfId="12706"/>
    <tableColumn id="3679" name="Column3675" dataDxfId="12705"/>
    <tableColumn id="3680" name="Column3676" dataDxfId="12704"/>
    <tableColumn id="3681" name="Column3677" dataDxfId="12703"/>
    <tableColumn id="3682" name="Column3678" dataDxfId="12702"/>
    <tableColumn id="3683" name="Column3679" dataDxfId="12701"/>
    <tableColumn id="3684" name="Column3680" dataDxfId="12700"/>
    <tableColumn id="3685" name="Column3681" dataDxfId="12699"/>
    <tableColumn id="3686" name="Column3682" dataDxfId="12698"/>
    <tableColumn id="3687" name="Column3683" dataDxfId="12697"/>
    <tableColumn id="3688" name="Column3684" dataDxfId="12696"/>
    <tableColumn id="3689" name="Column3685" dataDxfId="12695"/>
    <tableColumn id="3690" name="Column3686" dataDxfId="12694"/>
    <tableColumn id="3691" name="Column3687" dataDxfId="12693"/>
    <tableColumn id="3692" name="Column3688" dataDxfId="12692"/>
    <tableColumn id="3693" name="Column3689" dataDxfId="12691"/>
    <tableColumn id="3694" name="Column3690" dataDxfId="12690"/>
    <tableColumn id="3695" name="Column3691" dataDxfId="12689"/>
    <tableColumn id="3696" name="Column3692" dataDxfId="12688"/>
    <tableColumn id="3697" name="Column3693" dataDxfId="12687"/>
    <tableColumn id="3698" name="Column3694" dataDxfId="12686"/>
    <tableColumn id="3699" name="Column3695" dataDxfId="12685"/>
    <tableColumn id="3700" name="Column3696" dataDxfId="12684"/>
    <tableColumn id="3701" name="Column3697" dataDxfId="12683"/>
    <tableColumn id="3702" name="Column3698" dataDxfId="12682"/>
    <tableColumn id="3703" name="Column3699" dataDxfId="12681"/>
    <tableColumn id="3704" name="Column3700" dataDxfId="12680"/>
    <tableColumn id="3705" name="Column3701" dataDxfId="12679"/>
    <tableColumn id="3706" name="Column3702" dataDxfId="12678"/>
    <tableColumn id="3707" name="Column3703" dataDxfId="12677"/>
    <tableColumn id="3708" name="Column3704" dataDxfId="12676"/>
    <tableColumn id="3709" name="Column3705" dataDxfId="12675"/>
    <tableColumn id="3710" name="Column3706" dataDxfId="12674"/>
    <tableColumn id="3711" name="Column3707" dataDxfId="12673"/>
    <tableColumn id="3712" name="Column3708" dataDxfId="12672"/>
    <tableColumn id="3713" name="Column3709" dataDxfId="12671"/>
    <tableColumn id="3714" name="Column3710" dataDxfId="12670"/>
    <tableColumn id="3715" name="Column3711" dataDxfId="12669"/>
    <tableColumn id="3716" name="Column3712" dataDxfId="12668"/>
    <tableColumn id="3717" name="Column3713" dataDxfId="12667"/>
    <tableColumn id="3718" name="Column3714" dataDxfId="12666"/>
    <tableColumn id="3719" name="Column3715" dataDxfId="12665"/>
    <tableColumn id="3720" name="Column3716" dataDxfId="12664"/>
    <tableColumn id="3721" name="Column3717" dataDxfId="12663"/>
    <tableColumn id="3722" name="Column3718" dataDxfId="12662"/>
    <tableColumn id="3723" name="Column3719" dataDxfId="12661"/>
    <tableColumn id="3724" name="Column3720" dataDxfId="12660"/>
    <tableColumn id="3725" name="Column3721" dataDxfId="12659"/>
    <tableColumn id="3726" name="Column3722" dataDxfId="12658"/>
    <tableColumn id="3727" name="Column3723" dataDxfId="12657"/>
    <tableColumn id="3728" name="Column3724" dataDxfId="12656"/>
    <tableColumn id="3729" name="Column3725" dataDxfId="12655"/>
    <tableColumn id="3730" name="Column3726" dataDxfId="12654"/>
    <tableColumn id="3731" name="Column3727" dataDxfId="12653"/>
    <tableColumn id="3732" name="Column3728" dataDxfId="12652"/>
    <tableColumn id="3733" name="Column3729" dataDxfId="12651"/>
    <tableColumn id="3734" name="Column3730" dataDxfId="12650"/>
    <tableColumn id="3735" name="Column3731" dataDxfId="12649"/>
    <tableColumn id="3736" name="Column3732" dataDxfId="12648"/>
    <tableColumn id="3737" name="Column3733" dataDxfId="12647"/>
    <tableColumn id="3738" name="Column3734" dataDxfId="12646"/>
    <tableColumn id="3739" name="Column3735" dataDxfId="12645"/>
    <tableColumn id="3740" name="Column3736" dataDxfId="12644"/>
    <tableColumn id="3741" name="Column3737" dataDxfId="12643"/>
    <tableColumn id="3742" name="Column3738" dataDxfId="12642"/>
    <tableColumn id="3743" name="Column3739" dataDxfId="12641"/>
    <tableColumn id="3744" name="Column3740" dataDxfId="12640"/>
    <tableColumn id="3745" name="Column3741" dataDxfId="12639"/>
    <tableColumn id="3746" name="Column3742" dataDxfId="12638"/>
    <tableColumn id="3747" name="Column3743" dataDxfId="12637"/>
    <tableColumn id="3748" name="Column3744" dataDxfId="12636"/>
    <tableColumn id="3749" name="Column3745" dataDxfId="12635"/>
    <tableColumn id="3750" name="Column3746" dataDxfId="12634"/>
    <tableColumn id="3751" name="Column3747" dataDxfId="12633"/>
    <tableColumn id="3752" name="Column3748" dataDxfId="12632"/>
    <tableColumn id="3753" name="Column3749" dataDxfId="12631"/>
    <tableColumn id="3754" name="Column3750" dataDxfId="12630"/>
    <tableColumn id="3755" name="Column3751" dataDxfId="12629"/>
    <tableColumn id="3756" name="Column3752" dataDxfId="12628"/>
    <tableColumn id="3757" name="Column3753" dataDxfId="12627"/>
    <tableColumn id="3758" name="Column3754" dataDxfId="12626"/>
    <tableColumn id="3759" name="Column3755" dataDxfId="12625"/>
    <tableColumn id="3760" name="Column3756" dataDxfId="12624"/>
    <tableColumn id="3761" name="Column3757" dataDxfId="12623"/>
    <tableColumn id="3762" name="Column3758" dataDxfId="12622"/>
    <tableColumn id="3763" name="Column3759" dataDxfId="12621"/>
    <tableColumn id="3764" name="Column3760" dataDxfId="12620"/>
    <tableColumn id="3765" name="Column3761" dataDxfId="12619"/>
    <tableColumn id="3766" name="Column3762" dataDxfId="12618"/>
    <tableColumn id="3767" name="Column3763" dataDxfId="12617"/>
    <tableColumn id="3768" name="Column3764" dataDxfId="12616"/>
    <tableColumn id="3769" name="Column3765" dataDxfId="12615"/>
    <tableColumn id="3770" name="Column3766" dataDxfId="12614"/>
    <tableColumn id="3771" name="Column3767" dataDxfId="12613"/>
    <tableColumn id="3772" name="Column3768" dataDxfId="12612"/>
    <tableColumn id="3773" name="Column3769" dataDxfId="12611"/>
    <tableColumn id="3774" name="Column3770" dataDxfId="12610"/>
    <tableColumn id="3775" name="Column3771" dataDxfId="12609"/>
    <tableColumn id="3776" name="Column3772" dataDxfId="12608"/>
    <tableColumn id="3777" name="Column3773" dataDxfId="12607"/>
    <tableColumn id="3778" name="Column3774" dataDxfId="12606"/>
    <tableColumn id="3779" name="Column3775" dataDxfId="12605"/>
    <tableColumn id="3780" name="Column3776" dataDxfId="12604"/>
    <tableColumn id="3781" name="Column3777" dataDxfId="12603"/>
    <tableColumn id="3782" name="Column3778" dataDxfId="12602"/>
    <tableColumn id="3783" name="Column3779" dataDxfId="12601"/>
    <tableColumn id="3784" name="Column3780" dataDxfId="12600"/>
    <tableColumn id="3785" name="Column3781" dataDxfId="12599"/>
    <tableColumn id="3786" name="Column3782" dataDxfId="12598"/>
    <tableColumn id="3787" name="Column3783" dataDxfId="12597"/>
    <tableColumn id="3788" name="Column3784" dataDxfId="12596"/>
    <tableColumn id="3789" name="Column3785" dataDxfId="12595"/>
    <tableColumn id="3790" name="Column3786" dataDxfId="12594"/>
    <tableColumn id="3791" name="Column3787" dataDxfId="12593"/>
    <tableColumn id="3792" name="Column3788" dataDxfId="12592"/>
    <tableColumn id="3793" name="Column3789" dataDxfId="12591"/>
    <tableColumn id="3794" name="Column3790" dataDxfId="12590"/>
    <tableColumn id="3795" name="Column3791" dataDxfId="12589"/>
    <tableColumn id="3796" name="Column3792" dataDxfId="12588"/>
    <tableColumn id="3797" name="Column3793" dataDxfId="12587"/>
    <tableColumn id="3798" name="Column3794" dataDxfId="12586"/>
    <tableColumn id="3799" name="Column3795" dataDxfId="12585"/>
    <tableColumn id="3800" name="Column3796" dataDxfId="12584"/>
    <tableColumn id="3801" name="Column3797" dataDxfId="12583"/>
    <tableColumn id="3802" name="Column3798" dataDxfId="12582"/>
    <tableColumn id="3803" name="Column3799" dataDxfId="12581"/>
    <tableColumn id="3804" name="Column3800" dataDxfId="12580"/>
    <tableColumn id="3805" name="Column3801" dataDxfId="12579"/>
    <tableColumn id="3806" name="Column3802" dataDxfId="12578"/>
    <tableColumn id="3807" name="Column3803" dataDxfId="12577"/>
    <tableColumn id="3808" name="Column3804" dataDxfId="12576"/>
    <tableColumn id="3809" name="Column3805" dataDxfId="12575"/>
    <tableColumn id="3810" name="Column3806" dataDxfId="12574"/>
    <tableColumn id="3811" name="Column3807" dataDxfId="12573"/>
    <tableColumn id="3812" name="Column3808" dataDxfId="12572"/>
    <tableColumn id="3813" name="Column3809" dataDxfId="12571"/>
    <tableColumn id="3814" name="Column3810" dataDxfId="12570"/>
    <tableColumn id="3815" name="Column3811" dataDxfId="12569"/>
    <tableColumn id="3816" name="Column3812" dataDxfId="12568"/>
    <tableColumn id="3817" name="Column3813" dataDxfId="12567"/>
    <tableColumn id="3818" name="Column3814" dataDxfId="12566"/>
    <tableColumn id="3819" name="Column3815" dataDxfId="12565"/>
    <tableColumn id="3820" name="Column3816" dataDxfId="12564"/>
    <tableColumn id="3821" name="Column3817" dataDxfId="12563"/>
    <tableColumn id="3822" name="Column3818" dataDxfId="12562"/>
    <tableColumn id="3823" name="Column3819" dataDxfId="12561"/>
    <tableColumn id="3824" name="Column3820" dataDxfId="12560"/>
    <tableColumn id="3825" name="Column3821" dataDxfId="12559"/>
    <tableColumn id="3826" name="Column3822" dataDxfId="12558"/>
    <tableColumn id="3827" name="Column3823" dataDxfId="12557"/>
    <tableColumn id="3828" name="Column3824" dataDxfId="12556"/>
    <tableColumn id="3829" name="Column3825" dataDxfId="12555"/>
    <tableColumn id="3830" name="Column3826" dataDxfId="12554"/>
    <tableColumn id="3831" name="Column3827" dataDxfId="12553"/>
    <tableColumn id="3832" name="Column3828" dataDxfId="12552"/>
    <tableColumn id="3833" name="Column3829" dataDxfId="12551"/>
    <tableColumn id="3834" name="Column3830" dataDxfId="12550"/>
    <tableColumn id="3835" name="Column3831" dataDxfId="12549"/>
    <tableColumn id="3836" name="Column3832" dataDxfId="12548"/>
    <tableColumn id="3837" name="Column3833" dataDxfId="12547"/>
    <tableColumn id="3838" name="Column3834" dataDxfId="12546"/>
    <tableColumn id="3839" name="Column3835" dataDxfId="12545"/>
    <tableColumn id="3840" name="Column3836" dataDxfId="12544"/>
    <tableColumn id="3841" name="Column3837" dataDxfId="12543"/>
    <tableColumn id="3842" name="Column3838" dataDxfId="12542"/>
    <tableColumn id="3843" name="Column3839" dataDxfId="12541"/>
    <tableColumn id="3844" name="Column3840" dataDxfId="12540"/>
    <tableColumn id="3845" name="Column3841" dataDxfId="12539"/>
    <tableColumn id="3846" name="Column3842" dataDxfId="12538"/>
    <tableColumn id="3847" name="Column3843" dataDxfId="12537"/>
    <tableColumn id="3848" name="Column3844" dataDxfId="12536"/>
    <tableColumn id="3849" name="Column3845" dataDxfId="12535"/>
    <tableColumn id="3850" name="Column3846" dataDxfId="12534"/>
    <tableColumn id="3851" name="Column3847" dataDxfId="12533"/>
    <tableColumn id="3852" name="Column3848" dataDxfId="12532"/>
    <tableColumn id="3853" name="Column3849" dataDxfId="12531"/>
    <tableColumn id="3854" name="Column3850" dataDxfId="12530"/>
    <tableColumn id="3855" name="Column3851" dataDxfId="12529"/>
    <tableColumn id="3856" name="Column3852" dataDxfId="12528"/>
    <tableColumn id="3857" name="Column3853" dataDxfId="12527"/>
    <tableColumn id="3858" name="Column3854" dataDxfId="12526"/>
    <tableColumn id="3859" name="Column3855" dataDxfId="12525"/>
    <tableColumn id="3860" name="Column3856" dataDxfId="12524"/>
    <tableColumn id="3861" name="Column3857" dataDxfId="12523"/>
    <tableColumn id="3862" name="Column3858" dataDxfId="12522"/>
    <tableColumn id="3863" name="Column3859" dataDxfId="12521"/>
    <tableColumn id="3864" name="Column3860" dataDxfId="12520"/>
    <tableColumn id="3865" name="Column3861" dataDxfId="12519"/>
    <tableColumn id="3866" name="Column3862" dataDxfId="12518"/>
    <tableColumn id="3867" name="Column3863" dataDxfId="12517"/>
    <tableColumn id="3868" name="Column3864" dataDxfId="12516"/>
    <tableColumn id="3869" name="Column3865" dataDxfId="12515"/>
    <tableColumn id="3870" name="Column3866" dataDxfId="12514"/>
    <tableColumn id="3871" name="Column3867" dataDxfId="12513"/>
    <tableColumn id="3872" name="Column3868" dataDxfId="12512"/>
    <tableColumn id="3873" name="Column3869" dataDxfId="12511"/>
    <tableColumn id="3874" name="Column3870" dataDxfId="12510"/>
    <tableColumn id="3875" name="Column3871" dataDxfId="12509"/>
    <tableColumn id="3876" name="Column3872" dataDxfId="12508"/>
    <tableColumn id="3877" name="Column3873" dataDxfId="12507"/>
    <tableColumn id="3878" name="Column3874" dataDxfId="12506"/>
    <tableColumn id="3879" name="Column3875" dataDxfId="12505"/>
    <tableColumn id="3880" name="Column3876" dataDxfId="12504"/>
    <tableColumn id="3881" name="Column3877" dataDxfId="12503"/>
    <tableColumn id="3882" name="Column3878" dataDxfId="12502"/>
    <tableColumn id="3883" name="Column3879" dataDxfId="12501"/>
    <tableColumn id="3884" name="Column3880" dataDxfId="12500"/>
    <tableColumn id="3885" name="Column3881" dataDxfId="12499"/>
    <tableColumn id="3886" name="Column3882" dataDxfId="12498"/>
    <tableColumn id="3887" name="Column3883" dataDxfId="12497"/>
    <tableColumn id="3888" name="Column3884" dataDxfId="12496"/>
    <tableColumn id="3889" name="Column3885" dataDxfId="12495"/>
    <tableColumn id="3890" name="Column3886" dataDxfId="12494"/>
    <tableColumn id="3891" name="Column3887" dataDxfId="12493"/>
    <tableColumn id="3892" name="Column3888" dataDxfId="12492"/>
    <tableColumn id="3893" name="Column3889" dataDxfId="12491"/>
    <tableColumn id="3894" name="Column3890" dataDxfId="12490"/>
    <tableColumn id="3895" name="Column3891" dataDxfId="12489"/>
    <tableColumn id="3896" name="Column3892" dataDxfId="12488"/>
    <tableColumn id="3897" name="Column3893" dataDxfId="12487"/>
    <tableColumn id="3898" name="Column3894" dataDxfId="12486"/>
    <tableColumn id="3899" name="Column3895" dataDxfId="12485"/>
    <tableColumn id="3900" name="Column3896" dataDxfId="12484"/>
    <tableColumn id="3901" name="Column3897" dataDxfId="12483"/>
    <tableColumn id="3902" name="Column3898" dataDxfId="12482"/>
    <tableColumn id="3903" name="Column3899" dataDxfId="12481"/>
    <tableColumn id="3904" name="Column3900" dataDxfId="12480"/>
    <tableColumn id="3905" name="Column3901" dataDxfId="12479"/>
    <tableColumn id="3906" name="Column3902" dataDxfId="12478"/>
    <tableColumn id="3907" name="Column3903" dataDxfId="12477"/>
    <tableColumn id="3908" name="Column3904" dataDxfId="12476"/>
    <tableColumn id="3909" name="Column3905" dataDxfId="12475"/>
    <tableColumn id="3910" name="Column3906" dataDxfId="12474"/>
    <tableColumn id="3911" name="Column3907" dataDxfId="12473"/>
    <tableColumn id="3912" name="Column3908" dataDxfId="12472"/>
    <tableColumn id="3913" name="Column3909" dataDxfId="12471"/>
    <tableColumn id="3914" name="Column3910" dataDxfId="12470"/>
    <tableColumn id="3915" name="Column3911" dataDxfId="12469"/>
    <tableColumn id="3916" name="Column3912" dataDxfId="12468"/>
    <tableColumn id="3917" name="Column3913" dataDxfId="12467"/>
    <tableColumn id="3918" name="Column3914" dataDxfId="12466"/>
    <tableColumn id="3919" name="Column3915" dataDxfId="12465"/>
    <tableColumn id="3920" name="Column3916" dataDxfId="12464"/>
    <tableColumn id="3921" name="Column3917" dataDxfId="12463"/>
    <tableColumn id="3922" name="Column3918" dataDxfId="12462"/>
    <tableColumn id="3923" name="Column3919" dataDxfId="12461"/>
    <tableColumn id="3924" name="Column3920" dataDxfId="12460"/>
    <tableColumn id="3925" name="Column3921" dataDxfId="12459"/>
    <tableColumn id="3926" name="Column3922" dataDxfId="12458"/>
    <tableColumn id="3927" name="Column3923" dataDxfId="12457"/>
    <tableColumn id="3928" name="Column3924" dataDxfId="12456"/>
    <tableColumn id="3929" name="Column3925" dataDxfId="12455"/>
    <tableColumn id="3930" name="Column3926" dataDxfId="12454"/>
    <tableColumn id="3931" name="Column3927" dataDxfId="12453"/>
    <tableColumn id="3932" name="Column3928" dataDxfId="12452"/>
    <tableColumn id="3933" name="Column3929" dataDxfId="12451"/>
    <tableColumn id="3934" name="Column3930" dataDxfId="12450"/>
    <tableColumn id="3935" name="Column3931" dataDxfId="12449"/>
    <tableColumn id="3936" name="Column3932" dataDxfId="12448"/>
    <tableColumn id="3937" name="Column3933" dataDxfId="12447"/>
    <tableColumn id="3938" name="Column3934" dataDxfId="12446"/>
    <tableColumn id="3939" name="Column3935" dataDxfId="12445"/>
    <tableColumn id="3940" name="Column3936" dataDxfId="12444"/>
    <tableColumn id="3941" name="Column3937" dataDxfId="12443"/>
    <tableColumn id="3942" name="Column3938" dataDxfId="12442"/>
    <tableColumn id="3943" name="Column3939" dataDxfId="12441"/>
    <tableColumn id="3944" name="Column3940" dataDxfId="12440"/>
    <tableColumn id="3945" name="Column3941" dataDxfId="12439"/>
    <tableColumn id="3946" name="Column3942" dataDxfId="12438"/>
    <tableColumn id="3947" name="Column3943" dataDxfId="12437"/>
    <tableColumn id="3948" name="Column3944" dataDxfId="12436"/>
    <tableColumn id="3949" name="Column3945" dataDxfId="12435"/>
    <tableColumn id="3950" name="Column3946" dataDxfId="12434"/>
    <tableColumn id="3951" name="Column3947" dataDxfId="12433"/>
    <tableColumn id="3952" name="Column3948" dataDxfId="12432"/>
    <tableColumn id="3953" name="Column3949" dataDxfId="12431"/>
    <tableColumn id="3954" name="Column3950" dataDxfId="12430"/>
    <tableColumn id="3955" name="Column3951" dataDxfId="12429"/>
    <tableColumn id="3956" name="Column3952" dataDxfId="12428"/>
    <tableColumn id="3957" name="Column3953" dataDxfId="12427"/>
    <tableColumn id="3958" name="Column3954" dataDxfId="12426"/>
    <tableColumn id="3959" name="Column3955" dataDxfId="12425"/>
    <tableColumn id="3960" name="Column3956" dataDxfId="12424"/>
    <tableColumn id="3961" name="Column3957" dataDxfId="12423"/>
    <tableColumn id="3962" name="Column3958" dataDxfId="12422"/>
    <tableColumn id="3963" name="Column3959" dataDxfId="12421"/>
    <tableColumn id="3964" name="Column3960" dataDxfId="12420"/>
    <tableColumn id="3965" name="Column3961" dataDxfId="12419"/>
    <tableColumn id="3966" name="Column3962" dataDxfId="12418"/>
    <tableColumn id="3967" name="Column3963" dataDxfId="12417"/>
    <tableColumn id="3968" name="Column3964" dataDxfId="12416"/>
    <tableColumn id="3969" name="Column3965" dataDxfId="12415"/>
    <tableColumn id="3970" name="Column3966" dataDxfId="12414"/>
    <tableColumn id="3971" name="Column3967" dataDxfId="12413"/>
    <tableColumn id="3972" name="Column3968" dataDxfId="12412"/>
    <tableColumn id="3973" name="Column3969" dataDxfId="12411"/>
    <tableColumn id="3974" name="Column3970" dataDxfId="12410"/>
    <tableColumn id="3975" name="Column3971" dataDxfId="12409"/>
    <tableColumn id="3976" name="Column3972" dataDxfId="12408"/>
    <tableColumn id="3977" name="Column3973" dataDxfId="12407"/>
    <tableColumn id="3978" name="Column3974" dataDxfId="12406"/>
    <tableColumn id="3979" name="Column3975" dataDxfId="12405"/>
    <tableColumn id="3980" name="Column3976" dataDxfId="12404"/>
    <tableColumn id="3981" name="Column3977" dataDxfId="12403"/>
    <tableColumn id="3982" name="Column3978" dataDxfId="12402"/>
    <tableColumn id="3983" name="Column3979" dataDxfId="12401"/>
    <tableColumn id="3984" name="Column3980" dataDxfId="12400"/>
    <tableColumn id="3985" name="Column3981" dataDxfId="12399"/>
    <tableColumn id="3986" name="Column3982" dataDxfId="12398"/>
    <tableColumn id="3987" name="Column3983" dataDxfId="12397"/>
    <tableColumn id="3988" name="Column3984" dataDxfId="12396"/>
    <tableColumn id="3989" name="Column3985" dataDxfId="12395"/>
    <tableColumn id="3990" name="Column3986" dataDxfId="12394"/>
    <tableColumn id="3991" name="Column3987" dataDxfId="12393"/>
    <tableColumn id="3992" name="Column3988" dataDxfId="12392"/>
    <tableColumn id="3993" name="Column3989" dataDxfId="12391"/>
    <tableColumn id="3994" name="Column3990" dataDxfId="12390"/>
    <tableColumn id="3995" name="Column3991" dataDxfId="12389"/>
    <tableColumn id="3996" name="Column3992" dataDxfId="12388"/>
    <tableColumn id="3997" name="Column3993" dataDxfId="12387"/>
    <tableColumn id="3998" name="Column3994" dataDxfId="12386"/>
    <tableColumn id="3999" name="Column3995" dataDxfId="12385"/>
    <tableColumn id="4000" name="Column3996" dataDxfId="12384"/>
    <tableColumn id="4001" name="Column3997" dataDxfId="12383"/>
    <tableColumn id="4002" name="Column3998" dataDxfId="12382"/>
    <tableColumn id="4003" name="Column3999" dataDxfId="12381"/>
    <tableColumn id="4004" name="Column4000" dataDxfId="12380"/>
    <tableColumn id="4005" name="Column4001" dataDxfId="12379"/>
    <tableColumn id="4006" name="Column4002" dataDxfId="12378"/>
    <tableColumn id="4007" name="Column4003" dataDxfId="12377"/>
    <tableColumn id="4008" name="Column4004" dataDxfId="12376"/>
    <tableColumn id="4009" name="Column4005" dataDxfId="12375"/>
    <tableColumn id="4010" name="Column4006" dataDxfId="12374"/>
    <tableColumn id="4011" name="Column4007" dataDxfId="12373"/>
    <tableColumn id="4012" name="Column4008" dataDxfId="12372"/>
    <tableColumn id="4013" name="Column4009" dataDxfId="12371"/>
    <tableColumn id="4014" name="Column4010" dataDxfId="12370"/>
    <tableColumn id="4015" name="Column4011" dataDxfId="12369"/>
    <tableColumn id="4016" name="Column4012" dataDxfId="12368"/>
    <tableColumn id="4017" name="Column4013" dataDxfId="12367"/>
    <tableColumn id="4018" name="Column4014" dataDxfId="12366"/>
    <tableColumn id="4019" name="Column4015" dataDxfId="12365"/>
    <tableColumn id="4020" name="Column4016" dataDxfId="12364"/>
    <tableColumn id="4021" name="Column4017" dataDxfId="12363"/>
    <tableColumn id="4022" name="Column4018" dataDxfId="12362"/>
    <tableColumn id="4023" name="Column4019" dataDxfId="12361"/>
    <tableColumn id="4024" name="Column4020" dataDxfId="12360"/>
    <tableColumn id="4025" name="Column4021" dataDxfId="12359"/>
    <tableColumn id="4026" name="Column4022" dataDxfId="12358"/>
    <tableColumn id="4027" name="Column4023" dataDxfId="12357"/>
    <tableColumn id="4028" name="Column4024" dataDxfId="12356"/>
    <tableColumn id="4029" name="Column4025" dataDxfId="12355"/>
    <tableColumn id="4030" name="Column4026" dataDxfId="12354"/>
    <tableColumn id="4031" name="Column4027" dataDxfId="12353"/>
    <tableColumn id="4032" name="Column4028" dataDxfId="12352"/>
    <tableColumn id="4033" name="Column4029" dataDxfId="12351"/>
    <tableColumn id="4034" name="Column4030" dataDxfId="12350"/>
    <tableColumn id="4035" name="Column4031" dataDxfId="12349"/>
    <tableColumn id="4036" name="Column4032" dataDxfId="12348"/>
    <tableColumn id="4037" name="Column4033" dataDxfId="12347"/>
    <tableColumn id="4038" name="Column4034" dataDxfId="12346"/>
    <tableColumn id="4039" name="Column4035" dataDxfId="12345"/>
    <tableColumn id="4040" name="Column4036" dataDxfId="12344"/>
    <tableColumn id="4041" name="Column4037" dataDxfId="12343"/>
    <tableColumn id="4042" name="Column4038" dataDxfId="12342"/>
    <tableColumn id="4043" name="Column4039" dataDxfId="12341"/>
    <tableColumn id="4044" name="Column4040" dataDxfId="12340"/>
    <tableColumn id="4045" name="Column4041" dataDxfId="12339"/>
    <tableColumn id="4046" name="Column4042" dataDxfId="12338"/>
    <tableColumn id="4047" name="Column4043" dataDxfId="12337"/>
    <tableColumn id="4048" name="Column4044" dataDxfId="12336"/>
    <tableColumn id="4049" name="Column4045" dataDxfId="12335"/>
    <tableColumn id="4050" name="Column4046" dataDxfId="12334"/>
    <tableColumn id="4051" name="Column4047" dataDxfId="12333"/>
    <tableColumn id="4052" name="Column4048" dataDxfId="12332"/>
    <tableColumn id="4053" name="Column4049" dataDxfId="12331"/>
    <tableColumn id="4054" name="Column4050" dataDxfId="12330"/>
    <tableColumn id="4055" name="Column4051" dataDxfId="12329"/>
    <tableColumn id="4056" name="Column4052" dataDxfId="12328"/>
    <tableColumn id="4057" name="Column4053" dataDxfId="12327"/>
    <tableColumn id="4058" name="Column4054" dataDxfId="12326"/>
    <tableColumn id="4059" name="Column4055" dataDxfId="12325"/>
    <tableColumn id="4060" name="Column4056" dataDxfId="12324"/>
    <tableColumn id="4061" name="Column4057" dataDxfId="12323"/>
    <tableColumn id="4062" name="Column4058" dataDxfId="12322"/>
    <tableColumn id="4063" name="Column4059" dataDxfId="12321"/>
    <tableColumn id="4064" name="Column4060" dataDxfId="12320"/>
    <tableColumn id="4065" name="Column4061" dataDxfId="12319"/>
    <tableColumn id="4066" name="Column4062" dataDxfId="12318"/>
    <tableColumn id="4067" name="Column4063" dataDxfId="12317"/>
    <tableColumn id="4068" name="Column4064" dataDxfId="12316"/>
    <tableColumn id="4069" name="Column4065" dataDxfId="12315"/>
    <tableColumn id="4070" name="Column4066" dataDxfId="12314"/>
    <tableColumn id="4071" name="Column4067" dataDxfId="12313"/>
    <tableColumn id="4072" name="Column4068" dataDxfId="12312"/>
    <tableColumn id="4073" name="Column4069" dataDxfId="12311"/>
    <tableColumn id="4074" name="Column4070" dataDxfId="12310"/>
    <tableColumn id="4075" name="Column4071" dataDxfId="12309"/>
    <tableColumn id="4076" name="Column4072" dataDxfId="12308"/>
    <tableColumn id="4077" name="Column4073" dataDxfId="12307"/>
    <tableColumn id="4078" name="Column4074" dataDxfId="12306"/>
    <tableColumn id="4079" name="Column4075" dataDxfId="12305"/>
    <tableColumn id="4080" name="Column4076" dataDxfId="12304"/>
    <tableColumn id="4081" name="Column4077" dataDxfId="12303"/>
    <tableColumn id="4082" name="Column4078" dataDxfId="12302"/>
    <tableColumn id="4083" name="Column4079" dataDxfId="12301"/>
    <tableColumn id="4084" name="Column4080" dataDxfId="12300"/>
    <tableColumn id="4085" name="Column4081" dataDxfId="12299"/>
    <tableColumn id="4086" name="Column4082" dataDxfId="12298"/>
    <tableColumn id="4087" name="Column4083" dataDxfId="12297"/>
    <tableColumn id="4088" name="Column4084" dataDxfId="12296"/>
    <tableColumn id="4089" name="Column4085" dataDxfId="12295"/>
    <tableColumn id="4090" name="Column4086" dataDxfId="12294"/>
    <tableColumn id="4091" name="Column4087" dataDxfId="12293"/>
    <tableColumn id="4092" name="Column4088" dataDxfId="12292"/>
    <tableColumn id="4093" name="Column4089" dataDxfId="12291"/>
    <tableColumn id="4094" name="Column4090" dataDxfId="12290"/>
    <tableColumn id="4095" name="Column4091" dataDxfId="12289"/>
    <tableColumn id="4096" name="Column4092" dataDxfId="12288"/>
    <tableColumn id="4097" name="Column4093" dataDxfId="12287"/>
    <tableColumn id="4098" name="Column4094" dataDxfId="12286"/>
    <tableColumn id="4099" name="Column4095" dataDxfId="12285"/>
    <tableColumn id="4100" name="Column4096" dataDxfId="12284"/>
    <tableColumn id="4101" name="Column4097" dataDxfId="12283"/>
    <tableColumn id="4102" name="Column4098" dataDxfId="12282"/>
    <tableColumn id="4103" name="Column4099" dataDxfId="12281"/>
    <tableColumn id="4104" name="Column4100" dataDxfId="12280"/>
    <tableColumn id="4105" name="Column4101" dataDxfId="12279"/>
    <tableColumn id="4106" name="Column4102" dataDxfId="12278"/>
    <tableColumn id="4107" name="Column4103" dataDxfId="12277"/>
    <tableColumn id="4108" name="Column4104" dataDxfId="12276"/>
    <tableColumn id="4109" name="Column4105" dataDxfId="12275"/>
    <tableColumn id="4110" name="Column4106" dataDxfId="12274"/>
    <tableColumn id="4111" name="Column4107" dataDxfId="12273"/>
    <tableColumn id="4112" name="Column4108" dataDxfId="12272"/>
    <tableColumn id="4113" name="Column4109" dataDxfId="12271"/>
    <tableColumn id="4114" name="Column4110" dataDxfId="12270"/>
    <tableColumn id="4115" name="Column4111" dataDxfId="12269"/>
    <tableColumn id="4116" name="Column4112" dataDxfId="12268"/>
    <tableColumn id="4117" name="Column4113" dataDxfId="12267"/>
    <tableColumn id="4118" name="Column4114" dataDxfId="12266"/>
    <tableColumn id="4119" name="Column4115" dataDxfId="12265"/>
    <tableColumn id="4120" name="Column4116" dataDxfId="12264"/>
    <tableColumn id="4121" name="Column4117" dataDxfId="12263"/>
    <tableColumn id="4122" name="Column4118" dataDxfId="12262"/>
    <tableColumn id="4123" name="Column4119" dataDxfId="12261"/>
    <tableColumn id="4124" name="Column4120" dataDxfId="12260"/>
    <tableColumn id="4125" name="Column4121" dataDxfId="12259"/>
    <tableColumn id="4126" name="Column4122" dataDxfId="12258"/>
    <tableColumn id="4127" name="Column4123" dataDxfId="12257"/>
    <tableColumn id="4128" name="Column4124" dataDxfId="12256"/>
    <tableColumn id="4129" name="Column4125" dataDxfId="12255"/>
    <tableColumn id="4130" name="Column4126" dataDxfId="12254"/>
    <tableColumn id="4131" name="Column4127" dataDxfId="12253"/>
    <tableColumn id="4132" name="Column4128" dataDxfId="12252"/>
    <tableColumn id="4133" name="Column4129" dataDxfId="12251"/>
    <tableColumn id="4134" name="Column4130" dataDxfId="12250"/>
    <tableColumn id="4135" name="Column4131" dataDxfId="12249"/>
    <tableColumn id="4136" name="Column4132" dataDxfId="12248"/>
    <tableColumn id="4137" name="Column4133" dataDxfId="12247"/>
    <tableColumn id="4138" name="Column4134" dataDxfId="12246"/>
    <tableColumn id="4139" name="Column4135" dataDxfId="12245"/>
    <tableColumn id="4140" name="Column4136" dataDxfId="12244"/>
    <tableColumn id="4141" name="Column4137" dataDxfId="12243"/>
    <tableColumn id="4142" name="Column4138" dataDxfId="12242"/>
    <tableColumn id="4143" name="Column4139" dataDxfId="12241"/>
    <tableColumn id="4144" name="Column4140" dataDxfId="12240"/>
    <tableColumn id="4145" name="Column4141" dataDxfId="12239"/>
    <tableColumn id="4146" name="Column4142" dataDxfId="12238"/>
    <tableColumn id="4147" name="Column4143" dataDxfId="12237"/>
    <tableColumn id="4148" name="Column4144" dataDxfId="12236"/>
    <tableColumn id="4149" name="Column4145" dataDxfId="12235"/>
    <tableColumn id="4150" name="Column4146" dataDxfId="12234"/>
    <tableColumn id="4151" name="Column4147" dataDxfId="12233"/>
    <tableColumn id="4152" name="Column4148" dataDxfId="12232"/>
    <tableColumn id="4153" name="Column4149" dataDxfId="12231"/>
    <tableColumn id="4154" name="Column4150" dataDxfId="12230"/>
    <tableColumn id="4155" name="Column4151" dataDxfId="12229"/>
    <tableColumn id="4156" name="Column4152" dataDxfId="12228"/>
    <tableColumn id="4157" name="Column4153" dataDxfId="12227"/>
    <tableColumn id="4158" name="Column4154" dataDxfId="12226"/>
    <tableColumn id="4159" name="Column4155" dataDxfId="12225"/>
    <tableColumn id="4160" name="Column4156" dataDxfId="12224"/>
    <tableColumn id="4161" name="Column4157" dataDxfId="12223"/>
    <tableColumn id="4162" name="Column4158" dataDxfId="12222"/>
    <tableColumn id="4163" name="Column4159" dataDxfId="12221"/>
    <tableColumn id="4164" name="Column4160" dataDxfId="12220"/>
    <tableColumn id="4165" name="Column4161" dataDxfId="12219"/>
    <tableColumn id="4166" name="Column4162" dataDxfId="12218"/>
    <tableColumn id="4167" name="Column4163" dataDxfId="12217"/>
    <tableColumn id="4168" name="Column4164" dataDxfId="12216"/>
    <tableColumn id="4169" name="Column4165" dataDxfId="12215"/>
    <tableColumn id="4170" name="Column4166" dataDxfId="12214"/>
    <tableColumn id="4171" name="Column4167" dataDxfId="12213"/>
    <tableColumn id="4172" name="Column4168" dataDxfId="12212"/>
    <tableColumn id="4173" name="Column4169" dataDxfId="12211"/>
    <tableColumn id="4174" name="Column4170" dataDxfId="12210"/>
    <tableColumn id="4175" name="Column4171" dataDxfId="12209"/>
    <tableColumn id="4176" name="Column4172" dataDxfId="12208"/>
    <tableColumn id="4177" name="Column4173" dataDxfId="12207"/>
    <tableColumn id="4178" name="Column4174" dataDxfId="12206"/>
    <tableColumn id="4179" name="Column4175" dataDxfId="12205"/>
    <tableColumn id="4180" name="Column4176" dataDxfId="12204"/>
    <tableColumn id="4181" name="Column4177" dataDxfId="12203"/>
    <tableColumn id="4182" name="Column4178" dataDxfId="12202"/>
    <tableColumn id="4183" name="Column4179" dataDxfId="12201"/>
    <tableColumn id="4184" name="Column4180" dataDxfId="12200"/>
    <tableColumn id="4185" name="Column4181" dataDxfId="12199"/>
    <tableColumn id="4186" name="Column4182" dataDxfId="12198"/>
    <tableColumn id="4187" name="Column4183" dataDxfId="12197"/>
    <tableColumn id="4188" name="Column4184" dataDxfId="12196"/>
    <tableColumn id="4189" name="Column4185" dataDxfId="12195"/>
    <tableColumn id="4190" name="Column4186" dataDxfId="12194"/>
    <tableColumn id="4191" name="Column4187" dataDxfId="12193"/>
    <tableColumn id="4192" name="Column4188" dataDxfId="12192"/>
    <tableColumn id="4193" name="Column4189" dataDxfId="12191"/>
    <tableColumn id="4194" name="Column4190" dataDxfId="12190"/>
    <tableColumn id="4195" name="Column4191" dataDxfId="12189"/>
    <tableColumn id="4196" name="Column4192" dataDxfId="12188"/>
    <tableColumn id="4197" name="Column4193" dataDxfId="12187"/>
    <tableColumn id="4198" name="Column4194" dataDxfId="12186"/>
    <tableColumn id="4199" name="Column4195" dataDxfId="12185"/>
    <tableColumn id="4200" name="Column4196" dataDxfId="12184"/>
    <tableColumn id="4201" name="Column4197" dataDxfId="12183"/>
    <tableColumn id="4202" name="Column4198" dataDxfId="12182"/>
    <tableColumn id="4203" name="Column4199" dataDxfId="12181"/>
    <tableColumn id="4204" name="Column4200" dataDxfId="12180"/>
    <tableColumn id="4205" name="Column4201" dataDxfId="12179"/>
    <tableColumn id="4206" name="Column4202" dataDxfId="12178"/>
    <tableColumn id="4207" name="Column4203" dataDxfId="12177"/>
    <tableColumn id="4208" name="Column4204" dataDxfId="12176"/>
    <tableColumn id="4209" name="Column4205" dataDxfId="12175"/>
    <tableColumn id="4210" name="Column4206" dataDxfId="12174"/>
    <tableColumn id="4211" name="Column4207" dataDxfId="12173"/>
    <tableColumn id="4212" name="Column4208" dataDxfId="12172"/>
    <tableColumn id="4213" name="Column4209" dataDxfId="12171"/>
    <tableColumn id="4214" name="Column4210" dataDxfId="12170"/>
    <tableColumn id="4215" name="Column4211" dataDxfId="12169"/>
    <tableColumn id="4216" name="Column4212" dataDxfId="12168"/>
    <tableColumn id="4217" name="Column4213" dataDxfId="12167"/>
    <tableColumn id="4218" name="Column4214" dataDxfId="12166"/>
    <tableColumn id="4219" name="Column4215" dataDxfId="12165"/>
    <tableColumn id="4220" name="Column4216" dataDxfId="12164"/>
    <tableColumn id="4221" name="Column4217" dataDxfId="12163"/>
    <tableColumn id="4222" name="Column4218" dataDxfId="12162"/>
    <tableColumn id="4223" name="Column4219" dataDxfId="12161"/>
    <tableColumn id="4224" name="Column4220" dataDxfId="12160"/>
    <tableColumn id="4225" name="Column4221" dataDxfId="12159"/>
    <tableColumn id="4226" name="Column4222" dataDxfId="12158"/>
    <tableColumn id="4227" name="Column4223" dataDxfId="12157"/>
    <tableColumn id="4228" name="Column4224" dataDxfId="12156"/>
    <tableColumn id="4229" name="Column4225" dataDxfId="12155"/>
    <tableColumn id="4230" name="Column4226" dataDxfId="12154"/>
    <tableColumn id="4231" name="Column4227" dataDxfId="12153"/>
    <tableColumn id="4232" name="Column4228" dataDxfId="12152"/>
    <tableColumn id="4233" name="Column4229" dataDxfId="12151"/>
    <tableColumn id="4234" name="Column4230" dataDxfId="12150"/>
    <tableColumn id="4235" name="Column4231" dataDxfId="12149"/>
    <tableColumn id="4236" name="Column4232" dataDxfId="12148"/>
    <tableColumn id="4237" name="Column4233" dataDxfId="12147"/>
    <tableColumn id="4238" name="Column4234" dataDxfId="12146"/>
    <tableColumn id="4239" name="Column4235" dataDxfId="12145"/>
    <tableColumn id="4240" name="Column4236" dataDxfId="12144"/>
    <tableColumn id="4241" name="Column4237" dataDxfId="12143"/>
    <tableColumn id="4242" name="Column4238" dataDxfId="12142"/>
    <tableColumn id="4243" name="Column4239" dataDxfId="12141"/>
    <tableColumn id="4244" name="Column4240" dataDxfId="12140"/>
    <tableColumn id="4245" name="Column4241" dataDxfId="12139"/>
    <tableColumn id="4246" name="Column4242" dataDxfId="12138"/>
    <tableColumn id="4247" name="Column4243" dataDxfId="12137"/>
    <tableColumn id="4248" name="Column4244" dataDxfId="12136"/>
    <tableColumn id="4249" name="Column4245" dataDxfId="12135"/>
    <tableColumn id="4250" name="Column4246" dataDxfId="12134"/>
    <tableColumn id="4251" name="Column4247" dataDxfId="12133"/>
    <tableColumn id="4252" name="Column4248" dataDxfId="12132"/>
    <tableColumn id="4253" name="Column4249" dataDxfId="12131"/>
    <tableColumn id="4254" name="Column4250" dataDxfId="12130"/>
    <tableColumn id="4255" name="Column4251" dataDxfId="12129"/>
    <tableColumn id="4256" name="Column4252" dataDxfId="12128"/>
    <tableColumn id="4257" name="Column4253" dataDxfId="12127"/>
    <tableColumn id="4258" name="Column4254" dataDxfId="12126"/>
    <tableColumn id="4259" name="Column4255" dataDxfId="12125"/>
    <tableColumn id="4260" name="Column4256" dataDxfId="12124"/>
    <tableColumn id="4261" name="Column4257" dataDxfId="12123"/>
    <tableColumn id="4262" name="Column4258" dataDxfId="12122"/>
    <tableColumn id="4263" name="Column4259" dataDxfId="12121"/>
    <tableColumn id="4264" name="Column4260" dataDxfId="12120"/>
    <tableColumn id="4265" name="Column4261" dataDxfId="12119"/>
    <tableColumn id="4266" name="Column4262" dataDxfId="12118"/>
    <tableColumn id="4267" name="Column4263" dataDxfId="12117"/>
    <tableColumn id="4268" name="Column4264" dataDxfId="12116"/>
    <tableColumn id="4269" name="Column4265" dataDxfId="12115"/>
    <tableColumn id="4270" name="Column4266" dataDxfId="12114"/>
    <tableColumn id="4271" name="Column4267" dataDxfId="12113"/>
    <tableColumn id="4272" name="Column4268" dataDxfId="12112"/>
    <tableColumn id="4273" name="Column4269" dataDxfId="12111"/>
    <tableColumn id="4274" name="Column4270" dataDxfId="12110"/>
    <tableColumn id="4275" name="Column4271" dataDxfId="12109"/>
    <tableColumn id="4276" name="Column4272" dataDxfId="12108"/>
    <tableColumn id="4277" name="Column4273" dataDxfId="12107"/>
    <tableColumn id="4278" name="Column4274" dataDxfId="12106"/>
    <tableColumn id="4279" name="Column4275" dataDxfId="12105"/>
    <tableColumn id="4280" name="Column4276" dataDxfId="12104"/>
    <tableColumn id="4281" name="Column4277" dataDxfId="12103"/>
    <tableColumn id="4282" name="Column4278" dataDxfId="12102"/>
    <tableColumn id="4283" name="Column4279" dataDxfId="12101"/>
    <tableColumn id="4284" name="Column4280" dataDxfId="12100"/>
    <tableColumn id="4285" name="Column4281" dataDxfId="12099"/>
    <tableColumn id="4286" name="Column4282" dataDxfId="12098"/>
    <tableColumn id="4287" name="Column4283" dataDxfId="12097"/>
    <tableColumn id="4288" name="Column4284" dataDxfId="12096"/>
    <tableColumn id="4289" name="Column4285" dataDxfId="12095"/>
    <tableColumn id="4290" name="Column4286" dataDxfId="12094"/>
    <tableColumn id="4291" name="Column4287" dataDxfId="12093"/>
    <tableColumn id="4292" name="Column4288" dataDxfId="12092"/>
    <tableColumn id="4293" name="Column4289" dataDxfId="12091"/>
    <tableColumn id="4294" name="Column4290" dataDxfId="12090"/>
    <tableColumn id="4295" name="Column4291" dataDxfId="12089"/>
    <tableColumn id="4296" name="Column4292" dataDxfId="12088"/>
    <tableColumn id="4297" name="Column4293" dataDxfId="12087"/>
    <tableColumn id="4298" name="Column4294" dataDxfId="12086"/>
    <tableColumn id="4299" name="Column4295" dataDxfId="12085"/>
    <tableColumn id="4300" name="Column4296" dataDxfId="12084"/>
    <tableColumn id="4301" name="Column4297" dataDxfId="12083"/>
    <tableColumn id="4302" name="Column4298" dataDxfId="12082"/>
    <tableColumn id="4303" name="Column4299" dataDxfId="12081"/>
    <tableColumn id="4304" name="Column4300" dataDxfId="12080"/>
    <tableColumn id="4305" name="Column4301" dataDxfId="12079"/>
    <tableColumn id="4306" name="Column4302" dataDxfId="12078"/>
    <tableColumn id="4307" name="Column4303" dataDxfId="12077"/>
    <tableColumn id="4308" name="Column4304" dataDxfId="12076"/>
    <tableColumn id="4309" name="Column4305" dataDxfId="12075"/>
    <tableColumn id="4310" name="Column4306" dataDxfId="12074"/>
    <tableColumn id="4311" name="Column4307" dataDxfId="12073"/>
    <tableColumn id="4312" name="Column4308" dataDxfId="12072"/>
    <tableColumn id="4313" name="Column4309" dataDxfId="12071"/>
    <tableColumn id="4314" name="Column4310" dataDxfId="12070"/>
    <tableColumn id="4315" name="Column4311" dataDxfId="12069"/>
    <tableColumn id="4316" name="Column4312" dataDxfId="12068"/>
    <tableColumn id="4317" name="Column4313" dataDxfId="12067"/>
    <tableColumn id="4318" name="Column4314" dataDxfId="12066"/>
    <tableColumn id="4319" name="Column4315" dataDxfId="12065"/>
    <tableColumn id="4320" name="Column4316" dataDxfId="12064"/>
    <tableColumn id="4321" name="Column4317" dataDxfId="12063"/>
    <tableColumn id="4322" name="Column4318" dataDxfId="12062"/>
    <tableColumn id="4323" name="Column4319" dataDxfId="12061"/>
    <tableColumn id="4324" name="Column4320" dataDxfId="12060"/>
    <tableColumn id="4325" name="Column4321" dataDxfId="12059"/>
    <tableColumn id="4326" name="Column4322" dataDxfId="12058"/>
    <tableColumn id="4327" name="Column4323" dataDxfId="12057"/>
    <tableColumn id="4328" name="Column4324" dataDxfId="12056"/>
    <tableColumn id="4329" name="Column4325" dataDxfId="12055"/>
    <tableColumn id="4330" name="Column4326" dataDxfId="12054"/>
    <tableColumn id="4331" name="Column4327" dataDxfId="12053"/>
    <tableColumn id="4332" name="Column4328" dataDxfId="12052"/>
    <tableColumn id="4333" name="Column4329" dataDxfId="12051"/>
    <tableColumn id="4334" name="Column4330" dataDxfId="12050"/>
    <tableColumn id="4335" name="Column4331" dataDxfId="12049"/>
    <tableColumn id="4336" name="Column4332" dataDxfId="12048"/>
    <tableColumn id="4337" name="Column4333" dataDxfId="12047"/>
    <tableColumn id="4338" name="Column4334" dataDxfId="12046"/>
    <tableColumn id="4339" name="Column4335" dataDxfId="12045"/>
    <tableColumn id="4340" name="Column4336" dataDxfId="12044"/>
    <tableColumn id="4341" name="Column4337" dataDxfId="12043"/>
    <tableColumn id="4342" name="Column4338" dataDxfId="12042"/>
    <tableColumn id="4343" name="Column4339" dataDxfId="12041"/>
    <tableColumn id="4344" name="Column4340" dataDxfId="12040"/>
    <tableColumn id="4345" name="Column4341" dataDxfId="12039"/>
    <tableColumn id="4346" name="Column4342" dataDxfId="12038"/>
    <tableColumn id="4347" name="Column4343" dataDxfId="12037"/>
    <tableColumn id="4348" name="Column4344" dataDxfId="12036"/>
    <tableColumn id="4349" name="Column4345" dataDxfId="12035"/>
    <tableColumn id="4350" name="Column4346" dataDxfId="12034"/>
    <tableColumn id="4351" name="Column4347" dataDxfId="12033"/>
    <tableColumn id="4352" name="Column4348" dataDxfId="12032"/>
    <tableColumn id="4353" name="Column4349" dataDxfId="12031"/>
    <tableColumn id="4354" name="Column4350" dataDxfId="12030"/>
    <tableColumn id="4355" name="Column4351" dataDxfId="12029"/>
    <tableColumn id="4356" name="Column4352" dataDxfId="12028"/>
    <tableColumn id="4357" name="Column4353" dataDxfId="12027"/>
    <tableColumn id="4358" name="Column4354" dataDxfId="12026"/>
    <tableColumn id="4359" name="Column4355" dataDxfId="12025"/>
    <tableColumn id="4360" name="Column4356" dataDxfId="12024"/>
    <tableColumn id="4361" name="Column4357" dataDxfId="12023"/>
    <tableColumn id="4362" name="Column4358" dataDxfId="12022"/>
    <tableColumn id="4363" name="Column4359" dataDxfId="12021"/>
    <tableColumn id="4364" name="Column4360" dataDxfId="12020"/>
    <tableColumn id="4365" name="Column4361" dataDxfId="12019"/>
    <tableColumn id="4366" name="Column4362" dataDxfId="12018"/>
    <tableColumn id="4367" name="Column4363" dataDxfId="12017"/>
    <tableColumn id="4368" name="Column4364" dataDxfId="12016"/>
    <tableColumn id="4369" name="Column4365" dataDxfId="12015"/>
    <tableColumn id="4370" name="Column4366" dataDxfId="12014"/>
    <tableColumn id="4371" name="Column4367" dataDxfId="12013"/>
    <tableColumn id="4372" name="Column4368" dataDxfId="12012"/>
    <tableColumn id="4373" name="Column4369" dataDxfId="12011"/>
    <tableColumn id="4374" name="Column4370" dataDxfId="12010"/>
    <tableColumn id="4375" name="Column4371" dataDxfId="12009"/>
    <tableColumn id="4376" name="Column4372" dataDxfId="12008"/>
    <tableColumn id="4377" name="Column4373" dataDxfId="12007"/>
    <tableColumn id="4378" name="Column4374" dataDxfId="12006"/>
    <tableColumn id="4379" name="Column4375" dataDxfId="12005"/>
    <tableColumn id="4380" name="Column4376" dataDxfId="12004"/>
    <tableColumn id="4381" name="Column4377" dataDxfId="12003"/>
    <tableColumn id="4382" name="Column4378" dataDxfId="12002"/>
    <tableColumn id="4383" name="Column4379" dataDxfId="12001"/>
    <tableColumn id="4384" name="Column4380" dataDxfId="12000"/>
    <tableColumn id="4385" name="Column4381" dataDxfId="11999"/>
    <tableColumn id="4386" name="Column4382" dataDxfId="11998"/>
    <tableColumn id="4387" name="Column4383" dataDxfId="11997"/>
    <tableColumn id="4388" name="Column4384" dataDxfId="11996"/>
    <tableColumn id="4389" name="Column4385" dataDxfId="11995"/>
    <tableColumn id="4390" name="Column4386" dataDxfId="11994"/>
    <tableColumn id="4391" name="Column4387" dataDxfId="11993"/>
    <tableColumn id="4392" name="Column4388" dataDxfId="11992"/>
    <tableColumn id="4393" name="Column4389" dataDxfId="11991"/>
    <tableColumn id="4394" name="Column4390" dataDxfId="11990"/>
    <tableColumn id="4395" name="Column4391" dataDxfId="11989"/>
    <tableColumn id="4396" name="Column4392" dataDxfId="11988"/>
    <tableColumn id="4397" name="Column4393" dataDxfId="11987"/>
    <tableColumn id="4398" name="Column4394" dataDxfId="11986"/>
    <tableColumn id="4399" name="Column4395" dataDxfId="11985"/>
    <tableColumn id="4400" name="Column4396" dataDxfId="11984"/>
    <tableColumn id="4401" name="Column4397" dataDxfId="11983"/>
    <tableColumn id="4402" name="Column4398" dataDxfId="11982"/>
    <tableColumn id="4403" name="Column4399" dataDxfId="11981"/>
    <tableColumn id="4404" name="Column4400" dataDxfId="11980"/>
    <tableColumn id="4405" name="Column4401" dataDxfId="11979"/>
    <tableColumn id="4406" name="Column4402" dataDxfId="11978"/>
    <tableColumn id="4407" name="Column4403" dataDxfId="11977"/>
    <tableColumn id="4408" name="Column4404" dataDxfId="11976"/>
    <tableColumn id="4409" name="Column4405" dataDxfId="11975"/>
    <tableColumn id="4410" name="Column4406" dataDxfId="11974"/>
    <tableColumn id="4411" name="Column4407" dataDxfId="11973"/>
    <tableColumn id="4412" name="Column4408" dataDxfId="11972"/>
    <tableColumn id="4413" name="Column4409" dataDxfId="11971"/>
    <tableColumn id="4414" name="Column4410" dataDxfId="11970"/>
    <tableColumn id="4415" name="Column4411" dataDxfId="11969"/>
    <tableColumn id="4416" name="Column4412" dataDxfId="11968"/>
    <tableColumn id="4417" name="Column4413" dataDxfId="11967"/>
    <tableColumn id="4418" name="Column4414" dataDxfId="11966"/>
    <tableColumn id="4419" name="Column4415" dataDxfId="11965"/>
    <tableColumn id="4420" name="Column4416" dataDxfId="11964"/>
    <tableColumn id="4421" name="Column4417" dataDxfId="11963"/>
    <tableColumn id="4422" name="Column4418" dataDxfId="11962"/>
    <tableColumn id="4423" name="Column4419" dataDxfId="11961"/>
    <tableColumn id="4424" name="Column4420" dataDxfId="11960"/>
    <tableColumn id="4425" name="Column4421" dataDxfId="11959"/>
    <tableColumn id="4426" name="Column4422" dataDxfId="11958"/>
    <tableColumn id="4427" name="Column4423" dataDxfId="11957"/>
    <tableColumn id="4428" name="Column4424" dataDxfId="11956"/>
    <tableColumn id="4429" name="Column4425" dataDxfId="11955"/>
    <tableColumn id="4430" name="Column4426" dataDxfId="11954"/>
    <tableColumn id="4431" name="Column4427" dataDxfId="11953"/>
    <tableColumn id="4432" name="Column4428" dataDxfId="11952"/>
    <tableColumn id="4433" name="Column4429" dataDxfId="11951"/>
    <tableColumn id="4434" name="Column4430" dataDxfId="11950"/>
    <tableColumn id="4435" name="Column4431" dataDxfId="11949"/>
    <tableColumn id="4436" name="Column4432" dataDxfId="11948"/>
    <tableColumn id="4437" name="Column4433" dataDxfId="11947"/>
    <tableColumn id="4438" name="Column4434" dataDxfId="11946"/>
    <tableColumn id="4439" name="Column4435" dataDxfId="11945"/>
    <tableColumn id="4440" name="Column4436" dataDxfId="11944"/>
    <tableColumn id="4441" name="Column4437" dataDxfId="11943"/>
    <tableColumn id="4442" name="Column4438" dataDxfId="11942"/>
    <tableColumn id="4443" name="Column4439" dataDxfId="11941"/>
    <tableColumn id="4444" name="Column4440" dataDxfId="11940"/>
    <tableColumn id="4445" name="Column4441" dataDxfId="11939"/>
    <tableColumn id="4446" name="Column4442" dataDxfId="11938"/>
    <tableColumn id="4447" name="Column4443" dataDxfId="11937"/>
    <tableColumn id="4448" name="Column4444" dataDxfId="11936"/>
    <tableColumn id="4449" name="Column4445" dataDxfId="11935"/>
    <tableColumn id="4450" name="Column4446" dataDxfId="11934"/>
    <tableColumn id="4451" name="Column4447" dataDxfId="11933"/>
    <tableColumn id="4452" name="Column4448" dataDxfId="11932"/>
    <tableColumn id="4453" name="Column4449" dataDxfId="11931"/>
    <tableColumn id="4454" name="Column4450" dataDxfId="11930"/>
    <tableColumn id="4455" name="Column4451" dataDxfId="11929"/>
    <tableColumn id="4456" name="Column4452" dataDxfId="11928"/>
    <tableColumn id="4457" name="Column4453" dataDxfId="11927"/>
    <tableColumn id="4458" name="Column4454" dataDxfId="11926"/>
    <tableColumn id="4459" name="Column4455" dataDxfId="11925"/>
    <tableColumn id="4460" name="Column4456" dataDxfId="11924"/>
    <tableColumn id="4461" name="Column4457" dataDxfId="11923"/>
    <tableColumn id="4462" name="Column4458" dataDxfId="11922"/>
    <tableColumn id="4463" name="Column4459" dataDxfId="11921"/>
    <tableColumn id="4464" name="Column4460" dataDxfId="11920"/>
    <tableColumn id="4465" name="Column4461" dataDxfId="11919"/>
    <tableColumn id="4466" name="Column4462" dataDxfId="11918"/>
    <tableColumn id="4467" name="Column4463" dataDxfId="11917"/>
    <tableColumn id="4468" name="Column4464" dataDxfId="11916"/>
    <tableColumn id="4469" name="Column4465" dataDxfId="11915"/>
    <tableColumn id="4470" name="Column4466" dataDxfId="11914"/>
    <tableColumn id="4471" name="Column4467" dataDxfId="11913"/>
    <tableColumn id="4472" name="Column4468" dataDxfId="11912"/>
    <tableColumn id="4473" name="Column4469" dataDxfId="11911"/>
    <tableColumn id="4474" name="Column4470" dataDxfId="11910"/>
    <tableColumn id="4475" name="Column4471" dataDxfId="11909"/>
    <tableColumn id="4476" name="Column4472" dataDxfId="11908"/>
    <tableColumn id="4477" name="Column4473" dataDxfId="11907"/>
    <tableColumn id="4478" name="Column4474" dataDxfId="11906"/>
    <tableColumn id="4479" name="Column4475" dataDxfId="11905"/>
    <tableColumn id="4480" name="Column4476" dataDxfId="11904"/>
    <tableColumn id="4481" name="Column4477" dataDxfId="11903"/>
    <tableColumn id="4482" name="Column4478" dataDxfId="11902"/>
    <tableColumn id="4483" name="Column4479" dataDxfId="11901"/>
    <tableColumn id="4484" name="Column4480" dataDxfId="11900"/>
    <tableColumn id="4485" name="Column4481" dataDxfId="11899"/>
    <tableColumn id="4486" name="Column4482" dataDxfId="11898"/>
    <tableColumn id="4487" name="Column4483" dataDxfId="11897"/>
    <tableColumn id="4488" name="Column4484" dataDxfId="11896"/>
    <tableColumn id="4489" name="Column4485" dataDxfId="11895"/>
    <tableColumn id="4490" name="Column4486" dataDxfId="11894"/>
    <tableColumn id="4491" name="Column4487" dataDxfId="11893"/>
    <tableColumn id="4492" name="Column4488" dataDxfId="11892"/>
    <tableColumn id="4493" name="Column4489" dataDxfId="11891"/>
    <tableColumn id="4494" name="Column4490" dataDxfId="11890"/>
    <tableColumn id="4495" name="Column4491" dataDxfId="11889"/>
    <tableColumn id="4496" name="Column4492" dataDxfId="11888"/>
    <tableColumn id="4497" name="Column4493" dataDxfId="11887"/>
    <tableColumn id="4498" name="Column4494" dataDxfId="11886"/>
    <tableColumn id="4499" name="Column4495" dataDxfId="11885"/>
    <tableColumn id="4500" name="Column4496" dataDxfId="11884"/>
    <tableColumn id="4501" name="Column4497" dataDxfId="11883"/>
    <tableColumn id="4502" name="Column4498" dataDxfId="11882"/>
    <tableColumn id="4503" name="Column4499" dataDxfId="11881"/>
    <tableColumn id="4504" name="Column4500" dataDxfId="11880"/>
    <tableColumn id="4505" name="Column4501" dataDxfId="11879"/>
    <tableColumn id="4506" name="Column4502" dataDxfId="11878"/>
    <tableColumn id="4507" name="Column4503" dataDxfId="11877"/>
    <tableColumn id="4508" name="Column4504" dataDxfId="11876"/>
    <tableColumn id="4509" name="Column4505" dataDxfId="11875"/>
    <tableColumn id="4510" name="Column4506" dataDxfId="11874"/>
    <tableColumn id="4511" name="Column4507" dataDxfId="11873"/>
    <tableColumn id="4512" name="Column4508" dataDxfId="11872"/>
    <tableColumn id="4513" name="Column4509" dataDxfId="11871"/>
    <tableColumn id="4514" name="Column4510" dataDxfId="11870"/>
    <tableColumn id="4515" name="Column4511" dataDxfId="11869"/>
    <tableColumn id="4516" name="Column4512" dataDxfId="11868"/>
    <tableColumn id="4517" name="Column4513" dataDxfId="11867"/>
    <tableColumn id="4518" name="Column4514" dataDxfId="11866"/>
    <tableColumn id="4519" name="Column4515" dataDxfId="11865"/>
    <tableColumn id="4520" name="Column4516" dataDxfId="11864"/>
    <tableColumn id="4521" name="Column4517" dataDxfId="11863"/>
    <tableColumn id="4522" name="Column4518" dataDxfId="11862"/>
    <tableColumn id="4523" name="Column4519" dataDxfId="11861"/>
    <tableColumn id="4524" name="Column4520" dataDxfId="11860"/>
    <tableColumn id="4525" name="Column4521" dataDxfId="11859"/>
    <tableColumn id="4526" name="Column4522" dataDxfId="11858"/>
    <tableColumn id="4527" name="Column4523" dataDxfId="11857"/>
    <tableColumn id="4528" name="Column4524" dataDxfId="11856"/>
    <tableColumn id="4529" name="Column4525" dataDxfId="11855"/>
    <tableColumn id="4530" name="Column4526" dataDxfId="11854"/>
    <tableColumn id="4531" name="Column4527" dataDxfId="11853"/>
    <tableColumn id="4532" name="Column4528" dataDxfId="11852"/>
    <tableColumn id="4533" name="Column4529" dataDxfId="11851"/>
    <tableColumn id="4534" name="Column4530" dataDxfId="11850"/>
    <tableColumn id="4535" name="Column4531" dataDxfId="11849"/>
    <tableColumn id="4536" name="Column4532" dataDxfId="11848"/>
    <tableColumn id="4537" name="Column4533" dataDxfId="11847"/>
    <tableColumn id="4538" name="Column4534" dataDxfId="11846"/>
    <tableColumn id="4539" name="Column4535" dataDxfId="11845"/>
    <tableColumn id="4540" name="Column4536" dataDxfId="11844"/>
    <tableColumn id="4541" name="Column4537" dataDxfId="11843"/>
    <tableColumn id="4542" name="Column4538" dataDxfId="11842"/>
    <tableColumn id="4543" name="Column4539" dataDxfId="11841"/>
    <tableColumn id="4544" name="Column4540" dataDxfId="11840"/>
    <tableColumn id="4545" name="Column4541" dataDxfId="11839"/>
    <tableColumn id="4546" name="Column4542" dataDxfId="11838"/>
    <tableColumn id="4547" name="Column4543" dataDxfId="11837"/>
    <tableColumn id="4548" name="Column4544" dataDxfId="11836"/>
    <tableColumn id="4549" name="Column4545" dataDxfId="11835"/>
    <tableColumn id="4550" name="Column4546" dataDxfId="11834"/>
    <tableColumn id="4551" name="Column4547" dataDxfId="11833"/>
    <tableColumn id="4552" name="Column4548" dataDxfId="11832"/>
    <tableColumn id="4553" name="Column4549" dataDxfId="11831"/>
    <tableColumn id="4554" name="Column4550" dataDxfId="11830"/>
    <tableColumn id="4555" name="Column4551" dataDxfId="11829"/>
    <tableColumn id="4556" name="Column4552" dataDxfId="11828"/>
    <tableColumn id="4557" name="Column4553" dataDxfId="11827"/>
    <tableColumn id="4558" name="Column4554" dataDxfId="11826"/>
    <tableColumn id="4559" name="Column4555" dataDxfId="11825"/>
    <tableColumn id="4560" name="Column4556" dataDxfId="11824"/>
    <tableColumn id="4561" name="Column4557" dataDxfId="11823"/>
    <tableColumn id="4562" name="Column4558" dataDxfId="11822"/>
    <tableColumn id="4563" name="Column4559" dataDxfId="11821"/>
    <tableColumn id="4564" name="Column4560" dataDxfId="11820"/>
    <tableColumn id="4565" name="Column4561" dataDxfId="11819"/>
    <tableColumn id="4566" name="Column4562" dataDxfId="11818"/>
    <tableColumn id="4567" name="Column4563" dataDxfId="11817"/>
    <tableColumn id="4568" name="Column4564" dataDxfId="11816"/>
    <tableColumn id="4569" name="Column4565" dataDxfId="11815"/>
    <tableColumn id="4570" name="Column4566" dataDxfId="11814"/>
    <tableColumn id="4571" name="Column4567" dataDxfId="11813"/>
    <tableColumn id="4572" name="Column4568" dataDxfId="11812"/>
    <tableColumn id="4573" name="Column4569" dataDxfId="11811"/>
    <tableColumn id="4574" name="Column4570" dataDxfId="11810"/>
    <tableColumn id="4575" name="Column4571" dataDxfId="11809"/>
    <tableColumn id="4576" name="Column4572" dataDxfId="11808"/>
    <tableColumn id="4577" name="Column4573" dataDxfId="11807"/>
    <tableColumn id="4578" name="Column4574" dataDxfId="11806"/>
    <tableColumn id="4579" name="Column4575" dataDxfId="11805"/>
    <tableColumn id="4580" name="Column4576" dataDxfId="11804"/>
    <tableColumn id="4581" name="Column4577" dataDxfId="11803"/>
    <tableColumn id="4582" name="Column4578" dataDxfId="11802"/>
    <tableColumn id="4583" name="Column4579" dataDxfId="11801"/>
    <tableColumn id="4584" name="Column4580" dataDxfId="11800"/>
    <tableColumn id="4585" name="Column4581" dataDxfId="11799"/>
    <tableColumn id="4586" name="Column4582" dataDxfId="11798"/>
    <tableColumn id="4587" name="Column4583" dataDxfId="11797"/>
    <tableColumn id="4588" name="Column4584" dataDxfId="11796"/>
    <tableColumn id="4589" name="Column4585" dataDxfId="11795"/>
    <tableColumn id="4590" name="Column4586" dataDxfId="11794"/>
    <tableColumn id="4591" name="Column4587" dataDxfId="11793"/>
    <tableColumn id="4592" name="Column4588" dataDxfId="11792"/>
    <tableColumn id="4593" name="Column4589" dataDxfId="11791"/>
    <tableColumn id="4594" name="Column4590" dataDxfId="11790"/>
    <tableColumn id="4595" name="Column4591" dataDxfId="11789"/>
    <tableColumn id="4596" name="Column4592" dataDxfId="11788"/>
    <tableColumn id="4597" name="Column4593" dataDxfId="11787"/>
    <tableColumn id="4598" name="Column4594" dataDxfId="11786"/>
    <tableColumn id="4599" name="Column4595" dataDxfId="11785"/>
    <tableColumn id="4600" name="Column4596" dataDxfId="11784"/>
    <tableColumn id="4601" name="Column4597" dataDxfId="11783"/>
    <tableColumn id="4602" name="Column4598" dataDxfId="11782"/>
    <tableColumn id="4603" name="Column4599" dataDxfId="11781"/>
    <tableColumn id="4604" name="Column4600" dataDxfId="11780"/>
    <tableColumn id="4605" name="Column4601" dataDxfId="11779"/>
    <tableColumn id="4606" name="Column4602" dataDxfId="11778"/>
    <tableColumn id="4607" name="Column4603" dataDxfId="11777"/>
    <tableColumn id="4608" name="Column4604" dataDxfId="11776"/>
    <tableColumn id="4609" name="Column4605" dataDxfId="11775"/>
    <tableColumn id="4610" name="Column4606" dataDxfId="11774"/>
    <tableColumn id="4611" name="Column4607" dataDxfId="11773"/>
    <tableColumn id="4612" name="Column4608" dataDxfId="11772"/>
    <tableColumn id="4613" name="Column4609" dataDxfId="11771"/>
    <tableColumn id="4614" name="Column4610" dataDxfId="11770"/>
    <tableColumn id="4615" name="Column4611" dataDxfId="11769"/>
    <tableColumn id="4616" name="Column4612" dataDxfId="11768"/>
    <tableColumn id="4617" name="Column4613" dataDxfId="11767"/>
    <tableColumn id="4618" name="Column4614" dataDxfId="11766"/>
    <tableColumn id="4619" name="Column4615" dataDxfId="11765"/>
    <tableColumn id="4620" name="Column4616" dataDxfId="11764"/>
    <tableColumn id="4621" name="Column4617" dataDxfId="11763"/>
    <tableColumn id="4622" name="Column4618" dataDxfId="11762"/>
    <tableColumn id="4623" name="Column4619" dataDxfId="11761"/>
    <tableColumn id="4624" name="Column4620" dataDxfId="11760"/>
    <tableColumn id="4625" name="Column4621" dataDxfId="11759"/>
    <tableColumn id="4626" name="Column4622" dataDxfId="11758"/>
    <tableColumn id="4627" name="Column4623" dataDxfId="11757"/>
    <tableColumn id="4628" name="Column4624" dataDxfId="11756"/>
    <tableColumn id="4629" name="Column4625" dataDxfId="11755"/>
    <tableColumn id="4630" name="Column4626" dataDxfId="11754"/>
    <tableColumn id="4631" name="Column4627" dataDxfId="11753"/>
    <tableColumn id="4632" name="Column4628" dataDxfId="11752"/>
    <tableColumn id="4633" name="Column4629" dataDxfId="11751"/>
    <tableColumn id="4634" name="Column4630" dataDxfId="11750"/>
    <tableColumn id="4635" name="Column4631" dataDxfId="11749"/>
    <tableColumn id="4636" name="Column4632" dataDxfId="11748"/>
    <tableColumn id="4637" name="Column4633" dataDxfId="11747"/>
    <tableColumn id="4638" name="Column4634" dataDxfId="11746"/>
    <tableColumn id="4639" name="Column4635" dataDxfId="11745"/>
    <tableColumn id="4640" name="Column4636" dataDxfId="11744"/>
    <tableColumn id="4641" name="Column4637" dataDxfId="11743"/>
    <tableColumn id="4642" name="Column4638" dataDxfId="11742"/>
    <tableColumn id="4643" name="Column4639" dataDxfId="11741"/>
    <tableColumn id="4644" name="Column4640" dataDxfId="11740"/>
    <tableColumn id="4645" name="Column4641" dataDxfId="11739"/>
    <tableColumn id="4646" name="Column4642" dataDxfId="11738"/>
    <tableColumn id="4647" name="Column4643" dataDxfId="11737"/>
    <tableColumn id="4648" name="Column4644" dataDxfId="11736"/>
    <tableColumn id="4649" name="Column4645" dataDxfId="11735"/>
    <tableColumn id="4650" name="Column4646" dataDxfId="11734"/>
    <tableColumn id="4651" name="Column4647" dataDxfId="11733"/>
    <tableColumn id="4652" name="Column4648" dataDxfId="11732"/>
    <tableColumn id="4653" name="Column4649" dataDxfId="11731"/>
    <tableColumn id="4654" name="Column4650" dataDxfId="11730"/>
    <tableColumn id="4655" name="Column4651" dataDxfId="11729"/>
    <tableColumn id="4656" name="Column4652" dataDxfId="11728"/>
    <tableColumn id="4657" name="Column4653" dataDxfId="11727"/>
    <tableColumn id="4658" name="Column4654" dataDxfId="11726"/>
    <tableColumn id="4659" name="Column4655" dataDxfId="11725"/>
    <tableColumn id="4660" name="Column4656" dataDxfId="11724"/>
    <tableColumn id="4661" name="Column4657" dataDxfId="11723"/>
    <tableColumn id="4662" name="Column4658" dataDxfId="11722"/>
    <tableColumn id="4663" name="Column4659" dataDxfId="11721"/>
    <tableColumn id="4664" name="Column4660" dataDxfId="11720"/>
    <tableColumn id="4665" name="Column4661" dataDxfId="11719"/>
    <tableColumn id="4666" name="Column4662" dataDxfId="11718"/>
    <tableColumn id="4667" name="Column4663" dataDxfId="11717"/>
    <tableColumn id="4668" name="Column4664" dataDxfId="11716"/>
    <tableColumn id="4669" name="Column4665" dataDxfId="11715"/>
    <tableColumn id="4670" name="Column4666" dataDxfId="11714"/>
    <tableColumn id="4671" name="Column4667" dataDxfId="11713"/>
    <tableColumn id="4672" name="Column4668" dataDxfId="11712"/>
    <tableColumn id="4673" name="Column4669" dataDxfId="11711"/>
    <tableColumn id="4674" name="Column4670" dataDxfId="11710"/>
    <tableColumn id="4675" name="Column4671" dataDxfId="11709"/>
    <tableColumn id="4676" name="Column4672" dataDxfId="11708"/>
    <tableColumn id="4677" name="Column4673" dataDxfId="11707"/>
    <tableColumn id="4678" name="Column4674" dataDxfId="11706"/>
    <tableColumn id="4679" name="Column4675" dataDxfId="11705"/>
    <tableColumn id="4680" name="Column4676" dataDxfId="11704"/>
    <tableColumn id="4681" name="Column4677" dataDxfId="11703"/>
    <tableColumn id="4682" name="Column4678" dataDxfId="11702"/>
    <tableColumn id="4683" name="Column4679" dataDxfId="11701"/>
    <tableColumn id="4684" name="Column4680" dataDxfId="11700"/>
    <tableColumn id="4685" name="Column4681" dataDxfId="11699"/>
    <tableColumn id="4686" name="Column4682" dataDxfId="11698"/>
    <tableColumn id="4687" name="Column4683" dataDxfId="11697"/>
    <tableColumn id="4688" name="Column4684" dataDxfId="11696"/>
    <tableColumn id="4689" name="Column4685" dataDxfId="11695"/>
    <tableColumn id="4690" name="Column4686" dataDxfId="11694"/>
    <tableColumn id="4691" name="Column4687" dataDxfId="11693"/>
    <tableColumn id="4692" name="Column4688" dataDxfId="11692"/>
    <tableColumn id="4693" name="Column4689" dataDxfId="11691"/>
    <tableColumn id="4694" name="Column4690" dataDxfId="11690"/>
    <tableColumn id="4695" name="Column4691" dataDxfId="11689"/>
    <tableColumn id="4696" name="Column4692" dataDxfId="11688"/>
    <tableColumn id="4697" name="Column4693" dataDxfId="11687"/>
    <tableColumn id="4698" name="Column4694" dataDxfId="11686"/>
    <tableColumn id="4699" name="Column4695" dataDxfId="11685"/>
    <tableColumn id="4700" name="Column4696" dataDxfId="11684"/>
    <tableColumn id="4701" name="Column4697" dataDxfId="11683"/>
    <tableColumn id="4702" name="Column4698" dataDxfId="11682"/>
    <tableColumn id="4703" name="Column4699" dataDxfId="11681"/>
    <tableColumn id="4704" name="Column4700" dataDxfId="11680"/>
    <tableColumn id="4705" name="Column4701" dataDxfId="11679"/>
    <tableColumn id="4706" name="Column4702" dataDxfId="11678"/>
    <tableColumn id="4707" name="Column4703" dataDxfId="11677"/>
    <tableColumn id="4708" name="Column4704" dataDxfId="11676"/>
    <tableColumn id="4709" name="Column4705" dataDxfId="11675"/>
    <tableColumn id="4710" name="Column4706" dataDxfId="11674"/>
    <tableColumn id="4711" name="Column4707" dataDxfId="11673"/>
    <tableColumn id="4712" name="Column4708" dataDxfId="11672"/>
    <tableColumn id="4713" name="Column4709" dataDxfId="11671"/>
    <tableColumn id="4714" name="Column4710" dataDxfId="11670"/>
    <tableColumn id="4715" name="Column4711" dataDxfId="11669"/>
    <tableColumn id="4716" name="Column4712" dataDxfId="11668"/>
    <tableColumn id="4717" name="Column4713" dataDxfId="11667"/>
    <tableColumn id="4718" name="Column4714" dataDxfId="11666"/>
    <tableColumn id="4719" name="Column4715" dataDxfId="11665"/>
    <tableColumn id="4720" name="Column4716" dataDxfId="11664"/>
    <tableColumn id="4721" name="Column4717" dataDxfId="11663"/>
    <tableColumn id="4722" name="Column4718" dataDxfId="11662"/>
    <tableColumn id="4723" name="Column4719" dataDxfId="11661"/>
    <tableColumn id="4724" name="Column4720" dataDxfId="11660"/>
    <tableColumn id="4725" name="Column4721" dataDxfId="11659"/>
    <tableColumn id="4726" name="Column4722" dataDxfId="11658"/>
    <tableColumn id="4727" name="Column4723" dataDxfId="11657"/>
    <tableColumn id="4728" name="Column4724" dataDxfId="11656"/>
    <tableColumn id="4729" name="Column4725" dataDxfId="11655"/>
    <tableColumn id="4730" name="Column4726" dataDxfId="11654"/>
    <tableColumn id="4731" name="Column4727" dataDxfId="11653"/>
    <tableColumn id="4732" name="Column4728" dataDxfId="11652"/>
    <tableColumn id="4733" name="Column4729" dataDxfId="11651"/>
    <tableColumn id="4734" name="Column4730" dataDxfId="11650"/>
    <tableColumn id="4735" name="Column4731" dataDxfId="11649"/>
    <tableColumn id="4736" name="Column4732" dataDxfId="11648"/>
    <tableColumn id="4737" name="Column4733" dataDxfId="11647"/>
    <tableColumn id="4738" name="Column4734" dataDxfId="11646"/>
    <tableColumn id="4739" name="Column4735" dataDxfId="11645"/>
    <tableColumn id="4740" name="Column4736" dataDxfId="11644"/>
    <tableColumn id="4741" name="Column4737" dataDxfId="11643"/>
    <tableColumn id="4742" name="Column4738" dataDxfId="11642"/>
    <tableColumn id="4743" name="Column4739" dataDxfId="11641"/>
    <tableColumn id="4744" name="Column4740" dataDxfId="11640"/>
    <tableColumn id="4745" name="Column4741" dataDxfId="11639"/>
    <tableColumn id="4746" name="Column4742" dataDxfId="11638"/>
    <tableColumn id="4747" name="Column4743" dataDxfId="11637"/>
    <tableColumn id="4748" name="Column4744" dataDxfId="11636"/>
    <tableColumn id="4749" name="Column4745" dataDxfId="11635"/>
    <tableColumn id="4750" name="Column4746" dataDxfId="11634"/>
    <tableColumn id="4751" name="Column4747" dataDxfId="11633"/>
    <tableColumn id="4752" name="Column4748" dataDxfId="11632"/>
    <tableColumn id="4753" name="Column4749" dataDxfId="11631"/>
    <tableColumn id="4754" name="Column4750" dataDxfId="11630"/>
    <tableColumn id="4755" name="Column4751" dataDxfId="11629"/>
    <tableColumn id="4756" name="Column4752" dataDxfId="11628"/>
    <tableColumn id="4757" name="Column4753" dataDxfId="11627"/>
    <tableColumn id="4758" name="Column4754" dataDxfId="11626"/>
    <tableColumn id="4759" name="Column4755" dataDxfId="11625"/>
    <tableColumn id="4760" name="Column4756" dataDxfId="11624"/>
    <tableColumn id="4761" name="Column4757" dataDxfId="11623"/>
    <tableColumn id="4762" name="Column4758" dataDxfId="11622"/>
    <tableColumn id="4763" name="Column4759" dataDxfId="11621"/>
    <tableColumn id="4764" name="Column4760" dataDxfId="11620"/>
    <tableColumn id="4765" name="Column4761" dataDxfId="11619"/>
    <tableColumn id="4766" name="Column4762" dataDxfId="11618"/>
    <tableColumn id="4767" name="Column4763" dataDxfId="11617"/>
    <tableColumn id="4768" name="Column4764" dataDxfId="11616"/>
    <tableColumn id="4769" name="Column4765" dataDxfId="11615"/>
    <tableColumn id="4770" name="Column4766" dataDxfId="11614"/>
    <tableColumn id="4771" name="Column4767" dataDxfId="11613"/>
    <tableColumn id="4772" name="Column4768" dataDxfId="11612"/>
    <tableColumn id="4773" name="Column4769" dataDxfId="11611"/>
    <tableColumn id="4774" name="Column4770" dataDxfId="11610"/>
    <tableColumn id="4775" name="Column4771" dataDxfId="11609"/>
    <tableColumn id="4776" name="Column4772" dataDxfId="11608"/>
    <tableColumn id="4777" name="Column4773" dataDxfId="11607"/>
    <tableColumn id="4778" name="Column4774" dataDxfId="11606"/>
    <tableColumn id="4779" name="Column4775" dataDxfId="11605"/>
    <tableColumn id="4780" name="Column4776" dataDxfId="11604"/>
    <tableColumn id="4781" name="Column4777" dataDxfId="11603"/>
    <tableColumn id="4782" name="Column4778" dataDxfId="11602"/>
    <tableColumn id="4783" name="Column4779" dataDxfId="11601"/>
    <tableColumn id="4784" name="Column4780" dataDxfId="11600"/>
    <tableColumn id="4785" name="Column4781" dataDxfId="11599"/>
    <tableColumn id="4786" name="Column4782" dataDxfId="11598"/>
    <tableColumn id="4787" name="Column4783" dataDxfId="11597"/>
    <tableColumn id="4788" name="Column4784" dataDxfId="11596"/>
    <tableColumn id="4789" name="Column4785" dataDxfId="11595"/>
    <tableColumn id="4790" name="Column4786" dataDxfId="11594"/>
    <tableColumn id="4791" name="Column4787" dataDxfId="11593"/>
    <tableColumn id="4792" name="Column4788" dataDxfId="11592"/>
    <tableColumn id="4793" name="Column4789" dataDxfId="11591"/>
    <tableColumn id="4794" name="Column4790" dataDxfId="11590"/>
    <tableColumn id="4795" name="Column4791" dataDxfId="11589"/>
    <tableColumn id="4796" name="Column4792" dataDxfId="11588"/>
    <tableColumn id="4797" name="Column4793" dataDxfId="11587"/>
    <tableColumn id="4798" name="Column4794" dataDxfId="11586"/>
    <tableColumn id="4799" name="Column4795" dataDxfId="11585"/>
    <tableColumn id="4800" name="Column4796" dataDxfId="11584"/>
    <tableColumn id="4801" name="Column4797" dataDxfId="11583"/>
    <tableColumn id="4802" name="Column4798" dataDxfId="11582"/>
    <tableColumn id="4803" name="Column4799" dataDxfId="11581"/>
    <tableColumn id="4804" name="Column4800" dataDxfId="11580"/>
    <tableColumn id="4805" name="Column4801" dataDxfId="11579"/>
    <tableColumn id="4806" name="Column4802" dataDxfId="11578"/>
    <tableColumn id="4807" name="Column4803" dataDxfId="11577"/>
    <tableColumn id="4808" name="Column4804" dataDxfId="11576"/>
    <tableColumn id="4809" name="Column4805" dataDxfId="11575"/>
    <tableColumn id="4810" name="Column4806" dataDxfId="11574"/>
    <tableColumn id="4811" name="Column4807" dataDxfId="11573"/>
    <tableColumn id="4812" name="Column4808" dataDxfId="11572"/>
    <tableColumn id="4813" name="Column4809" dataDxfId="11571"/>
    <tableColumn id="4814" name="Column4810" dataDxfId="11570"/>
    <tableColumn id="4815" name="Column4811" dataDxfId="11569"/>
    <tableColumn id="4816" name="Column4812" dataDxfId="11568"/>
    <tableColumn id="4817" name="Column4813" dataDxfId="11567"/>
    <tableColumn id="4818" name="Column4814" dataDxfId="11566"/>
    <tableColumn id="4819" name="Column4815" dataDxfId="11565"/>
    <tableColumn id="4820" name="Column4816" dataDxfId="11564"/>
    <tableColumn id="4821" name="Column4817" dataDxfId="11563"/>
    <tableColumn id="4822" name="Column4818" dataDxfId="11562"/>
    <tableColumn id="4823" name="Column4819" dataDxfId="11561"/>
    <tableColumn id="4824" name="Column4820" dataDxfId="11560"/>
    <tableColumn id="4825" name="Column4821" dataDxfId="11559"/>
    <tableColumn id="4826" name="Column4822" dataDxfId="11558"/>
    <tableColumn id="4827" name="Column4823" dataDxfId="11557"/>
    <tableColumn id="4828" name="Column4824" dataDxfId="11556"/>
    <tableColumn id="4829" name="Column4825" dataDxfId="11555"/>
    <tableColumn id="4830" name="Column4826" dataDxfId="11554"/>
    <tableColumn id="4831" name="Column4827" dataDxfId="11553"/>
    <tableColumn id="4832" name="Column4828" dataDxfId="11552"/>
    <tableColumn id="4833" name="Column4829" dataDxfId="11551"/>
    <tableColumn id="4834" name="Column4830" dataDxfId="11550"/>
    <tableColumn id="4835" name="Column4831" dataDxfId="11549"/>
    <tableColumn id="4836" name="Column4832" dataDxfId="11548"/>
    <tableColumn id="4837" name="Column4833" dataDxfId="11547"/>
    <tableColumn id="4838" name="Column4834" dataDxfId="11546"/>
    <tableColumn id="4839" name="Column4835" dataDxfId="11545"/>
    <tableColumn id="4840" name="Column4836" dataDxfId="11544"/>
    <tableColumn id="4841" name="Column4837" dataDxfId="11543"/>
    <tableColumn id="4842" name="Column4838" dataDxfId="11542"/>
    <tableColumn id="4843" name="Column4839" dataDxfId="11541"/>
    <tableColumn id="4844" name="Column4840" dataDxfId="11540"/>
    <tableColumn id="4845" name="Column4841" dataDxfId="11539"/>
    <tableColumn id="4846" name="Column4842" dataDxfId="11538"/>
    <tableColumn id="4847" name="Column4843" dataDxfId="11537"/>
    <tableColumn id="4848" name="Column4844" dataDxfId="11536"/>
    <tableColumn id="4849" name="Column4845" dataDxfId="11535"/>
    <tableColumn id="4850" name="Column4846" dataDxfId="11534"/>
    <tableColumn id="4851" name="Column4847" dataDxfId="11533"/>
    <tableColumn id="4852" name="Column4848" dataDxfId="11532"/>
    <tableColumn id="4853" name="Column4849" dataDxfId="11531"/>
    <tableColumn id="4854" name="Column4850" dataDxfId="11530"/>
    <tableColumn id="4855" name="Column4851" dataDxfId="11529"/>
    <tableColumn id="4856" name="Column4852" dataDxfId="11528"/>
    <tableColumn id="4857" name="Column4853" dataDxfId="11527"/>
    <tableColumn id="4858" name="Column4854" dataDxfId="11526"/>
    <tableColumn id="4859" name="Column4855" dataDxfId="11525"/>
    <tableColumn id="4860" name="Column4856" dataDxfId="11524"/>
    <tableColumn id="4861" name="Column4857" dataDxfId="11523"/>
    <tableColumn id="4862" name="Column4858" dataDxfId="11522"/>
    <tableColumn id="4863" name="Column4859" dataDxfId="11521"/>
    <tableColumn id="4864" name="Column4860" dataDxfId="11520"/>
    <tableColumn id="4865" name="Column4861" dataDxfId="11519"/>
    <tableColumn id="4866" name="Column4862" dataDxfId="11518"/>
    <tableColumn id="4867" name="Column4863" dataDxfId="11517"/>
    <tableColumn id="4868" name="Column4864" dataDxfId="11516"/>
    <tableColumn id="4869" name="Column4865" dataDxfId="11515"/>
    <tableColumn id="4870" name="Column4866" dataDxfId="11514"/>
    <tableColumn id="4871" name="Column4867" dataDxfId="11513"/>
    <tableColumn id="4872" name="Column4868" dataDxfId="11512"/>
    <tableColumn id="4873" name="Column4869" dataDxfId="11511"/>
    <tableColumn id="4874" name="Column4870" dataDxfId="11510"/>
    <tableColumn id="4875" name="Column4871" dataDxfId="11509"/>
    <tableColumn id="4876" name="Column4872" dataDxfId="11508"/>
    <tableColumn id="4877" name="Column4873" dataDxfId="11507"/>
    <tableColumn id="4878" name="Column4874" dataDxfId="11506"/>
    <tableColumn id="4879" name="Column4875" dataDxfId="11505"/>
    <tableColumn id="4880" name="Column4876" dataDxfId="11504"/>
    <tableColumn id="4881" name="Column4877" dataDxfId="11503"/>
    <tableColumn id="4882" name="Column4878" dataDxfId="11502"/>
    <tableColumn id="4883" name="Column4879" dataDxfId="11501"/>
    <tableColumn id="4884" name="Column4880" dataDxfId="11500"/>
    <tableColumn id="4885" name="Column4881" dataDxfId="11499"/>
    <tableColumn id="4886" name="Column4882" dataDxfId="11498"/>
    <tableColumn id="4887" name="Column4883" dataDxfId="11497"/>
    <tableColumn id="4888" name="Column4884" dataDxfId="11496"/>
    <tableColumn id="4889" name="Column4885" dataDxfId="11495"/>
    <tableColumn id="4890" name="Column4886" dataDxfId="11494"/>
    <tableColumn id="4891" name="Column4887" dataDxfId="11493"/>
    <tableColumn id="4892" name="Column4888" dataDxfId="11492"/>
    <tableColumn id="4893" name="Column4889" dataDxfId="11491"/>
    <tableColumn id="4894" name="Column4890" dataDxfId="11490"/>
    <tableColumn id="4895" name="Column4891" dataDxfId="11489"/>
    <tableColumn id="4896" name="Column4892" dataDxfId="11488"/>
    <tableColumn id="4897" name="Column4893" dataDxfId="11487"/>
    <tableColumn id="4898" name="Column4894" dataDxfId="11486"/>
    <tableColumn id="4899" name="Column4895" dataDxfId="11485"/>
    <tableColumn id="4900" name="Column4896" dataDxfId="11484"/>
    <tableColumn id="4901" name="Column4897" dataDxfId="11483"/>
    <tableColumn id="4902" name="Column4898" dataDxfId="11482"/>
    <tableColumn id="4903" name="Column4899" dataDxfId="11481"/>
    <tableColumn id="4904" name="Column4900" dataDxfId="11480"/>
    <tableColumn id="4905" name="Column4901" dataDxfId="11479"/>
    <tableColumn id="4906" name="Column4902" dataDxfId="11478"/>
    <tableColumn id="4907" name="Column4903" dataDxfId="11477"/>
    <tableColumn id="4908" name="Column4904" dataDxfId="11476"/>
    <tableColumn id="4909" name="Column4905" dataDxfId="11475"/>
    <tableColumn id="4910" name="Column4906" dataDxfId="11474"/>
    <tableColumn id="4911" name="Column4907" dataDxfId="11473"/>
    <tableColumn id="4912" name="Column4908" dataDxfId="11472"/>
    <tableColumn id="4913" name="Column4909" dataDxfId="11471"/>
    <tableColumn id="4914" name="Column4910" dataDxfId="11470"/>
    <tableColumn id="4915" name="Column4911" dataDxfId="11469"/>
    <tableColumn id="4916" name="Column4912" dataDxfId="11468"/>
    <tableColumn id="4917" name="Column4913" dataDxfId="11467"/>
    <tableColumn id="4918" name="Column4914" dataDxfId="11466"/>
    <tableColumn id="4919" name="Column4915" dataDxfId="11465"/>
    <tableColumn id="4920" name="Column4916" dataDxfId="11464"/>
    <tableColumn id="4921" name="Column4917" dataDxfId="11463"/>
    <tableColumn id="4922" name="Column4918" dataDxfId="11462"/>
    <tableColumn id="4923" name="Column4919" dataDxfId="11461"/>
    <tableColumn id="4924" name="Column4920" dataDxfId="11460"/>
    <tableColumn id="4925" name="Column4921" dataDxfId="11459"/>
    <tableColumn id="4926" name="Column4922" dataDxfId="11458"/>
    <tableColumn id="4927" name="Column4923" dataDxfId="11457"/>
    <tableColumn id="4928" name="Column4924" dataDxfId="11456"/>
    <tableColumn id="4929" name="Column4925" dataDxfId="11455"/>
    <tableColumn id="4930" name="Column4926" dataDxfId="11454"/>
    <tableColumn id="4931" name="Column4927" dataDxfId="11453"/>
    <tableColumn id="4932" name="Column4928" dataDxfId="11452"/>
    <tableColumn id="4933" name="Column4929" dataDxfId="11451"/>
    <tableColumn id="4934" name="Column4930" dataDxfId="11450"/>
    <tableColumn id="4935" name="Column4931" dataDxfId="11449"/>
    <tableColumn id="4936" name="Column4932" dataDxfId="11448"/>
    <tableColumn id="4937" name="Column4933" dataDxfId="11447"/>
    <tableColumn id="4938" name="Column4934" dataDxfId="11446"/>
    <tableColumn id="4939" name="Column4935" dataDxfId="11445"/>
    <tableColumn id="4940" name="Column4936" dataDxfId="11444"/>
    <tableColumn id="4941" name="Column4937" dataDxfId="11443"/>
    <tableColumn id="4942" name="Column4938" dataDxfId="11442"/>
    <tableColumn id="4943" name="Column4939" dataDxfId="11441"/>
    <tableColumn id="4944" name="Column4940" dataDxfId="11440"/>
    <tableColumn id="4945" name="Column4941" dataDxfId="11439"/>
    <tableColumn id="4946" name="Column4942" dataDxfId="11438"/>
    <tableColumn id="4947" name="Column4943" dataDxfId="11437"/>
    <tableColumn id="4948" name="Column4944" dataDxfId="11436"/>
    <tableColumn id="4949" name="Column4945" dataDxfId="11435"/>
    <tableColumn id="4950" name="Column4946" dataDxfId="11434"/>
    <tableColumn id="4951" name="Column4947" dataDxfId="11433"/>
    <tableColumn id="4952" name="Column4948" dataDxfId="11432"/>
    <tableColumn id="4953" name="Column4949" dataDxfId="11431"/>
    <tableColumn id="4954" name="Column4950" dataDxfId="11430"/>
    <tableColumn id="4955" name="Column4951" dataDxfId="11429"/>
    <tableColumn id="4956" name="Column4952" dataDxfId="11428"/>
    <tableColumn id="4957" name="Column4953" dataDxfId="11427"/>
    <tableColumn id="4958" name="Column4954" dataDxfId="11426"/>
    <tableColumn id="4959" name="Column4955" dataDxfId="11425"/>
    <tableColumn id="4960" name="Column4956" dataDxfId="11424"/>
    <tableColumn id="4961" name="Column4957" dataDxfId="11423"/>
    <tableColumn id="4962" name="Column4958" dataDxfId="11422"/>
    <tableColumn id="4963" name="Column4959" dataDxfId="11421"/>
    <tableColumn id="4964" name="Column4960" dataDxfId="11420"/>
    <tableColumn id="4965" name="Column4961" dataDxfId="11419"/>
    <tableColumn id="4966" name="Column4962" dataDxfId="11418"/>
    <tableColumn id="4967" name="Column4963" dataDxfId="11417"/>
    <tableColumn id="4968" name="Column4964" dataDxfId="11416"/>
    <tableColumn id="4969" name="Column4965" dataDxfId="11415"/>
    <tableColumn id="4970" name="Column4966" dataDxfId="11414"/>
    <tableColumn id="4971" name="Column4967" dataDxfId="11413"/>
    <tableColumn id="4972" name="Column4968" dataDxfId="11412"/>
    <tableColumn id="4973" name="Column4969" dataDxfId="11411"/>
    <tableColumn id="4974" name="Column4970" dataDxfId="11410"/>
    <tableColumn id="4975" name="Column4971" dataDxfId="11409"/>
    <tableColumn id="4976" name="Column4972" dataDxfId="11408"/>
    <tableColumn id="4977" name="Column4973" dataDxfId="11407"/>
    <tableColumn id="4978" name="Column4974" dataDxfId="11406"/>
    <tableColumn id="4979" name="Column4975" dataDxfId="11405"/>
    <tableColumn id="4980" name="Column4976" dataDxfId="11404"/>
    <tableColumn id="4981" name="Column4977" dataDxfId="11403"/>
    <tableColumn id="4982" name="Column4978" dataDxfId="11402"/>
    <tableColumn id="4983" name="Column4979" dataDxfId="11401"/>
    <tableColumn id="4984" name="Column4980" dataDxfId="11400"/>
    <tableColumn id="4985" name="Column4981" dataDxfId="11399"/>
    <tableColumn id="4986" name="Column4982" dataDxfId="11398"/>
    <tableColumn id="4987" name="Column4983" dataDxfId="11397"/>
    <tableColumn id="4988" name="Column4984" dataDxfId="11396"/>
    <tableColumn id="4989" name="Column4985" dataDxfId="11395"/>
    <tableColumn id="4990" name="Column4986" dataDxfId="11394"/>
    <tableColumn id="4991" name="Column4987" dataDxfId="11393"/>
    <tableColumn id="4992" name="Column4988" dataDxfId="11392"/>
    <tableColumn id="4993" name="Column4989" dataDxfId="11391"/>
    <tableColumn id="4994" name="Column4990" dataDxfId="11390"/>
    <tableColumn id="4995" name="Column4991" dataDxfId="11389"/>
    <tableColumn id="4996" name="Column4992" dataDxfId="11388"/>
    <tableColumn id="4997" name="Column4993" dataDxfId="11387"/>
    <tableColumn id="4998" name="Column4994" dataDxfId="11386"/>
    <tableColumn id="4999" name="Column4995" dataDxfId="11385"/>
    <tableColumn id="5000" name="Column4996" dataDxfId="11384"/>
    <tableColumn id="5001" name="Column4997" dataDxfId="11383"/>
    <tableColumn id="5002" name="Column4998" dataDxfId="11382"/>
    <tableColumn id="5003" name="Column4999" dataDxfId="11381"/>
    <tableColumn id="5004" name="Column5000" dataDxfId="11380"/>
    <tableColumn id="5005" name="Column5001" dataDxfId="11379"/>
    <tableColumn id="5006" name="Column5002" dataDxfId="11378"/>
    <tableColumn id="5007" name="Column5003" dataDxfId="11377"/>
    <tableColumn id="5008" name="Column5004" dataDxfId="11376"/>
    <tableColumn id="5009" name="Column5005" dataDxfId="11375"/>
    <tableColumn id="5010" name="Column5006" dataDxfId="11374"/>
    <tableColumn id="5011" name="Column5007" dataDxfId="11373"/>
    <tableColumn id="5012" name="Column5008" dataDxfId="11372"/>
    <tableColumn id="5013" name="Column5009" dataDxfId="11371"/>
    <tableColumn id="5014" name="Column5010" dataDxfId="11370"/>
    <tableColumn id="5015" name="Column5011" dataDxfId="11369"/>
    <tableColumn id="5016" name="Column5012" dataDxfId="11368"/>
    <tableColumn id="5017" name="Column5013" dataDxfId="11367"/>
    <tableColumn id="5018" name="Column5014" dataDxfId="11366"/>
    <tableColumn id="5019" name="Column5015" dataDxfId="11365"/>
    <tableColumn id="5020" name="Column5016" dataDxfId="11364"/>
    <tableColumn id="5021" name="Column5017" dataDxfId="11363"/>
    <tableColumn id="5022" name="Column5018" dataDxfId="11362"/>
    <tableColumn id="5023" name="Column5019" dataDxfId="11361"/>
    <tableColumn id="5024" name="Column5020" dataDxfId="11360"/>
    <tableColumn id="5025" name="Column5021" dataDxfId="11359"/>
    <tableColumn id="5026" name="Column5022" dataDxfId="11358"/>
    <tableColumn id="5027" name="Column5023" dataDxfId="11357"/>
    <tableColumn id="5028" name="Column5024" dataDxfId="11356"/>
    <tableColumn id="5029" name="Column5025" dataDxfId="11355"/>
    <tableColumn id="5030" name="Column5026" dataDxfId="11354"/>
    <tableColumn id="5031" name="Column5027" dataDxfId="11353"/>
    <tableColumn id="5032" name="Column5028" dataDxfId="11352"/>
    <tableColumn id="5033" name="Column5029" dataDxfId="11351"/>
    <tableColumn id="5034" name="Column5030" dataDxfId="11350"/>
    <tableColumn id="5035" name="Column5031" dataDxfId="11349"/>
    <tableColumn id="5036" name="Column5032" dataDxfId="11348"/>
    <tableColumn id="5037" name="Column5033" dataDxfId="11347"/>
    <tableColumn id="5038" name="Column5034" dataDxfId="11346"/>
    <tableColumn id="5039" name="Column5035" dataDxfId="11345"/>
    <tableColumn id="5040" name="Column5036" dataDxfId="11344"/>
    <tableColumn id="5041" name="Column5037" dataDxfId="11343"/>
    <tableColumn id="5042" name="Column5038" dataDxfId="11342"/>
    <tableColumn id="5043" name="Column5039" dataDxfId="11341"/>
    <tableColumn id="5044" name="Column5040" dataDxfId="11340"/>
    <tableColumn id="5045" name="Column5041" dataDxfId="11339"/>
    <tableColumn id="5046" name="Column5042" dataDxfId="11338"/>
    <tableColumn id="5047" name="Column5043" dataDxfId="11337"/>
    <tableColumn id="5048" name="Column5044" dataDxfId="11336"/>
    <tableColumn id="5049" name="Column5045" dataDxfId="11335"/>
    <tableColumn id="5050" name="Column5046" dataDxfId="11334"/>
    <tableColumn id="5051" name="Column5047" dataDxfId="11333"/>
    <tableColumn id="5052" name="Column5048" dataDxfId="11332"/>
    <tableColumn id="5053" name="Column5049" dataDxfId="11331"/>
    <tableColumn id="5054" name="Column5050" dataDxfId="11330"/>
    <tableColumn id="5055" name="Column5051" dataDxfId="11329"/>
    <tableColumn id="5056" name="Column5052" dataDxfId="11328"/>
    <tableColumn id="5057" name="Column5053" dataDxfId="11327"/>
    <tableColumn id="5058" name="Column5054" dataDxfId="11326"/>
    <tableColumn id="5059" name="Column5055" dataDxfId="11325"/>
    <tableColumn id="5060" name="Column5056" dataDxfId="11324"/>
    <tableColumn id="5061" name="Column5057" dataDxfId="11323"/>
    <tableColumn id="5062" name="Column5058" dataDxfId="11322"/>
    <tableColumn id="5063" name="Column5059" dataDxfId="11321"/>
    <tableColumn id="5064" name="Column5060" dataDxfId="11320"/>
    <tableColumn id="5065" name="Column5061" dataDxfId="11319"/>
    <tableColumn id="5066" name="Column5062" dataDxfId="11318"/>
    <tableColumn id="5067" name="Column5063" dataDxfId="11317"/>
    <tableColumn id="5068" name="Column5064" dataDxfId="11316"/>
    <tableColumn id="5069" name="Column5065" dataDxfId="11315"/>
    <tableColumn id="5070" name="Column5066" dataDxfId="11314"/>
    <tableColumn id="5071" name="Column5067" dataDxfId="11313"/>
    <tableColumn id="5072" name="Column5068" dataDxfId="11312"/>
    <tableColumn id="5073" name="Column5069" dataDxfId="11311"/>
    <tableColumn id="5074" name="Column5070" dataDxfId="11310"/>
    <tableColumn id="5075" name="Column5071" dataDxfId="11309"/>
    <tableColumn id="5076" name="Column5072" dataDxfId="11308"/>
    <tableColumn id="5077" name="Column5073" dataDxfId="11307"/>
    <tableColumn id="5078" name="Column5074" dataDxfId="11306"/>
    <tableColumn id="5079" name="Column5075" dataDxfId="11305"/>
    <tableColumn id="5080" name="Column5076" dataDxfId="11304"/>
    <tableColumn id="5081" name="Column5077" dataDxfId="11303"/>
    <tableColumn id="5082" name="Column5078" dataDxfId="11302"/>
    <tableColumn id="5083" name="Column5079" dataDxfId="11301"/>
    <tableColumn id="5084" name="Column5080" dataDxfId="11300"/>
    <tableColumn id="5085" name="Column5081" dataDxfId="11299"/>
    <tableColumn id="5086" name="Column5082" dataDxfId="11298"/>
    <tableColumn id="5087" name="Column5083" dataDxfId="11297"/>
    <tableColumn id="5088" name="Column5084" dataDxfId="11296"/>
    <tableColumn id="5089" name="Column5085" dataDxfId="11295"/>
    <tableColumn id="5090" name="Column5086" dataDxfId="11294"/>
    <tableColumn id="5091" name="Column5087" dataDxfId="11293"/>
    <tableColumn id="5092" name="Column5088" dataDxfId="11292"/>
    <tableColumn id="5093" name="Column5089" dataDxfId="11291"/>
    <tableColumn id="5094" name="Column5090" dataDxfId="11290"/>
    <tableColumn id="5095" name="Column5091" dataDxfId="11289"/>
    <tableColumn id="5096" name="Column5092" dataDxfId="11288"/>
    <tableColumn id="5097" name="Column5093" dataDxfId="11287"/>
    <tableColumn id="5098" name="Column5094" dataDxfId="11286"/>
    <tableColumn id="5099" name="Column5095" dataDxfId="11285"/>
    <tableColumn id="5100" name="Column5096" dataDxfId="11284"/>
    <tableColumn id="5101" name="Column5097" dataDxfId="11283"/>
    <tableColumn id="5102" name="Column5098" dataDxfId="11282"/>
    <tableColumn id="5103" name="Column5099" dataDxfId="11281"/>
    <tableColumn id="5104" name="Column5100" dataDxfId="11280"/>
    <tableColumn id="5105" name="Column5101" dataDxfId="11279"/>
    <tableColumn id="5106" name="Column5102" dataDxfId="11278"/>
    <tableColumn id="5107" name="Column5103" dataDxfId="11277"/>
    <tableColumn id="5108" name="Column5104" dataDxfId="11276"/>
    <tableColumn id="5109" name="Column5105" dataDxfId="11275"/>
    <tableColumn id="5110" name="Column5106" dataDxfId="11274"/>
    <tableColumn id="5111" name="Column5107" dataDxfId="11273"/>
    <tableColumn id="5112" name="Column5108" dataDxfId="11272"/>
    <tableColumn id="5113" name="Column5109" dataDxfId="11271"/>
    <tableColumn id="5114" name="Column5110" dataDxfId="11270"/>
    <tableColumn id="5115" name="Column5111" dataDxfId="11269"/>
    <tableColumn id="5116" name="Column5112" dataDxfId="11268"/>
    <tableColumn id="5117" name="Column5113" dataDxfId="11267"/>
    <tableColumn id="5118" name="Column5114" dataDxfId="11266"/>
    <tableColumn id="5119" name="Column5115" dataDxfId="11265"/>
    <tableColumn id="5120" name="Column5116" dataDxfId="11264"/>
    <tableColumn id="5121" name="Column5117" dataDxfId="11263"/>
    <tableColumn id="5122" name="Column5118" dataDxfId="11262"/>
    <tableColumn id="5123" name="Column5119" dataDxfId="11261"/>
    <tableColumn id="5124" name="Column5120" dataDxfId="11260"/>
    <tableColumn id="5125" name="Column5121" dataDxfId="11259"/>
    <tableColumn id="5126" name="Column5122" dataDxfId="11258"/>
    <tableColumn id="5127" name="Column5123" dataDxfId="11257"/>
    <tableColumn id="5128" name="Column5124" dataDxfId="11256"/>
    <tableColumn id="5129" name="Column5125" dataDxfId="11255"/>
    <tableColumn id="5130" name="Column5126" dataDxfId="11254"/>
    <tableColumn id="5131" name="Column5127" dataDxfId="11253"/>
    <tableColumn id="5132" name="Column5128" dataDxfId="11252"/>
    <tableColumn id="5133" name="Column5129" dataDxfId="11251"/>
    <tableColumn id="5134" name="Column5130" dataDxfId="11250"/>
    <tableColumn id="5135" name="Column5131" dataDxfId="11249"/>
    <tableColumn id="5136" name="Column5132" dataDxfId="11248"/>
    <tableColumn id="5137" name="Column5133" dataDxfId="11247"/>
    <tableColumn id="5138" name="Column5134" dataDxfId="11246"/>
    <tableColumn id="5139" name="Column5135" dataDxfId="11245"/>
    <tableColumn id="5140" name="Column5136" dataDxfId="11244"/>
    <tableColumn id="5141" name="Column5137" dataDxfId="11243"/>
    <tableColumn id="5142" name="Column5138" dataDxfId="11242"/>
    <tableColumn id="5143" name="Column5139" dataDxfId="11241"/>
    <tableColumn id="5144" name="Column5140" dataDxfId="11240"/>
    <tableColumn id="5145" name="Column5141" dataDxfId="11239"/>
    <tableColumn id="5146" name="Column5142" dataDxfId="11238"/>
    <tableColumn id="5147" name="Column5143" dataDxfId="11237"/>
    <tableColumn id="5148" name="Column5144" dataDxfId="11236"/>
    <tableColumn id="5149" name="Column5145" dataDxfId="11235"/>
    <tableColumn id="5150" name="Column5146" dataDxfId="11234"/>
    <tableColumn id="5151" name="Column5147" dataDxfId="11233"/>
    <tableColumn id="5152" name="Column5148" dataDxfId="11232"/>
    <tableColumn id="5153" name="Column5149" dataDxfId="11231"/>
    <tableColumn id="5154" name="Column5150" dataDxfId="11230"/>
    <tableColumn id="5155" name="Column5151" dataDxfId="11229"/>
    <tableColumn id="5156" name="Column5152" dataDxfId="11228"/>
    <tableColumn id="5157" name="Column5153" dataDxfId="11227"/>
    <tableColumn id="5158" name="Column5154" dataDxfId="11226"/>
    <tableColumn id="5159" name="Column5155" dataDxfId="11225"/>
    <tableColumn id="5160" name="Column5156" dataDxfId="11224"/>
    <tableColumn id="5161" name="Column5157" dataDxfId="11223"/>
    <tableColumn id="5162" name="Column5158" dataDxfId="11222"/>
    <tableColumn id="5163" name="Column5159" dataDxfId="11221"/>
    <tableColumn id="5164" name="Column5160" dataDxfId="11220"/>
    <tableColumn id="5165" name="Column5161" dataDxfId="11219"/>
    <tableColumn id="5166" name="Column5162" dataDxfId="11218"/>
    <tableColumn id="5167" name="Column5163" dataDxfId="11217"/>
    <tableColumn id="5168" name="Column5164" dataDxfId="11216"/>
    <tableColumn id="5169" name="Column5165" dataDxfId="11215"/>
    <tableColumn id="5170" name="Column5166" dataDxfId="11214"/>
    <tableColumn id="5171" name="Column5167" dataDxfId="11213"/>
    <tableColumn id="5172" name="Column5168" dataDxfId="11212"/>
    <tableColumn id="5173" name="Column5169" dataDxfId="11211"/>
    <tableColumn id="5174" name="Column5170" dataDxfId="11210"/>
    <tableColumn id="5175" name="Column5171" dataDxfId="11209"/>
    <tableColumn id="5176" name="Column5172" dataDxfId="11208"/>
    <tableColumn id="5177" name="Column5173" dataDxfId="11207"/>
    <tableColumn id="5178" name="Column5174" dataDxfId="11206"/>
    <tableColumn id="5179" name="Column5175" dataDxfId="11205"/>
    <tableColumn id="5180" name="Column5176" dataDxfId="11204"/>
    <tableColumn id="5181" name="Column5177" dataDxfId="11203"/>
    <tableColumn id="5182" name="Column5178" dataDxfId="11202"/>
    <tableColumn id="5183" name="Column5179" dataDxfId="11201"/>
    <tableColumn id="5184" name="Column5180" dataDxfId="11200"/>
    <tableColumn id="5185" name="Column5181" dataDxfId="11199"/>
    <tableColumn id="5186" name="Column5182" dataDxfId="11198"/>
    <tableColumn id="5187" name="Column5183" dataDxfId="11197"/>
    <tableColumn id="5188" name="Column5184" dataDxfId="11196"/>
    <tableColumn id="5189" name="Column5185" dataDxfId="11195"/>
    <tableColumn id="5190" name="Column5186" dataDxfId="11194"/>
    <tableColumn id="5191" name="Column5187" dataDxfId="11193"/>
    <tableColumn id="5192" name="Column5188" dataDxfId="11192"/>
    <tableColumn id="5193" name="Column5189" dataDxfId="11191"/>
    <tableColumn id="5194" name="Column5190" dataDxfId="11190"/>
    <tableColumn id="5195" name="Column5191" dataDxfId="11189"/>
    <tableColumn id="5196" name="Column5192" dataDxfId="11188"/>
    <tableColumn id="5197" name="Column5193" dataDxfId="11187"/>
    <tableColumn id="5198" name="Column5194" dataDxfId="11186"/>
    <tableColumn id="5199" name="Column5195" dataDxfId="11185"/>
    <tableColumn id="5200" name="Column5196" dataDxfId="11184"/>
    <tableColumn id="5201" name="Column5197" dataDxfId="11183"/>
    <tableColumn id="5202" name="Column5198" dataDxfId="11182"/>
    <tableColumn id="5203" name="Column5199" dataDxfId="11181"/>
    <tableColumn id="5204" name="Column5200" dataDxfId="11180"/>
    <tableColumn id="5205" name="Column5201" dataDxfId="11179"/>
    <tableColumn id="5206" name="Column5202" dataDxfId="11178"/>
    <tableColumn id="5207" name="Column5203" dataDxfId="11177"/>
    <tableColumn id="5208" name="Column5204" dataDxfId="11176"/>
    <tableColumn id="5209" name="Column5205" dataDxfId="11175"/>
    <tableColumn id="5210" name="Column5206" dataDxfId="11174"/>
    <tableColumn id="5211" name="Column5207" dataDxfId="11173"/>
    <tableColumn id="5212" name="Column5208" dataDxfId="11172"/>
    <tableColumn id="5213" name="Column5209" dataDxfId="11171"/>
    <tableColumn id="5214" name="Column5210" dataDxfId="11170"/>
    <tableColumn id="5215" name="Column5211" dataDxfId="11169"/>
    <tableColumn id="5216" name="Column5212" dataDxfId="11168"/>
    <tableColumn id="5217" name="Column5213" dataDxfId="11167"/>
    <tableColumn id="5218" name="Column5214" dataDxfId="11166"/>
    <tableColumn id="5219" name="Column5215" dataDxfId="11165"/>
    <tableColumn id="5220" name="Column5216" dataDxfId="11164"/>
    <tableColumn id="5221" name="Column5217" dataDxfId="11163"/>
    <tableColumn id="5222" name="Column5218" dataDxfId="11162"/>
    <tableColumn id="5223" name="Column5219" dataDxfId="11161"/>
    <tableColumn id="5224" name="Column5220" dataDxfId="11160"/>
    <tableColumn id="5225" name="Column5221" dataDxfId="11159"/>
    <tableColumn id="5226" name="Column5222" dataDxfId="11158"/>
    <tableColumn id="5227" name="Column5223" dataDxfId="11157"/>
    <tableColumn id="5228" name="Column5224" dataDxfId="11156"/>
    <tableColumn id="5229" name="Column5225" dataDxfId="11155"/>
    <tableColumn id="5230" name="Column5226" dataDxfId="11154"/>
    <tableColumn id="5231" name="Column5227" dataDxfId="11153"/>
    <tableColumn id="5232" name="Column5228" dataDxfId="11152"/>
    <tableColumn id="5233" name="Column5229" dataDxfId="11151"/>
    <tableColumn id="5234" name="Column5230" dataDxfId="11150"/>
    <tableColumn id="5235" name="Column5231" dataDxfId="11149"/>
    <tableColumn id="5236" name="Column5232" dataDxfId="11148"/>
    <tableColumn id="5237" name="Column5233" dataDxfId="11147"/>
    <tableColumn id="5238" name="Column5234" dataDxfId="11146"/>
    <tableColumn id="5239" name="Column5235" dataDxfId="11145"/>
    <tableColumn id="5240" name="Column5236" dataDxfId="11144"/>
    <tableColumn id="5241" name="Column5237" dataDxfId="11143"/>
    <tableColumn id="5242" name="Column5238" dataDxfId="11142"/>
    <tableColumn id="5243" name="Column5239" dataDxfId="11141"/>
    <tableColumn id="5244" name="Column5240" dataDxfId="11140"/>
    <tableColumn id="5245" name="Column5241" dataDxfId="11139"/>
    <tableColumn id="5246" name="Column5242" dataDxfId="11138"/>
    <tableColumn id="5247" name="Column5243" dataDxfId="11137"/>
    <tableColumn id="5248" name="Column5244" dataDxfId="11136"/>
    <tableColumn id="5249" name="Column5245" dataDxfId="11135"/>
    <tableColumn id="5250" name="Column5246" dataDxfId="11134"/>
    <tableColumn id="5251" name="Column5247" dataDxfId="11133"/>
    <tableColumn id="5252" name="Column5248" dataDxfId="11132"/>
    <tableColumn id="5253" name="Column5249" dataDxfId="11131"/>
    <tableColumn id="5254" name="Column5250" dataDxfId="11130"/>
    <tableColumn id="5255" name="Column5251" dataDxfId="11129"/>
    <tableColumn id="5256" name="Column5252" dataDxfId="11128"/>
    <tableColumn id="5257" name="Column5253" dataDxfId="11127"/>
    <tableColumn id="5258" name="Column5254" dataDxfId="11126"/>
    <tableColumn id="5259" name="Column5255" dataDxfId="11125"/>
    <tableColumn id="5260" name="Column5256" dataDxfId="11124"/>
    <tableColumn id="5261" name="Column5257" dataDxfId="11123"/>
    <tableColumn id="5262" name="Column5258" dataDxfId="11122"/>
    <tableColumn id="5263" name="Column5259" dataDxfId="11121"/>
    <tableColumn id="5264" name="Column5260" dataDxfId="11120"/>
    <tableColumn id="5265" name="Column5261" dataDxfId="11119"/>
    <tableColumn id="5266" name="Column5262" dataDxfId="11118"/>
    <tableColumn id="5267" name="Column5263" dataDxfId="11117"/>
    <tableColumn id="5268" name="Column5264" dataDxfId="11116"/>
    <tableColumn id="5269" name="Column5265" dataDxfId="11115"/>
    <tableColumn id="5270" name="Column5266" dataDxfId="11114"/>
    <tableColumn id="5271" name="Column5267" dataDxfId="11113"/>
    <tableColumn id="5272" name="Column5268" dataDxfId="11112"/>
    <tableColumn id="5273" name="Column5269" dataDxfId="11111"/>
    <tableColumn id="5274" name="Column5270" dataDxfId="11110"/>
    <tableColumn id="5275" name="Column5271" dataDxfId="11109"/>
    <tableColumn id="5276" name="Column5272" dataDxfId="11108"/>
    <tableColumn id="5277" name="Column5273" dataDxfId="11107"/>
    <tableColumn id="5278" name="Column5274" dataDxfId="11106"/>
    <tableColumn id="5279" name="Column5275" dataDxfId="11105"/>
    <tableColumn id="5280" name="Column5276" dataDxfId="11104"/>
    <tableColumn id="5281" name="Column5277" dataDxfId="11103"/>
    <tableColumn id="5282" name="Column5278" dataDxfId="11102"/>
    <tableColumn id="5283" name="Column5279" dataDxfId="11101"/>
    <tableColumn id="5284" name="Column5280" dataDxfId="11100"/>
    <tableColumn id="5285" name="Column5281" dataDxfId="11099"/>
    <tableColumn id="5286" name="Column5282" dataDxfId="11098"/>
    <tableColumn id="5287" name="Column5283" dataDxfId="11097"/>
    <tableColumn id="5288" name="Column5284" dataDxfId="11096"/>
    <tableColumn id="5289" name="Column5285" dataDxfId="11095"/>
    <tableColumn id="5290" name="Column5286" dataDxfId="11094"/>
    <tableColumn id="5291" name="Column5287" dataDxfId="11093"/>
    <tableColumn id="5292" name="Column5288" dataDxfId="11092"/>
    <tableColumn id="5293" name="Column5289" dataDxfId="11091"/>
    <tableColumn id="5294" name="Column5290" dataDxfId="11090"/>
    <tableColumn id="5295" name="Column5291" dataDxfId="11089"/>
    <tableColumn id="5296" name="Column5292" dataDxfId="11088"/>
    <tableColumn id="5297" name="Column5293" dataDxfId="11087"/>
    <tableColumn id="5298" name="Column5294" dataDxfId="11086"/>
    <tableColumn id="5299" name="Column5295" dataDxfId="11085"/>
    <tableColumn id="5300" name="Column5296" dataDxfId="11084"/>
    <tableColumn id="5301" name="Column5297" dataDxfId="11083"/>
    <tableColumn id="5302" name="Column5298" dataDxfId="11082"/>
    <tableColumn id="5303" name="Column5299" dataDxfId="11081"/>
    <tableColumn id="5304" name="Column5300" dataDxfId="11080"/>
    <tableColumn id="5305" name="Column5301" dataDxfId="11079"/>
    <tableColumn id="5306" name="Column5302" dataDxfId="11078"/>
    <tableColumn id="5307" name="Column5303" dataDxfId="11077"/>
    <tableColumn id="5308" name="Column5304" dataDxfId="11076"/>
    <tableColumn id="5309" name="Column5305" dataDxfId="11075"/>
    <tableColumn id="5310" name="Column5306" dataDxfId="11074"/>
    <tableColumn id="5311" name="Column5307" dataDxfId="11073"/>
    <tableColumn id="5312" name="Column5308" dataDxfId="11072"/>
    <tableColumn id="5313" name="Column5309" dataDxfId="11071"/>
    <tableColumn id="5314" name="Column5310" dataDxfId="11070"/>
    <tableColumn id="5315" name="Column5311" dataDxfId="11069"/>
    <tableColumn id="5316" name="Column5312" dataDxfId="11068"/>
    <tableColumn id="5317" name="Column5313" dataDxfId="11067"/>
    <tableColumn id="5318" name="Column5314" dataDxfId="11066"/>
    <tableColumn id="5319" name="Column5315" dataDxfId="11065"/>
    <tableColumn id="5320" name="Column5316" dataDxfId="11064"/>
    <tableColumn id="5321" name="Column5317" dataDxfId="11063"/>
    <tableColumn id="5322" name="Column5318" dataDxfId="11062"/>
    <tableColumn id="5323" name="Column5319" dataDxfId="11061"/>
    <tableColumn id="5324" name="Column5320" dataDxfId="11060"/>
    <tableColumn id="5325" name="Column5321" dataDxfId="11059"/>
    <tableColumn id="5326" name="Column5322" dataDxfId="11058"/>
    <tableColumn id="5327" name="Column5323" dataDxfId="11057"/>
    <tableColumn id="5328" name="Column5324" dataDxfId="11056"/>
    <tableColumn id="5329" name="Column5325" dataDxfId="11055"/>
    <tableColumn id="5330" name="Column5326" dataDxfId="11054"/>
    <tableColumn id="5331" name="Column5327" dataDxfId="11053"/>
    <tableColumn id="5332" name="Column5328" dataDxfId="11052"/>
    <tableColumn id="5333" name="Column5329" dataDxfId="11051"/>
    <tableColumn id="5334" name="Column5330" dataDxfId="11050"/>
    <tableColumn id="5335" name="Column5331" dataDxfId="11049"/>
    <tableColumn id="5336" name="Column5332" dataDxfId="11048"/>
    <tableColumn id="5337" name="Column5333" dataDxfId="11047"/>
    <tableColumn id="5338" name="Column5334" dataDxfId="11046"/>
    <tableColumn id="5339" name="Column5335" dataDxfId="11045"/>
    <tableColumn id="5340" name="Column5336" dataDxfId="11044"/>
    <tableColumn id="5341" name="Column5337" dataDxfId="11043"/>
    <tableColumn id="5342" name="Column5338" dataDxfId="11042"/>
    <tableColumn id="5343" name="Column5339" dataDxfId="11041"/>
    <tableColumn id="5344" name="Column5340" dataDxfId="11040"/>
    <tableColumn id="5345" name="Column5341" dataDxfId="11039"/>
    <tableColumn id="5346" name="Column5342" dataDxfId="11038"/>
    <tableColumn id="5347" name="Column5343" dataDxfId="11037"/>
    <tableColumn id="5348" name="Column5344" dataDxfId="11036"/>
    <tableColumn id="5349" name="Column5345" dataDxfId="11035"/>
    <tableColumn id="5350" name="Column5346" dataDxfId="11034"/>
    <tableColumn id="5351" name="Column5347" dataDxfId="11033"/>
    <tableColumn id="5352" name="Column5348" dataDxfId="11032"/>
    <tableColumn id="5353" name="Column5349" dataDxfId="11031"/>
    <tableColumn id="5354" name="Column5350" dataDxfId="11030"/>
    <tableColumn id="5355" name="Column5351" dataDxfId="11029"/>
    <tableColumn id="5356" name="Column5352" dataDxfId="11028"/>
    <tableColumn id="5357" name="Column5353" dataDxfId="11027"/>
    <tableColumn id="5358" name="Column5354" dataDxfId="11026"/>
    <tableColumn id="5359" name="Column5355" dataDxfId="11025"/>
    <tableColumn id="5360" name="Column5356" dataDxfId="11024"/>
    <tableColumn id="5361" name="Column5357" dataDxfId="11023"/>
    <tableColumn id="5362" name="Column5358" dataDxfId="11022"/>
    <tableColumn id="5363" name="Column5359" dataDxfId="11021"/>
    <tableColumn id="5364" name="Column5360" dataDxfId="11020"/>
    <tableColumn id="5365" name="Column5361" dataDxfId="11019"/>
    <tableColumn id="5366" name="Column5362" dataDxfId="11018"/>
    <tableColumn id="5367" name="Column5363" dataDxfId="11017"/>
    <tableColumn id="5368" name="Column5364" dataDxfId="11016"/>
    <tableColumn id="5369" name="Column5365" dataDxfId="11015"/>
    <tableColumn id="5370" name="Column5366" dataDxfId="11014"/>
    <tableColumn id="5371" name="Column5367" dataDxfId="11013"/>
    <tableColumn id="5372" name="Column5368" dataDxfId="11012"/>
    <tableColumn id="5373" name="Column5369" dataDxfId="11011"/>
    <tableColumn id="5374" name="Column5370" dataDxfId="11010"/>
    <tableColumn id="5375" name="Column5371" dataDxfId="11009"/>
    <tableColumn id="5376" name="Column5372" dataDxfId="11008"/>
    <tableColumn id="5377" name="Column5373" dataDxfId="11007"/>
    <tableColumn id="5378" name="Column5374" dataDxfId="11006"/>
    <tableColumn id="5379" name="Column5375" dataDxfId="11005"/>
    <tableColumn id="5380" name="Column5376" dataDxfId="11004"/>
    <tableColumn id="5381" name="Column5377" dataDxfId="11003"/>
    <tableColumn id="5382" name="Column5378" dataDxfId="11002"/>
    <tableColumn id="5383" name="Column5379" dataDxfId="11001"/>
    <tableColumn id="5384" name="Column5380" dataDxfId="11000"/>
    <tableColumn id="5385" name="Column5381" dataDxfId="10999"/>
    <tableColumn id="5386" name="Column5382" dataDxfId="10998"/>
    <tableColumn id="5387" name="Column5383" dataDxfId="10997"/>
    <tableColumn id="5388" name="Column5384" dataDxfId="10996"/>
    <tableColumn id="5389" name="Column5385" dataDxfId="10995"/>
    <tableColumn id="5390" name="Column5386" dataDxfId="10994"/>
    <tableColumn id="5391" name="Column5387" dataDxfId="10993"/>
    <tableColumn id="5392" name="Column5388" dataDxfId="10992"/>
    <tableColumn id="5393" name="Column5389" dataDxfId="10991"/>
    <tableColumn id="5394" name="Column5390" dataDxfId="10990"/>
    <tableColumn id="5395" name="Column5391" dataDxfId="10989"/>
    <tableColumn id="5396" name="Column5392" dataDxfId="10988"/>
    <tableColumn id="5397" name="Column5393" dataDxfId="10987"/>
    <tableColumn id="5398" name="Column5394" dataDxfId="10986"/>
    <tableColumn id="5399" name="Column5395" dataDxfId="10985"/>
    <tableColumn id="5400" name="Column5396" dataDxfId="10984"/>
    <tableColumn id="5401" name="Column5397" dataDxfId="10983"/>
    <tableColumn id="5402" name="Column5398" dataDxfId="10982"/>
    <tableColumn id="5403" name="Column5399" dataDxfId="10981"/>
    <tableColumn id="5404" name="Column5400" dataDxfId="10980"/>
    <tableColumn id="5405" name="Column5401" dataDxfId="10979"/>
    <tableColumn id="5406" name="Column5402" dataDxfId="10978"/>
    <tableColumn id="5407" name="Column5403" dataDxfId="10977"/>
    <tableColumn id="5408" name="Column5404" dataDxfId="10976"/>
    <tableColumn id="5409" name="Column5405" dataDxfId="10975"/>
    <tableColumn id="5410" name="Column5406" dataDxfId="10974"/>
    <tableColumn id="5411" name="Column5407" dataDxfId="10973"/>
    <tableColumn id="5412" name="Column5408" dataDxfId="10972"/>
    <tableColumn id="5413" name="Column5409" dataDxfId="10971"/>
    <tableColumn id="5414" name="Column5410" dataDxfId="10970"/>
    <tableColumn id="5415" name="Column5411" dataDxfId="10969"/>
    <tableColumn id="5416" name="Column5412" dataDxfId="10968"/>
    <tableColumn id="5417" name="Column5413" dataDxfId="10967"/>
    <tableColumn id="5418" name="Column5414" dataDxfId="10966"/>
    <tableColumn id="5419" name="Column5415" dataDxfId="10965"/>
    <tableColumn id="5420" name="Column5416" dataDxfId="10964"/>
    <tableColumn id="5421" name="Column5417" dataDxfId="10963"/>
    <tableColumn id="5422" name="Column5418" dataDxfId="10962"/>
    <tableColumn id="5423" name="Column5419" dataDxfId="10961"/>
    <tableColumn id="5424" name="Column5420" dataDxfId="10960"/>
    <tableColumn id="5425" name="Column5421" dataDxfId="10959"/>
    <tableColumn id="5426" name="Column5422" dataDxfId="10958"/>
    <tableColumn id="5427" name="Column5423" dataDxfId="10957"/>
    <tableColumn id="5428" name="Column5424" dataDxfId="10956"/>
    <tableColumn id="5429" name="Column5425" dataDxfId="10955"/>
    <tableColumn id="5430" name="Column5426" dataDxfId="10954"/>
    <tableColumn id="5431" name="Column5427" dataDxfId="10953"/>
    <tableColumn id="5432" name="Column5428" dataDxfId="10952"/>
    <tableColumn id="5433" name="Column5429" dataDxfId="10951"/>
    <tableColumn id="5434" name="Column5430" dataDxfId="10950"/>
    <tableColumn id="5435" name="Column5431" dataDxfId="10949"/>
    <tableColumn id="5436" name="Column5432" dataDxfId="10948"/>
    <tableColumn id="5437" name="Column5433" dataDxfId="10947"/>
    <tableColumn id="5438" name="Column5434" dataDxfId="10946"/>
    <tableColumn id="5439" name="Column5435" dataDxfId="10945"/>
    <tableColumn id="5440" name="Column5436" dataDxfId="10944"/>
    <tableColumn id="5441" name="Column5437" dataDxfId="10943"/>
    <tableColumn id="5442" name="Column5438" dataDxfId="10942"/>
    <tableColumn id="5443" name="Column5439" dataDxfId="10941"/>
    <tableColumn id="5444" name="Column5440" dataDxfId="10940"/>
    <tableColumn id="5445" name="Column5441" dataDxfId="10939"/>
    <tableColumn id="5446" name="Column5442" dataDxfId="10938"/>
    <tableColumn id="5447" name="Column5443" dataDxfId="10937"/>
    <tableColumn id="5448" name="Column5444" dataDxfId="10936"/>
    <tableColumn id="5449" name="Column5445" dataDxfId="10935"/>
    <tableColumn id="5450" name="Column5446" dataDxfId="10934"/>
    <tableColumn id="5451" name="Column5447" dataDxfId="10933"/>
    <tableColumn id="5452" name="Column5448" dataDxfId="10932"/>
    <tableColumn id="5453" name="Column5449" dataDxfId="10931"/>
    <tableColumn id="5454" name="Column5450" dataDxfId="10930"/>
    <tableColumn id="5455" name="Column5451" dataDxfId="10929"/>
    <tableColumn id="5456" name="Column5452" dataDxfId="10928"/>
    <tableColumn id="5457" name="Column5453" dataDxfId="10927"/>
    <tableColumn id="5458" name="Column5454" dataDxfId="10926"/>
    <tableColumn id="5459" name="Column5455" dataDxfId="10925"/>
    <tableColumn id="5460" name="Column5456" dataDxfId="10924"/>
    <tableColumn id="5461" name="Column5457" dataDxfId="10923"/>
    <tableColumn id="5462" name="Column5458" dataDxfId="10922"/>
    <tableColumn id="5463" name="Column5459" dataDxfId="10921"/>
    <tableColumn id="5464" name="Column5460" dataDxfId="10920"/>
    <tableColumn id="5465" name="Column5461" dataDxfId="10919"/>
    <tableColumn id="5466" name="Column5462" dataDxfId="10918"/>
    <tableColumn id="5467" name="Column5463" dataDxfId="10917"/>
    <tableColumn id="5468" name="Column5464" dataDxfId="10916"/>
    <tableColumn id="5469" name="Column5465" dataDxfId="10915"/>
    <tableColumn id="5470" name="Column5466" dataDxfId="10914"/>
    <tableColumn id="5471" name="Column5467" dataDxfId="10913"/>
    <tableColumn id="5472" name="Column5468" dataDxfId="10912"/>
    <tableColumn id="5473" name="Column5469" dataDxfId="10911"/>
    <tableColumn id="5474" name="Column5470" dataDxfId="10910"/>
    <tableColumn id="5475" name="Column5471" dataDxfId="10909"/>
    <tableColumn id="5476" name="Column5472" dataDxfId="10908"/>
    <tableColumn id="5477" name="Column5473" dataDxfId="10907"/>
    <tableColumn id="5478" name="Column5474" dataDxfId="10906"/>
    <tableColumn id="5479" name="Column5475" dataDxfId="10905"/>
    <tableColumn id="5480" name="Column5476" dataDxfId="10904"/>
    <tableColumn id="5481" name="Column5477" dataDxfId="10903"/>
    <tableColumn id="5482" name="Column5478" dataDxfId="10902"/>
    <tableColumn id="5483" name="Column5479" dataDxfId="10901"/>
    <tableColumn id="5484" name="Column5480" dataDxfId="10900"/>
    <tableColumn id="5485" name="Column5481" dataDxfId="10899"/>
    <tableColumn id="5486" name="Column5482" dataDxfId="10898"/>
    <tableColumn id="5487" name="Column5483" dataDxfId="10897"/>
    <tableColumn id="5488" name="Column5484" dataDxfId="10896"/>
    <tableColumn id="5489" name="Column5485" dataDxfId="10895"/>
    <tableColumn id="5490" name="Column5486" dataDxfId="10894"/>
    <tableColumn id="5491" name="Column5487" dataDxfId="10893"/>
    <tableColumn id="5492" name="Column5488" dataDxfId="10892"/>
    <tableColumn id="5493" name="Column5489" dataDxfId="10891"/>
    <tableColumn id="5494" name="Column5490" dataDxfId="10890"/>
    <tableColumn id="5495" name="Column5491" dataDxfId="10889"/>
    <tableColumn id="5496" name="Column5492" dataDxfId="10888"/>
    <tableColumn id="5497" name="Column5493" dataDxfId="10887"/>
    <tableColumn id="5498" name="Column5494" dataDxfId="10886"/>
    <tableColumn id="5499" name="Column5495" dataDxfId="10885"/>
    <tableColumn id="5500" name="Column5496" dataDxfId="10884"/>
    <tableColumn id="5501" name="Column5497" dataDxfId="10883"/>
    <tableColumn id="5502" name="Column5498" dataDxfId="10882"/>
    <tableColumn id="5503" name="Column5499" dataDxfId="10881"/>
    <tableColumn id="5504" name="Column5500" dataDxfId="10880"/>
    <tableColumn id="5505" name="Column5501" dataDxfId="10879"/>
    <tableColumn id="5506" name="Column5502" dataDxfId="10878"/>
    <tableColumn id="5507" name="Column5503" dataDxfId="10877"/>
    <tableColumn id="5508" name="Column5504" dataDxfId="10876"/>
    <tableColumn id="5509" name="Column5505" dataDxfId="10875"/>
    <tableColumn id="5510" name="Column5506" dataDxfId="10874"/>
    <tableColumn id="5511" name="Column5507" dataDxfId="10873"/>
    <tableColumn id="5512" name="Column5508" dataDxfId="10872"/>
    <tableColumn id="5513" name="Column5509" dataDxfId="10871"/>
    <tableColumn id="5514" name="Column5510" dataDxfId="10870"/>
    <tableColumn id="5515" name="Column5511" dataDxfId="10869"/>
    <tableColumn id="5516" name="Column5512" dataDxfId="10868"/>
    <tableColumn id="5517" name="Column5513" dataDxfId="10867"/>
    <tableColumn id="5518" name="Column5514" dataDxfId="10866"/>
    <tableColumn id="5519" name="Column5515" dataDxfId="10865"/>
    <tableColumn id="5520" name="Column5516" dataDxfId="10864"/>
    <tableColumn id="5521" name="Column5517" dataDxfId="10863"/>
    <tableColumn id="5522" name="Column5518" dataDxfId="10862"/>
    <tableColumn id="5523" name="Column5519" dataDxfId="10861"/>
    <tableColumn id="5524" name="Column5520" dataDxfId="10860"/>
    <tableColumn id="5525" name="Column5521" dataDxfId="10859"/>
    <tableColumn id="5526" name="Column5522" dataDxfId="10858"/>
    <tableColumn id="5527" name="Column5523" dataDxfId="10857"/>
    <tableColumn id="5528" name="Column5524" dataDxfId="10856"/>
    <tableColumn id="5529" name="Column5525" dataDxfId="10855"/>
    <tableColumn id="5530" name="Column5526" dataDxfId="10854"/>
    <tableColumn id="5531" name="Column5527" dataDxfId="10853"/>
    <tableColumn id="5532" name="Column5528" dataDxfId="10852"/>
    <tableColumn id="5533" name="Column5529" dataDxfId="10851"/>
    <tableColumn id="5534" name="Column5530" dataDxfId="10850"/>
    <tableColumn id="5535" name="Column5531" dataDxfId="10849"/>
    <tableColumn id="5536" name="Column5532" dataDxfId="10848"/>
    <tableColumn id="5537" name="Column5533" dataDxfId="10847"/>
    <tableColumn id="5538" name="Column5534" dataDxfId="10846"/>
    <tableColumn id="5539" name="Column5535" dataDxfId="10845"/>
    <tableColumn id="5540" name="Column5536" dataDxfId="10844"/>
    <tableColumn id="5541" name="Column5537" dataDxfId="10843"/>
    <tableColumn id="5542" name="Column5538" dataDxfId="10842"/>
    <tableColumn id="5543" name="Column5539" dataDxfId="10841"/>
    <tableColumn id="5544" name="Column5540" dataDxfId="10840"/>
    <tableColumn id="5545" name="Column5541" dataDxfId="10839"/>
    <tableColumn id="5546" name="Column5542" dataDxfId="10838"/>
    <tableColumn id="5547" name="Column5543" dataDxfId="10837"/>
    <tableColumn id="5548" name="Column5544" dataDxfId="10836"/>
    <tableColumn id="5549" name="Column5545" dataDxfId="10835"/>
    <tableColumn id="5550" name="Column5546" dataDxfId="10834"/>
    <tableColumn id="5551" name="Column5547" dataDxfId="10833"/>
    <tableColumn id="5552" name="Column5548" dataDxfId="10832"/>
    <tableColumn id="5553" name="Column5549" dataDxfId="10831"/>
    <tableColumn id="5554" name="Column5550" dataDxfId="10830"/>
    <tableColumn id="5555" name="Column5551" dataDxfId="10829"/>
    <tableColumn id="5556" name="Column5552" dataDxfId="10828"/>
    <tableColumn id="5557" name="Column5553" dataDxfId="10827"/>
    <tableColumn id="5558" name="Column5554" dataDxfId="10826"/>
    <tableColumn id="5559" name="Column5555" dataDxfId="10825"/>
    <tableColumn id="5560" name="Column5556" dataDxfId="10824"/>
    <tableColumn id="5561" name="Column5557" dataDxfId="10823"/>
    <tableColumn id="5562" name="Column5558" dataDxfId="10822"/>
    <tableColumn id="5563" name="Column5559" dataDxfId="10821"/>
    <tableColumn id="5564" name="Column5560" dataDxfId="10820"/>
    <tableColumn id="5565" name="Column5561" dataDxfId="10819"/>
    <tableColumn id="5566" name="Column5562" dataDxfId="10818"/>
    <tableColumn id="5567" name="Column5563" dataDxfId="10817"/>
    <tableColumn id="5568" name="Column5564" dataDxfId="10816"/>
    <tableColumn id="5569" name="Column5565" dataDxfId="10815"/>
    <tableColumn id="5570" name="Column5566" dataDxfId="10814"/>
    <tableColumn id="5571" name="Column5567" dataDxfId="10813"/>
    <tableColumn id="5572" name="Column5568" dataDxfId="10812"/>
    <tableColumn id="5573" name="Column5569" dataDxfId="10811"/>
    <tableColumn id="5574" name="Column5570" dataDxfId="10810"/>
    <tableColumn id="5575" name="Column5571" dataDxfId="10809"/>
    <tableColumn id="5576" name="Column5572" dataDxfId="10808"/>
    <tableColumn id="5577" name="Column5573" dataDxfId="10807"/>
    <tableColumn id="5578" name="Column5574" dataDxfId="10806"/>
    <tableColumn id="5579" name="Column5575" dataDxfId="10805"/>
    <tableColumn id="5580" name="Column5576" dataDxfId="10804"/>
    <tableColumn id="5581" name="Column5577" dataDxfId="10803"/>
    <tableColumn id="5582" name="Column5578" dataDxfId="10802"/>
    <tableColumn id="5583" name="Column5579" dataDxfId="10801"/>
    <tableColumn id="5584" name="Column5580" dataDxfId="10800"/>
    <tableColumn id="5585" name="Column5581" dataDxfId="10799"/>
    <tableColumn id="5586" name="Column5582" dataDxfId="10798"/>
    <tableColumn id="5587" name="Column5583" dataDxfId="10797"/>
    <tableColumn id="5588" name="Column5584" dataDxfId="10796"/>
    <tableColumn id="5589" name="Column5585" dataDxfId="10795"/>
    <tableColumn id="5590" name="Column5586" dataDxfId="10794"/>
    <tableColumn id="5591" name="Column5587" dataDxfId="10793"/>
    <tableColumn id="5592" name="Column5588" dataDxfId="10792"/>
    <tableColumn id="5593" name="Column5589" dataDxfId="10791"/>
    <tableColumn id="5594" name="Column5590" dataDxfId="10790"/>
    <tableColumn id="5595" name="Column5591" dataDxfId="10789"/>
    <tableColumn id="5596" name="Column5592" dataDxfId="10788"/>
    <tableColumn id="5597" name="Column5593" dataDxfId="10787"/>
    <tableColumn id="5598" name="Column5594" dataDxfId="10786"/>
    <tableColumn id="5599" name="Column5595" dataDxfId="10785"/>
    <tableColumn id="5600" name="Column5596" dataDxfId="10784"/>
    <tableColumn id="5601" name="Column5597" dataDxfId="10783"/>
    <tableColumn id="5602" name="Column5598" dataDxfId="10782"/>
    <tableColumn id="5603" name="Column5599" dataDxfId="10781"/>
    <tableColumn id="5604" name="Column5600" dataDxfId="10780"/>
    <tableColumn id="5605" name="Column5601" dataDxfId="10779"/>
    <tableColumn id="5606" name="Column5602" dataDxfId="10778"/>
    <tableColumn id="5607" name="Column5603" dataDxfId="10777"/>
    <tableColumn id="5608" name="Column5604" dataDxfId="10776"/>
    <tableColumn id="5609" name="Column5605" dataDxfId="10775"/>
    <tableColumn id="5610" name="Column5606" dataDxfId="10774"/>
    <tableColumn id="5611" name="Column5607" dataDxfId="10773"/>
    <tableColumn id="5612" name="Column5608" dataDxfId="10772"/>
    <tableColumn id="5613" name="Column5609" dataDxfId="10771"/>
    <tableColumn id="5614" name="Column5610" dataDxfId="10770"/>
    <tableColumn id="5615" name="Column5611" dataDxfId="10769"/>
    <tableColumn id="5616" name="Column5612" dataDxfId="10768"/>
    <tableColumn id="5617" name="Column5613" dataDxfId="10767"/>
    <tableColumn id="5618" name="Column5614" dataDxfId="10766"/>
    <tableColumn id="5619" name="Column5615" dataDxfId="10765"/>
    <tableColumn id="5620" name="Column5616" dataDxfId="10764"/>
    <tableColumn id="5621" name="Column5617" dataDxfId="10763"/>
    <tableColumn id="5622" name="Column5618" dataDxfId="10762"/>
    <tableColumn id="5623" name="Column5619" dataDxfId="10761"/>
    <tableColumn id="5624" name="Column5620" dataDxfId="10760"/>
    <tableColumn id="5625" name="Column5621" dataDxfId="10759"/>
    <tableColumn id="5626" name="Column5622" dataDxfId="10758"/>
    <tableColumn id="5627" name="Column5623" dataDxfId="10757"/>
    <tableColumn id="5628" name="Column5624" dataDxfId="10756"/>
    <tableColumn id="5629" name="Column5625" dataDxfId="10755"/>
    <tableColumn id="5630" name="Column5626" dataDxfId="10754"/>
    <tableColumn id="5631" name="Column5627" dataDxfId="10753"/>
    <tableColumn id="5632" name="Column5628" dataDxfId="10752"/>
    <tableColumn id="5633" name="Column5629" dataDxfId="10751"/>
    <tableColumn id="5634" name="Column5630" dataDxfId="10750"/>
    <tableColumn id="5635" name="Column5631" dataDxfId="10749"/>
    <tableColumn id="5636" name="Column5632" dataDxfId="10748"/>
    <tableColumn id="5637" name="Column5633" dataDxfId="10747"/>
    <tableColumn id="5638" name="Column5634" dataDxfId="10746"/>
    <tableColumn id="5639" name="Column5635" dataDxfId="10745"/>
    <tableColumn id="5640" name="Column5636" dataDxfId="10744"/>
    <tableColumn id="5641" name="Column5637" dataDxfId="10743"/>
    <tableColumn id="5642" name="Column5638" dataDxfId="10742"/>
    <tableColumn id="5643" name="Column5639" dataDxfId="10741"/>
    <tableColumn id="5644" name="Column5640" dataDxfId="10740"/>
    <tableColumn id="5645" name="Column5641" dataDxfId="10739"/>
    <tableColumn id="5646" name="Column5642" dataDxfId="10738"/>
    <tableColumn id="5647" name="Column5643" dataDxfId="10737"/>
    <tableColumn id="5648" name="Column5644" dataDxfId="10736"/>
    <tableColumn id="5649" name="Column5645" dataDxfId="10735"/>
    <tableColumn id="5650" name="Column5646" dataDxfId="10734"/>
    <tableColumn id="5651" name="Column5647" dataDxfId="10733"/>
    <tableColumn id="5652" name="Column5648" dataDxfId="10732"/>
    <tableColumn id="5653" name="Column5649" dataDxfId="10731"/>
    <tableColumn id="5654" name="Column5650" dataDxfId="10730"/>
    <tableColumn id="5655" name="Column5651" dataDxfId="10729"/>
    <tableColumn id="5656" name="Column5652" dataDxfId="10728"/>
    <tableColumn id="5657" name="Column5653" dataDxfId="10727"/>
    <tableColumn id="5658" name="Column5654" dataDxfId="10726"/>
    <tableColumn id="5659" name="Column5655" dataDxfId="10725"/>
    <tableColumn id="5660" name="Column5656" dataDxfId="10724"/>
    <tableColumn id="5661" name="Column5657" dataDxfId="10723"/>
    <tableColumn id="5662" name="Column5658" dataDxfId="10722"/>
    <tableColumn id="5663" name="Column5659" dataDxfId="10721"/>
    <tableColumn id="5664" name="Column5660" dataDxfId="10720"/>
    <tableColumn id="5665" name="Column5661" dataDxfId="10719"/>
    <tableColumn id="5666" name="Column5662" dataDxfId="10718"/>
    <tableColumn id="5667" name="Column5663" dataDxfId="10717"/>
    <tableColumn id="5668" name="Column5664" dataDxfId="10716"/>
    <tableColumn id="5669" name="Column5665" dataDxfId="10715"/>
    <tableColumn id="5670" name="Column5666" dataDxfId="10714"/>
    <tableColumn id="5671" name="Column5667" dataDxfId="10713"/>
    <tableColumn id="5672" name="Column5668" dataDxfId="10712"/>
    <tableColumn id="5673" name="Column5669" dataDxfId="10711"/>
    <tableColumn id="5674" name="Column5670" dataDxfId="10710"/>
    <tableColumn id="5675" name="Column5671" dataDxfId="10709"/>
    <tableColumn id="5676" name="Column5672" dataDxfId="10708"/>
    <tableColumn id="5677" name="Column5673" dataDxfId="10707"/>
    <tableColumn id="5678" name="Column5674" dataDxfId="10706"/>
    <tableColumn id="5679" name="Column5675" dataDxfId="10705"/>
    <tableColumn id="5680" name="Column5676" dataDxfId="10704"/>
    <tableColumn id="5681" name="Column5677" dataDxfId="10703"/>
    <tableColumn id="5682" name="Column5678" dataDxfId="10702"/>
    <tableColumn id="5683" name="Column5679" dataDxfId="10701"/>
    <tableColumn id="5684" name="Column5680" dataDxfId="10700"/>
    <tableColumn id="5685" name="Column5681" dataDxfId="10699"/>
    <tableColumn id="5686" name="Column5682" dataDxfId="10698"/>
    <tableColumn id="5687" name="Column5683" dataDxfId="10697"/>
    <tableColumn id="5688" name="Column5684" dataDxfId="10696"/>
    <tableColumn id="5689" name="Column5685" dataDxfId="10695"/>
    <tableColumn id="5690" name="Column5686" dataDxfId="10694"/>
    <tableColumn id="5691" name="Column5687" dataDxfId="10693"/>
    <tableColumn id="5692" name="Column5688" dataDxfId="10692"/>
    <tableColumn id="5693" name="Column5689" dataDxfId="10691"/>
    <tableColumn id="5694" name="Column5690" dataDxfId="10690"/>
    <tableColumn id="5695" name="Column5691" dataDxfId="10689"/>
    <tableColumn id="5696" name="Column5692" dataDxfId="10688"/>
    <tableColumn id="5697" name="Column5693" dataDxfId="10687"/>
    <tableColumn id="5698" name="Column5694" dataDxfId="10686"/>
    <tableColumn id="5699" name="Column5695" dataDxfId="10685"/>
    <tableColumn id="5700" name="Column5696" dataDxfId="10684"/>
    <tableColumn id="5701" name="Column5697" dataDxfId="10683"/>
    <tableColumn id="5702" name="Column5698" dataDxfId="10682"/>
    <tableColumn id="5703" name="Column5699" dataDxfId="10681"/>
    <tableColumn id="5704" name="Column5700" dataDxfId="10680"/>
    <tableColumn id="5705" name="Column5701" dataDxfId="10679"/>
    <tableColumn id="5706" name="Column5702" dataDxfId="10678"/>
    <tableColumn id="5707" name="Column5703" dataDxfId="10677"/>
    <tableColumn id="5708" name="Column5704" dataDxfId="10676"/>
    <tableColumn id="5709" name="Column5705" dataDxfId="10675"/>
    <tableColumn id="5710" name="Column5706" dataDxfId="10674"/>
    <tableColumn id="5711" name="Column5707" dataDxfId="10673"/>
    <tableColumn id="5712" name="Column5708" dataDxfId="10672"/>
    <tableColumn id="5713" name="Column5709" dataDxfId="10671"/>
    <tableColumn id="5714" name="Column5710" dataDxfId="10670"/>
    <tableColumn id="5715" name="Column5711" dataDxfId="10669"/>
    <tableColumn id="5716" name="Column5712" dataDxfId="10668"/>
    <tableColumn id="5717" name="Column5713" dataDxfId="10667"/>
    <tableColumn id="5718" name="Column5714" dataDxfId="10666"/>
    <tableColumn id="5719" name="Column5715" dataDxfId="10665"/>
    <tableColumn id="5720" name="Column5716" dataDxfId="10664"/>
    <tableColumn id="5721" name="Column5717" dataDxfId="10663"/>
    <tableColumn id="5722" name="Column5718" dataDxfId="10662"/>
    <tableColumn id="5723" name="Column5719" dataDxfId="10661"/>
    <tableColumn id="5724" name="Column5720" dataDxfId="10660"/>
    <tableColumn id="5725" name="Column5721" dataDxfId="10659"/>
    <tableColumn id="5726" name="Column5722" dataDxfId="10658"/>
    <tableColumn id="5727" name="Column5723" dataDxfId="10657"/>
    <tableColumn id="5728" name="Column5724" dataDxfId="10656"/>
    <tableColumn id="5729" name="Column5725" dataDxfId="10655"/>
    <tableColumn id="5730" name="Column5726" dataDxfId="10654"/>
    <tableColumn id="5731" name="Column5727" dataDxfId="10653"/>
    <tableColumn id="5732" name="Column5728" dataDxfId="10652"/>
    <tableColumn id="5733" name="Column5729" dataDxfId="10651"/>
    <tableColumn id="5734" name="Column5730" dataDxfId="10650"/>
    <tableColumn id="5735" name="Column5731" dataDxfId="10649"/>
    <tableColumn id="5736" name="Column5732" dataDxfId="10648"/>
    <tableColumn id="5737" name="Column5733" dataDxfId="10647"/>
    <tableColumn id="5738" name="Column5734" dataDxfId="10646"/>
    <tableColumn id="5739" name="Column5735" dataDxfId="10645"/>
    <tableColumn id="5740" name="Column5736" dataDxfId="10644"/>
    <tableColumn id="5741" name="Column5737" dataDxfId="10643"/>
    <tableColumn id="5742" name="Column5738" dataDxfId="10642"/>
    <tableColumn id="5743" name="Column5739" dataDxfId="10641"/>
    <tableColumn id="5744" name="Column5740" dataDxfId="10640"/>
    <tableColumn id="5745" name="Column5741" dataDxfId="10639"/>
    <tableColumn id="5746" name="Column5742" dataDxfId="10638"/>
    <tableColumn id="5747" name="Column5743" dataDxfId="10637"/>
    <tableColumn id="5748" name="Column5744" dataDxfId="10636"/>
    <tableColumn id="5749" name="Column5745" dataDxfId="10635"/>
    <tableColumn id="5750" name="Column5746" dataDxfId="10634"/>
    <tableColumn id="5751" name="Column5747" dataDxfId="10633"/>
    <tableColumn id="5752" name="Column5748" dataDxfId="10632"/>
    <tableColumn id="5753" name="Column5749" dataDxfId="10631"/>
    <tableColumn id="5754" name="Column5750" dataDxfId="10630"/>
    <tableColumn id="5755" name="Column5751" dataDxfId="10629"/>
    <tableColumn id="5756" name="Column5752" dataDxfId="10628"/>
    <tableColumn id="5757" name="Column5753" dataDxfId="10627"/>
    <tableColumn id="5758" name="Column5754" dataDxfId="10626"/>
    <tableColumn id="5759" name="Column5755" dataDxfId="10625"/>
    <tableColumn id="5760" name="Column5756" dataDxfId="10624"/>
    <tableColumn id="5761" name="Column5757" dataDxfId="10623"/>
    <tableColumn id="5762" name="Column5758" dataDxfId="10622"/>
    <tableColumn id="5763" name="Column5759" dataDxfId="10621"/>
    <tableColumn id="5764" name="Column5760" dataDxfId="10620"/>
    <tableColumn id="5765" name="Column5761" dataDxfId="10619"/>
    <tableColumn id="5766" name="Column5762" dataDxfId="10618"/>
    <tableColumn id="5767" name="Column5763" dataDxfId="10617"/>
    <tableColumn id="5768" name="Column5764" dataDxfId="10616"/>
    <tableColumn id="5769" name="Column5765" dataDxfId="10615"/>
    <tableColumn id="5770" name="Column5766" dataDxfId="10614"/>
    <tableColumn id="5771" name="Column5767" dataDxfId="10613"/>
    <tableColumn id="5772" name="Column5768" dataDxfId="10612"/>
    <tableColumn id="5773" name="Column5769" dataDxfId="10611"/>
    <tableColumn id="5774" name="Column5770" dataDxfId="10610"/>
    <tableColumn id="5775" name="Column5771" dataDxfId="10609"/>
    <tableColumn id="5776" name="Column5772" dataDxfId="10608"/>
    <tableColumn id="5777" name="Column5773" dataDxfId="10607"/>
    <tableColumn id="5778" name="Column5774" dataDxfId="10606"/>
    <tableColumn id="5779" name="Column5775" dataDxfId="10605"/>
    <tableColumn id="5780" name="Column5776" dataDxfId="10604"/>
    <tableColumn id="5781" name="Column5777" dataDxfId="10603"/>
    <tableColumn id="5782" name="Column5778" dataDxfId="10602"/>
    <tableColumn id="5783" name="Column5779" dataDxfId="10601"/>
    <tableColumn id="5784" name="Column5780" dataDxfId="10600"/>
    <tableColumn id="5785" name="Column5781" dataDxfId="10599"/>
    <tableColumn id="5786" name="Column5782" dataDxfId="10598"/>
    <tableColumn id="5787" name="Column5783" dataDxfId="10597"/>
    <tableColumn id="5788" name="Column5784" dataDxfId="10596"/>
    <tableColumn id="5789" name="Column5785" dataDxfId="10595"/>
    <tableColumn id="5790" name="Column5786" dataDxfId="10594"/>
    <tableColumn id="5791" name="Column5787" dataDxfId="10593"/>
    <tableColumn id="5792" name="Column5788" dataDxfId="10592"/>
    <tableColumn id="5793" name="Column5789" dataDxfId="10591"/>
    <tableColumn id="5794" name="Column5790" dataDxfId="10590"/>
    <tableColumn id="5795" name="Column5791" dataDxfId="10589"/>
    <tableColumn id="5796" name="Column5792" dataDxfId="10588"/>
    <tableColumn id="5797" name="Column5793" dataDxfId="10587"/>
    <tableColumn id="5798" name="Column5794" dataDxfId="10586"/>
    <tableColumn id="5799" name="Column5795" dataDxfId="10585"/>
    <tableColumn id="5800" name="Column5796" dataDxfId="10584"/>
    <tableColumn id="5801" name="Column5797" dataDxfId="10583"/>
    <tableColumn id="5802" name="Column5798" dataDxfId="10582"/>
    <tableColumn id="5803" name="Column5799" dataDxfId="10581"/>
    <tableColumn id="5804" name="Column5800" dataDxfId="10580"/>
    <tableColumn id="5805" name="Column5801" dataDxfId="10579"/>
    <tableColumn id="5806" name="Column5802" dataDxfId="10578"/>
    <tableColumn id="5807" name="Column5803" dataDxfId="10577"/>
    <tableColumn id="5808" name="Column5804" dataDxfId="10576"/>
    <tableColumn id="5809" name="Column5805" dataDxfId="10575"/>
    <tableColumn id="5810" name="Column5806" dataDxfId="10574"/>
    <tableColumn id="5811" name="Column5807" dataDxfId="10573"/>
    <tableColumn id="5812" name="Column5808" dataDxfId="10572"/>
    <tableColumn id="5813" name="Column5809" dataDxfId="10571"/>
    <tableColumn id="5814" name="Column5810" dataDxfId="10570"/>
    <tableColumn id="5815" name="Column5811" dataDxfId="10569"/>
    <tableColumn id="5816" name="Column5812" dataDxfId="10568"/>
    <tableColumn id="5817" name="Column5813" dataDxfId="10567"/>
    <tableColumn id="5818" name="Column5814" dataDxfId="10566"/>
    <tableColumn id="5819" name="Column5815" dataDxfId="10565"/>
    <tableColumn id="5820" name="Column5816" dataDxfId="10564"/>
    <tableColumn id="5821" name="Column5817" dataDxfId="10563"/>
    <tableColumn id="5822" name="Column5818" dataDxfId="10562"/>
    <tableColumn id="5823" name="Column5819" dataDxfId="10561"/>
    <tableColumn id="5824" name="Column5820" dataDxfId="10560"/>
    <tableColumn id="5825" name="Column5821" dataDxfId="10559"/>
    <tableColumn id="5826" name="Column5822" dataDxfId="10558"/>
    <tableColumn id="5827" name="Column5823" dataDxfId="10557"/>
    <tableColumn id="5828" name="Column5824" dataDxfId="10556"/>
    <tableColumn id="5829" name="Column5825" dataDxfId="10555"/>
    <tableColumn id="5830" name="Column5826" dataDxfId="10554"/>
    <tableColumn id="5831" name="Column5827" dataDxfId="10553"/>
    <tableColumn id="5832" name="Column5828" dataDxfId="10552"/>
    <tableColumn id="5833" name="Column5829" dataDxfId="10551"/>
    <tableColumn id="5834" name="Column5830" dataDxfId="10550"/>
    <tableColumn id="5835" name="Column5831" dataDxfId="10549"/>
    <tableColumn id="5836" name="Column5832" dataDxfId="10548"/>
    <tableColumn id="5837" name="Column5833" dataDxfId="10547"/>
    <tableColumn id="5838" name="Column5834" dataDxfId="10546"/>
    <tableColumn id="5839" name="Column5835" dataDxfId="10545"/>
    <tableColumn id="5840" name="Column5836" dataDxfId="10544"/>
    <tableColumn id="5841" name="Column5837" dataDxfId="10543"/>
    <tableColumn id="5842" name="Column5838" dataDxfId="10542"/>
    <tableColumn id="5843" name="Column5839" dataDxfId="10541"/>
    <tableColumn id="5844" name="Column5840" dataDxfId="10540"/>
    <tableColumn id="5845" name="Column5841" dataDxfId="10539"/>
    <tableColumn id="5846" name="Column5842" dataDxfId="10538"/>
    <tableColumn id="5847" name="Column5843" dataDxfId="10537"/>
    <tableColumn id="5848" name="Column5844" dataDxfId="10536"/>
    <tableColumn id="5849" name="Column5845" dataDxfId="10535"/>
    <tableColumn id="5850" name="Column5846" dataDxfId="10534"/>
    <tableColumn id="5851" name="Column5847" dataDxfId="10533"/>
    <tableColumn id="5852" name="Column5848" dataDxfId="10532"/>
    <tableColumn id="5853" name="Column5849" dataDxfId="10531"/>
    <tableColumn id="5854" name="Column5850" dataDxfId="10530"/>
    <tableColumn id="5855" name="Column5851" dataDxfId="10529"/>
    <tableColumn id="5856" name="Column5852" dataDxfId="10528"/>
    <tableColumn id="5857" name="Column5853" dataDxfId="10527"/>
    <tableColumn id="5858" name="Column5854" dataDxfId="10526"/>
    <tableColumn id="5859" name="Column5855" dataDxfId="10525"/>
    <tableColumn id="5860" name="Column5856" dataDxfId="10524"/>
    <tableColumn id="5861" name="Column5857" dataDxfId="10523"/>
    <tableColumn id="5862" name="Column5858" dataDxfId="10522"/>
    <tableColumn id="5863" name="Column5859" dataDxfId="10521"/>
    <tableColumn id="5864" name="Column5860" dataDxfId="10520"/>
    <tableColumn id="5865" name="Column5861" dataDxfId="10519"/>
    <tableColumn id="5866" name="Column5862" dataDxfId="10518"/>
    <tableColumn id="5867" name="Column5863" dataDxfId="10517"/>
    <tableColumn id="5868" name="Column5864" dataDxfId="10516"/>
    <tableColumn id="5869" name="Column5865" dataDxfId="10515"/>
    <tableColumn id="5870" name="Column5866" dataDxfId="10514"/>
    <tableColumn id="5871" name="Column5867" dataDxfId="10513"/>
    <tableColumn id="5872" name="Column5868" dataDxfId="10512"/>
    <tableColumn id="5873" name="Column5869" dataDxfId="10511"/>
    <tableColumn id="5874" name="Column5870" dataDxfId="10510"/>
    <tableColumn id="5875" name="Column5871" dataDxfId="10509"/>
    <tableColumn id="5876" name="Column5872" dataDxfId="10508"/>
    <tableColumn id="5877" name="Column5873" dataDxfId="10507"/>
    <tableColumn id="5878" name="Column5874" dataDxfId="10506"/>
    <tableColumn id="5879" name="Column5875" dataDxfId="10505"/>
    <tableColumn id="5880" name="Column5876" dataDxfId="10504"/>
    <tableColumn id="5881" name="Column5877" dataDxfId="10503"/>
    <tableColumn id="5882" name="Column5878" dataDxfId="10502"/>
    <tableColumn id="5883" name="Column5879" dataDxfId="10501"/>
    <tableColumn id="5884" name="Column5880" dataDxfId="10500"/>
    <tableColumn id="5885" name="Column5881" dataDxfId="10499"/>
    <tableColumn id="5886" name="Column5882" dataDxfId="10498"/>
    <tableColumn id="5887" name="Column5883" dataDxfId="10497"/>
    <tableColumn id="5888" name="Column5884" dataDxfId="10496"/>
    <tableColumn id="5889" name="Column5885" dataDxfId="10495"/>
    <tableColumn id="5890" name="Column5886" dataDxfId="10494"/>
    <tableColumn id="5891" name="Column5887" dataDxfId="10493"/>
    <tableColumn id="5892" name="Column5888" dataDxfId="10492"/>
    <tableColumn id="5893" name="Column5889" dataDxfId="10491"/>
    <tableColumn id="5894" name="Column5890" dataDxfId="10490"/>
    <tableColumn id="5895" name="Column5891" dataDxfId="10489"/>
    <tableColumn id="5896" name="Column5892" dataDxfId="10488"/>
    <tableColumn id="5897" name="Column5893" dataDxfId="10487"/>
    <tableColumn id="5898" name="Column5894" dataDxfId="10486"/>
    <tableColumn id="5899" name="Column5895" dataDxfId="10485"/>
    <tableColumn id="5900" name="Column5896" dataDxfId="10484"/>
    <tableColumn id="5901" name="Column5897" dataDxfId="10483"/>
    <tableColumn id="5902" name="Column5898" dataDxfId="10482"/>
    <tableColumn id="5903" name="Column5899" dataDxfId="10481"/>
    <tableColumn id="5904" name="Column5900" dataDxfId="10480"/>
    <tableColumn id="5905" name="Column5901" dataDxfId="10479"/>
    <tableColumn id="5906" name="Column5902" dataDxfId="10478"/>
    <tableColumn id="5907" name="Column5903" dataDxfId="10477"/>
    <tableColumn id="5908" name="Column5904" dataDxfId="10476"/>
    <tableColumn id="5909" name="Column5905" dataDxfId="10475"/>
    <tableColumn id="5910" name="Column5906" dataDxfId="10474"/>
    <tableColumn id="5911" name="Column5907" dataDxfId="10473"/>
    <tableColumn id="5912" name="Column5908" dataDxfId="10472"/>
    <tableColumn id="5913" name="Column5909" dataDxfId="10471"/>
    <tableColumn id="5914" name="Column5910" dataDxfId="10470"/>
    <tableColumn id="5915" name="Column5911" dataDxfId="10469"/>
    <tableColumn id="5916" name="Column5912" dataDxfId="10468"/>
    <tableColumn id="5917" name="Column5913" dataDxfId="10467"/>
    <tableColumn id="5918" name="Column5914" dataDxfId="10466"/>
    <tableColumn id="5919" name="Column5915" dataDxfId="10465"/>
    <tableColumn id="5920" name="Column5916" dataDxfId="10464"/>
    <tableColumn id="5921" name="Column5917" dataDxfId="10463"/>
    <tableColumn id="5922" name="Column5918" dataDxfId="10462"/>
    <tableColumn id="5923" name="Column5919" dataDxfId="10461"/>
    <tableColumn id="5924" name="Column5920" dataDxfId="10460"/>
    <tableColumn id="5925" name="Column5921" dataDxfId="10459"/>
    <tableColumn id="5926" name="Column5922" dataDxfId="10458"/>
    <tableColumn id="5927" name="Column5923" dataDxfId="10457"/>
    <tableColumn id="5928" name="Column5924" dataDxfId="10456"/>
    <tableColumn id="5929" name="Column5925" dataDxfId="10455"/>
    <tableColumn id="5930" name="Column5926" dataDxfId="10454"/>
    <tableColumn id="5931" name="Column5927" dataDxfId="10453"/>
    <tableColumn id="5932" name="Column5928" dataDxfId="10452"/>
    <tableColumn id="5933" name="Column5929" dataDxfId="10451"/>
    <tableColumn id="5934" name="Column5930" dataDxfId="10450"/>
    <tableColumn id="5935" name="Column5931" dataDxfId="10449"/>
    <tableColumn id="5936" name="Column5932" dataDxfId="10448"/>
    <tableColumn id="5937" name="Column5933" dataDxfId="10447"/>
    <tableColumn id="5938" name="Column5934" dataDxfId="10446"/>
    <tableColumn id="5939" name="Column5935" dataDxfId="10445"/>
    <tableColumn id="5940" name="Column5936" dataDxfId="10444"/>
    <tableColumn id="5941" name="Column5937" dataDxfId="10443"/>
    <tableColumn id="5942" name="Column5938" dataDxfId="10442"/>
    <tableColumn id="5943" name="Column5939" dataDxfId="10441"/>
    <tableColumn id="5944" name="Column5940" dataDxfId="10440"/>
    <tableColumn id="5945" name="Column5941" dataDxfId="10439"/>
    <tableColumn id="5946" name="Column5942" dataDxfId="10438"/>
    <tableColumn id="5947" name="Column5943" dataDxfId="10437"/>
    <tableColumn id="5948" name="Column5944" dataDxfId="10436"/>
    <tableColumn id="5949" name="Column5945" dataDxfId="10435"/>
    <tableColumn id="5950" name="Column5946" dataDxfId="10434"/>
    <tableColumn id="5951" name="Column5947" dataDxfId="10433"/>
    <tableColumn id="5952" name="Column5948" dataDxfId="10432"/>
    <tableColumn id="5953" name="Column5949" dataDxfId="10431"/>
    <tableColumn id="5954" name="Column5950" dataDxfId="10430"/>
    <tableColumn id="5955" name="Column5951" dataDxfId="10429"/>
    <tableColumn id="5956" name="Column5952" dataDxfId="10428"/>
    <tableColumn id="5957" name="Column5953" dataDxfId="10427"/>
    <tableColumn id="5958" name="Column5954" dataDxfId="10426"/>
    <tableColumn id="5959" name="Column5955" dataDxfId="10425"/>
    <tableColumn id="5960" name="Column5956" dataDxfId="10424"/>
    <tableColumn id="5961" name="Column5957" dataDxfId="10423"/>
    <tableColumn id="5962" name="Column5958" dataDxfId="10422"/>
    <tableColumn id="5963" name="Column5959" dataDxfId="10421"/>
    <tableColumn id="5964" name="Column5960" dataDxfId="10420"/>
    <tableColumn id="5965" name="Column5961" dataDxfId="10419"/>
    <tableColumn id="5966" name="Column5962" dataDxfId="10418"/>
    <tableColumn id="5967" name="Column5963" dataDxfId="10417"/>
    <tableColumn id="5968" name="Column5964" dataDxfId="10416"/>
    <tableColumn id="5969" name="Column5965" dataDxfId="10415"/>
    <tableColumn id="5970" name="Column5966" dataDxfId="10414"/>
    <tableColumn id="5971" name="Column5967" dataDxfId="10413"/>
    <tableColumn id="5972" name="Column5968" dataDxfId="10412"/>
    <tableColumn id="5973" name="Column5969" dataDxfId="10411"/>
    <tableColumn id="5974" name="Column5970" dataDxfId="10410"/>
    <tableColumn id="5975" name="Column5971" dataDxfId="10409"/>
    <tableColumn id="5976" name="Column5972" dataDxfId="10408"/>
    <tableColumn id="5977" name="Column5973" dataDxfId="10407"/>
    <tableColumn id="5978" name="Column5974" dataDxfId="10406"/>
    <tableColumn id="5979" name="Column5975" dataDxfId="10405"/>
    <tableColumn id="5980" name="Column5976" dataDxfId="10404"/>
    <tableColumn id="5981" name="Column5977" dataDxfId="10403"/>
    <tableColumn id="5982" name="Column5978" dataDxfId="10402"/>
    <tableColumn id="5983" name="Column5979" dataDxfId="10401"/>
    <tableColumn id="5984" name="Column5980" dataDxfId="10400"/>
    <tableColumn id="5985" name="Column5981" dataDxfId="10399"/>
    <tableColumn id="5986" name="Column5982" dataDxfId="10398"/>
    <tableColumn id="5987" name="Column5983" dataDxfId="10397"/>
    <tableColumn id="5988" name="Column5984" dataDxfId="10396"/>
    <tableColumn id="5989" name="Column5985" dataDxfId="10395"/>
    <tableColumn id="5990" name="Column5986" dataDxfId="10394"/>
    <tableColumn id="5991" name="Column5987" dataDxfId="10393"/>
    <tableColumn id="5992" name="Column5988" dataDxfId="10392"/>
    <tableColumn id="5993" name="Column5989" dataDxfId="10391"/>
    <tableColumn id="5994" name="Column5990" dataDxfId="10390"/>
    <tableColumn id="5995" name="Column5991" dataDxfId="10389"/>
    <tableColumn id="5996" name="Column5992" dataDxfId="10388"/>
    <tableColumn id="5997" name="Column5993" dataDxfId="10387"/>
    <tableColumn id="5998" name="Column5994" dataDxfId="10386"/>
    <tableColumn id="5999" name="Column5995" dataDxfId="10385"/>
    <tableColumn id="6000" name="Column5996" dataDxfId="10384"/>
    <tableColumn id="6001" name="Column5997" dataDxfId="10383"/>
    <tableColumn id="6002" name="Column5998" dataDxfId="10382"/>
    <tableColumn id="6003" name="Column5999" dataDxfId="10381"/>
    <tableColumn id="6004" name="Column6000" dataDxfId="10380"/>
    <tableColumn id="6005" name="Column6001" dataDxfId="10379"/>
    <tableColumn id="6006" name="Column6002" dataDxfId="10378"/>
    <tableColumn id="6007" name="Column6003" dataDxfId="10377"/>
    <tableColumn id="6008" name="Column6004" dataDxfId="10376"/>
    <tableColumn id="6009" name="Column6005" dataDxfId="10375"/>
    <tableColumn id="6010" name="Column6006" dataDxfId="10374"/>
    <tableColumn id="6011" name="Column6007" dataDxfId="10373"/>
    <tableColumn id="6012" name="Column6008" dataDxfId="10372"/>
    <tableColumn id="6013" name="Column6009" dataDxfId="10371"/>
    <tableColumn id="6014" name="Column6010" dataDxfId="10370"/>
    <tableColumn id="6015" name="Column6011" dataDxfId="10369"/>
    <tableColumn id="6016" name="Column6012" dataDxfId="10368"/>
    <tableColumn id="6017" name="Column6013" dataDxfId="10367"/>
    <tableColumn id="6018" name="Column6014" dataDxfId="10366"/>
    <tableColumn id="6019" name="Column6015" dataDxfId="10365"/>
    <tableColumn id="6020" name="Column6016" dataDxfId="10364"/>
    <tableColumn id="6021" name="Column6017" dataDxfId="10363"/>
    <tableColumn id="6022" name="Column6018" dataDxfId="10362"/>
    <tableColumn id="6023" name="Column6019" dataDxfId="10361"/>
    <tableColumn id="6024" name="Column6020" dataDxfId="10360"/>
    <tableColumn id="6025" name="Column6021" dataDxfId="10359"/>
    <tableColumn id="6026" name="Column6022" dataDxfId="10358"/>
    <tableColumn id="6027" name="Column6023" dataDxfId="10357"/>
    <tableColumn id="6028" name="Column6024" dataDxfId="10356"/>
    <tableColumn id="6029" name="Column6025" dataDxfId="10355"/>
    <tableColumn id="6030" name="Column6026" dataDxfId="10354"/>
    <tableColumn id="6031" name="Column6027" dataDxfId="10353"/>
    <tableColumn id="6032" name="Column6028" dataDxfId="10352"/>
    <tableColumn id="6033" name="Column6029" dataDxfId="10351"/>
    <tableColumn id="6034" name="Column6030" dataDxfId="10350"/>
    <tableColumn id="6035" name="Column6031" dataDxfId="10349"/>
    <tableColumn id="6036" name="Column6032" dataDxfId="10348"/>
    <tableColumn id="6037" name="Column6033" dataDxfId="10347"/>
    <tableColumn id="6038" name="Column6034" dataDxfId="10346"/>
    <tableColumn id="6039" name="Column6035" dataDxfId="10345"/>
    <tableColumn id="6040" name="Column6036" dataDxfId="10344"/>
    <tableColumn id="6041" name="Column6037" dataDxfId="10343"/>
    <tableColumn id="6042" name="Column6038" dataDxfId="10342"/>
    <tableColumn id="6043" name="Column6039" dataDxfId="10341"/>
    <tableColumn id="6044" name="Column6040" dataDxfId="10340"/>
    <tableColumn id="6045" name="Column6041" dataDxfId="10339"/>
    <tableColumn id="6046" name="Column6042" dataDxfId="10338"/>
    <tableColumn id="6047" name="Column6043" dataDxfId="10337"/>
    <tableColumn id="6048" name="Column6044" dataDxfId="10336"/>
    <tableColumn id="6049" name="Column6045" dataDxfId="10335"/>
    <tableColumn id="6050" name="Column6046" dataDxfId="10334"/>
    <tableColumn id="6051" name="Column6047" dataDxfId="10333"/>
    <tableColumn id="6052" name="Column6048" dataDxfId="10332"/>
    <tableColumn id="6053" name="Column6049" dataDxfId="10331"/>
    <tableColumn id="6054" name="Column6050" dataDxfId="10330"/>
    <tableColumn id="6055" name="Column6051" dataDxfId="10329"/>
    <tableColumn id="6056" name="Column6052" dataDxfId="10328"/>
    <tableColumn id="6057" name="Column6053" dataDxfId="10327"/>
    <tableColumn id="6058" name="Column6054" dataDxfId="10326"/>
    <tableColumn id="6059" name="Column6055" dataDxfId="10325"/>
    <tableColumn id="6060" name="Column6056" dataDxfId="10324"/>
    <tableColumn id="6061" name="Column6057" dataDxfId="10323"/>
    <tableColumn id="6062" name="Column6058" dataDxfId="10322"/>
    <tableColumn id="6063" name="Column6059" dataDxfId="10321"/>
    <tableColumn id="6064" name="Column6060" dataDxfId="10320"/>
    <tableColumn id="6065" name="Column6061" dataDxfId="10319"/>
    <tableColumn id="6066" name="Column6062" dataDxfId="10318"/>
    <tableColumn id="6067" name="Column6063" dataDxfId="10317"/>
    <tableColumn id="6068" name="Column6064" dataDxfId="10316"/>
    <tableColumn id="6069" name="Column6065" dataDxfId="10315"/>
    <tableColumn id="6070" name="Column6066" dataDxfId="10314"/>
    <tableColumn id="6071" name="Column6067" dataDxfId="10313"/>
    <tableColumn id="6072" name="Column6068" dataDxfId="10312"/>
    <tableColumn id="6073" name="Column6069" dataDxfId="10311"/>
    <tableColumn id="6074" name="Column6070" dataDxfId="10310"/>
    <tableColumn id="6075" name="Column6071" dataDxfId="10309"/>
    <tableColumn id="6076" name="Column6072" dataDxfId="10308"/>
    <tableColumn id="6077" name="Column6073" dataDxfId="10307"/>
    <tableColumn id="6078" name="Column6074" dataDxfId="10306"/>
    <tableColumn id="6079" name="Column6075" dataDxfId="10305"/>
    <tableColumn id="6080" name="Column6076" dataDxfId="10304"/>
    <tableColumn id="6081" name="Column6077" dataDxfId="10303"/>
    <tableColumn id="6082" name="Column6078" dataDxfId="10302"/>
    <tableColumn id="6083" name="Column6079" dataDxfId="10301"/>
    <tableColumn id="6084" name="Column6080" dataDxfId="10300"/>
    <tableColumn id="6085" name="Column6081" dataDxfId="10299"/>
    <tableColumn id="6086" name="Column6082" dataDxfId="10298"/>
    <tableColumn id="6087" name="Column6083" dataDxfId="10297"/>
    <tableColumn id="6088" name="Column6084" dataDxfId="10296"/>
    <tableColumn id="6089" name="Column6085" dataDxfId="10295"/>
    <tableColumn id="6090" name="Column6086" dataDxfId="10294"/>
    <tableColumn id="6091" name="Column6087" dataDxfId="10293"/>
    <tableColumn id="6092" name="Column6088" dataDxfId="10292"/>
    <tableColumn id="6093" name="Column6089" dataDxfId="10291"/>
    <tableColumn id="6094" name="Column6090" dataDxfId="10290"/>
    <tableColumn id="6095" name="Column6091" dataDxfId="10289"/>
    <tableColumn id="6096" name="Column6092" dataDxfId="10288"/>
    <tableColumn id="6097" name="Column6093" dataDxfId="10287"/>
    <tableColumn id="6098" name="Column6094" dataDxfId="10286"/>
    <tableColumn id="6099" name="Column6095" dataDxfId="10285"/>
    <tableColumn id="6100" name="Column6096" dataDxfId="10284"/>
    <tableColumn id="6101" name="Column6097" dataDxfId="10283"/>
    <tableColumn id="6102" name="Column6098" dataDxfId="10282"/>
    <tableColumn id="6103" name="Column6099" dataDxfId="10281"/>
    <tableColumn id="6104" name="Column6100" dataDxfId="10280"/>
    <tableColumn id="6105" name="Column6101" dataDxfId="10279"/>
    <tableColumn id="6106" name="Column6102" dataDxfId="10278"/>
    <tableColumn id="6107" name="Column6103" dataDxfId="10277"/>
    <tableColumn id="6108" name="Column6104" dataDxfId="10276"/>
    <tableColumn id="6109" name="Column6105" dataDxfId="10275"/>
    <tableColumn id="6110" name="Column6106" dataDxfId="10274"/>
    <tableColumn id="6111" name="Column6107" dataDxfId="10273"/>
    <tableColumn id="6112" name="Column6108" dataDxfId="10272"/>
    <tableColumn id="6113" name="Column6109" dataDxfId="10271"/>
    <tableColumn id="6114" name="Column6110" dataDxfId="10270"/>
    <tableColumn id="6115" name="Column6111" dataDxfId="10269"/>
    <tableColumn id="6116" name="Column6112" dataDxfId="10268"/>
    <tableColumn id="6117" name="Column6113" dataDxfId="10267"/>
    <tableColumn id="6118" name="Column6114" dataDxfId="10266"/>
    <tableColumn id="6119" name="Column6115" dataDxfId="10265"/>
    <tableColumn id="6120" name="Column6116" dataDxfId="10264"/>
    <tableColumn id="6121" name="Column6117" dataDxfId="10263"/>
    <tableColumn id="6122" name="Column6118" dataDxfId="10262"/>
    <tableColumn id="6123" name="Column6119" dataDxfId="10261"/>
    <tableColumn id="6124" name="Column6120" dataDxfId="10260"/>
    <tableColumn id="6125" name="Column6121" dataDxfId="10259"/>
    <tableColumn id="6126" name="Column6122" dataDxfId="10258"/>
    <tableColumn id="6127" name="Column6123" dataDxfId="10257"/>
    <tableColumn id="6128" name="Column6124" dataDxfId="10256"/>
    <tableColumn id="6129" name="Column6125" dataDxfId="10255"/>
    <tableColumn id="6130" name="Column6126" dataDxfId="10254"/>
    <tableColumn id="6131" name="Column6127" dataDxfId="10253"/>
    <tableColumn id="6132" name="Column6128" dataDxfId="10252"/>
    <tableColumn id="6133" name="Column6129" dataDxfId="10251"/>
    <tableColumn id="6134" name="Column6130" dataDxfId="10250"/>
    <tableColumn id="6135" name="Column6131" dataDxfId="10249"/>
    <tableColumn id="6136" name="Column6132" dataDxfId="10248"/>
    <tableColumn id="6137" name="Column6133" dataDxfId="10247"/>
    <tableColumn id="6138" name="Column6134" dataDxfId="10246"/>
    <tableColumn id="6139" name="Column6135" dataDxfId="10245"/>
    <tableColumn id="6140" name="Column6136" dataDxfId="10244"/>
    <tableColumn id="6141" name="Column6137" dataDxfId="10243"/>
    <tableColumn id="6142" name="Column6138" dataDxfId="10242"/>
    <tableColumn id="6143" name="Column6139" dataDxfId="10241"/>
    <tableColumn id="6144" name="Column6140" dataDxfId="10240"/>
    <tableColumn id="6145" name="Column6141" dataDxfId="10239"/>
    <tableColumn id="6146" name="Column6142" dataDxfId="10238"/>
    <tableColumn id="6147" name="Column6143" dataDxfId="10237"/>
    <tableColumn id="6148" name="Column6144" dataDxfId="10236"/>
    <tableColumn id="6149" name="Column6145" dataDxfId="10235"/>
    <tableColumn id="6150" name="Column6146" dataDxfId="10234"/>
    <tableColumn id="6151" name="Column6147" dataDxfId="10233"/>
    <tableColumn id="6152" name="Column6148" dataDxfId="10232"/>
    <tableColumn id="6153" name="Column6149" dataDxfId="10231"/>
    <tableColumn id="6154" name="Column6150" dataDxfId="10230"/>
    <tableColumn id="6155" name="Column6151" dataDxfId="10229"/>
    <tableColumn id="6156" name="Column6152" dataDxfId="10228"/>
    <tableColumn id="6157" name="Column6153" dataDxfId="10227"/>
    <tableColumn id="6158" name="Column6154" dataDxfId="10226"/>
    <tableColumn id="6159" name="Column6155" dataDxfId="10225"/>
    <tableColumn id="6160" name="Column6156" dataDxfId="10224"/>
    <tableColumn id="6161" name="Column6157" dataDxfId="10223"/>
    <tableColumn id="6162" name="Column6158" dataDxfId="10222"/>
    <tableColumn id="6163" name="Column6159" dataDxfId="10221"/>
    <tableColumn id="6164" name="Column6160" dataDxfId="10220"/>
    <tableColumn id="6165" name="Column6161" dataDxfId="10219"/>
    <tableColumn id="6166" name="Column6162" dataDxfId="10218"/>
    <tableColumn id="6167" name="Column6163" dataDxfId="10217"/>
    <tableColumn id="6168" name="Column6164" dataDxfId="10216"/>
    <tableColumn id="6169" name="Column6165" dataDxfId="10215"/>
    <tableColumn id="6170" name="Column6166" dataDxfId="10214"/>
    <tableColumn id="6171" name="Column6167" dataDxfId="10213"/>
    <tableColumn id="6172" name="Column6168" dataDxfId="10212"/>
    <tableColumn id="6173" name="Column6169" dataDxfId="10211"/>
    <tableColumn id="6174" name="Column6170" dataDxfId="10210"/>
    <tableColumn id="6175" name="Column6171" dataDxfId="10209"/>
    <tableColumn id="6176" name="Column6172" dataDxfId="10208"/>
    <tableColumn id="6177" name="Column6173" dataDxfId="10207"/>
    <tableColumn id="6178" name="Column6174" dataDxfId="10206"/>
    <tableColumn id="6179" name="Column6175" dataDxfId="10205"/>
    <tableColumn id="6180" name="Column6176" dataDxfId="10204"/>
    <tableColumn id="6181" name="Column6177" dataDxfId="10203"/>
    <tableColumn id="6182" name="Column6178" dataDxfId="10202"/>
    <tableColumn id="6183" name="Column6179" dataDxfId="10201"/>
    <tableColumn id="6184" name="Column6180" dataDxfId="10200"/>
    <tableColumn id="6185" name="Column6181" dataDxfId="10199"/>
    <tableColumn id="6186" name="Column6182" dataDxfId="10198"/>
    <tableColumn id="6187" name="Column6183" dataDxfId="10197"/>
    <tableColumn id="6188" name="Column6184" dataDxfId="10196"/>
    <tableColumn id="6189" name="Column6185" dataDxfId="10195"/>
    <tableColumn id="6190" name="Column6186" dataDxfId="10194"/>
    <tableColumn id="6191" name="Column6187" dataDxfId="10193"/>
    <tableColumn id="6192" name="Column6188" dataDxfId="10192"/>
    <tableColumn id="6193" name="Column6189" dataDxfId="10191"/>
    <tableColumn id="6194" name="Column6190" dataDxfId="10190"/>
    <tableColumn id="6195" name="Column6191" dataDxfId="10189"/>
    <tableColumn id="6196" name="Column6192" dataDxfId="10188"/>
    <tableColumn id="6197" name="Column6193" dataDxfId="10187"/>
    <tableColumn id="6198" name="Column6194" dataDxfId="10186"/>
    <tableColumn id="6199" name="Column6195" dataDxfId="10185"/>
    <tableColumn id="6200" name="Column6196" dataDxfId="10184"/>
    <tableColumn id="6201" name="Column6197" dataDxfId="10183"/>
    <tableColumn id="6202" name="Column6198" dataDxfId="10182"/>
    <tableColumn id="6203" name="Column6199" dataDxfId="10181"/>
    <tableColumn id="6204" name="Column6200" dataDxfId="10180"/>
    <tableColumn id="6205" name="Column6201" dataDxfId="10179"/>
    <tableColumn id="6206" name="Column6202" dataDxfId="10178"/>
    <tableColumn id="6207" name="Column6203" dataDxfId="10177"/>
    <tableColumn id="6208" name="Column6204" dataDxfId="10176"/>
    <tableColumn id="6209" name="Column6205" dataDxfId="10175"/>
    <tableColumn id="6210" name="Column6206" dataDxfId="10174"/>
    <tableColumn id="6211" name="Column6207" dataDxfId="10173"/>
    <tableColumn id="6212" name="Column6208" dataDxfId="10172"/>
    <tableColumn id="6213" name="Column6209" dataDxfId="10171"/>
    <tableColumn id="6214" name="Column6210" dataDxfId="10170"/>
    <tableColumn id="6215" name="Column6211" dataDxfId="10169"/>
    <tableColumn id="6216" name="Column6212" dataDxfId="10168"/>
    <tableColumn id="6217" name="Column6213" dataDxfId="10167"/>
    <tableColumn id="6218" name="Column6214" dataDxfId="10166"/>
    <tableColumn id="6219" name="Column6215" dataDxfId="10165"/>
    <tableColumn id="6220" name="Column6216" dataDxfId="10164"/>
    <tableColumn id="6221" name="Column6217" dataDxfId="10163"/>
    <tableColumn id="6222" name="Column6218" dataDxfId="10162"/>
    <tableColumn id="6223" name="Column6219" dataDxfId="10161"/>
    <tableColumn id="6224" name="Column6220" dataDxfId="10160"/>
    <tableColumn id="6225" name="Column6221" dataDxfId="10159"/>
    <tableColumn id="6226" name="Column6222" dataDxfId="10158"/>
    <tableColumn id="6227" name="Column6223" dataDxfId="10157"/>
    <tableColumn id="6228" name="Column6224" dataDxfId="10156"/>
    <tableColumn id="6229" name="Column6225" dataDxfId="10155"/>
    <tableColumn id="6230" name="Column6226" dataDxfId="10154"/>
    <tableColumn id="6231" name="Column6227" dataDxfId="10153"/>
    <tableColumn id="6232" name="Column6228" dataDxfId="10152"/>
    <tableColumn id="6233" name="Column6229" dataDxfId="10151"/>
    <tableColumn id="6234" name="Column6230" dataDxfId="10150"/>
    <tableColumn id="6235" name="Column6231" dataDxfId="10149"/>
    <tableColumn id="6236" name="Column6232" dataDxfId="10148"/>
    <tableColumn id="6237" name="Column6233" dataDxfId="10147"/>
    <tableColumn id="6238" name="Column6234" dataDxfId="10146"/>
    <tableColumn id="6239" name="Column6235" dataDxfId="10145"/>
    <tableColumn id="6240" name="Column6236" dataDxfId="10144"/>
    <tableColumn id="6241" name="Column6237" dataDxfId="10143"/>
    <tableColumn id="6242" name="Column6238" dataDxfId="10142"/>
    <tableColumn id="6243" name="Column6239" dataDxfId="10141"/>
    <tableColumn id="6244" name="Column6240" dataDxfId="10140"/>
    <tableColumn id="6245" name="Column6241" dataDxfId="10139"/>
    <tableColumn id="6246" name="Column6242" dataDxfId="10138"/>
    <tableColumn id="6247" name="Column6243" dataDxfId="10137"/>
    <tableColumn id="6248" name="Column6244" dataDxfId="10136"/>
    <tableColumn id="6249" name="Column6245" dataDxfId="10135"/>
    <tableColumn id="6250" name="Column6246" dataDxfId="10134"/>
    <tableColumn id="6251" name="Column6247" dataDxfId="10133"/>
    <tableColumn id="6252" name="Column6248" dataDxfId="10132"/>
    <tableColumn id="6253" name="Column6249" dataDxfId="10131"/>
    <tableColumn id="6254" name="Column6250" dataDxfId="10130"/>
    <tableColumn id="6255" name="Column6251" dataDxfId="10129"/>
    <tableColumn id="6256" name="Column6252" dataDxfId="10128"/>
    <tableColumn id="6257" name="Column6253" dataDxfId="10127"/>
    <tableColumn id="6258" name="Column6254" dataDxfId="10126"/>
    <tableColumn id="6259" name="Column6255" dataDxfId="10125"/>
    <tableColumn id="6260" name="Column6256" dataDxfId="10124"/>
    <tableColumn id="6261" name="Column6257" dataDxfId="10123"/>
    <tableColumn id="6262" name="Column6258" dataDxfId="10122"/>
    <tableColumn id="6263" name="Column6259" dataDxfId="10121"/>
    <tableColumn id="6264" name="Column6260" dataDxfId="10120"/>
    <tableColumn id="6265" name="Column6261" dataDxfId="10119"/>
    <tableColumn id="6266" name="Column6262" dataDxfId="10118"/>
    <tableColumn id="6267" name="Column6263" dataDxfId="10117"/>
    <tableColumn id="6268" name="Column6264" dataDxfId="10116"/>
    <tableColumn id="6269" name="Column6265" dataDxfId="10115"/>
    <tableColumn id="6270" name="Column6266" dataDxfId="10114"/>
    <tableColumn id="6271" name="Column6267" dataDxfId="10113"/>
    <tableColumn id="6272" name="Column6268" dataDxfId="10112"/>
    <tableColumn id="6273" name="Column6269" dataDxfId="10111"/>
    <tableColumn id="6274" name="Column6270" dataDxfId="10110"/>
    <tableColumn id="6275" name="Column6271" dataDxfId="10109"/>
    <tableColumn id="6276" name="Column6272" dataDxfId="10108"/>
    <tableColumn id="6277" name="Column6273" dataDxfId="10107"/>
    <tableColumn id="6278" name="Column6274" dataDxfId="10106"/>
    <tableColumn id="6279" name="Column6275" dataDxfId="10105"/>
    <tableColumn id="6280" name="Column6276" dataDxfId="10104"/>
    <tableColumn id="6281" name="Column6277" dataDxfId="10103"/>
    <tableColumn id="6282" name="Column6278" dataDxfId="10102"/>
    <tableColumn id="6283" name="Column6279" dataDxfId="10101"/>
    <tableColumn id="6284" name="Column6280" dataDxfId="10100"/>
    <tableColumn id="6285" name="Column6281" dataDxfId="10099"/>
    <tableColumn id="6286" name="Column6282" dataDxfId="10098"/>
    <tableColumn id="6287" name="Column6283" dataDxfId="10097"/>
    <tableColumn id="6288" name="Column6284" dataDxfId="10096"/>
    <tableColumn id="6289" name="Column6285" dataDxfId="10095"/>
    <tableColumn id="6290" name="Column6286" dataDxfId="10094"/>
    <tableColumn id="6291" name="Column6287" dataDxfId="10093"/>
    <tableColumn id="6292" name="Column6288" dataDxfId="10092"/>
    <tableColumn id="6293" name="Column6289" dataDxfId="10091"/>
    <tableColumn id="6294" name="Column6290" dataDxfId="10090"/>
    <tableColumn id="6295" name="Column6291" dataDxfId="10089"/>
    <tableColumn id="6296" name="Column6292" dataDxfId="10088"/>
    <tableColumn id="6297" name="Column6293" dataDxfId="10087"/>
    <tableColumn id="6298" name="Column6294" dataDxfId="10086"/>
    <tableColumn id="6299" name="Column6295" dataDxfId="10085"/>
    <tableColumn id="6300" name="Column6296" dataDxfId="10084"/>
    <tableColumn id="6301" name="Column6297" dataDxfId="10083"/>
    <tableColumn id="6302" name="Column6298" dataDxfId="10082"/>
    <tableColumn id="6303" name="Column6299" dataDxfId="10081"/>
    <tableColumn id="6304" name="Column6300" dataDxfId="10080"/>
    <tableColumn id="6305" name="Column6301" dataDxfId="10079"/>
    <tableColumn id="6306" name="Column6302" dataDxfId="10078"/>
    <tableColumn id="6307" name="Column6303" dataDxfId="10077"/>
    <tableColumn id="6308" name="Column6304" dataDxfId="10076"/>
    <tableColumn id="6309" name="Column6305" dataDxfId="10075"/>
    <tableColumn id="6310" name="Column6306" dataDxfId="10074"/>
    <tableColumn id="6311" name="Column6307" dataDxfId="10073"/>
    <tableColumn id="6312" name="Column6308" dataDxfId="10072"/>
    <tableColumn id="6313" name="Column6309" dataDxfId="10071"/>
    <tableColumn id="6314" name="Column6310" dataDxfId="10070"/>
    <tableColumn id="6315" name="Column6311" dataDxfId="10069"/>
    <tableColumn id="6316" name="Column6312" dataDxfId="10068"/>
    <tableColumn id="6317" name="Column6313" dataDxfId="10067"/>
    <tableColumn id="6318" name="Column6314" dataDxfId="10066"/>
    <tableColumn id="6319" name="Column6315" dataDxfId="10065"/>
    <tableColumn id="6320" name="Column6316" dataDxfId="10064"/>
    <tableColumn id="6321" name="Column6317" dataDxfId="10063"/>
    <tableColumn id="6322" name="Column6318" dataDxfId="10062"/>
    <tableColumn id="6323" name="Column6319" dataDxfId="10061"/>
    <tableColumn id="6324" name="Column6320" dataDxfId="10060"/>
    <tableColumn id="6325" name="Column6321" dataDxfId="10059"/>
    <tableColumn id="6326" name="Column6322" dataDxfId="10058"/>
    <tableColumn id="6327" name="Column6323" dataDxfId="10057"/>
    <tableColumn id="6328" name="Column6324" dataDxfId="10056"/>
    <tableColumn id="6329" name="Column6325" dataDxfId="10055"/>
    <tableColumn id="6330" name="Column6326" dataDxfId="10054"/>
    <tableColumn id="6331" name="Column6327" dataDxfId="10053"/>
    <tableColumn id="6332" name="Column6328" dataDxfId="10052"/>
    <tableColumn id="6333" name="Column6329" dataDxfId="10051"/>
    <tableColumn id="6334" name="Column6330" dataDxfId="10050"/>
    <tableColumn id="6335" name="Column6331" dataDxfId="10049"/>
    <tableColumn id="6336" name="Column6332" dataDxfId="10048"/>
    <tableColumn id="6337" name="Column6333" dataDxfId="10047"/>
    <tableColumn id="6338" name="Column6334" dataDxfId="10046"/>
    <tableColumn id="6339" name="Column6335" dataDxfId="10045"/>
    <tableColumn id="6340" name="Column6336" dataDxfId="10044"/>
    <tableColumn id="6341" name="Column6337" dataDxfId="10043"/>
    <tableColumn id="6342" name="Column6338" dataDxfId="10042"/>
    <tableColumn id="6343" name="Column6339" dataDxfId="10041"/>
    <tableColumn id="6344" name="Column6340" dataDxfId="10040"/>
    <tableColumn id="6345" name="Column6341" dataDxfId="10039"/>
    <tableColumn id="6346" name="Column6342" dataDxfId="10038"/>
    <tableColumn id="6347" name="Column6343" dataDxfId="10037"/>
    <tableColumn id="6348" name="Column6344" dataDxfId="10036"/>
    <tableColumn id="6349" name="Column6345" dataDxfId="10035"/>
    <tableColumn id="6350" name="Column6346" dataDxfId="10034"/>
    <tableColumn id="6351" name="Column6347" dataDxfId="10033"/>
    <tableColumn id="6352" name="Column6348" dataDxfId="10032"/>
    <tableColumn id="6353" name="Column6349" dataDxfId="10031"/>
    <tableColumn id="6354" name="Column6350" dataDxfId="10030"/>
    <tableColumn id="6355" name="Column6351" dataDxfId="10029"/>
    <tableColumn id="6356" name="Column6352" dataDxfId="10028"/>
    <tableColumn id="6357" name="Column6353" dataDxfId="10027"/>
    <tableColumn id="6358" name="Column6354" dataDxfId="10026"/>
    <tableColumn id="6359" name="Column6355" dataDxfId="10025"/>
    <tableColumn id="6360" name="Column6356" dataDxfId="10024"/>
    <tableColumn id="6361" name="Column6357" dataDxfId="10023"/>
    <tableColumn id="6362" name="Column6358" dataDxfId="10022"/>
    <tableColumn id="6363" name="Column6359" dataDxfId="10021"/>
    <tableColumn id="6364" name="Column6360" dataDxfId="10020"/>
    <tableColumn id="6365" name="Column6361" dataDxfId="10019"/>
    <tableColumn id="6366" name="Column6362" dataDxfId="10018"/>
    <tableColumn id="6367" name="Column6363" dataDxfId="10017"/>
    <tableColumn id="6368" name="Column6364" dataDxfId="10016"/>
    <tableColumn id="6369" name="Column6365" dataDxfId="10015"/>
    <tableColumn id="6370" name="Column6366" dataDxfId="10014"/>
    <tableColumn id="6371" name="Column6367" dataDxfId="10013"/>
    <tableColumn id="6372" name="Column6368" dataDxfId="10012"/>
    <tableColumn id="6373" name="Column6369" dataDxfId="10011"/>
    <tableColumn id="6374" name="Column6370" dataDxfId="10010"/>
    <tableColumn id="6375" name="Column6371" dataDxfId="10009"/>
    <tableColumn id="6376" name="Column6372" dataDxfId="10008"/>
    <tableColumn id="6377" name="Column6373" dataDxfId="10007"/>
    <tableColumn id="6378" name="Column6374" dataDxfId="10006"/>
    <tableColumn id="6379" name="Column6375" dataDxfId="10005"/>
    <tableColumn id="6380" name="Column6376" dataDxfId="10004"/>
    <tableColumn id="6381" name="Column6377" dataDxfId="10003"/>
    <tableColumn id="6382" name="Column6378" dataDxfId="10002"/>
    <tableColumn id="6383" name="Column6379" dataDxfId="10001"/>
    <tableColumn id="6384" name="Column6380" dataDxfId="10000"/>
    <tableColumn id="6385" name="Column6381" dataDxfId="9999"/>
    <tableColumn id="6386" name="Column6382" dataDxfId="9998"/>
    <tableColumn id="6387" name="Column6383" dataDxfId="9997"/>
    <tableColumn id="6388" name="Column6384" dataDxfId="9996"/>
    <tableColumn id="6389" name="Column6385" dataDxfId="9995"/>
    <tableColumn id="6390" name="Column6386" dataDxfId="9994"/>
    <tableColumn id="6391" name="Column6387" dataDxfId="9993"/>
    <tableColumn id="6392" name="Column6388" dataDxfId="9992"/>
    <tableColumn id="6393" name="Column6389" dataDxfId="9991"/>
    <tableColumn id="6394" name="Column6390" dataDxfId="9990"/>
    <tableColumn id="6395" name="Column6391" dataDxfId="9989"/>
    <tableColumn id="6396" name="Column6392" dataDxfId="9988"/>
    <tableColumn id="6397" name="Column6393" dataDxfId="9987"/>
    <tableColumn id="6398" name="Column6394" dataDxfId="9986"/>
    <tableColumn id="6399" name="Column6395" dataDxfId="9985"/>
    <tableColumn id="6400" name="Column6396" dataDxfId="9984"/>
    <tableColumn id="6401" name="Column6397" dataDxfId="9983"/>
    <tableColumn id="6402" name="Column6398" dataDxfId="9982"/>
    <tableColumn id="6403" name="Column6399" dataDxfId="9981"/>
    <tableColumn id="6404" name="Column6400" dataDxfId="9980"/>
    <tableColumn id="6405" name="Column6401" dataDxfId="9979"/>
    <tableColumn id="6406" name="Column6402" dataDxfId="9978"/>
    <tableColumn id="6407" name="Column6403" dataDxfId="9977"/>
    <tableColumn id="6408" name="Column6404" dataDxfId="9976"/>
    <tableColumn id="6409" name="Column6405" dataDxfId="9975"/>
    <tableColumn id="6410" name="Column6406" dataDxfId="9974"/>
    <tableColumn id="6411" name="Column6407" dataDxfId="9973"/>
    <tableColumn id="6412" name="Column6408" dataDxfId="9972"/>
    <tableColumn id="6413" name="Column6409" dataDxfId="9971"/>
    <tableColumn id="6414" name="Column6410" dataDxfId="9970"/>
    <tableColumn id="6415" name="Column6411" dataDxfId="9969"/>
    <tableColumn id="6416" name="Column6412" dataDxfId="9968"/>
    <tableColumn id="6417" name="Column6413" dataDxfId="9967"/>
    <tableColumn id="6418" name="Column6414" dataDxfId="9966"/>
    <tableColumn id="6419" name="Column6415" dataDxfId="9965"/>
    <tableColumn id="6420" name="Column6416" dataDxfId="9964"/>
    <tableColumn id="6421" name="Column6417" dataDxfId="9963"/>
    <tableColumn id="6422" name="Column6418" dataDxfId="9962"/>
    <tableColumn id="6423" name="Column6419" dataDxfId="9961"/>
    <tableColumn id="6424" name="Column6420" dataDxfId="9960"/>
    <tableColumn id="6425" name="Column6421" dataDxfId="9959"/>
    <tableColumn id="6426" name="Column6422" dataDxfId="9958"/>
    <tableColumn id="6427" name="Column6423" dataDxfId="9957"/>
    <tableColumn id="6428" name="Column6424" dataDxfId="9956"/>
    <tableColumn id="6429" name="Column6425" dataDxfId="9955"/>
    <tableColumn id="6430" name="Column6426" dataDxfId="9954"/>
    <tableColumn id="6431" name="Column6427" dataDxfId="9953"/>
    <tableColumn id="6432" name="Column6428" dataDxfId="9952"/>
    <tableColumn id="6433" name="Column6429" dataDxfId="9951"/>
    <tableColumn id="6434" name="Column6430" dataDxfId="9950"/>
    <tableColumn id="6435" name="Column6431" dataDxfId="9949"/>
    <tableColumn id="6436" name="Column6432" dataDxfId="9948"/>
    <tableColumn id="6437" name="Column6433" dataDxfId="9947"/>
    <tableColumn id="6438" name="Column6434" dataDxfId="9946"/>
    <tableColumn id="6439" name="Column6435" dataDxfId="9945"/>
    <tableColumn id="6440" name="Column6436" dataDxfId="9944"/>
    <tableColumn id="6441" name="Column6437" dataDxfId="9943"/>
    <tableColumn id="6442" name="Column6438" dataDxfId="9942"/>
    <tableColumn id="6443" name="Column6439" dataDxfId="9941"/>
    <tableColumn id="6444" name="Column6440" dataDxfId="9940"/>
    <tableColumn id="6445" name="Column6441" dataDxfId="9939"/>
    <tableColumn id="6446" name="Column6442" dataDxfId="9938"/>
    <tableColumn id="6447" name="Column6443" dataDxfId="9937"/>
    <tableColumn id="6448" name="Column6444" dataDxfId="9936"/>
    <tableColumn id="6449" name="Column6445" dataDxfId="9935"/>
    <tableColumn id="6450" name="Column6446" dataDxfId="9934"/>
    <tableColumn id="6451" name="Column6447" dataDxfId="9933"/>
    <tableColumn id="6452" name="Column6448" dataDxfId="9932"/>
    <tableColumn id="6453" name="Column6449" dataDxfId="9931"/>
    <tableColumn id="6454" name="Column6450" dataDxfId="9930"/>
    <tableColumn id="6455" name="Column6451" dataDxfId="9929"/>
    <tableColumn id="6456" name="Column6452" dataDxfId="9928"/>
    <tableColumn id="6457" name="Column6453" dataDxfId="9927"/>
    <tableColumn id="6458" name="Column6454" dataDxfId="9926"/>
    <tableColumn id="6459" name="Column6455" dataDxfId="9925"/>
    <tableColumn id="6460" name="Column6456" dataDxfId="9924"/>
    <tableColumn id="6461" name="Column6457" dataDxfId="9923"/>
    <tableColumn id="6462" name="Column6458" dataDxfId="9922"/>
    <tableColumn id="6463" name="Column6459" dataDxfId="9921"/>
    <tableColumn id="6464" name="Column6460" dataDxfId="9920"/>
    <tableColumn id="6465" name="Column6461" dataDxfId="9919"/>
    <tableColumn id="6466" name="Column6462" dataDxfId="9918"/>
    <tableColumn id="6467" name="Column6463" dataDxfId="9917"/>
    <tableColumn id="6468" name="Column6464" dataDxfId="9916"/>
    <tableColumn id="6469" name="Column6465" dataDxfId="9915"/>
    <tableColumn id="6470" name="Column6466" dataDxfId="9914"/>
    <tableColumn id="6471" name="Column6467" dataDxfId="9913"/>
    <tableColumn id="6472" name="Column6468" dataDxfId="9912"/>
    <tableColumn id="6473" name="Column6469" dataDxfId="9911"/>
    <tableColumn id="6474" name="Column6470" dataDxfId="9910"/>
    <tableColumn id="6475" name="Column6471" dataDxfId="9909"/>
    <tableColumn id="6476" name="Column6472" dataDxfId="9908"/>
    <tableColumn id="6477" name="Column6473" dataDxfId="9907"/>
    <tableColumn id="6478" name="Column6474" dataDxfId="9906"/>
    <tableColumn id="6479" name="Column6475" dataDxfId="9905"/>
    <tableColumn id="6480" name="Column6476" dataDxfId="9904"/>
    <tableColumn id="6481" name="Column6477" dataDxfId="9903"/>
    <tableColumn id="6482" name="Column6478" dataDxfId="9902"/>
    <tableColumn id="6483" name="Column6479" dataDxfId="9901"/>
    <tableColumn id="6484" name="Column6480" dataDxfId="9900"/>
    <tableColumn id="6485" name="Column6481" dataDxfId="9899"/>
    <tableColumn id="6486" name="Column6482" dataDxfId="9898"/>
    <tableColumn id="6487" name="Column6483" dataDxfId="9897"/>
    <tableColumn id="6488" name="Column6484" dataDxfId="9896"/>
    <tableColumn id="6489" name="Column6485" dataDxfId="9895"/>
    <tableColumn id="6490" name="Column6486" dataDxfId="9894"/>
    <tableColumn id="6491" name="Column6487" dataDxfId="9893"/>
    <tableColumn id="6492" name="Column6488" dataDxfId="9892"/>
    <tableColumn id="6493" name="Column6489" dataDxfId="9891"/>
    <tableColumn id="6494" name="Column6490" dataDxfId="9890"/>
    <tableColumn id="6495" name="Column6491" dataDxfId="9889"/>
    <tableColumn id="6496" name="Column6492" dataDxfId="9888"/>
    <tableColumn id="6497" name="Column6493" dataDxfId="9887"/>
    <tableColumn id="6498" name="Column6494" dataDxfId="9886"/>
    <tableColumn id="6499" name="Column6495" dataDxfId="9885"/>
    <tableColumn id="6500" name="Column6496" dataDxfId="9884"/>
    <tableColumn id="6501" name="Column6497" dataDxfId="9883"/>
    <tableColumn id="6502" name="Column6498" dataDxfId="9882"/>
    <tableColumn id="6503" name="Column6499" dataDxfId="9881"/>
    <tableColumn id="6504" name="Column6500" dataDxfId="9880"/>
    <tableColumn id="6505" name="Column6501" dataDxfId="9879"/>
    <tableColumn id="6506" name="Column6502" dataDxfId="9878"/>
    <tableColumn id="6507" name="Column6503" dataDxfId="9877"/>
    <tableColumn id="6508" name="Column6504" dataDxfId="9876"/>
    <tableColumn id="6509" name="Column6505" dataDxfId="9875"/>
    <tableColumn id="6510" name="Column6506" dataDxfId="9874"/>
    <tableColumn id="6511" name="Column6507" dataDxfId="9873"/>
    <tableColumn id="6512" name="Column6508" dataDxfId="9872"/>
    <tableColumn id="6513" name="Column6509" dataDxfId="9871"/>
    <tableColumn id="6514" name="Column6510" dataDxfId="9870"/>
    <tableColumn id="6515" name="Column6511" dataDxfId="9869"/>
    <tableColumn id="6516" name="Column6512" dataDxfId="9868"/>
    <tableColumn id="6517" name="Column6513" dataDxfId="9867"/>
    <tableColumn id="6518" name="Column6514" dataDxfId="9866"/>
    <tableColumn id="6519" name="Column6515" dataDxfId="9865"/>
    <tableColumn id="6520" name="Column6516" dataDxfId="9864"/>
    <tableColumn id="6521" name="Column6517" dataDxfId="9863"/>
    <tableColumn id="6522" name="Column6518" dataDxfId="9862"/>
    <tableColumn id="6523" name="Column6519" dataDxfId="9861"/>
    <tableColumn id="6524" name="Column6520" dataDxfId="9860"/>
    <tableColumn id="6525" name="Column6521" dataDxfId="9859"/>
    <tableColumn id="6526" name="Column6522" dataDxfId="9858"/>
    <tableColumn id="6527" name="Column6523" dataDxfId="9857"/>
    <tableColumn id="6528" name="Column6524" dataDxfId="9856"/>
    <tableColumn id="6529" name="Column6525" dataDxfId="9855"/>
    <tableColumn id="6530" name="Column6526" dataDxfId="9854"/>
    <tableColumn id="6531" name="Column6527" dataDxfId="9853"/>
    <tableColumn id="6532" name="Column6528" dataDxfId="9852"/>
    <tableColumn id="6533" name="Column6529" dataDxfId="9851"/>
    <tableColumn id="6534" name="Column6530" dataDxfId="9850"/>
    <tableColumn id="6535" name="Column6531" dataDxfId="9849"/>
    <tableColumn id="6536" name="Column6532" dataDxfId="9848"/>
    <tableColumn id="6537" name="Column6533" dataDxfId="9847"/>
    <tableColumn id="6538" name="Column6534" dataDxfId="9846"/>
    <tableColumn id="6539" name="Column6535" dataDxfId="9845"/>
    <tableColumn id="6540" name="Column6536" dataDxfId="9844"/>
    <tableColumn id="6541" name="Column6537" dataDxfId="9843"/>
    <tableColumn id="6542" name="Column6538" dataDxfId="9842"/>
    <tableColumn id="6543" name="Column6539" dataDxfId="9841"/>
    <tableColumn id="6544" name="Column6540" dataDxfId="9840"/>
    <tableColumn id="6545" name="Column6541" dataDxfId="9839"/>
    <tableColumn id="6546" name="Column6542" dataDxfId="9838"/>
    <tableColumn id="6547" name="Column6543" dataDxfId="9837"/>
    <tableColumn id="6548" name="Column6544" dataDxfId="9836"/>
    <tableColumn id="6549" name="Column6545" dataDxfId="9835"/>
    <tableColumn id="6550" name="Column6546" dataDxfId="9834"/>
    <tableColumn id="6551" name="Column6547" dataDxfId="9833"/>
    <tableColumn id="6552" name="Column6548" dataDxfId="9832"/>
    <tableColumn id="6553" name="Column6549" dataDxfId="9831"/>
    <tableColumn id="6554" name="Column6550" dataDxfId="9830"/>
    <tableColumn id="6555" name="Column6551" dataDxfId="9829"/>
    <tableColumn id="6556" name="Column6552" dataDxfId="9828"/>
    <tableColumn id="6557" name="Column6553" dataDxfId="9827"/>
    <tableColumn id="6558" name="Column6554" dataDxfId="9826"/>
    <tableColumn id="6559" name="Column6555" dataDxfId="9825"/>
    <tableColumn id="6560" name="Column6556" dataDxfId="9824"/>
    <tableColumn id="6561" name="Column6557" dataDxfId="9823"/>
    <tableColumn id="6562" name="Column6558" dataDxfId="9822"/>
    <tableColumn id="6563" name="Column6559" dataDxfId="9821"/>
    <tableColumn id="6564" name="Column6560" dataDxfId="9820"/>
    <tableColumn id="6565" name="Column6561" dataDxfId="9819"/>
    <tableColumn id="6566" name="Column6562" dataDxfId="9818"/>
    <tableColumn id="6567" name="Column6563" dataDxfId="9817"/>
    <tableColumn id="6568" name="Column6564" dataDxfId="9816"/>
    <tableColumn id="6569" name="Column6565" dataDxfId="9815"/>
    <tableColumn id="6570" name="Column6566" dataDxfId="9814"/>
    <tableColumn id="6571" name="Column6567" dataDxfId="9813"/>
    <tableColumn id="6572" name="Column6568" dataDxfId="9812"/>
    <tableColumn id="6573" name="Column6569" dataDxfId="9811"/>
    <tableColumn id="6574" name="Column6570" dataDxfId="9810"/>
    <tableColumn id="6575" name="Column6571" dataDxfId="9809"/>
    <tableColumn id="6576" name="Column6572" dataDxfId="9808"/>
    <tableColumn id="6577" name="Column6573" dataDxfId="9807"/>
    <tableColumn id="6578" name="Column6574" dataDxfId="9806"/>
    <tableColumn id="6579" name="Column6575" dataDxfId="9805"/>
    <tableColumn id="6580" name="Column6576" dataDxfId="9804"/>
    <tableColumn id="6581" name="Column6577" dataDxfId="9803"/>
    <tableColumn id="6582" name="Column6578" dataDxfId="9802"/>
    <tableColumn id="6583" name="Column6579" dataDxfId="9801"/>
    <tableColumn id="6584" name="Column6580" dataDxfId="9800"/>
    <tableColumn id="6585" name="Column6581" dataDxfId="9799"/>
    <tableColumn id="6586" name="Column6582" dataDxfId="9798"/>
    <tableColumn id="6587" name="Column6583" dataDxfId="9797"/>
    <tableColumn id="6588" name="Column6584" dataDxfId="9796"/>
    <tableColumn id="6589" name="Column6585" dataDxfId="9795"/>
    <tableColumn id="6590" name="Column6586" dataDxfId="9794"/>
    <tableColumn id="6591" name="Column6587" dataDxfId="9793"/>
    <tableColumn id="6592" name="Column6588" dataDxfId="9792"/>
    <tableColumn id="6593" name="Column6589" dataDxfId="9791"/>
    <tableColumn id="6594" name="Column6590" dataDxfId="9790"/>
    <tableColumn id="6595" name="Column6591" dataDxfId="9789"/>
    <tableColumn id="6596" name="Column6592" dataDxfId="9788"/>
    <tableColumn id="6597" name="Column6593" dataDxfId="9787"/>
    <tableColumn id="6598" name="Column6594" dataDxfId="9786"/>
    <tableColumn id="6599" name="Column6595" dataDxfId="9785"/>
    <tableColumn id="6600" name="Column6596" dataDxfId="9784"/>
    <tableColumn id="6601" name="Column6597" dataDxfId="9783"/>
    <tableColumn id="6602" name="Column6598" dataDxfId="9782"/>
    <tableColumn id="6603" name="Column6599" dataDxfId="9781"/>
    <tableColumn id="6604" name="Column6600" dataDxfId="9780"/>
    <tableColumn id="6605" name="Column6601" dataDxfId="9779"/>
    <tableColumn id="6606" name="Column6602" dataDxfId="9778"/>
    <tableColumn id="6607" name="Column6603" dataDxfId="9777"/>
    <tableColumn id="6608" name="Column6604" dataDxfId="9776"/>
    <tableColumn id="6609" name="Column6605" dataDxfId="9775"/>
    <tableColumn id="6610" name="Column6606" dataDxfId="9774"/>
    <tableColumn id="6611" name="Column6607" dataDxfId="9773"/>
    <tableColumn id="6612" name="Column6608" dataDxfId="9772"/>
    <tableColumn id="6613" name="Column6609" dataDxfId="9771"/>
    <tableColumn id="6614" name="Column6610" dataDxfId="9770"/>
    <tableColumn id="6615" name="Column6611" dataDxfId="9769"/>
    <tableColumn id="6616" name="Column6612" dataDxfId="9768"/>
    <tableColumn id="6617" name="Column6613" dataDxfId="9767"/>
    <tableColumn id="6618" name="Column6614" dataDxfId="9766"/>
    <tableColumn id="6619" name="Column6615" dataDxfId="9765"/>
    <tableColumn id="6620" name="Column6616" dataDxfId="9764"/>
    <tableColumn id="6621" name="Column6617" dataDxfId="9763"/>
    <tableColumn id="6622" name="Column6618" dataDxfId="9762"/>
    <tableColumn id="6623" name="Column6619" dataDxfId="9761"/>
    <tableColumn id="6624" name="Column6620" dataDxfId="9760"/>
    <tableColumn id="6625" name="Column6621" dataDxfId="9759"/>
    <tableColumn id="6626" name="Column6622" dataDxfId="9758"/>
    <tableColumn id="6627" name="Column6623" dataDxfId="9757"/>
    <tableColumn id="6628" name="Column6624" dataDxfId="9756"/>
    <tableColumn id="6629" name="Column6625" dataDxfId="9755"/>
    <tableColumn id="6630" name="Column6626" dataDxfId="9754"/>
    <tableColumn id="6631" name="Column6627" dataDxfId="9753"/>
    <tableColumn id="6632" name="Column6628" dataDxfId="9752"/>
    <tableColumn id="6633" name="Column6629" dataDxfId="9751"/>
    <tableColumn id="6634" name="Column6630" dataDxfId="9750"/>
    <tableColumn id="6635" name="Column6631" dataDxfId="9749"/>
    <tableColumn id="6636" name="Column6632" dataDxfId="9748"/>
    <tableColumn id="6637" name="Column6633" dataDxfId="9747"/>
    <tableColumn id="6638" name="Column6634" dataDxfId="9746"/>
    <tableColumn id="6639" name="Column6635" dataDxfId="9745"/>
    <tableColumn id="6640" name="Column6636" dataDxfId="9744"/>
    <tableColumn id="6641" name="Column6637" dataDxfId="9743"/>
    <tableColumn id="6642" name="Column6638" dataDxfId="9742"/>
    <tableColumn id="6643" name="Column6639" dataDxfId="9741"/>
    <tableColumn id="6644" name="Column6640" dataDxfId="9740"/>
    <tableColumn id="6645" name="Column6641" dataDxfId="9739"/>
    <tableColumn id="6646" name="Column6642" dataDxfId="9738"/>
    <tableColumn id="6647" name="Column6643" dataDxfId="9737"/>
    <tableColumn id="6648" name="Column6644" dataDxfId="9736"/>
    <tableColumn id="6649" name="Column6645" dataDxfId="9735"/>
    <tableColumn id="6650" name="Column6646" dataDxfId="9734"/>
    <tableColumn id="6651" name="Column6647" dataDxfId="9733"/>
    <tableColumn id="6652" name="Column6648" dataDxfId="9732"/>
    <tableColumn id="6653" name="Column6649" dataDxfId="9731"/>
    <tableColumn id="6654" name="Column6650" dataDxfId="9730"/>
    <tableColumn id="6655" name="Column6651" dataDxfId="9729"/>
    <tableColumn id="6656" name="Column6652" dataDxfId="9728"/>
    <tableColumn id="6657" name="Column6653" dataDxfId="9727"/>
    <tableColumn id="6658" name="Column6654" dataDxfId="9726"/>
    <tableColumn id="6659" name="Column6655" dataDxfId="9725"/>
    <tableColumn id="6660" name="Column6656" dataDxfId="9724"/>
    <tableColumn id="6661" name="Column6657" dataDxfId="9723"/>
    <tableColumn id="6662" name="Column6658" dataDxfId="9722"/>
    <tableColumn id="6663" name="Column6659" dataDxfId="9721"/>
    <tableColumn id="6664" name="Column6660" dataDxfId="9720"/>
    <tableColumn id="6665" name="Column6661" dataDxfId="9719"/>
    <tableColumn id="6666" name="Column6662" dataDxfId="9718"/>
    <tableColumn id="6667" name="Column6663" dataDxfId="9717"/>
    <tableColumn id="6668" name="Column6664" dataDxfId="9716"/>
    <tableColumn id="6669" name="Column6665" dataDxfId="9715"/>
    <tableColumn id="6670" name="Column6666" dataDxfId="9714"/>
    <tableColumn id="6671" name="Column6667" dataDxfId="9713"/>
    <tableColumn id="6672" name="Column6668" dataDxfId="9712"/>
    <tableColumn id="6673" name="Column6669" dataDxfId="9711"/>
    <tableColumn id="6674" name="Column6670" dataDxfId="9710"/>
    <tableColumn id="6675" name="Column6671" dataDxfId="9709"/>
    <tableColumn id="6676" name="Column6672" dataDxfId="9708"/>
    <tableColumn id="6677" name="Column6673" dataDxfId="9707"/>
    <tableColumn id="6678" name="Column6674" dataDxfId="9706"/>
    <tableColumn id="6679" name="Column6675" dataDxfId="9705"/>
    <tableColumn id="6680" name="Column6676" dataDxfId="9704"/>
    <tableColumn id="6681" name="Column6677" dataDxfId="9703"/>
    <tableColumn id="6682" name="Column6678" dataDxfId="9702"/>
    <tableColumn id="6683" name="Column6679" dataDxfId="9701"/>
    <tableColumn id="6684" name="Column6680" dataDxfId="9700"/>
    <tableColumn id="6685" name="Column6681" dataDxfId="9699"/>
    <tableColumn id="6686" name="Column6682" dataDxfId="9698"/>
    <tableColumn id="6687" name="Column6683" dataDxfId="9697"/>
    <tableColumn id="6688" name="Column6684" dataDxfId="9696"/>
    <tableColumn id="6689" name="Column6685" dataDxfId="9695"/>
    <tableColumn id="6690" name="Column6686" dataDxfId="9694"/>
    <tableColumn id="6691" name="Column6687" dataDxfId="9693"/>
    <tableColumn id="6692" name="Column6688" dataDxfId="9692"/>
    <tableColumn id="6693" name="Column6689" dataDxfId="9691"/>
    <tableColumn id="6694" name="Column6690" dataDxfId="9690"/>
    <tableColumn id="6695" name="Column6691" dataDxfId="9689"/>
    <tableColumn id="6696" name="Column6692" dataDxfId="9688"/>
    <tableColumn id="6697" name="Column6693" dataDxfId="9687"/>
    <tableColumn id="6698" name="Column6694" dataDxfId="9686"/>
    <tableColumn id="6699" name="Column6695" dataDxfId="9685"/>
    <tableColumn id="6700" name="Column6696" dataDxfId="9684"/>
    <tableColumn id="6701" name="Column6697" dataDxfId="9683"/>
    <tableColumn id="6702" name="Column6698" dataDxfId="9682"/>
    <tableColumn id="6703" name="Column6699" dataDxfId="9681"/>
    <tableColumn id="6704" name="Column6700" dataDxfId="9680"/>
    <tableColumn id="6705" name="Column6701" dataDxfId="9679"/>
    <tableColumn id="6706" name="Column6702" dataDxfId="9678"/>
    <tableColumn id="6707" name="Column6703" dataDxfId="9677"/>
    <tableColumn id="6708" name="Column6704" dataDxfId="9676"/>
    <tableColumn id="6709" name="Column6705" dataDxfId="9675"/>
    <tableColumn id="6710" name="Column6706" dataDxfId="9674"/>
    <tableColumn id="6711" name="Column6707" dataDxfId="9673"/>
    <tableColumn id="6712" name="Column6708" dataDxfId="9672"/>
    <tableColumn id="6713" name="Column6709" dataDxfId="9671"/>
    <tableColumn id="6714" name="Column6710" dataDxfId="9670"/>
    <tableColumn id="6715" name="Column6711" dataDxfId="9669"/>
    <tableColumn id="6716" name="Column6712" dataDxfId="9668"/>
    <tableColumn id="6717" name="Column6713" dataDxfId="9667"/>
    <tableColumn id="6718" name="Column6714" dataDxfId="9666"/>
    <tableColumn id="6719" name="Column6715" dataDxfId="9665"/>
    <tableColumn id="6720" name="Column6716" dataDxfId="9664"/>
    <tableColumn id="6721" name="Column6717" dataDxfId="9663"/>
    <tableColumn id="6722" name="Column6718" dataDxfId="9662"/>
    <tableColumn id="6723" name="Column6719" dataDxfId="9661"/>
    <tableColumn id="6724" name="Column6720" dataDxfId="9660"/>
    <tableColumn id="6725" name="Column6721" dataDxfId="9659"/>
    <tableColumn id="6726" name="Column6722" dataDxfId="9658"/>
    <tableColumn id="6727" name="Column6723" dataDxfId="9657"/>
    <tableColumn id="6728" name="Column6724" dataDxfId="9656"/>
    <tableColumn id="6729" name="Column6725" dataDxfId="9655"/>
    <tableColumn id="6730" name="Column6726" dataDxfId="9654"/>
    <tableColumn id="6731" name="Column6727" dataDxfId="9653"/>
    <tableColumn id="6732" name="Column6728" dataDxfId="9652"/>
    <tableColumn id="6733" name="Column6729" dataDxfId="9651"/>
    <tableColumn id="6734" name="Column6730" dataDxfId="9650"/>
    <tableColumn id="6735" name="Column6731" dataDxfId="9649"/>
    <tableColumn id="6736" name="Column6732" dataDxfId="9648"/>
    <tableColumn id="6737" name="Column6733" dataDxfId="9647"/>
    <tableColumn id="6738" name="Column6734" dataDxfId="9646"/>
    <tableColumn id="6739" name="Column6735" dataDxfId="9645"/>
    <tableColumn id="6740" name="Column6736" dataDxfId="9644"/>
    <tableColumn id="6741" name="Column6737" dataDxfId="9643"/>
    <tableColumn id="6742" name="Column6738" dataDxfId="9642"/>
    <tableColumn id="6743" name="Column6739" dataDxfId="9641"/>
    <tableColumn id="6744" name="Column6740" dataDxfId="9640"/>
    <tableColumn id="6745" name="Column6741" dataDxfId="9639"/>
    <tableColumn id="6746" name="Column6742" dataDxfId="9638"/>
    <tableColumn id="6747" name="Column6743" dataDxfId="9637"/>
    <tableColumn id="6748" name="Column6744" dataDxfId="9636"/>
    <tableColumn id="6749" name="Column6745" dataDxfId="9635"/>
    <tableColumn id="6750" name="Column6746" dataDxfId="9634"/>
    <tableColumn id="6751" name="Column6747" dataDxfId="9633"/>
    <tableColumn id="6752" name="Column6748" dataDxfId="9632"/>
    <tableColumn id="6753" name="Column6749" dataDxfId="9631"/>
    <tableColumn id="6754" name="Column6750" dataDxfId="9630"/>
    <tableColumn id="6755" name="Column6751" dataDxfId="9629"/>
    <tableColumn id="6756" name="Column6752" dataDxfId="9628"/>
    <tableColumn id="6757" name="Column6753" dataDxfId="9627"/>
    <tableColumn id="6758" name="Column6754" dataDxfId="9626"/>
    <tableColumn id="6759" name="Column6755" dataDxfId="9625"/>
    <tableColumn id="6760" name="Column6756" dataDxfId="9624"/>
    <tableColumn id="6761" name="Column6757" dataDxfId="9623"/>
    <tableColumn id="6762" name="Column6758" dataDxfId="9622"/>
    <tableColumn id="6763" name="Column6759" dataDxfId="9621"/>
    <tableColumn id="6764" name="Column6760" dataDxfId="9620"/>
    <tableColumn id="6765" name="Column6761" dataDxfId="9619"/>
    <tableColumn id="6766" name="Column6762" dataDxfId="9618"/>
    <tableColumn id="6767" name="Column6763" dataDxfId="9617"/>
    <tableColumn id="6768" name="Column6764" dataDxfId="9616"/>
    <tableColumn id="6769" name="Column6765" dataDxfId="9615"/>
    <tableColumn id="6770" name="Column6766" dataDxfId="9614"/>
    <tableColumn id="6771" name="Column6767" dataDxfId="9613"/>
    <tableColumn id="6772" name="Column6768" dataDxfId="9612"/>
    <tableColumn id="6773" name="Column6769" dataDxfId="9611"/>
    <tableColumn id="6774" name="Column6770" dataDxfId="9610"/>
    <tableColumn id="6775" name="Column6771" dataDxfId="9609"/>
    <tableColumn id="6776" name="Column6772" dataDxfId="9608"/>
    <tableColumn id="6777" name="Column6773" dataDxfId="9607"/>
    <tableColumn id="6778" name="Column6774" dataDxfId="9606"/>
    <tableColumn id="6779" name="Column6775" dataDxfId="9605"/>
    <tableColumn id="6780" name="Column6776" dataDxfId="9604"/>
    <tableColumn id="6781" name="Column6777" dataDxfId="9603"/>
    <tableColumn id="6782" name="Column6778" dataDxfId="9602"/>
    <tableColumn id="6783" name="Column6779" dataDxfId="9601"/>
    <tableColumn id="6784" name="Column6780" dataDxfId="9600"/>
    <tableColumn id="6785" name="Column6781" dataDxfId="9599"/>
    <tableColumn id="6786" name="Column6782" dataDxfId="9598"/>
    <tableColumn id="6787" name="Column6783" dataDxfId="9597"/>
    <tableColumn id="6788" name="Column6784" dataDxfId="9596"/>
    <tableColumn id="6789" name="Column6785" dataDxfId="9595"/>
    <tableColumn id="6790" name="Column6786" dataDxfId="9594"/>
    <tableColumn id="6791" name="Column6787" dataDxfId="9593"/>
    <tableColumn id="6792" name="Column6788" dataDxfId="9592"/>
    <tableColumn id="6793" name="Column6789" dataDxfId="9591"/>
    <tableColumn id="6794" name="Column6790" dataDxfId="9590"/>
    <tableColumn id="6795" name="Column6791" dataDxfId="9589"/>
    <tableColumn id="6796" name="Column6792" dataDxfId="9588"/>
    <tableColumn id="6797" name="Column6793" dataDxfId="9587"/>
    <tableColumn id="6798" name="Column6794" dataDxfId="9586"/>
    <tableColumn id="6799" name="Column6795" dataDxfId="9585"/>
    <tableColumn id="6800" name="Column6796" dataDxfId="9584"/>
    <tableColumn id="6801" name="Column6797" dataDxfId="9583"/>
    <tableColumn id="6802" name="Column6798" dataDxfId="9582"/>
    <tableColumn id="6803" name="Column6799" dataDxfId="9581"/>
    <tableColumn id="6804" name="Column6800" dataDxfId="9580"/>
    <tableColumn id="6805" name="Column6801" dataDxfId="9579"/>
    <tableColumn id="6806" name="Column6802" dataDxfId="9578"/>
    <tableColumn id="6807" name="Column6803" dataDxfId="9577"/>
    <tableColumn id="6808" name="Column6804" dataDxfId="9576"/>
    <tableColumn id="6809" name="Column6805" dataDxfId="9575"/>
    <tableColumn id="6810" name="Column6806" dataDxfId="9574"/>
    <tableColumn id="6811" name="Column6807" dataDxfId="9573"/>
    <tableColumn id="6812" name="Column6808" dataDxfId="9572"/>
    <tableColumn id="6813" name="Column6809" dataDxfId="9571"/>
    <tableColumn id="6814" name="Column6810" dataDxfId="9570"/>
    <tableColumn id="6815" name="Column6811" dataDxfId="9569"/>
    <tableColumn id="6816" name="Column6812" dataDxfId="9568"/>
    <tableColumn id="6817" name="Column6813" dataDxfId="9567"/>
    <tableColumn id="6818" name="Column6814" dataDxfId="9566"/>
    <tableColumn id="6819" name="Column6815" dataDxfId="9565"/>
    <tableColumn id="6820" name="Column6816" dataDxfId="9564"/>
    <tableColumn id="6821" name="Column6817" dataDxfId="9563"/>
    <tableColumn id="6822" name="Column6818" dataDxfId="9562"/>
    <tableColumn id="6823" name="Column6819" dataDxfId="9561"/>
    <tableColumn id="6824" name="Column6820" dataDxfId="9560"/>
    <tableColumn id="6825" name="Column6821" dataDxfId="9559"/>
    <tableColumn id="6826" name="Column6822" dataDxfId="9558"/>
    <tableColumn id="6827" name="Column6823" dataDxfId="9557"/>
    <tableColumn id="6828" name="Column6824" dataDxfId="9556"/>
    <tableColumn id="6829" name="Column6825" dataDxfId="9555"/>
    <tableColumn id="6830" name="Column6826" dataDxfId="9554"/>
    <tableColumn id="6831" name="Column6827" dataDxfId="9553"/>
    <tableColumn id="6832" name="Column6828" dataDxfId="9552"/>
    <tableColumn id="6833" name="Column6829" dataDxfId="9551"/>
    <tableColumn id="6834" name="Column6830" dataDxfId="9550"/>
    <tableColumn id="6835" name="Column6831" dataDxfId="9549"/>
    <tableColumn id="6836" name="Column6832" dataDxfId="9548"/>
    <tableColumn id="6837" name="Column6833" dataDxfId="9547"/>
    <tableColumn id="6838" name="Column6834" dataDxfId="9546"/>
    <tableColumn id="6839" name="Column6835" dataDxfId="9545"/>
    <tableColumn id="6840" name="Column6836" dataDxfId="9544"/>
    <tableColumn id="6841" name="Column6837" dataDxfId="9543"/>
    <tableColumn id="6842" name="Column6838" dataDxfId="9542"/>
    <tableColumn id="6843" name="Column6839" dataDxfId="9541"/>
    <tableColumn id="6844" name="Column6840" dataDxfId="9540"/>
    <tableColumn id="6845" name="Column6841" dataDxfId="9539"/>
    <tableColumn id="6846" name="Column6842" dataDxfId="9538"/>
    <tableColumn id="6847" name="Column6843" dataDxfId="9537"/>
    <tableColumn id="6848" name="Column6844" dataDxfId="9536"/>
    <tableColumn id="6849" name="Column6845" dataDxfId="9535"/>
    <tableColumn id="6850" name="Column6846" dataDxfId="9534"/>
    <tableColumn id="6851" name="Column6847" dataDxfId="9533"/>
    <tableColumn id="6852" name="Column6848" dataDxfId="9532"/>
    <tableColumn id="6853" name="Column6849" dataDxfId="9531"/>
    <tableColumn id="6854" name="Column6850" dataDxfId="9530"/>
    <tableColumn id="6855" name="Column6851" dataDxfId="9529"/>
    <tableColumn id="6856" name="Column6852" dataDxfId="9528"/>
    <tableColumn id="6857" name="Column6853" dataDxfId="9527"/>
    <tableColumn id="6858" name="Column6854" dataDxfId="9526"/>
    <tableColumn id="6859" name="Column6855" dataDxfId="9525"/>
    <tableColumn id="6860" name="Column6856" dataDxfId="9524"/>
    <tableColumn id="6861" name="Column6857" dataDxfId="9523"/>
    <tableColumn id="6862" name="Column6858" dataDxfId="9522"/>
    <tableColumn id="6863" name="Column6859" dataDxfId="9521"/>
    <tableColumn id="6864" name="Column6860" dataDxfId="9520"/>
    <tableColumn id="6865" name="Column6861" dataDxfId="9519"/>
    <tableColumn id="6866" name="Column6862" dataDxfId="9518"/>
    <tableColumn id="6867" name="Column6863" dataDxfId="9517"/>
    <tableColumn id="6868" name="Column6864" dataDxfId="9516"/>
    <tableColumn id="6869" name="Column6865" dataDxfId="9515"/>
    <tableColumn id="6870" name="Column6866" dataDxfId="9514"/>
    <tableColumn id="6871" name="Column6867" dataDxfId="9513"/>
    <tableColumn id="6872" name="Column6868" dataDxfId="9512"/>
    <tableColumn id="6873" name="Column6869" dataDxfId="9511"/>
    <tableColumn id="6874" name="Column6870" dataDxfId="9510"/>
    <tableColumn id="6875" name="Column6871" dataDxfId="9509"/>
    <tableColumn id="6876" name="Column6872" dataDxfId="9508"/>
    <tableColumn id="6877" name="Column6873" dataDxfId="9507"/>
    <tableColumn id="6878" name="Column6874" dataDxfId="9506"/>
    <tableColumn id="6879" name="Column6875" dataDxfId="9505"/>
    <tableColumn id="6880" name="Column6876" dataDxfId="9504"/>
    <tableColumn id="6881" name="Column6877" dataDxfId="9503"/>
    <tableColumn id="6882" name="Column6878" dataDxfId="9502"/>
    <tableColumn id="6883" name="Column6879" dataDxfId="9501"/>
    <tableColumn id="6884" name="Column6880" dataDxfId="9500"/>
    <tableColumn id="6885" name="Column6881" dataDxfId="9499"/>
    <tableColumn id="6886" name="Column6882" dataDxfId="9498"/>
    <tableColumn id="6887" name="Column6883" dataDxfId="9497"/>
    <tableColumn id="6888" name="Column6884" dataDxfId="9496"/>
    <tableColumn id="6889" name="Column6885" dataDxfId="9495"/>
    <tableColumn id="6890" name="Column6886" dataDxfId="9494"/>
    <tableColumn id="6891" name="Column6887" dataDxfId="9493"/>
    <tableColumn id="6892" name="Column6888" dataDxfId="9492"/>
    <tableColumn id="6893" name="Column6889" dataDxfId="9491"/>
    <tableColumn id="6894" name="Column6890" dataDxfId="9490"/>
    <tableColumn id="6895" name="Column6891" dataDxfId="9489"/>
    <tableColumn id="6896" name="Column6892" dataDxfId="9488"/>
    <tableColumn id="6897" name="Column6893" dataDxfId="9487"/>
    <tableColumn id="6898" name="Column6894" dataDxfId="9486"/>
    <tableColumn id="6899" name="Column6895" dataDxfId="9485"/>
    <tableColumn id="6900" name="Column6896" dataDxfId="9484"/>
    <tableColumn id="6901" name="Column6897" dataDxfId="9483"/>
    <tableColumn id="6902" name="Column6898" dataDxfId="9482"/>
    <tableColumn id="6903" name="Column6899" dataDxfId="9481"/>
    <tableColumn id="6904" name="Column6900" dataDxfId="9480"/>
    <tableColumn id="6905" name="Column6901" dataDxfId="9479"/>
    <tableColumn id="6906" name="Column6902" dataDxfId="9478"/>
    <tableColumn id="6907" name="Column6903" dataDxfId="9477"/>
    <tableColumn id="6908" name="Column6904" dataDxfId="9476"/>
    <tableColumn id="6909" name="Column6905" dataDxfId="9475"/>
    <tableColumn id="6910" name="Column6906" dataDxfId="9474"/>
    <tableColumn id="6911" name="Column6907" dataDxfId="9473"/>
    <tableColumn id="6912" name="Column6908" dataDxfId="9472"/>
    <tableColumn id="6913" name="Column6909" dataDxfId="9471"/>
    <tableColumn id="6914" name="Column6910" dataDxfId="9470"/>
    <tableColumn id="6915" name="Column6911" dataDxfId="9469"/>
    <tableColumn id="6916" name="Column6912" dataDxfId="9468"/>
    <tableColumn id="6917" name="Column6913" dataDxfId="9467"/>
    <tableColumn id="6918" name="Column6914" dataDxfId="9466"/>
    <tableColumn id="6919" name="Column6915" dataDxfId="9465"/>
    <tableColumn id="6920" name="Column6916" dataDxfId="9464"/>
    <tableColumn id="6921" name="Column6917" dataDxfId="9463"/>
    <tableColumn id="6922" name="Column6918" dataDxfId="9462"/>
    <tableColumn id="6923" name="Column6919" dataDxfId="9461"/>
    <tableColumn id="6924" name="Column6920" dataDxfId="9460"/>
    <tableColumn id="6925" name="Column6921" dataDxfId="9459"/>
    <tableColumn id="6926" name="Column6922" dataDxfId="9458"/>
    <tableColumn id="6927" name="Column6923" dataDxfId="9457"/>
    <tableColumn id="6928" name="Column6924" dataDxfId="9456"/>
    <tableColumn id="6929" name="Column6925" dataDxfId="9455"/>
    <tableColumn id="6930" name="Column6926" dataDxfId="9454"/>
    <tableColumn id="6931" name="Column6927" dataDxfId="9453"/>
    <tableColumn id="6932" name="Column6928" dataDxfId="9452"/>
    <tableColumn id="6933" name="Column6929" dataDxfId="9451"/>
    <tableColumn id="6934" name="Column6930" dataDxfId="9450"/>
    <tableColumn id="6935" name="Column6931" dataDxfId="9449"/>
    <tableColumn id="6936" name="Column6932" dataDxfId="9448"/>
    <tableColumn id="6937" name="Column6933" dataDxfId="9447"/>
    <tableColumn id="6938" name="Column6934" dataDxfId="9446"/>
    <tableColumn id="6939" name="Column6935" dataDxfId="9445"/>
    <tableColumn id="6940" name="Column6936" dataDxfId="9444"/>
    <tableColumn id="6941" name="Column6937" dataDxfId="9443"/>
    <tableColumn id="6942" name="Column6938" dataDxfId="9442"/>
    <tableColumn id="6943" name="Column6939" dataDxfId="9441"/>
    <tableColumn id="6944" name="Column6940" dataDxfId="9440"/>
    <tableColumn id="6945" name="Column6941" dataDxfId="9439"/>
    <tableColumn id="6946" name="Column6942" dataDxfId="9438"/>
    <tableColumn id="6947" name="Column6943" dataDxfId="9437"/>
    <tableColumn id="6948" name="Column6944" dataDxfId="9436"/>
    <tableColumn id="6949" name="Column6945" dataDxfId="9435"/>
    <tableColumn id="6950" name="Column6946" dataDxfId="9434"/>
    <tableColumn id="6951" name="Column6947" dataDxfId="9433"/>
    <tableColumn id="6952" name="Column6948" dataDxfId="9432"/>
    <tableColumn id="6953" name="Column6949" dataDxfId="9431"/>
    <tableColumn id="6954" name="Column6950" dataDxfId="9430"/>
    <tableColumn id="6955" name="Column6951" dataDxfId="9429"/>
    <tableColumn id="6956" name="Column6952" dataDxfId="9428"/>
    <tableColumn id="6957" name="Column6953" dataDxfId="9427"/>
    <tableColumn id="6958" name="Column6954" dataDxfId="9426"/>
    <tableColumn id="6959" name="Column6955" dataDxfId="9425"/>
    <tableColumn id="6960" name="Column6956" dataDxfId="9424"/>
    <tableColumn id="6961" name="Column6957" dataDxfId="9423"/>
    <tableColumn id="6962" name="Column6958" dataDxfId="9422"/>
    <tableColumn id="6963" name="Column6959" dataDxfId="9421"/>
    <tableColumn id="6964" name="Column6960" dataDxfId="9420"/>
    <tableColumn id="6965" name="Column6961" dataDxfId="9419"/>
    <tableColumn id="6966" name="Column6962" dataDxfId="9418"/>
    <tableColumn id="6967" name="Column6963" dataDxfId="9417"/>
    <tableColumn id="6968" name="Column6964" dataDxfId="9416"/>
    <tableColumn id="6969" name="Column6965" dataDxfId="9415"/>
    <tableColumn id="6970" name="Column6966" dataDxfId="9414"/>
    <tableColumn id="6971" name="Column6967" dataDxfId="9413"/>
    <tableColumn id="6972" name="Column6968" dataDxfId="9412"/>
    <tableColumn id="6973" name="Column6969" dataDxfId="9411"/>
    <tableColumn id="6974" name="Column6970" dataDxfId="9410"/>
    <tableColumn id="6975" name="Column6971" dataDxfId="9409"/>
    <tableColumn id="6976" name="Column6972" dataDxfId="9408"/>
    <tableColumn id="6977" name="Column6973" dataDxfId="9407"/>
    <tableColumn id="6978" name="Column6974" dataDxfId="9406"/>
    <tableColumn id="6979" name="Column6975" dataDxfId="9405"/>
    <tableColumn id="6980" name="Column6976" dataDxfId="9404"/>
    <tableColumn id="6981" name="Column6977" dataDxfId="9403"/>
    <tableColumn id="6982" name="Column6978" dataDxfId="9402"/>
    <tableColumn id="6983" name="Column6979" dataDxfId="9401"/>
    <tableColumn id="6984" name="Column6980" dataDxfId="9400"/>
    <tableColumn id="6985" name="Column6981" dataDxfId="9399"/>
    <tableColumn id="6986" name="Column6982" dataDxfId="9398"/>
    <tableColumn id="6987" name="Column6983" dataDxfId="9397"/>
    <tableColumn id="6988" name="Column6984" dataDxfId="9396"/>
    <tableColumn id="6989" name="Column6985" dataDxfId="9395"/>
    <tableColumn id="6990" name="Column6986" dataDxfId="9394"/>
    <tableColumn id="6991" name="Column6987" dataDxfId="9393"/>
    <tableColumn id="6992" name="Column6988" dataDxfId="9392"/>
    <tableColumn id="6993" name="Column6989" dataDxfId="9391"/>
    <tableColumn id="6994" name="Column6990" dataDxfId="9390"/>
    <tableColumn id="6995" name="Column6991" dataDxfId="9389"/>
    <tableColumn id="6996" name="Column6992" dataDxfId="9388"/>
    <tableColumn id="6997" name="Column6993" dataDxfId="9387"/>
    <tableColumn id="6998" name="Column6994" dataDxfId="9386"/>
    <tableColumn id="6999" name="Column6995" dataDxfId="9385"/>
    <tableColumn id="7000" name="Column6996" dataDxfId="9384"/>
    <tableColumn id="7001" name="Column6997" dataDxfId="9383"/>
    <tableColumn id="7002" name="Column6998" dataDxfId="9382"/>
    <tableColumn id="7003" name="Column6999" dataDxfId="9381"/>
    <tableColumn id="7004" name="Column7000" dataDxfId="9380"/>
    <tableColumn id="7005" name="Column7001" dataDxfId="9379"/>
    <tableColumn id="7006" name="Column7002" dataDxfId="9378"/>
    <tableColumn id="7007" name="Column7003" dataDxfId="9377"/>
    <tableColumn id="7008" name="Column7004" dataDxfId="9376"/>
    <tableColumn id="7009" name="Column7005" dataDxfId="9375"/>
    <tableColumn id="7010" name="Column7006" dataDxfId="9374"/>
    <tableColumn id="7011" name="Column7007" dataDxfId="9373"/>
    <tableColumn id="7012" name="Column7008" dataDxfId="9372"/>
    <tableColumn id="7013" name="Column7009" dataDxfId="9371"/>
    <tableColumn id="7014" name="Column7010" dataDxfId="9370"/>
    <tableColumn id="7015" name="Column7011" dataDxfId="9369"/>
    <tableColumn id="7016" name="Column7012" dataDxfId="9368"/>
    <tableColumn id="7017" name="Column7013" dataDxfId="9367"/>
    <tableColumn id="7018" name="Column7014" dataDxfId="9366"/>
    <tableColumn id="7019" name="Column7015" dataDxfId="9365"/>
    <tableColumn id="7020" name="Column7016" dataDxfId="9364"/>
    <tableColumn id="7021" name="Column7017" dataDxfId="9363"/>
    <tableColumn id="7022" name="Column7018" dataDxfId="9362"/>
    <tableColumn id="7023" name="Column7019" dataDxfId="9361"/>
    <tableColumn id="7024" name="Column7020" dataDxfId="9360"/>
    <tableColumn id="7025" name="Column7021" dataDxfId="9359"/>
    <tableColumn id="7026" name="Column7022" dataDxfId="9358"/>
    <tableColumn id="7027" name="Column7023" dataDxfId="9357"/>
    <tableColumn id="7028" name="Column7024" dataDxfId="9356"/>
    <tableColumn id="7029" name="Column7025" dataDxfId="9355"/>
    <tableColumn id="7030" name="Column7026" dataDxfId="9354"/>
    <tableColumn id="7031" name="Column7027" dataDxfId="9353"/>
    <tableColumn id="7032" name="Column7028" dataDxfId="9352"/>
    <tableColumn id="7033" name="Column7029" dataDxfId="9351"/>
    <tableColumn id="7034" name="Column7030" dataDxfId="9350"/>
    <tableColumn id="7035" name="Column7031" dataDxfId="9349"/>
    <tableColumn id="7036" name="Column7032" dataDxfId="9348"/>
    <tableColumn id="7037" name="Column7033" dataDxfId="9347"/>
    <tableColumn id="7038" name="Column7034" dataDxfId="9346"/>
    <tableColumn id="7039" name="Column7035" dataDxfId="9345"/>
    <tableColumn id="7040" name="Column7036" dataDxfId="9344"/>
    <tableColumn id="7041" name="Column7037" dataDxfId="9343"/>
    <tableColumn id="7042" name="Column7038" dataDxfId="9342"/>
    <tableColumn id="7043" name="Column7039" dataDxfId="9341"/>
    <tableColumn id="7044" name="Column7040" dataDxfId="9340"/>
    <tableColumn id="7045" name="Column7041" dataDxfId="9339"/>
    <tableColumn id="7046" name="Column7042" dataDxfId="9338"/>
    <tableColumn id="7047" name="Column7043" dataDxfId="9337"/>
    <tableColumn id="7048" name="Column7044" dataDxfId="9336"/>
    <tableColumn id="7049" name="Column7045" dataDxfId="9335"/>
    <tableColumn id="7050" name="Column7046" dataDxfId="9334"/>
    <tableColumn id="7051" name="Column7047" dataDxfId="9333"/>
    <tableColumn id="7052" name="Column7048" dataDxfId="9332"/>
    <tableColumn id="7053" name="Column7049" dataDxfId="9331"/>
    <tableColumn id="7054" name="Column7050" dataDxfId="9330"/>
    <tableColumn id="7055" name="Column7051" dataDxfId="9329"/>
    <tableColumn id="7056" name="Column7052" dataDxfId="9328"/>
    <tableColumn id="7057" name="Column7053" dataDxfId="9327"/>
    <tableColumn id="7058" name="Column7054" dataDxfId="9326"/>
    <tableColumn id="7059" name="Column7055" dataDxfId="9325"/>
    <tableColumn id="7060" name="Column7056" dataDxfId="9324"/>
    <tableColumn id="7061" name="Column7057" dataDxfId="9323"/>
    <tableColumn id="7062" name="Column7058" dataDxfId="9322"/>
    <tableColumn id="7063" name="Column7059" dataDxfId="9321"/>
    <tableColumn id="7064" name="Column7060" dataDxfId="9320"/>
    <tableColumn id="7065" name="Column7061" dataDxfId="9319"/>
    <tableColumn id="7066" name="Column7062" dataDxfId="9318"/>
    <tableColumn id="7067" name="Column7063" dataDxfId="9317"/>
    <tableColumn id="7068" name="Column7064" dataDxfId="9316"/>
    <tableColumn id="7069" name="Column7065" dataDxfId="9315"/>
    <tableColumn id="7070" name="Column7066" dataDxfId="9314"/>
    <tableColumn id="7071" name="Column7067" dataDxfId="9313"/>
    <tableColumn id="7072" name="Column7068" dataDxfId="9312"/>
    <tableColumn id="7073" name="Column7069" dataDxfId="9311"/>
    <tableColumn id="7074" name="Column7070" dataDxfId="9310"/>
    <tableColumn id="7075" name="Column7071" dataDxfId="9309"/>
    <tableColumn id="7076" name="Column7072" dataDxfId="9308"/>
    <tableColumn id="7077" name="Column7073" dataDxfId="9307"/>
    <tableColumn id="7078" name="Column7074" dataDxfId="9306"/>
    <tableColumn id="7079" name="Column7075" dataDxfId="9305"/>
    <tableColumn id="7080" name="Column7076" dataDxfId="9304"/>
    <tableColumn id="7081" name="Column7077" dataDxfId="9303"/>
    <tableColumn id="7082" name="Column7078" dataDxfId="9302"/>
    <tableColumn id="7083" name="Column7079" dataDxfId="9301"/>
    <tableColumn id="7084" name="Column7080" dataDxfId="9300"/>
    <tableColumn id="7085" name="Column7081" dataDxfId="9299"/>
    <tableColumn id="7086" name="Column7082" dataDxfId="9298"/>
    <tableColumn id="7087" name="Column7083" dataDxfId="9297"/>
    <tableColumn id="7088" name="Column7084" dataDxfId="9296"/>
    <tableColumn id="7089" name="Column7085" dataDxfId="9295"/>
    <tableColumn id="7090" name="Column7086" dataDxfId="9294"/>
    <tableColumn id="7091" name="Column7087" dataDxfId="9293"/>
    <tableColumn id="7092" name="Column7088" dataDxfId="9292"/>
    <tableColumn id="7093" name="Column7089" dataDxfId="9291"/>
    <tableColumn id="7094" name="Column7090" dataDxfId="9290"/>
    <tableColumn id="7095" name="Column7091" dataDxfId="9289"/>
    <tableColumn id="7096" name="Column7092" dataDxfId="9288"/>
    <tableColumn id="7097" name="Column7093" dataDxfId="9287"/>
    <tableColumn id="7098" name="Column7094" dataDxfId="9286"/>
    <tableColumn id="7099" name="Column7095" dataDxfId="9285"/>
    <tableColumn id="7100" name="Column7096" dataDxfId="9284"/>
    <tableColumn id="7101" name="Column7097" dataDxfId="9283"/>
    <tableColumn id="7102" name="Column7098" dataDxfId="9282"/>
    <tableColumn id="7103" name="Column7099" dataDxfId="9281"/>
    <tableColumn id="7104" name="Column7100" dataDxfId="9280"/>
    <tableColumn id="7105" name="Column7101" dataDxfId="9279"/>
    <tableColumn id="7106" name="Column7102" dataDxfId="9278"/>
    <tableColumn id="7107" name="Column7103" dataDxfId="9277"/>
    <tableColumn id="7108" name="Column7104" dataDxfId="9276"/>
    <tableColumn id="7109" name="Column7105" dataDxfId="9275"/>
    <tableColumn id="7110" name="Column7106" dataDxfId="9274"/>
    <tableColumn id="7111" name="Column7107" dataDxfId="9273"/>
    <tableColumn id="7112" name="Column7108" dataDxfId="9272"/>
    <tableColumn id="7113" name="Column7109" dataDxfId="9271"/>
    <tableColumn id="7114" name="Column7110" dataDxfId="9270"/>
    <tableColumn id="7115" name="Column7111" dataDxfId="9269"/>
    <tableColumn id="7116" name="Column7112" dataDxfId="9268"/>
    <tableColumn id="7117" name="Column7113" dataDxfId="9267"/>
    <tableColumn id="7118" name="Column7114" dataDxfId="9266"/>
    <tableColumn id="7119" name="Column7115" dataDxfId="9265"/>
    <tableColumn id="7120" name="Column7116" dataDxfId="9264"/>
    <tableColumn id="7121" name="Column7117" dataDxfId="9263"/>
    <tableColumn id="7122" name="Column7118" dataDxfId="9262"/>
    <tableColumn id="7123" name="Column7119" dataDxfId="9261"/>
    <tableColumn id="7124" name="Column7120" dataDxfId="9260"/>
    <tableColumn id="7125" name="Column7121" dataDxfId="9259"/>
    <tableColumn id="7126" name="Column7122" dataDxfId="9258"/>
    <tableColumn id="7127" name="Column7123" dataDxfId="9257"/>
    <tableColumn id="7128" name="Column7124" dataDxfId="9256"/>
    <tableColumn id="7129" name="Column7125" dataDxfId="9255"/>
    <tableColumn id="7130" name="Column7126" dataDxfId="9254"/>
    <tableColumn id="7131" name="Column7127" dataDxfId="9253"/>
    <tableColumn id="7132" name="Column7128" dataDxfId="9252"/>
    <tableColumn id="7133" name="Column7129" dataDxfId="9251"/>
    <tableColumn id="7134" name="Column7130" dataDxfId="9250"/>
    <tableColumn id="7135" name="Column7131" dataDxfId="9249"/>
    <tableColumn id="7136" name="Column7132" dataDxfId="9248"/>
    <tableColumn id="7137" name="Column7133" dataDxfId="9247"/>
    <tableColumn id="7138" name="Column7134" dataDxfId="9246"/>
    <tableColumn id="7139" name="Column7135" dataDxfId="9245"/>
    <tableColumn id="7140" name="Column7136" dataDxfId="9244"/>
    <tableColumn id="7141" name="Column7137" dataDxfId="9243"/>
    <tableColumn id="7142" name="Column7138" dataDxfId="9242"/>
    <tableColumn id="7143" name="Column7139" dataDxfId="9241"/>
    <tableColumn id="7144" name="Column7140" dataDxfId="9240"/>
    <tableColumn id="7145" name="Column7141" dataDxfId="9239"/>
    <tableColumn id="7146" name="Column7142" dataDxfId="9238"/>
    <tableColumn id="7147" name="Column7143" dataDxfId="9237"/>
    <tableColumn id="7148" name="Column7144" dataDxfId="9236"/>
    <tableColumn id="7149" name="Column7145" dataDxfId="9235"/>
    <tableColumn id="7150" name="Column7146" dataDxfId="9234"/>
    <tableColumn id="7151" name="Column7147" dataDxfId="9233"/>
    <tableColumn id="7152" name="Column7148" dataDxfId="9232"/>
    <tableColumn id="7153" name="Column7149" dataDxfId="9231"/>
    <tableColumn id="7154" name="Column7150" dataDxfId="9230"/>
    <tableColumn id="7155" name="Column7151" dataDxfId="9229"/>
    <tableColumn id="7156" name="Column7152" dataDxfId="9228"/>
    <tableColumn id="7157" name="Column7153" dataDxfId="9227"/>
    <tableColumn id="7158" name="Column7154" dataDxfId="9226"/>
    <tableColumn id="7159" name="Column7155" dataDxfId="9225"/>
    <tableColumn id="7160" name="Column7156" dataDxfId="9224"/>
    <tableColumn id="7161" name="Column7157" dataDxfId="9223"/>
    <tableColumn id="7162" name="Column7158" dataDxfId="9222"/>
    <tableColumn id="7163" name="Column7159" dataDxfId="9221"/>
    <tableColumn id="7164" name="Column7160" dataDxfId="9220"/>
    <tableColumn id="7165" name="Column7161" dataDxfId="9219"/>
    <tableColumn id="7166" name="Column7162" dataDxfId="9218"/>
    <tableColumn id="7167" name="Column7163" dataDxfId="9217"/>
    <tableColumn id="7168" name="Column7164" dataDxfId="9216"/>
    <tableColumn id="7169" name="Column7165" dataDxfId="9215"/>
    <tableColumn id="7170" name="Column7166" dataDxfId="9214"/>
    <tableColumn id="7171" name="Column7167" dataDxfId="9213"/>
    <tableColumn id="7172" name="Column7168" dataDxfId="9212"/>
    <tableColumn id="7173" name="Column7169" dataDxfId="9211"/>
    <tableColumn id="7174" name="Column7170" dataDxfId="9210"/>
    <tableColumn id="7175" name="Column7171" dataDxfId="9209"/>
    <tableColumn id="7176" name="Column7172" dataDxfId="9208"/>
    <tableColumn id="7177" name="Column7173" dataDxfId="9207"/>
    <tableColumn id="7178" name="Column7174" dataDxfId="9206"/>
    <tableColumn id="7179" name="Column7175" dataDxfId="9205"/>
    <tableColumn id="7180" name="Column7176" dataDxfId="9204"/>
    <tableColumn id="7181" name="Column7177" dataDxfId="9203"/>
    <tableColumn id="7182" name="Column7178" dataDxfId="9202"/>
    <tableColumn id="7183" name="Column7179" dataDxfId="9201"/>
    <tableColumn id="7184" name="Column7180" dataDxfId="9200"/>
    <tableColumn id="7185" name="Column7181" dataDxfId="9199"/>
    <tableColumn id="7186" name="Column7182" dataDxfId="9198"/>
    <tableColumn id="7187" name="Column7183" dataDxfId="9197"/>
    <tableColumn id="7188" name="Column7184" dataDxfId="9196"/>
    <tableColumn id="7189" name="Column7185" dataDxfId="9195"/>
    <tableColumn id="7190" name="Column7186" dataDxfId="9194"/>
    <tableColumn id="7191" name="Column7187" dataDxfId="9193"/>
    <tableColumn id="7192" name="Column7188" dataDxfId="9192"/>
    <tableColumn id="7193" name="Column7189" dataDxfId="9191"/>
    <tableColumn id="7194" name="Column7190" dataDxfId="9190"/>
    <tableColumn id="7195" name="Column7191" dataDxfId="9189"/>
    <tableColumn id="7196" name="Column7192" dataDxfId="9188"/>
    <tableColumn id="7197" name="Column7193" dataDxfId="9187"/>
    <tableColumn id="7198" name="Column7194" dataDxfId="9186"/>
    <tableColumn id="7199" name="Column7195" dataDxfId="9185"/>
    <tableColumn id="7200" name="Column7196" dataDxfId="9184"/>
    <tableColumn id="7201" name="Column7197" dataDxfId="9183"/>
    <tableColumn id="7202" name="Column7198" dataDxfId="9182"/>
    <tableColumn id="7203" name="Column7199" dataDxfId="9181"/>
    <tableColumn id="7204" name="Column7200" dataDxfId="9180"/>
    <tableColumn id="7205" name="Column7201" dataDxfId="9179"/>
    <tableColumn id="7206" name="Column7202" dataDxfId="9178"/>
    <tableColumn id="7207" name="Column7203" dataDxfId="9177"/>
    <tableColumn id="7208" name="Column7204" dataDxfId="9176"/>
    <tableColumn id="7209" name="Column7205" dataDxfId="9175"/>
    <tableColumn id="7210" name="Column7206" dataDxfId="9174"/>
    <tableColumn id="7211" name="Column7207" dataDxfId="9173"/>
    <tableColumn id="7212" name="Column7208" dataDxfId="9172"/>
    <tableColumn id="7213" name="Column7209" dataDxfId="9171"/>
    <tableColumn id="7214" name="Column7210" dataDxfId="9170"/>
    <tableColumn id="7215" name="Column7211" dataDxfId="9169"/>
    <tableColumn id="7216" name="Column7212" dataDxfId="9168"/>
    <tableColumn id="7217" name="Column7213" dataDxfId="9167"/>
    <tableColumn id="7218" name="Column7214" dataDxfId="9166"/>
    <tableColumn id="7219" name="Column7215" dataDxfId="9165"/>
    <tableColumn id="7220" name="Column7216" dataDxfId="9164"/>
    <tableColumn id="7221" name="Column7217" dataDxfId="9163"/>
    <tableColumn id="7222" name="Column7218" dataDxfId="9162"/>
    <tableColumn id="7223" name="Column7219" dataDxfId="9161"/>
    <tableColumn id="7224" name="Column7220" dataDxfId="9160"/>
    <tableColumn id="7225" name="Column7221" dataDxfId="9159"/>
    <tableColumn id="7226" name="Column7222" dataDxfId="9158"/>
    <tableColumn id="7227" name="Column7223" dataDxfId="9157"/>
    <tableColumn id="7228" name="Column7224" dataDxfId="9156"/>
    <tableColumn id="7229" name="Column7225" dataDxfId="9155"/>
    <tableColumn id="7230" name="Column7226" dataDxfId="9154"/>
    <tableColumn id="7231" name="Column7227" dataDxfId="9153"/>
    <tableColumn id="7232" name="Column7228" dataDxfId="9152"/>
    <tableColumn id="7233" name="Column7229" dataDxfId="9151"/>
    <tableColumn id="7234" name="Column7230" dataDxfId="9150"/>
    <tableColumn id="7235" name="Column7231" dataDxfId="9149"/>
    <tableColumn id="7236" name="Column7232" dataDxfId="9148"/>
    <tableColumn id="7237" name="Column7233" dataDxfId="9147"/>
    <tableColumn id="7238" name="Column7234" dataDxfId="9146"/>
    <tableColumn id="7239" name="Column7235" dataDxfId="9145"/>
    <tableColumn id="7240" name="Column7236" dataDxfId="9144"/>
    <tableColumn id="7241" name="Column7237" dataDxfId="9143"/>
    <tableColumn id="7242" name="Column7238" dataDxfId="9142"/>
    <tableColumn id="7243" name="Column7239" dataDxfId="9141"/>
    <tableColumn id="7244" name="Column7240" dataDxfId="9140"/>
    <tableColumn id="7245" name="Column7241" dataDxfId="9139"/>
    <tableColumn id="7246" name="Column7242" dataDxfId="9138"/>
    <tableColumn id="7247" name="Column7243" dataDxfId="9137"/>
    <tableColumn id="7248" name="Column7244" dataDxfId="9136"/>
    <tableColumn id="7249" name="Column7245" dataDxfId="9135"/>
    <tableColumn id="7250" name="Column7246" dataDxfId="9134"/>
    <tableColumn id="7251" name="Column7247" dataDxfId="9133"/>
    <tableColumn id="7252" name="Column7248" dataDxfId="9132"/>
    <tableColumn id="7253" name="Column7249" dataDxfId="9131"/>
    <tableColumn id="7254" name="Column7250" dataDxfId="9130"/>
    <tableColumn id="7255" name="Column7251" dataDxfId="9129"/>
    <tableColumn id="7256" name="Column7252" dataDxfId="9128"/>
    <tableColumn id="7257" name="Column7253" dataDxfId="9127"/>
    <tableColumn id="7258" name="Column7254" dataDxfId="9126"/>
    <tableColumn id="7259" name="Column7255" dataDxfId="9125"/>
    <tableColumn id="7260" name="Column7256" dataDxfId="9124"/>
    <tableColumn id="7261" name="Column7257" dataDxfId="9123"/>
    <tableColumn id="7262" name="Column7258" dataDxfId="9122"/>
    <tableColumn id="7263" name="Column7259" dataDxfId="9121"/>
    <tableColumn id="7264" name="Column7260" dataDxfId="9120"/>
    <tableColumn id="7265" name="Column7261" dataDxfId="9119"/>
    <tableColumn id="7266" name="Column7262" dataDxfId="9118"/>
    <tableColumn id="7267" name="Column7263" dataDxfId="9117"/>
    <tableColumn id="7268" name="Column7264" dataDxfId="9116"/>
    <tableColumn id="7269" name="Column7265" dataDxfId="9115"/>
    <tableColumn id="7270" name="Column7266" dataDxfId="9114"/>
    <tableColumn id="7271" name="Column7267" dataDxfId="9113"/>
    <tableColumn id="7272" name="Column7268" dataDxfId="9112"/>
    <tableColumn id="7273" name="Column7269" dataDxfId="9111"/>
    <tableColumn id="7274" name="Column7270" dataDxfId="9110"/>
    <tableColumn id="7275" name="Column7271" dataDxfId="9109"/>
    <tableColumn id="7276" name="Column7272" dataDxfId="9108"/>
    <tableColumn id="7277" name="Column7273" dataDxfId="9107"/>
    <tableColumn id="7278" name="Column7274" dataDxfId="9106"/>
    <tableColumn id="7279" name="Column7275" dataDxfId="9105"/>
    <tableColumn id="7280" name="Column7276" dataDxfId="9104"/>
    <tableColumn id="7281" name="Column7277" dataDxfId="9103"/>
    <tableColumn id="7282" name="Column7278" dataDxfId="9102"/>
    <tableColumn id="7283" name="Column7279" dataDxfId="9101"/>
    <tableColumn id="7284" name="Column7280" dataDxfId="9100"/>
    <tableColumn id="7285" name="Column7281" dataDxfId="9099"/>
    <tableColumn id="7286" name="Column7282" dataDxfId="9098"/>
    <tableColumn id="7287" name="Column7283" dataDxfId="9097"/>
    <tableColumn id="7288" name="Column7284" dataDxfId="9096"/>
    <tableColumn id="7289" name="Column7285" dataDxfId="9095"/>
    <tableColumn id="7290" name="Column7286" dataDxfId="9094"/>
    <tableColumn id="7291" name="Column7287" dataDxfId="9093"/>
    <tableColumn id="7292" name="Column7288" dataDxfId="9092"/>
    <tableColumn id="7293" name="Column7289" dataDxfId="9091"/>
    <tableColumn id="7294" name="Column7290" dataDxfId="9090"/>
    <tableColumn id="7295" name="Column7291" dataDxfId="9089"/>
    <tableColumn id="7296" name="Column7292" dataDxfId="9088"/>
    <tableColumn id="7297" name="Column7293" dataDxfId="9087"/>
    <tableColumn id="7298" name="Column7294" dataDxfId="9086"/>
    <tableColumn id="7299" name="Column7295" dataDxfId="9085"/>
    <tableColumn id="7300" name="Column7296" dataDxfId="9084"/>
    <tableColumn id="7301" name="Column7297" dataDxfId="9083"/>
    <tableColumn id="7302" name="Column7298" dataDxfId="9082"/>
    <tableColumn id="7303" name="Column7299" dataDxfId="9081"/>
    <tableColumn id="7304" name="Column7300" dataDxfId="9080"/>
    <tableColumn id="7305" name="Column7301" dataDxfId="9079"/>
    <tableColumn id="7306" name="Column7302" dataDxfId="9078"/>
    <tableColumn id="7307" name="Column7303" dataDxfId="9077"/>
    <tableColumn id="7308" name="Column7304" dataDxfId="9076"/>
    <tableColumn id="7309" name="Column7305" dataDxfId="9075"/>
    <tableColumn id="7310" name="Column7306" dataDxfId="9074"/>
    <tableColumn id="7311" name="Column7307" dataDxfId="9073"/>
    <tableColumn id="7312" name="Column7308" dataDxfId="9072"/>
    <tableColumn id="7313" name="Column7309" dataDxfId="9071"/>
    <tableColumn id="7314" name="Column7310" dataDxfId="9070"/>
    <tableColumn id="7315" name="Column7311" dataDxfId="9069"/>
    <tableColumn id="7316" name="Column7312" dataDxfId="9068"/>
    <tableColumn id="7317" name="Column7313" dataDxfId="9067"/>
    <tableColumn id="7318" name="Column7314" dataDxfId="9066"/>
    <tableColumn id="7319" name="Column7315" dataDxfId="9065"/>
    <tableColumn id="7320" name="Column7316" dataDxfId="9064"/>
    <tableColumn id="7321" name="Column7317" dataDxfId="9063"/>
    <tableColumn id="7322" name="Column7318" dataDxfId="9062"/>
    <tableColumn id="7323" name="Column7319" dataDxfId="9061"/>
    <tableColumn id="7324" name="Column7320" dataDxfId="9060"/>
    <tableColumn id="7325" name="Column7321" dataDxfId="9059"/>
    <tableColumn id="7326" name="Column7322" dataDxfId="9058"/>
    <tableColumn id="7327" name="Column7323" dataDxfId="9057"/>
    <tableColumn id="7328" name="Column7324" dataDxfId="9056"/>
    <tableColumn id="7329" name="Column7325" dataDxfId="9055"/>
    <tableColumn id="7330" name="Column7326" dataDxfId="9054"/>
    <tableColumn id="7331" name="Column7327" dataDxfId="9053"/>
    <tableColumn id="7332" name="Column7328" dataDxfId="9052"/>
    <tableColumn id="7333" name="Column7329" dataDxfId="9051"/>
    <tableColumn id="7334" name="Column7330" dataDxfId="9050"/>
    <tableColumn id="7335" name="Column7331" dataDxfId="9049"/>
    <tableColumn id="7336" name="Column7332" dataDxfId="9048"/>
    <tableColumn id="7337" name="Column7333" dataDxfId="9047"/>
    <tableColumn id="7338" name="Column7334" dataDxfId="9046"/>
    <tableColumn id="7339" name="Column7335" dataDxfId="9045"/>
    <tableColumn id="7340" name="Column7336" dataDxfId="9044"/>
    <tableColumn id="7341" name="Column7337" dataDxfId="9043"/>
    <tableColumn id="7342" name="Column7338" dataDxfId="9042"/>
    <tableColumn id="7343" name="Column7339" dataDxfId="9041"/>
    <tableColumn id="7344" name="Column7340" dataDxfId="9040"/>
    <tableColumn id="7345" name="Column7341" dataDxfId="9039"/>
    <tableColumn id="7346" name="Column7342" dataDxfId="9038"/>
    <tableColumn id="7347" name="Column7343" dataDxfId="9037"/>
    <tableColumn id="7348" name="Column7344" dataDxfId="9036"/>
    <tableColumn id="7349" name="Column7345" dataDxfId="9035"/>
    <tableColumn id="7350" name="Column7346" dataDxfId="9034"/>
    <tableColumn id="7351" name="Column7347" dataDxfId="9033"/>
    <tableColumn id="7352" name="Column7348" dataDxfId="9032"/>
    <tableColumn id="7353" name="Column7349" dataDxfId="9031"/>
    <tableColumn id="7354" name="Column7350" dataDxfId="9030"/>
    <tableColumn id="7355" name="Column7351" dataDxfId="9029"/>
    <tableColumn id="7356" name="Column7352" dataDxfId="9028"/>
    <tableColumn id="7357" name="Column7353" dataDxfId="9027"/>
    <tableColumn id="7358" name="Column7354" dataDxfId="9026"/>
    <tableColumn id="7359" name="Column7355" dataDxfId="9025"/>
    <tableColumn id="7360" name="Column7356" dataDxfId="9024"/>
    <tableColumn id="7361" name="Column7357" dataDxfId="9023"/>
    <tableColumn id="7362" name="Column7358" dataDxfId="9022"/>
    <tableColumn id="7363" name="Column7359" dataDxfId="9021"/>
    <tableColumn id="7364" name="Column7360" dataDxfId="9020"/>
    <tableColumn id="7365" name="Column7361" dataDxfId="9019"/>
    <tableColumn id="7366" name="Column7362" dataDxfId="9018"/>
    <tableColumn id="7367" name="Column7363" dataDxfId="9017"/>
    <tableColumn id="7368" name="Column7364" dataDxfId="9016"/>
    <tableColumn id="7369" name="Column7365" dataDxfId="9015"/>
    <tableColumn id="7370" name="Column7366" dataDxfId="9014"/>
    <tableColumn id="7371" name="Column7367" dataDxfId="9013"/>
    <tableColumn id="7372" name="Column7368" dataDxfId="9012"/>
    <tableColumn id="7373" name="Column7369" dataDxfId="9011"/>
    <tableColumn id="7374" name="Column7370" dataDxfId="9010"/>
    <tableColumn id="7375" name="Column7371" dataDxfId="9009"/>
    <tableColumn id="7376" name="Column7372" dataDxfId="9008"/>
    <tableColumn id="7377" name="Column7373" dataDxfId="9007"/>
    <tableColumn id="7378" name="Column7374" dataDxfId="9006"/>
    <tableColumn id="7379" name="Column7375" dataDxfId="9005"/>
    <tableColumn id="7380" name="Column7376" dataDxfId="9004"/>
    <tableColumn id="7381" name="Column7377" dataDxfId="9003"/>
    <tableColumn id="7382" name="Column7378" dataDxfId="9002"/>
    <tableColumn id="7383" name="Column7379" dataDxfId="9001"/>
    <tableColumn id="7384" name="Column7380" dataDxfId="9000"/>
    <tableColumn id="7385" name="Column7381" dataDxfId="8999"/>
    <tableColumn id="7386" name="Column7382" dataDxfId="8998"/>
    <tableColumn id="7387" name="Column7383" dataDxfId="8997"/>
    <tableColumn id="7388" name="Column7384" dataDxfId="8996"/>
    <tableColumn id="7389" name="Column7385" dataDxfId="8995"/>
    <tableColumn id="7390" name="Column7386" dataDxfId="8994"/>
    <tableColumn id="7391" name="Column7387" dataDxfId="8993"/>
    <tableColumn id="7392" name="Column7388" dataDxfId="8992"/>
    <tableColumn id="7393" name="Column7389" dataDxfId="8991"/>
    <tableColumn id="7394" name="Column7390" dataDxfId="8990"/>
    <tableColumn id="7395" name="Column7391" dataDxfId="8989"/>
    <tableColumn id="7396" name="Column7392" dataDxfId="8988"/>
    <tableColumn id="7397" name="Column7393" dataDxfId="8987"/>
    <tableColumn id="7398" name="Column7394" dataDxfId="8986"/>
    <tableColumn id="7399" name="Column7395" dataDxfId="8985"/>
    <tableColumn id="7400" name="Column7396" dataDxfId="8984"/>
    <tableColumn id="7401" name="Column7397" dataDxfId="8983"/>
    <tableColumn id="7402" name="Column7398" dataDxfId="8982"/>
    <tableColumn id="7403" name="Column7399" dataDxfId="8981"/>
    <tableColumn id="7404" name="Column7400" dataDxfId="8980"/>
    <tableColumn id="7405" name="Column7401" dataDxfId="8979"/>
    <tableColumn id="7406" name="Column7402" dataDxfId="8978"/>
    <tableColumn id="7407" name="Column7403" dataDxfId="8977"/>
    <tableColumn id="7408" name="Column7404" dataDxfId="8976"/>
    <tableColumn id="7409" name="Column7405" dataDxfId="8975"/>
    <tableColumn id="7410" name="Column7406" dataDxfId="8974"/>
    <tableColumn id="7411" name="Column7407" dataDxfId="8973"/>
    <tableColumn id="7412" name="Column7408" dataDxfId="8972"/>
    <tableColumn id="7413" name="Column7409" dataDxfId="8971"/>
    <tableColumn id="7414" name="Column7410" dataDxfId="8970"/>
    <tableColumn id="7415" name="Column7411" dataDxfId="8969"/>
    <tableColumn id="7416" name="Column7412" dataDxfId="8968"/>
    <tableColumn id="7417" name="Column7413" dataDxfId="8967"/>
    <tableColumn id="7418" name="Column7414" dataDxfId="8966"/>
    <tableColumn id="7419" name="Column7415" dataDxfId="8965"/>
    <tableColumn id="7420" name="Column7416" dataDxfId="8964"/>
    <tableColumn id="7421" name="Column7417" dataDxfId="8963"/>
    <tableColumn id="7422" name="Column7418" dataDxfId="8962"/>
    <tableColumn id="7423" name="Column7419" dataDxfId="8961"/>
    <tableColumn id="7424" name="Column7420" dataDxfId="8960"/>
    <tableColumn id="7425" name="Column7421" dataDxfId="8959"/>
    <tableColumn id="7426" name="Column7422" dataDxfId="8958"/>
    <tableColumn id="7427" name="Column7423" dataDxfId="8957"/>
    <tableColumn id="7428" name="Column7424" dataDxfId="8956"/>
    <tableColumn id="7429" name="Column7425" dataDxfId="8955"/>
    <tableColumn id="7430" name="Column7426" dataDxfId="8954"/>
    <tableColumn id="7431" name="Column7427" dataDxfId="8953"/>
    <tableColumn id="7432" name="Column7428" dataDxfId="8952"/>
    <tableColumn id="7433" name="Column7429" dataDxfId="8951"/>
    <tableColumn id="7434" name="Column7430" dataDxfId="8950"/>
    <tableColumn id="7435" name="Column7431" dataDxfId="8949"/>
    <tableColumn id="7436" name="Column7432" dataDxfId="8948"/>
    <tableColumn id="7437" name="Column7433" dataDxfId="8947"/>
    <tableColumn id="7438" name="Column7434" dataDxfId="8946"/>
    <tableColumn id="7439" name="Column7435" dataDxfId="8945"/>
    <tableColumn id="7440" name="Column7436" dataDxfId="8944"/>
    <tableColumn id="7441" name="Column7437" dataDxfId="8943"/>
    <tableColumn id="7442" name="Column7438" dataDxfId="8942"/>
    <tableColumn id="7443" name="Column7439" dataDxfId="8941"/>
    <tableColumn id="7444" name="Column7440" dataDxfId="8940"/>
    <tableColumn id="7445" name="Column7441" dataDxfId="8939"/>
    <tableColumn id="7446" name="Column7442" dataDxfId="8938"/>
    <tableColumn id="7447" name="Column7443" dataDxfId="8937"/>
    <tableColumn id="7448" name="Column7444" dataDxfId="8936"/>
    <tableColumn id="7449" name="Column7445" dataDxfId="8935"/>
    <tableColumn id="7450" name="Column7446" dataDxfId="8934"/>
    <tableColumn id="7451" name="Column7447" dataDxfId="8933"/>
    <tableColumn id="7452" name="Column7448" dataDxfId="8932"/>
    <tableColumn id="7453" name="Column7449" dataDxfId="8931"/>
    <tableColumn id="7454" name="Column7450" dataDxfId="8930"/>
    <tableColumn id="7455" name="Column7451" dataDxfId="8929"/>
    <tableColumn id="7456" name="Column7452" dataDxfId="8928"/>
    <tableColumn id="7457" name="Column7453" dataDxfId="8927"/>
    <tableColumn id="7458" name="Column7454" dataDxfId="8926"/>
    <tableColumn id="7459" name="Column7455" dataDxfId="8925"/>
    <tableColumn id="7460" name="Column7456" dataDxfId="8924"/>
    <tableColumn id="7461" name="Column7457" dataDxfId="8923"/>
    <tableColumn id="7462" name="Column7458" dataDxfId="8922"/>
    <tableColumn id="7463" name="Column7459" dataDxfId="8921"/>
    <tableColumn id="7464" name="Column7460" dataDxfId="8920"/>
    <tableColumn id="7465" name="Column7461" dataDxfId="8919"/>
    <tableColumn id="7466" name="Column7462" dataDxfId="8918"/>
    <tableColumn id="7467" name="Column7463" dataDxfId="8917"/>
    <tableColumn id="7468" name="Column7464" dataDxfId="8916"/>
    <tableColumn id="7469" name="Column7465" dataDxfId="8915"/>
    <tableColumn id="7470" name="Column7466" dataDxfId="8914"/>
    <tableColumn id="7471" name="Column7467" dataDxfId="8913"/>
    <tableColumn id="7472" name="Column7468" dataDxfId="8912"/>
    <tableColumn id="7473" name="Column7469" dataDxfId="8911"/>
    <tableColumn id="7474" name="Column7470" dataDxfId="8910"/>
    <tableColumn id="7475" name="Column7471" dataDxfId="8909"/>
    <tableColumn id="7476" name="Column7472" dataDxfId="8908"/>
    <tableColumn id="7477" name="Column7473" dataDxfId="8907"/>
    <tableColumn id="7478" name="Column7474" dataDxfId="8906"/>
    <tableColumn id="7479" name="Column7475" dataDxfId="8905"/>
    <tableColumn id="7480" name="Column7476" dataDxfId="8904"/>
    <tableColumn id="7481" name="Column7477" dataDxfId="8903"/>
    <tableColumn id="7482" name="Column7478" dataDxfId="8902"/>
    <tableColumn id="7483" name="Column7479" dataDxfId="8901"/>
    <tableColumn id="7484" name="Column7480" dataDxfId="8900"/>
    <tableColumn id="7485" name="Column7481" dataDxfId="8899"/>
    <tableColumn id="7486" name="Column7482" dataDxfId="8898"/>
    <tableColumn id="7487" name="Column7483" dataDxfId="8897"/>
    <tableColumn id="7488" name="Column7484" dataDxfId="8896"/>
    <tableColumn id="7489" name="Column7485" dataDxfId="8895"/>
    <tableColumn id="7490" name="Column7486" dataDxfId="8894"/>
    <tableColumn id="7491" name="Column7487" dataDxfId="8893"/>
    <tableColumn id="7492" name="Column7488" dataDxfId="8892"/>
    <tableColumn id="7493" name="Column7489" dataDxfId="8891"/>
    <tableColumn id="7494" name="Column7490" dataDxfId="8890"/>
    <tableColumn id="7495" name="Column7491" dataDxfId="8889"/>
    <tableColumn id="7496" name="Column7492" dataDxfId="8888"/>
    <tableColumn id="7497" name="Column7493" dataDxfId="8887"/>
    <tableColumn id="7498" name="Column7494" dataDxfId="8886"/>
    <tableColumn id="7499" name="Column7495" dataDxfId="8885"/>
    <tableColumn id="7500" name="Column7496" dataDxfId="8884"/>
    <tableColumn id="7501" name="Column7497" dataDxfId="8883"/>
    <tableColumn id="7502" name="Column7498" dataDxfId="8882"/>
    <tableColumn id="7503" name="Column7499" dataDxfId="8881"/>
    <tableColumn id="7504" name="Column7500" dataDxfId="8880"/>
    <tableColumn id="7505" name="Column7501" dataDxfId="8879"/>
    <tableColumn id="7506" name="Column7502" dataDxfId="8878"/>
    <tableColumn id="7507" name="Column7503" dataDxfId="8877"/>
    <tableColumn id="7508" name="Column7504" dataDxfId="8876"/>
    <tableColumn id="7509" name="Column7505" dataDxfId="8875"/>
    <tableColumn id="7510" name="Column7506" dataDxfId="8874"/>
    <tableColumn id="7511" name="Column7507" dataDxfId="8873"/>
    <tableColumn id="7512" name="Column7508" dataDxfId="8872"/>
    <tableColumn id="7513" name="Column7509" dataDxfId="8871"/>
    <tableColumn id="7514" name="Column7510" dataDxfId="8870"/>
    <tableColumn id="7515" name="Column7511" dataDxfId="8869"/>
    <tableColumn id="7516" name="Column7512" dataDxfId="8868"/>
    <tableColumn id="7517" name="Column7513" dataDxfId="8867"/>
    <tableColumn id="7518" name="Column7514" dataDxfId="8866"/>
    <tableColumn id="7519" name="Column7515" dataDxfId="8865"/>
    <tableColumn id="7520" name="Column7516" dataDxfId="8864"/>
    <tableColumn id="7521" name="Column7517" dataDxfId="8863"/>
    <tableColumn id="7522" name="Column7518" dataDxfId="8862"/>
    <tableColumn id="7523" name="Column7519" dataDxfId="8861"/>
    <tableColumn id="7524" name="Column7520" dataDxfId="8860"/>
    <tableColumn id="7525" name="Column7521" dataDxfId="8859"/>
    <tableColumn id="7526" name="Column7522" dataDxfId="8858"/>
    <tableColumn id="7527" name="Column7523" dataDxfId="8857"/>
    <tableColumn id="7528" name="Column7524" dataDxfId="8856"/>
    <tableColumn id="7529" name="Column7525" dataDxfId="8855"/>
    <tableColumn id="7530" name="Column7526" dataDxfId="8854"/>
    <tableColumn id="7531" name="Column7527" dataDxfId="8853"/>
    <tableColumn id="7532" name="Column7528" dataDxfId="8852"/>
    <tableColumn id="7533" name="Column7529" dataDxfId="8851"/>
    <tableColumn id="7534" name="Column7530" dataDxfId="8850"/>
    <tableColumn id="7535" name="Column7531" dataDxfId="8849"/>
    <tableColumn id="7536" name="Column7532" dataDxfId="8848"/>
    <tableColumn id="7537" name="Column7533" dataDxfId="8847"/>
    <tableColumn id="7538" name="Column7534" dataDxfId="8846"/>
    <tableColumn id="7539" name="Column7535" dataDxfId="8845"/>
    <tableColumn id="7540" name="Column7536" dataDxfId="8844"/>
    <tableColumn id="7541" name="Column7537" dataDxfId="8843"/>
    <tableColumn id="7542" name="Column7538" dataDxfId="8842"/>
    <tableColumn id="7543" name="Column7539" dataDxfId="8841"/>
    <tableColumn id="7544" name="Column7540" dataDxfId="8840"/>
    <tableColumn id="7545" name="Column7541" dataDxfId="8839"/>
    <tableColumn id="7546" name="Column7542" dataDxfId="8838"/>
    <tableColumn id="7547" name="Column7543" dataDxfId="8837"/>
    <tableColumn id="7548" name="Column7544" dataDxfId="8836"/>
    <tableColumn id="7549" name="Column7545" dataDxfId="8835"/>
    <tableColumn id="7550" name="Column7546" dataDxfId="8834"/>
    <tableColumn id="7551" name="Column7547" dataDxfId="8833"/>
    <tableColumn id="7552" name="Column7548" dataDxfId="8832"/>
    <tableColumn id="7553" name="Column7549" dataDxfId="8831"/>
    <tableColumn id="7554" name="Column7550" dataDxfId="8830"/>
    <tableColumn id="7555" name="Column7551" dataDxfId="8829"/>
    <tableColumn id="7556" name="Column7552" dataDxfId="8828"/>
    <tableColumn id="7557" name="Column7553" dataDxfId="8827"/>
    <tableColumn id="7558" name="Column7554" dataDxfId="8826"/>
    <tableColumn id="7559" name="Column7555" dataDxfId="8825"/>
    <tableColumn id="7560" name="Column7556" dataDxfId="8824"/>
    <tableColumn id="7561" name="Column7557" dataDxfId="8823"/>
    <tableColumn id="7562" name="Column7558" dataDxfId="8822"/>
    <tableColumn id="7563" name="Column7559" dataDxfId="8821"/>
    <tableColumn id="7564" name="Column7560" dataDxfId="8820"/>
    <tableColumn id="7565" name="Column7561" dataDxfId="8819"/>
    <tableColumn id="7566" name="Column7562" dataDxfId="8818"/>
    <tableColumn id="7567" name="Column7563" dataDxfId="8817"/>
    <tableColumn id="7568" name="Column7564" dataDxfId="8816"/>
    <tableColumn id="7569" name="Column7565" dataDxfId="8815"/>
    <tableColumn id="7570" name="Column7566" dataDxfId="8814"/>
    <tableColumn id="7571" name="Column7567" dataDxfId="8813"/>
    <tableColumn id="7572" name="Column7568" dataDxfId="8812"/>
    <tableColumn id="7573" name="Column7569" dataDxfId="8811"/>
    <tableColumn id="7574" name="Column7570" dataDxfId="8810"/>
    <tableColumn id="7575" name="Column7571" dataDxfId="8809"/>
    <tableColumn id="7576" name="Column7572" dataDxfId="8808"/>
    <tableColumn id="7577" name="Column7573" dataDxfId="8807"/>
    <tableColumn id="7578" name="Column7574" dataDxfId="8806"/>
    <tableColumn id="7579" name="Column7575" dataDxfId="8805"/>
    <tableColumn id="7580" name="Column7576" dataDxfId="8804"/>
    <tableColumn id="7581" name="Column7577" dataDxfId="8803"/>
    <tableColumn id="7582" name="Column7578" dataDxfId="8802"/>
    <tableColumn id="7583" name="Column7579" dataDxfId="8801"/>
    <tableColumn id="7584" name="Column7580" dataDxfId="8800"/>
    <tableColumn id="7585" name="Column7581" dataDxfId="8799"/>
    <tableColumn id="7586" name="Column7582" dataDxfId="8798"/>
    <tableColumn id="7587" name="Column7583" dataDxfId="8797"/>
    <tableColumn id="7588" name="Column7584" dataDxfId="8796"/>
    <tableColumn id="7589" name="Column7585" dataDxfId="8795"/>
    <tableColumn id="7590" name="Column7586" dataDxfId="8794"/>
    <tableColumn id="7591" name="Column7587" dataDxfId="8793"/>
    <tableColumn id="7592" name="Column7588" dataDxfId="8792"/>
    <tableColumn id="7593" name="Column7589" dataDxfId="8791"/>
    <tableColumn id="7594" name="Column7590" dataDxfId="8790"/>
    <tableColumn id="7595" name="Column7591" dataDxfId="8789"/>
    <tableColumn id="7596" name="Column7592" dataDxfId="8788"/>
    <tableColumn id="7597" name="Column7593" dataDxfId="8787"/>
    <tableColumn id="7598" name="Column7594" dataDxfId="8786"/>
    <tableColumn id="7599" name="Column7595" dataDxfId="8785"/>
    <tableColumn id="7600" name="Column7596" dataDxfId="8784"/>
    <tableColumn id="7601" name="Column7597" dataDxfId="8783"/>
    <tableColumn id="7602" name="Column7598" dataDxfId="8782"/>
    <tableColumn id="7603" name="Column7599" dataDxfId="8781"/>
    <tableColumn id="7604" name="Column7600" dataDxfId="8780"/>
    <tableColumn id="7605" name="Column7601" dataDxfId="8779"/>
    <tableColumn id="7606" name="Column7602" dataDxfId="8778"/>
    <tableColumn id="7607" name="Column7603" dataDxfId="8777"/>
    <tableColumn id="7608" name="Column7604" dataDxfId="8776"/>
    <tableColumn id="7609" name="Column7605" dataDxfId="8775"/>
    <tableColumn id="7610" name="Column7606" dataDxfId="8774"/>
    <tableColumn id="7611" name="Column7607" dataDxfId="8773"/>
    <tableColumn id="7612" name="Column7608" dataDxfId="8772"/>
    <tableColumn id="7613" name="Column7609" dataDxfId="8771"/>
    <tableColumn id="7614" name="Column7610" dataDxfId="8770"/>
    <tableColumn id="7615" name="Column7611" dataDxfId="8769"/>
    <tableColumn id="7616" name="Column7612" dataDxfId="8768"/>
    <tableColumn id="7617" name="Column7613" dataDxfId="8767"/>
    <tableColumn id="7618" name="Column7614" dataDxfId="8766"/>
    <tableColumn id="7619" name="Column7615" dataDxfId="8765"/>
    <tableColumn id="7620" name="Column7616" dataDxfId="8764"/>
    <tableColumn id="7621" name="Column7617" dataDxfId="8763"/>
    <tableColumn id="7622" name="Column7618" dataDxfId="8762"/>
    <tableColumn id="7623" name="Column7619" dataDxfId="8761"/>
    <tableColumn id="7624" name="Column7620" dataDxfId="8760"/>
    <tableColumn id="7625" name="Column7621" dataDxfId="8759"/>
    <tableColumn id="7626" name="Column7622" dataDxfId="8758"/>
    <tableColumn id="7627" name="Column7623" dataDxfId="8757"/>
    <tableColumn id="7628" name="Column7624" dataDxfId="8756"/>
    <tableColumn id="7629" name="Column7625" dataDxfId="8755"/>
    <tableColumn id="7630" name="Column7626" dataDxfId="8754"/>
    <tableColumn id="7631" name="Column7627" dataDxfId="8753"/>
    <tableColumn id="7632" name="Column7628" dataDxfId="8752"/>
    <tableColumn id="7633" name="Column7629" dataDxfId="8751"/>
    <tableColumn id="7634" name="Column7630" dataDxfId="8750"/>
    <tableColumn id="7635" name="Column7631" dataDxfId="8749"/>
    <tableColumn id="7636" name="Column7632" dataDxfId="8748"/>
    <tableColumn id="7637" name="Column7633" dataDxfId="8747"/>
    <tableColumn id="7638" name="Column7634" dataDxfId="8746"/>
    <tableColumn id="7639" name="Column7635" dataDxfId="8745"/>
    <tableColumn id="7640" name="Column7636" dataDxfId="8744"/>
    <tableColumn id="7641" name="Column7637" dataDxfId="8743"/>
    <tableColumn id="7642" name="Column7638" dataDxfId="8742"/>
    <tableColumn id="7643" name="Column7639" dataDxfId="8741"/>
    <tableColumn id="7644" name="Column7640" dataDxfId="8740"/>
    <tableColumn id="7645" name="Column7641" dataDxfId="8739"/>
    <tableColumn id="7646" name="Column7642" dataDxfId="8738"/>
    <tableColumn id="7647" name="Column7643" dataDxfId="8737"/>
    <tableColumn id="7648" name="Column7644" dataDxfId="8736"/>
    <tableColumn id="7649" name="Column7645" dataDxfId="8735"/>
    <tableColumn id="7650" name="Column7646" dataDxfId="8734"/>
    <tableColumn id="7651" name="Column7647" dataDxfId="8733"/>
    <tableColumn id="7652" name="Column7648" dataDxfId="8732"/>
    <tableColumn id="7653" name="Column7649" dataDxfId="8731"/>
    <tableColumn id="7654" name="Column7650" dataDxfId="8730"/>
    <tableColumn id="7655" name="Column7651" dataDxfId="8729"/>
    <tableColumn id="7656" name="Column7652" dataDxfId="8728"/>
    <tableColumn id="7657" name="Column7653" dataDxfId="8727"/>
    <tableColumn id="7658" name="Column7654" dataDxfId="8726"/>
    <tableColumn id="7659" name="Column7655" dataDxfId="8725"/>
    <tableColumn id="7660" name="Column7656" dataDxfId="8724"/>
    <tableColumn id="7661" name="Column7657" dataDxfId="8723"/>
    <tableColumn id="7662" name="Column7658" dataDxfId="8722"/>
    <tableColumn id="7663" name="Column7659" dataDxfId="8721"/>
    <tableColumn id="7664" name="Column7660" dataDxfId="8720"/>
    <tableColumn id="7665" name="Column7661" dataDxfId="8719"/>
    <tableColumn id="7666" name="Column7662" dataDxfId="8718"/>
    <tableColumn id="7667" name="Column7663" dataDxfId="8717"/>
    <tableColumn id="7668" name="Column7664" dataDxfId="8716"/>
    <tableColumn id="7669" name="Column7665" dataDxfId="8715"/>
    <tableColumn id="7670" name="Column7666" dataDxfId="8714"/>
    <tableColumn id="7671" name="Column7667" dataDxfId="8713"/>
    <tableColumn id="7672" name="Column7668" dataDxfId="8712"/>
    <tableColumn id="7673" name="Column7669" dataDxfId="8711"/>
    <tableColumn id="7674" name="Column7670" dataDxfId="8710"/>
    <tableColumn id="7675" name="Column7671" dataDxfId="8709"/>
    <tableColumn id="7676" name="Column7672" dataDxfId="8708"/>
    <tableColumn id="7677" name="Column7673" dataDxfId="8707"/>
    <tableColumn id="7678" name="Column7674" dataDxfId="8706"/>
    <tableColumn id="7679" name="Column7675" dataDxfId="8705"/>
    <tableColumn id="7680" name="Column7676" dataDxfId="8704"/>
    <tableColumn id="7681" name="Column7677" dataDxfId="8703"/>
    <tableColumn id="7682" name="Column7678" dataDxfId="8702"/>
    <tableColumn id="7683" name="Column7679" dataDxfId="8701"/>
    <tableColumn id="7684" name="Column7680" dataDxfId="8700"/>
    <tableColumn id="7685" name="Column7681" dataDxfId="8699"/>
    <tableColumn id="7686" name="Column7682" dataDxfId="8698"/>
    <tableColumn id="7687" name="Column7683" dataDxfId="8697"/>
    <tableColumn id="7688" name="Column7684" dataDxfId="8696"/>
    <tableColumn id="7689" name="Column7685" dataDxfId="8695"/>
    <tableColumn id="7690" name="Column7686" dataDxfId="8694"/>
    <tableColumn id="7691" name="Column7687" dataDxfId="8693"/>
    <tableColumn id="7692" name="Column7688" dataDxfId="8692"/>
    <tableColumn id="7693" name="Column7689" dataDxfId="8691"/>
    <tableColumn id="7694" name="Column7690" dataDxfId="8690"/>
    <tableColumn id="7695" name="Column7691" dataDxfId="8689"/>
    <tableColumn id="7696" name="Column7692" dataDxfId="8688"/>
    <tableColumn id="7697" name="Column7693" dataDxfId="8687"/>
    <tableColumn id="7698" name="Column7694" dataDxfId="8686"/>
    <tableColumn id="7699" name="Column7695" dataDxfId="8685"/>
    <tableColumn id="7700" name="Column7696" dataDxfId="8684"/>
    <tableColumn id="7701" name="Column7697" dataDxfId="8683"/>
    <tableColumn id="7702" name="Column7698" dataDxfId="8682"/>
    <tableColumn id="7703" name="Column7699" dataDxfId="8681"/>
    <tableColumn id="7704" name="Column7700" dataDxfId="8680"/>
    <tableColumn id="7705" name="Column7701" dataDxfId="8679"/>
    <tableColumn id="7706" name="Column7702" dataDxfId="8678"/>
    <tableColumn id="7707" name="Column7703" dataDxfId="8677"/>
    <tableColumn id="7708" name="Column7704" dataDxfId="8676"/>
    <tableColumn id="7709" name="Column7705" dataDxfId="8675"/>
    <tableColumn id="7710" name="Column7706" dataDxfId="8674"/>
    <tableColumn id="7711" name="Column7707" dataDxfId="8673"/>
    <tableColumn id="7712" name="Column7708" dataDxfId="8672"/>
    <tableColumn id="7713" name="Column7709" dataDxfId="8671"/>
    <tableColumn id="7714" name="Column7710" dataDxfId="8670"/>
    <tableColumn id="7715" name="Column7711" dataDxfId="8669"/>
    <tableColumn id="7716" name="Column7712" dataDxfId="8668"/>
    <tableColumn id="7717" name="Column7713" dataDxfId="8667"/>
    <tableColumn id="7718" name="Column7714" dataDxfId="8666"/>
    <tableColumn id="7719" name="Column7715" dataDxfId="8665"/>
    <tableColumn id="7720" name="Column7716" dataDxfId="8664"/>
    <tableColumn id="7721" name="Column7717" dataDxfId="8663"/>
    <tableColumn id="7722" name="Column7718" dataDxfId="8662"/>
    <tableColumn id="7723" name="Column7719" dataDxfId="8661"/>
    <tableColumn id="7724" name="Column7720" dataDxfId="8660"/>
    <tableColumn id="7725" name="Column7721" dataDxfId="8659"/>
    <tableColumn id="7726" name="Column7722" dataDxfId="8658"/>
    <tableColumn id="7727" name="Column7723" dataDxfId="8657"/>
    <tableColumn id="7728" name="Column7724" dataDxfId="8656"/>
    <tableColumn id="7729" name="Column7725" dataDxfId="8655"/>
    <tableColumn id="7730" name="Column7726" dataDxfId="8654"/>
    <tableColumn id="7731" name="Column7727" dataDxfId="8653"/>
    <tableColumn id="7732" name="Column7728" dataDxfId="8652"/>
    <tableColumn id="7733" name="Column7729" dataDxfId="8651"/>
    <tableColumn id="7734" name="Column7730" dataDxfId="8650"/>
    <tableColumn id="7735" name="Column7731" dataDxfId="8649"/>
    <tableColumn id="7736" name="Column7732" dataDxfId="8648"/>
    <tableColumn id="7737" name="Column7733" dataDxfId="8647"/>
    <tableColumn id="7738" name="Column7734" dataDxfId="8646"/>
    <tableColumn id="7739" name="Column7735" dataDxfId="8645"/>
    <tableColumn id="7740" name="Column7736" dataDxfId="8644"/>
    <tableColumn id="7741" name="Column7737" dataDxfId="8643"/>
    <tableColumn id="7742" name="Column7738" dataDxfId="8642"/>
    <tableColumn id="7743" name="Column7739" dataDxfId="8641"/>
    <tableColumn id="7744" name="Column7740" dataDxfId="8640"/>
    <tableColumn id="7745" name="Column7741" dataDxfId="8639"/>
    <tableColumn id="7746" name="Column7742" dataDxfId="8638"/>
    <tableColumn id="7747" name="Column7743" dataDxfId="8637"/>
    <tableColumn id="7748" name="Column7744" dataDxfId="8636"/>
    <tableColumn id="7749" name="Column7745" dataDxfId="8635"/>
    <tableColumn id="7750" name="Column7746" dataDxfId="8634"/>
    <tableColumn id="7751" name="Column7747" dataDxfId="8633"/>
    <tableColumn id="7752" name="Column7748" dataDxfId="8632"/>
    <tableColumn id="7753" name="Column7749" dataDxfId="8631"/>
    <tableColumn id="7754" name="Column7750" dataDxfId="8630"/>
    <tableColumn id="7755" name="Column7751" dataDxfId="8629"/>
    <tableColumn id="7756" name="Column7752" dataDxfId="8628"/>
    <tableColumn id="7757" name="Column7753" dataDxfId="8627"/>
    <tableColumn id="7758" name="Column7754" dataDxfId="8626"/>
    <tableColumn id="7759" name="Column7755" dataDxfId="8625"/>
    <tableColumn id="7760" name="Column7756" dataDxfId="8624"/>
    <tableColumn id="7761" name="Column7757" dataDxfId="8623"/>
    <tableColumn id="7762" name="Column7758" dataDxfId="8622"/>
    <tableColumn id="7763" name="Column7759" dataDxfId="8621"/>
    <tableColumn id="7764" name="Column7760" dataDxfId="8620"/>
    <tableColumn id="7765" name="Column7761" dataDxfId="8619"/>
    <tableColumn id="7766" name="Column7762" dataDxfId="8618"/>
    <tableColumn id="7767" name="Column7763" dataDxfId="8617"/>
    <tableColumn id="7768" name="Column7764" dataDxfId="8616"/>
    <tableColumn id="7769" name="Column7765" dataDxfId="8615"/>
    <tableColumn id="7770" name="Column7766" dataDxfId="8614"/>
    <tableColumn id="7771" name="Column7767" dataDxfId="8613"/>
    <tableColumn id="7772" name="Column7768" dataDxfId="8612"/>
    <tableColumn id="7773" name="Column7769" dataDxfId="8611"/>
    <tableColumn id="7774" name="Column7770" dataDxfId="8610"/>
    <tableColumn id="7775" name="Column7771" dataDxfId="8609"/>
    <tableColumn id="7776" name="Column7772" dataDxfId="8608"/>
    <tableColumn id="7777" name="Column7773" dataDxfId="8607"/>
    <tableColumn id="7778" name="Column7774" dataDxfId="8606"/>
    <tableColumn id="7779" name="Column7775" dataDxfId="8605"/>
    <tableColumn id="7780" name="Column7776" dataDxfId="8604"/>
    <tableColumn id="7781" name="Column7777" dataDxfId="8603"/>
    <tableColumn id="7782" name="Column7778" dataDxfId="8602"/>
    <tableColumn id="7783" name="Column7779" dataDxfId="8601"/>
    <tableColumn id="7784" name="Column7780" dataDxfId="8600"/>
    <tableColumn id="7785" name="Column7781" dataDxfId="8599"/>
    <tableColumn id="7786" name="Column7782" dataDxfId="8598"/>
    <tableColumn id="7787" name="Column7783" dataDxfId="8597"/>
    <tableColumn id="7788" name="Column7784" dataDxfId="8596"/>
    <tableColumn id="7789" name="Column7785" dataDxfId="8595"/>
    <tableColumn id="7790" name="Column7786" dataDxfId="8594"/>
    <tableColumn id="7791" name="Column7787" dataDxfId="8593"/>
    <tableColumn id="7792" name="Column7788" dataDxfId="8592"/>
    <tableColumn id="7793" name="Column7789" dataDxfId="8591"/>
    <tableColumn id="7794" name="Column7790" dataDxfId="8590"/>
    <tableColumn id="7795" name="Column7791" dataDxfId="8589"/>
    <tableColumn id="7796" name="Column7792" dataDxfId="8588"/>
    <tableColumn id="7797" name="Column7793" dataDxfId="8587"/>
    <tableColumn id="7798" name="Column7794" dataDxfId="8586"/>
    <tableColumn id="7799" name="Column7795" dataDxfId="8585"/>
    <tableColumn id="7800" name="Column7796" dataDxfId="8584"/>
    <tableColumn id="7801" name="Column7797" dataDxfId="8583"/>
    <tableColumn id="7802" name="Column7798" dataDxfId="8582"/>
    <tableColumn id="7803" name="Column7799" dataDxfId="8581"/>
    <tableColumn id="7804" name="Column7800" dataDxfId="8580"/>
    <tableColumn id="7805" name="Column7801" dataDxfId="8579"/>
    <tableColumn id="7806" name="Column7802" dataDxfId="8578"/>
    <tableColumn id="7807" name="Column7803" dataDxfId="8577"/>
    <tableColumn id="7808" name="Column7804" dataDxfId="8576"/>
    <tableColumn id="7809" name="Column7805" dataDxfId="8575"/>
    <tableColumn id="7810" name="Column7806" dataDxfId="8574"/>
    <tableColumn id="7811" name="Column7807" dataDxfId="8573"/>
    <tableColumn id="7812" name="Column7808" dataDxfId="8572"/>
    <tableColumn id="7813" name="Column7809" dataDxfId="8571"/>
    <tableColumn id="7814" name="Column7810" dataDxfId="8570"/>
    <tableColumn id="7815" name="Column7811" dataDxfId="8569"/>
    <tableColumn id="7816" name="Column7812" dataDxfId="8568"/>
    <tableColumn id="7817" name="Column7813" dataDxfId="8567"/>
    <tableColumn id="7818" name="Column7814" dataDxfId="8566"/>
    <tableColumn id="7819" name="Column7815" dataDxfId="8565"/>
    <tableColumn id="7820" name="Column7816" dataDxfId="8564"/>
    <tableColumn id="7821" name="Column7817" dataDxfId="8563"/>
    <tableColumn id="7822" name="Column7818" dataDxfId="8562"/>
    <tableColumn id="7823" name="Column7819" dataDxfId="8561"/>
    <tableColumn id="7824" name="Column7820" dataDxfId="8560"/>
    <tableColumn id="7825" name="Column7821" dataDxfId="8559"/>
    <tableColumn id="7826" name="Column7822" dataDxfId="8558"/>
    <tableColumn id="7827" name="Column7823" dataDxfId="8557"/>
    <tableColumn id="7828" name="Column7824" dataDxfId="8556"/>
    <tableColumn id="7829" name="Column7825" dataDxfId="8555"/>
    <tableColumn id="7830" name="Column7826" dataDxfId="8554"/>
    <tableColumn id="7831" name="Column7827" dataDxfId="8553"/>
    <tableColumn id="7832" name="Column7828" dataDxfId="8552"/>
    <tableColumn id="7833" name="Column7829" dataDxfId="8551"/>
    <tableColumn id="7834" name="Column7830" dataDxfId="8550"/>
    <tableColumn id="7835" name="Column7831" dataDxfId="8549"/>
    <tableColumn id="7836" name="Column7832" dataDxfId="8548"/>
    <tableColumn id="7837" name="Column7833" dataDxfId="8547"/>
    <tableColumn id="7838" name="Column7834" dataDxfId="8546"/>
    <tableColumn id="7839" name="Column7835" dataDxfId="8545"/>
    <tableColumn id="7840" name="Column7836" dataDxfId="8544"/>
    <tableColumn id="7841" name="Column7837" dataDxfId="8543"/>
    <tableColumn id="7842" name="Column7838" dataDxfId="8542"/>
    <tableColumn id="7843" name="Column7839" dataDxfId="8541"/>
    <tableColumn id="7844" name="Column7840" dataDxfId="8540"/>
    <tableColumn id="7845" name="Column7841" dataDxfId="8539"/>
    <tableColumn id="7846" name="Column7842" dataDxfId="8538"/>
    <tableColumn id="7847" name="Column7843" dataDxfId="8537"/>
    <tableColumn id="7848" name="Column7844" dataDxfId="8536"/>
    <tableColumn id="7849" name="Column7845" dataDxfId="8535"/>
    <tableColumn id="7850" name="Column7846" dataDxfId="8534"/>
    <tableColumn id="7851" name="Column7847" dataDxfId="8533"/>
    <tableColumn id="7852" name="Column7848" dataDxfId="8532"/>
    <tableColumn id="7853" name="Column7849" dataDxfId="8531"/>
    <tableColumn id="7854" name="Column7850" dataDxfId="8530"/>
    <tableColumn id="7855" name="Column7851" dataDxfId="8529"/>
    <tableColumn id="7856" name="Column7852" dataDxfId="8528"/>
    <tableColumn id="7857" name="Column7853" dataDxfId="8527"/>
    <tableColumn id="7858" name="Column7854" dataDxfId="8526"/>
    <tableColumn id="7859" name="Column7855" dataDxfId="8525"/>
    <tableColumn id="7860" name="Column7856" dataDxfId="8524"/>
    <tableColumn id="7861" name="Column7857" dataDxfId="8523"/>
    <tableColumn id="7862" name="Column7858" dataDxfId="8522"/>
    <tableColumn id="7863" name="Column7859" dataDxfId="8521"/>
    <tableColumn id="7864" name="Column7860" dataDxfId="8520"/>
    <tableColumn id="7865" name="Column7861" dataDxfId="8519"/>
    <tableColumn id="7866" name="Column7862" dataDxfId="8518"/>
    <tableColumn id="7867" name="Column7863" dataDxfId="8517"/>
    <tableColumn id="7868" name="Column7864" dataDxfId="8516"/>
    <tableColumn id="7869" name="Column7865" dataDxfId="8515"/>
    <tableColumn id="7870" name="Column7866" dataDxfId="8514"/>
    <tableColumn id="7871" name="Column7867" dataDxfId="8513"/>
    <tableColumn id="7872" name="Column7868" dataDxfId="8512"/>
    <tableColumn id="7873" name="Column7869" dataDxfId="8511"/>
    <tableColumn id="7874" name="Column7870" dataDxfId="8510"/>
    <tableColumn id="7875" name="Column7871" dataDxfId="8509"/>
    <tableColumn id="7876" name="Column7872" dataDxfId="8508"/>
    <tableColumn id="7877" name="Column7873" dataDxfId="8507"/>
    <tableColumn id="7878" name="Column7874" dataDxfId="8506"/>
    <tableColumn id="7879" name="Column7875" dataDxfId="8505"/>
    <tableColumn id="7880" name="Column7876" dataDxfId="8504"/>
    <tableColumn id="7881" name="Column7877" dataDxfId="8503"/>
    <tableColumn id="7882" name="Column7878" dataDxfId="8502"/>
    <tableColumn id="7883" name="Column7879" dataDxfId="8501"/>
    <tableColumn id="7884" name="Column7880" dataDxfId="8500"/>
    <tableColumn id="7885" name="Column7881" dataDxfId="8499"/>
    <tableColumn id="7886" name="Column7882" dataDxfId="8498"/>
    <tableColumn id="7887" name="Column7883" dataDxfId="8497"/>
    <tableColumn id="7888" name="Column7884" dataDxfId="8496"/>
    <tableColumn id="7889" name="Column7885" dataDxfId="8495"/>
    <tableColumn id="7890" name="Column7886" dataDxfId="8494"/>
    <tableColumn id="7891" name="Column7887" dataDxfId="8493"/>
    <tableColumn id="7892" name="Column7888" dataDxfId="8492"/>
    <tableColumn id="7893" name="Column7889" dataDxfId="8491"/>
    <tableColumn id="7894" name="Column7890" dataDxfId="8490"/>
    <tableColumn id="7895" name="Column7891" dataDxfId="8489"/>
    <tableColumn id="7896" name="Column7892" dataDxfId="8488"/>
    <tableColumn id="7897" name="Column7893" dataDxfId="8487"/>
    <tableColumn id="7898" name="Column7894" dataDxfId="8486"/>
    <tableColumn id="7899" name="Column7895" dataDxfId="8485"/>
    <tableColumn id="7900" name="Column7896" dataDxfId="8484"/>
    <tableColumn id="7901" name="Column7897" dataDxfId="8483"/>
    <tableColumn id="7902" name="Column7898" dataDxfId="8482"/>
    <tableColumn id="7903" name="Column7899" dataDxfId="8481"/>
    <tableColumn id="7904" name="Column7900" dataDxfId="8480"/>
    <tableColumn id="7905" name="Column7901" dataDxfId="8479"/>
    <tableColumn id="7906" name="Column7902" dataDxfId="8478"/>
    <tableColumn id="7907" name="Column7903" dataDxfId="8477"/>
    <tableColumn id="7908" name="Column7904" dataDxfId="8476"/>
    <tableColumn id="7909" name="Column7905" dataDxfId="8475"/>
    <tableColumn id="7910" name="Column7906" dataDxfId="8474"/>
    <tableColumn id="7911" name="Column7907" dataDxfId="8473"/>
    <tableColumn id="7912" name="Column7908" dataDxfId="8472"/>
    <tableColumn id="7913" name="Column7909" dataDxfId="8471"/>
    <tableColumn id="7914" name="Column7910" dataDxfId="8470"/>
    <tableColumn id="7915" name="Column7911" dataDxfId="8469"/>
    <tableColumn id="7916" name="Column7912" dataDxfId="8468"/>
    <tableColumn id="7917" name="Column7913" dataDxfId="8467"/>
    <tableColumn id="7918" name="Column7914" dataDxfId="8466"/>
    <tableColumn id="7919" name="Column7915" dataDxfId="8465"/>
    <tableColumn id="7920" name="Column7916" dataDxfId="8464"/>
    <tableColumn id="7921" name="Column7917" dataDxfId="8463"/>
    <tableColumn id="7922" name="Column7918" dataDxfId="8462"/>
    <tableColumn id="7923" name="Column7919" dataDxfId="8461"/>
    <tableColumn id="7924" name="Column7920" dataDxfId="8460"/>
    <tableColumn id="7925" name="Column7921" dataDxfId="8459"/>
    <tableColumn id="7926" name="Column7922" dataDxfId="8458"/>
    <tableColumn id="7927" name="Column7923" dataDxfId="8457"/>
    <tableColumn id="7928" name="Column7924" dataDxfId="8456"/>
    <tableColumn id="7929" name="Column7925" dataDxfId="8455"/>
    <tableColumn id="7930" name="Column7926" dataDxfId="8454"/>
    <tableColumn id="7931" name="Column7927" dataDxfId="8453"/>
    <tableColumn id="7932" name="Column7928" dataDxfId="8452"/>
    <tableColumn id="7933" name="Column7929" dataDxfId="8451"/>
    <tableColumn id="7934" name="Column7930" dataDxfId="8450"/>
    <tableColumn id="7935" name="Column7931" dataDxfId="8449"/>
    <tableColumn id="7936" name="Column7932" dataDxfId="8448"/>
    <tableColumn id="7937" name="Column7933" dataDxfId="8447"/>
    <tableColumn id="7938" name="Column7934" dataDxfId="8446"/>
    <tableColumn id="7939" name="Column7935" dataDxfId="8445"/>
    <tableColumn id="7940" name="Column7936" dataDxfId="8444"/>
    <tableColumn id="7941" name="Column7937" dataDxfId="8443"/>
    <tableColumn id="7942" name="Column7938" dataDxfId="8442"/>
    <tableColumn id="7943" name="Column7939" dataDxfId="8441"/>
    <tableColumn id="7944" name="Column7940" dataDxfId="8440"/>
    <tableColumn id="7945" name="Column7941" dataDxfId="8439"/>
    <tableColumn id="7946" name="Column7942" dataDxfId="8438"/>
    <tableColumn id="7947" name="Column7943" dataDxfId="8437"/>
    <tableColumn id="7948" name="Column7944" dataDxfId="8436"/>
    <tableColumn id="7949" name="Column7945" dataDxfId="8435"/>
    <tableColumn id="7950" name="Column7946" dataDxfId="8434"/>
    <tableColumn id="7951" name="Column7947" dataDxfId="8433"/>
    <tableColumn id="7952" name="Column7948" dataDxfId="8432"/>
    <tableColumn id="7953" name="Column7949" dataDxfId="8431"/>
    <tableColumn id="7954" name="Column7950" dataDxfId="8430"/>
    <tableColumn id="7955" name="Column7951" dataDxfId="8429"/>
    <tableColumn id="7956" name="Column7952" dataDxfId="8428"/>
    <tableColumn id="7957" name="Column7953" dataDxfId="8427"/>
    <tableColumn id="7958" name="Column7954" dataDxfId="8426"/>
    <tableColumn id="7959" name="Column7955" dataDxfId="8425"/>
    <tableColumn id="7960" name="Column7956" dataDxfId="8424"/>
    <tableColumn id="7961" name="Column7957" dataDxfId="8423"/>
    <tableColumn id="7962" name="Column7958" dataDxfId="8422"/>
    <tableColumn id="7963" name="Column7959" dataDxfId="8421"/>
    <tableColumn id="7964" name="Column7960" dataDxfId="8420"/>
    <tableColumn id="7965" name="Column7961" dataDxfId="8419"/>
    <tableColumn id="7966" name="Column7962" dataDxfId="8418"/>
    <tableColumn id="7967" name="Column7963" dataDxfId="8417"/>
    <tableColumn id="7968" name="Column7964" dataDxfId="8416"/>
    <tableColumn id="7969" name="Column7965" dataDxfId="8415"/>
    <tableColumn id="7970" name="Column7966" dataDxfId="8414"/>
    <tableColumn id="7971" name="Column7967" dataDxfId="8413"/>
    <tableColumn id="7972" name="Column7968" dataDxfId="8412"/>
    <tableColumn id="7973" name="Column7969" dataDxfId="8411"/>
    <tableColumn id="7974" name="Column7970" dataDxfId="8410"/>
    <tableColumn id="7975" name="Column7971" dataDxfId="8409"/>
    <tableColumn id="7976" name="Column7972" dataDxfId="8408"/>
    <tableColumn id="7977" name="Column7973" dataDxfId="8407"/>
    <tableColumn id="7978" name="Column7974" dataDxfId="8406"/>
    <tableColumn id="7979" name="Column7975" dataDxfId="8405"/>
    <tableColumn id="7980" name="Column7976" dataDxfId="8404"/>
    <tableColumn id="7981" name="Column7977" dataDxfId="8403"/>
    <tableColumn id="7982" name="Column7978" dataDxfId="8402"/>
    <tableColumn id="7983" name="Column7979" dataDxfId="8401"/>
    <tableColumn id="7984" name="Column7980" dataDxfId="8400"/>
    <tableColumn id="7985" name="Column7981" dataDxfId="8399"/>
    <tableColumn id="7986" name="Column7982" dataDxfId="8398"/>
    <tableColumn id="7987" name="Column7983" dataDxfId="8397"/>
    <tableColumn id="7988" name="Column7984" dataDxfId="8396"/>
    <tableColumn id="7989" name="Column7985" dataDxfId="8395"/>
    <tableColumn id="7990" name="Column7986" dataDxfId="8394"/>
    <tableColumn id="7991" name="Column7987" dataDxfId="8393"/>
    <tableColumn id="7992" name="Column7988" dataDxfId="8392"/>
    <tableColumn id="7993" name="Column7989" dataDxfId="8391"/>
    <tableColumn id="7994" name="Column7990" dataDxfId="8390"/>
    <tableColumn id="7995" name="Column7991" dataDxfId="8389"/>
    <tableColumn id="7996" name="Column7992" dataDxfId="8388"/>
    <tableColumn id="7997" name="Column7993" dataDxfId="8387"/>
    <tableColumn id="7998" name="Column7994" dataDxfId="8386"/>
    <tableColumn id="7999" name="Column7995" dataDxfId="8385"/>
    <tableColumn id="8000" name="Column7996" dataDxfId="8384"/>
    <tableColumn id="8001" name="Column7997" dataDxfId="8383"/>
    <tableColumn id="8002" name="Column7998" dataDxfId="8382"/>
    <tableColumn id="8003" name="Column7999" dataDxfId="8381"/>
    <tableColumn id="8004" name="Column8000" dataDxfId="8380"/>
    <tableColumn id="8005" name="Column8001" dataDxfId="8379"/>
    <tableColumn id="8006" name="Column8002" dataDxfId="8378"/>
    <tableColumn id="8007" name="Column8003" dataDxfId="8377"/>
    <tableColumn id="8008" name="Column8004" dataDxfId="8376"/>
    <tableColumn id="8009" name="Column8005" dataDxfId="8375"/>
    <tableColumn id="8010" name="Column8006" dataDxfId="8374"/>
    <tableColumn id="8011" name="Column8007" dataDxfId="8373"/>
    <tableColumn id="8012" name="Column8008" dataDxfId="8372"/>
    <tableColumn id="8013" name="Column8009" dataDxfId="8371"/>
    <tableColumn id="8014" name="Column8010" dataDxfId="8370"/>
    <tableColumn id="8015" name="Column8011" dataDxfId="8369"/>
    <tableColumn id="8016" name="Column8012" dataDxfId="8368"/>
    <tableColumn id="8017" name="Column8013" dataDxfId="8367"/>
    <tableColumn id="8018" name="Column8014" dataDxfId="8366"/>
    <tableColumn id="8019" name="Column8015" dataDxfId="8365"/>
    <tableColumn id="8020" name="Column8016" dataDxfId="8364"/>
    <tableColumn id="8021" name="Column8017" dataDxfId="8363"/>
    <tableColumn id="8022" name="Column8018" dataDxfId="8362"/>
    <tableColumn id="8023" name="Column8019" dataDxfId="8361"/>
    <tableColumn id="8024" name="Column8020" dataDxfId="8360"/>
    <tableColumn id="8025" name="Column8021" dataDxfId="8359"/>
    <tableColumn id="8026" name="Column8022" dataDxfId="8358"/>
    <tableColumn id="8027" name="Column8023" dataDxfId="8357"/>
    <tableColumn id="8028" name="Column8024" dataDxfId="8356"/>
    <tableColumn id="8029" name="Column8025" dataDxfId="8355"/>
    <tableColumn id="8030" name="Column8026" dataDxfId="8354"/>
    <tableColumn id="8031" name="Column8027" dataDxfId="8353"/>
    <tableColumn id="8032" name="Column8028" dataDxfId="8352"/>
    <tableColumn id="8033" name="Column8029" dataDxfId="8351"/>
    <tableColumn id="8034" name="Column8030" dataDxfId="8350"/>
    <tableColumn id="8035" name="Column8031" dataDxfId="8349"/>
    <tableColumn id="8036" name="Column8032" dataDxfId="8348"/>
    <tableColumn id="8037" name="Column8033" dataDxfId="8347"/>
    <tableColumn id="8038" name="Column8034" dataDxfId="8346"/>
    <tableColumn id="8039" name="Column8035" dataDxfId="8345"/>
    <tableColumn id="8040" name="Column8036" dataDxfId="8344"/>
    <tableColumn id="8041" name="Column8037" dataDxfId="8343"/>
    <tableColumn id="8042" name="Column8038" dataDxfId="8342"/>
    <tableColumn id="8043" name="Column8039" dataDxfId="8341"/>
    <tableColumn id="8044" name="Column8040" dataDxfId="8340"/>
    <tableColumn id="8045" name="Column8041" dataDxfId="8339"/>
    <tableColumn id="8046" name="Column8042" dataDxfId="8338"/>
    <tableColumn id="8047" name="Column8043" dataDxfId="8337"/>
    <tableColumn id="8048" name="Column8044" dataDxfId="8336"/>
    <tableColumn id="8049" name="Column8045" dataDxfId="8335"/>
    <tableColumn id="8050" name="Column8046" dataDxfId="8334"/>
    <tableColumn id="8051" name="Column8047" dataDxfId="8333"/>
    <tableColumn id="8052" name="Column8048" dataDxfId="8332"/>
    <tableColumn id="8053" name="Column8049" dataDxfId="8331"/>
    <tableColumn id="8054" name="Column8050" dataDxfId="8330"/>
    <tableColumn id="8055" name="Column8051" dataDxfId="8329"/>
    <tableColumn id="8056" name="Column8052" dataDxfId="8328"/>
    <tableColumn id="8057" name="Column8053" dataDxfId="8327"/>
    <tableColumn id="8058" name="Column8054" dataDxfId="8326"/>
    <tableColumn id="8059" name="Column8055" dataDxfId="8325"/>
    <tableColumn id="8060" name="Column8056" dataDxfId="8324"/>
    <tableColumn id="8061" name="Column8057" dataDxfId="8323"/>
    <tableColumn id="8062" name="Column8058" dataDxfId="8322"/>
    <tableColumn id="8063" name="Column8059" dataDxfId="8321"/>
    <tableColumn id="8064" name="Column8060" dataDxfId="8320"/>
    <tableColumn id="8065" name="Column8061" dataDxfId="8319"/>
    <tableColumn id="8066" name="Column8062" dataDxfId="8318"/>
    <tableColumn id="8067" name="Column8063" dataDxfId="8317"/>
    <tableColumn id="8068" name="Column8064" dataDxfId="8316"/>
    <tableColumn id="8069" name="Column8065" dataDxfId="8315"/>
    <tableColumn id="8070" name="Column8066" dataDxfId="8314"/>
    <tableColumn id="8071" name="Column8067" dataDxfId="8313"/>
    <tableColumn id="8072" name="Column8068" dataDxfId="8312"/>
    <tableColumn id="8073" name="Column8069" dataDxfId="8311"/>
    <tableColumn id="8074" name="Column8070" dataDxfId="8310"/>
    <tableColumn id="8075" name="Column8071" dataDxfId="8309"/>
    <tableColumn id="8076" name="Column8072" dataDxfId="8308"/>
    <tableColumn id="8077" name="Column8073" dataDxfId="8307"/>
    <tableColumn id="8078" name="Column8074" dataDxfId="8306"/>
    <tableColumn id="8079" name="Column8075" dataDxfId="8305"/>
    <tableColumn id="8080" name="Column8076" dataDxfId="8304"/>
    <tableColumn id="8081" name="Column8077" dataDxfId="8303"/>
    <tableColumn id="8082" name="Column8078" dataDxfId="8302"/>
    <tableColumn id="8083" name="Column8079" dataDxfId="8301"/>
    <tableColumn id="8084" name="Column8080" dataDxfId="8300"/>
    <tableColumn id="8085" name="Column8081" dataDxfId="8299"/>
    <tableColumn id="8086" name="Column8082" dataDxfId="8298"/>
    <tableColumn id="8087" name="Column8083" dataDxfId="8297"/>
    <tableColumn id="8088" name="Column8084" dataDxfId="8296"/>
    <tableColumn id="8089" name="Column8085" dataDxfId="8295"/>
    <tableColumn id="8090" name="Column8086" dataDxfId="8294"/>
    <tableColumn id="8091" name="Column8087" dataDxfId="8293"/>
    <tableColumn id="8092" name="Column8088" dataDxfId="8292"/>
    <tableColumn id="8093" name="Column8089" dataDxfId="8291"/>
    <tableColumn id="8094" name="Column8090" dataDxfId="8290"/>
    <tableColumn id="8095" name="Column8091" dataDxfId="8289"/>
    <tableColumn id="8096" name="Column8092" dataDxfId="8288"/>
    <tableColumn id="8097" name="Column8093" dataDxfId="8287"/>
    <tableColumn id="8098" name="Column8094" dataDxfId="8286"/>
    <tableColumn id="8099" name="Column8095" dataDxfId="8285"/>
    <tableColumn id="8100" name="Column8096" dataDxfId="8284"/>
    <tableColumn id="8101" name="Column8097" dataDxfId="8283"/>
    <tableColumn id="8102" name="Column8098" dataDxfId="8282"/>
    <tableColumn id="8103" name="Column8099" dataDxfId="8281"/>
    <tableColumn id="8104" name="Column8100" dataDxfId="8280"/>
    <tableColumn id="8105" name="Column8101" dataDxfId="8279"/>
    <tableColumn id="8106" name="Column8102" dataDxfId="8278"/>
    <tableColumn id="8107" name="Column8103" dataDxfId="8277"/>
    <tableColumn id="8108" name="Column8104" dataDxfId="8276"/>
    <tableColumn id="8109" name="Column8105" dataDxfId="8275"/>
    <tableColumn id="8110" name="Column8106" dataDxfId="8274"/>
    <tableColumn id="8111" name="Column8107" dataDxfId="8273"/>
    <tableColumn id="8112" name="Column8108" dataDxfId="8272"/>
    <tableColumn id="8113" name="Column8109" dataDxfId="8271"/>
    <tableColumn id="8114" name="Column8110" dataDxfId="8270"/>
    <tableColumn id="8115" name="Column8111" dataDxfId="8269"/>
    <tableColumn id="8116" name="Column8112" dataDxfId="8268"/>
    <tableColumn id="8117" name="Column8113" dataDxfId="8267"/>
    <tableColumn id="8118" name="Column8114" dataDxfId="8266"/>
    <tableColumn id="8119" name="Column8115" dataDxfId="8265"/>
    <tableColumn id="8120" name="Column8116" dataDxfId="8264"/>
    <tableColumn id="8121" name="Column8117" dataDxfId="8263"/>
    <tableColumn id="8122" name="Column8118" dataDxfId="8262"/>
    <tableColumn id="8123" name="Column8119" dataDxfId="8261"/>
    <tableColumn id="8124" name="Column8120" dataDxfId="8260"/>
    <tableColumn id="8125" name="Column8121" dataDxfId="8259"/>
    <tableColumn id="8126" name="Column8122" dataDxfId="8258"/>
    <tableColumn id="8127" name="Column8123" dataDxfId="8257"/>
    <tableColumn id="8128" name="Column8124" dataDxfId="8256"/>
    <tableColumn id="8129" name="Column8125" dataDxfId="8255"/>
    <tableColumn id="8130" name="Column8126" dataDxfId="8254"/>
    <tableColumn id="8131" name="Column8127" dataDxfId="8253"/>
    <tableColumn id="8132" name="Column8128" dataDxfId="8252"/>
    <tableColumn id="8133" name="Column8129" dataDxfId="8251"/>
    <tableColumn id="8134" name="Column8130" dataDxfId="8250"/>
    <tableColumn id="8135" name="Column8131" dataDxfId="8249"/>
    <tableColumn id="8136" name="Column8132" dataDxfId="8248"/>
    <tableColumn id="8137" name="Column8133" dataDxfId="8247"/>
    <tableColumn id="8138" name="Column8134" dataDxfId="8246"/>
    <tableColumn id="8139" name="Column8135" dataDxfId="8245"/>
    <tableColumn id="8140" name="Column8136" dataDxfId="8244"/>
    <tableColumn id="8141" name="Column8137" dataDxfId="8243"/>
    <tableColumn id="8142" name="Column8138" dataDxfId="8242"/>
    <tableColumn id="8143" name="Column8139" dataDxfId="8241"/>
    <tableColumn id="8144" name="Column8140" dataDxfId="8240"/>
    <tableColumn id="8145" name="Column8141" dataDxfId="8239"/>
    <tableColumn id="8146" name="Column8142" dataDxfId="8238"/>
    <tableColumn id="8147" name="Column8143" dataDxfId="8237"/>
    <tableColumn id="8148" name="Column8144" dataDxfId="8236"/>
    <tableColumn id="8149" name="Column8145" dataDxfId="8235"/>
    <tableColumn id="8150" name="Column8146" dataDxfId="8234"/>
    <tableColumn id="8151" name="Column8147" dataDxfId="8233"/>
    <tableColumn id="8152" name="Column8148" dataDxfId="8232"/>
    <tableColumn id="8153" name="Column8149" dataDxfId="8231"/>
    <tableColumn id="8154" name="Column8150" dataDxfId="8230"/>
    <tableColumn id="8155" name="Column8151" dataDxfId="8229"/>
    <tableColumn id="8156" name="Column8152" dataDxfId="8228"/>
    <tableColumn id="8157" name="Column8153" dataDxfId="8227"/>
    <tableColumn id="8158" name="Column8154" dataDxfId="8226"/>
    <tableColumn id="8159" name="Column8155" dataDxfId="8225"/>
    <tableColumn id="8160" name="Column8156" dataDxfId="8224"/>
    <tableColumn id="8161" name="Column8157" dataDxfId="8223"/>
    <tableColumn id="8162" name="Column8158" dataDxfId="8222"/>
    <tableColumn id="8163" name="Column8159" dataDxfId="8221"/>
    <tableColumn id="8164" name="Column8160" dataDxfId="8220"/>
    <tableColumn id="8165" name="Column8161" dataDxfId="8219"/>
    <tableColumn id="8166" name="Column8162" dataDxfId="8218"/>
    <tableColumn id="8167" name="Column8163" dataDxfId="8217"/>
    <tableColumn id="8168" name="Column8164" dataDxfId="8216"/>
    <tableColumn id="8169" name="Column8165" dataDxfId="8215"/>
    <tableColumn id="8170" name="Column8166" dataDxfId="8214"/>
    <tableColumn id="8171" name="Column8167" dataDxfId="8213"/>
    <tableColumn id="8172" name="Column8168" dataDxfId="8212"/>
    <tableColumn id="8173" name="Column8169" dataDxfId="8211"/>
    <tableColumn id="8174" name="Column8170" dataDxfId="8210"/>
    <tableColumn id="8175" name="Column8171" dataDxfId="8209"/>
    <tableColumn id="8176" name="Column8172" dataDxfId="8208"/>
    <tableColumn id="8177" name="Column8173" dataDxfId="8207"/>
    <tableColumn id="8178" name="Column8174" dataDxfId="8206"/>
    <tableColumn id="8179" name="Column8175" dataDxfId="8205"/>
    <tableColumn id="8180" name="Column8176" dataDxfId="8204"/>
    <tableColumn id="8181" name="Column8177" dataDxfId="8203"/>
    <tableColumn id="8182" name="Column8178" dataDxfId="8202"/>
    <tableColumn id="8183" name="Column8179" dataDxfId="8201"/>
    <tableColumn id="8184" name="Column8180" dataDxfId="8200"/>
    <tableColumn id="8185" name="Column8181" dataDxfId="8199"/>
    <tableColumn id="8186" name="Column8182" dataDxfId="8198"/>
    <tableColumn id="8187" name="Column8183" dataDxfId="8197"/>
    <tableColumn id="8188" name="Column8184" dataDxfId="8196"/>
    <tableColumn id="8189" name="Column8185" dataDxfId="8195"/>
    <tableColumn id="8190" name="Column8186" dataDxfId="8194"/>
    <tableColumn id="8191" name="Column8187" dataDxfId="8193"/>
    <tableColumn id="8192" name="Column8188" dataDxfId="8192"/>
    <tableColumn id="8193" name="Column8189" dataDxfId="8191"/>
    <tableColumn id="8194" name="Column8190" dataDxfId="8190"/>
    <tableColumn id="8195" name="Column8191" dataDxfId="8189"/>
    <tableColumn id="8196" name="Column8192" dataDxfId="8188"/>
    <tableColumn id="8197" name="Column8193" dataDxfId="8187"/>
    <tableColumn id="8198" name="Column8194" dataDxfId="8186"/>
    <tableColumn id="8199" name="Column8195" dataDxfId="8185"/>
    <tableColumn id="8200" name="Column8196" dataDxfId="8184"/>
    <tableColumn id="8201" name="Column8197" dataDxfId="8183"/>
    <tableColumn id="8202" name="Column8198" dataDxfId="8182"/>
    <tableColumn id="8203" name="Column8199" dataDxfId="8181"/>
    <tableColumn id="8204" name="Column8200" dataDxfId="8180"/>
    <tableColumn id="8205" name="Column8201" dataDxfId="8179"/>
    <tableColumn id="8206" name="Column8202" dataDxfId="8178"/>
    <tableColumn id="8207" name="Column8203" dataDxfId="8177"/>
    <tableColumn id="8208" name="Column8204" dataDxfId="8176"/>
    <tableColumn id="8209" name="Column8205" dataDxfId="8175"/>
    <tableColumn id="8210" name="Column8206" dataDxfId="8174"/>
    <tableColumn id="8211" name="Column8207" dataDxfId="8173"/>
    <tableColumn id="8212" name="Column8208" dataDxfId="8172"/>
    <tableColumn id="8213" name="Column8209" dataDxfId="8171"/>
    <tableColumn id="8214" name="Column8210" dataDxfId="8170"/>
    <tableColumn id="8215" name="Column8211" dataDxfId="8169"/>
    <tableColumn id="8216" name="Column8212" dataDxfId="8168"/>
    <tableColumn id="8217" name="Column8213" dataDxfId="8167"/>
    <tableColumn id="8218" name="Column8214" dataDxfId="8166"/>
    <tableColumn id="8219" name="Column8215" dataDxfId="8165"/>
    <tableColumn id="8220" name="Column8216" dataDxfId="8164"/>
    <tableColumn id="8221" name="Column8217" dataDxfId="8163"/>
    <tableColumn id="8222" name="Column8218" dataDxfId="8162"/>
    <tableColumn id="8223" name="Column8219" dataDxfId="8161"/>
    <tableColumn id="8224" name="Column8220" dataDxfId="8160"/>
    <tableColumn id="8225" name="Column8221" dataDxfId="8159"/>
    <tableColumn id="8226" name="Column8222" dataDxfId="8158"/>
    <tableColumn id="8227" name="Column8223" dataDxfId="8157"/>
    <tableColumn id="8228" name="Column8224" dataDxfId="8156"/>
    <tableColumn id="8229" name="Column8225" dataDxfId="8155"/>
    <tableColumn id="8230" name="Column8226" dataDxfId="8154"/>
    <tableColumn id="8231" name="Column8227" dataDxfId="8153"/>
    <tableColumn id="8232" name="Column8228" dataDxfId="8152"/>
    <tableColumn id="8233" name="Column8229" dataDxfId="8151"/>
    <tableColumn id="8234" name="Column8230" dataDxfId="8150"/>
    <tableColumn id="8235" name="Column8231" dataDxfId="8149"/>
    <tableColumn id="8236" name="Column8232" dataDxfId="8148"/>
    <tableColumn id="8237" name="Column8233" dataDxfId="8147"/>
    <tableColumn id="8238" name="Column8234" dataDxfId="8146"/>
    <tableColumn id="8239" name="Column8235" dataDxfId="8145"/>
    <tableColumn id="8240" name="Column8236" dataDxfId="8144"/>
    <tableColumn id="8241" name="Column8237" dataDxfId="8143"/>
    <tableColumn id="8242" name="Column8238" dataDxfId="8142"/>
    <tableColumn id="8243" name="Column8239" dataDxfId="8141"/>
    <tableColumn id="8244" name="Column8240" dataDxfId="8140"/>
    <tableColumn id="8245" name="Column8241" dataDxfId="8139"/>
    <tableColumn id="8246" name="Column8242" dataDxfId="8138"/>
    <tableColumn id="8247" name="Column8243" dataDxfId="8137"/>
    <tableColumn id="8248" name="Column8244" dataDxfId="8136"/>
    <tableColumn id="8249" name="Column8245" dataDxfId="8135"/>
    <tableColumn id="8250" name="Column8246" dataDxfId="8134"/>
    <tableColumn id="8251" name="Column8247" dataDxfId="8133"/>
    <tableColumn id="8252" name="Column8248" dataDxfId="8132"/>
    <tableColumn id="8253" name="Column8249" dataDxfId="8131"/>
    <tableColumn id="8254" name="Column8250" dataDxfId="8130"/>
    <tableColumn id="8255" name="Column8251" dataDxfId="8129"/>
    <tableColumn id="8256" name="Column8252" dataDxfId="8128"/>
    <tableColumn id="8257" name="Column8253" dataDxfId="8127"/>
    <tableColumn id="8258" name="Column8254" dataDxfId="8126"/>
    <tableColumn id="8259" name="Column8255" dataDxfId="8125"/>
    <tableColumn id="8260" name="Column8256" dataDxfId="8124"/>
    <tableColumn id="8261" name="Column8257" dataDxfId="8123"/>
    <tableColumn id="8262" name="Column8258" dataDxfId="8122"/>
    <tableColumn id="8263" name="Column8259" dataDxfId="8121"/>
    <tableColumn id="8264" name="Column8260" dataDxfId="8120"/>
    <tableColumn id="8265" name="Column8261" dataDxfId="8119"/>
    <tableColumn id="8266" name="Column8262" dataDxfId="8118"/>
    <tableColumn id="8267" name="Column8263" dataDxfId="8117"/>
    <tableColumn id="8268" name="Column8264" dataDxfId="8116"/>
    <tableColumn id="8269" name="Column8265" dataDxfId="8115"/>
    <tableColumn id="8270" name="Column8266" dataDxfId="8114"/>
    <tableColumn id="8271" name="Column8267" dataDxfId="8113"/>
    <tableColumn id="8272" name="Column8268" dataDxfId="8112"/>
    <tableColumn id="8273" name="Column8269" dataDxfId="8111"/>
    <tableColumn id="8274" name="Column8270" dataDxfId="8110"/>
    <tableColumn id="8275" name="Column8271" dataDxfId="8109"/>
    <tableColumn id="8276" name="Column8272" dataDxfId="8108"/>
    <tableColumn id="8277" name="Column8273" dataDxfId="8107"/>
    <tableColumn id="8278" name="Column8274" dataDxfId="8106"/>
    <tableColumn id="8279" name="Column8275" dataDxfId="8105"/>
    <tableColumn id="8280" name="Column8276" dataDxfId="8104"/>
    <tableColumn id="8281" name="Column8277" dataDxfId="8103"/>
    <tableColumn id="8282" name="Column8278" dataDxfId="8102"/>
    <tableColumn id="8283" name="Column8279" dataDxfId="8101"/>
    <tableColumn id="8284" name="Column8280" dataDxfId="8100"/>
    <tableColumn id="8285" name="Column8281" dataDxfId="8099"/>
    <tableColumn id="8286" name="Column8282" dataDxfId="8098"/>
    <tableColumn id="8287" name="Column8283" dataDxfId="8097"/>
    <tableColumn id="8288" name="Column8284" dataDxfId="8096"/>
    <tableColumn id="8289" name="Column8285" dataDxfId="8095"/>
    <tableColumn id="8290" name="Column8286" dataDxfId="8094"/>
    <tableColumn id="8291" name="Column8287" dataDxfId="8093"/>
    <tableColumn id="8292" name="Column8288" dataDxfId="8092"/>
    <tableColumn id="8293" name="Column8289" dataDxfId="8091"/>
    <tableColumn id="8294" name="Column8290" dataDxfId="8090"/>
    <tableColumn id="8295" name="Column8291" dataDxfId="8089"/>
    <tableColumn id="8296" name="Column8292" dataDxfId="8088"/>
    <tableColumn id="8297" name="Column8293" dataDxfId="8087"/>
    <tableColumn id="8298" name="Column8294" dataDxfId="8086"/>
    <tableColumn id="8299" name="Column8295" dataDxfId="8085"/>
    <tableColumn id="8300" name="Column8296" dataDxfId="8084"/>
    <tableColumn id="8301" name="Column8297" dataDxfId="8083"/>
    <tableColumn id="8302" name="Column8298" dataDxfId="8082"/>
    <tableColumn id="8303" name="Column8299" dataDxfId="8081"/>
    <tableColumn id="8304" name="Column8300" dataDxfId="8080"/>
    <tableColumn id="8305" name="Column8301" dataDxfId="8079"/>
    <tableColumn id="8306" name="Column8302" dataDxfId="8078"/>
    <tableColumn id="8307" name="Column8303" dataDxfId="8077"/>
    <tableColumn id="8308" name="Column8304" dataDxfId="8076"/>
    <tableColumn id="8309" name="Column8305" dataDxfId="8075"/>
    <tableColumn id="8310" name="Column8306" dataDxfId="8074"/>
    <tableColumn id="8311" name="Column8307" dataDxfId="8073"/>
    <tableColumn id="8312" name="Column8308" dataDxfId="8072"/>
    <tableColumn id="8313" name="Column8309" dataDxfId="8071"/>
    <tableColumn id="8314" name="Column8310" dataDxfId="8070"/>
    <tableColumn id="8315" name="Column8311" dataDxfId="8069"/>
    <tableColumn id="8316" name="Column8312" dataDxfId="8068"/>
    <tableColumn id="8317" name="Column8313" dataDxfId="8067"/>
    <tableColumn id="8318" name="Column8314" dataDxfId="8066"/>
    <tableColumn id="8319" name="Column8315" dataDxfId="8065"/>
    <tableColumn id="8320" name="Column8316" dataDxfId="8064"/>
    <tableColumn id="8321" name="Column8317" dataDxfId="8063"/>
    <tableColumn id="8322" name="Column8318" dataDxfId="8062"/>
    <tableColumn id="8323" name="Column8319" dataDxfId="8061"/>
    <tableColumn id="8324" name="Column8320" dataDxfId="8060"/>
    <tableColumn id="8325" name="Column8321" dataDxfId="8059"/>
    <tableColumn id="8326" name="Column8322" dataDxfId="8058"/>
    <tableColumn id="8327" name="Column8323" dataDxfId="8057"/>
    <tableColumn id="8328" name="Column8324" dataDxfId="8056"/>
    <tableColumn id="8329" name="Column8325" dataDxfId="8055"/>
    <tableColumn id="8330" name="Column8326" dataDxfId="8054"/>
    <tableColumn id="8331" name="Column8327" dataDxfId="8053"/>
    <tableColumn id="8332" name="Column8328" dataDxfId="8052"/>
    <tableColumn id="8333" name="Column8329" dataDxfId="8051"/>
    <tableColumn id="8334" name="Column8330" dataDxfId="8050"/>
    <tableColumn id="8335" name="Column8331" dataDxfId="8049"/>
    <tableColumn id="8336" name="Column8332" dataDxfId="8048"/>
    <tableColumn id="8337" name="Column8333" dataDxfId="8047"/>
    <tableColumn id="8338" name="Column8334" dataDxfId="8046"/>
    <tableColumn id="8339" name="Column8335" dataDxfId="8045"/>
    <tableColumn id="8340" name="Column8336" dataDxfId="8044"/>
    <tableColumn id="8341" name="Column8337" dataDxfId="8043"/>
    <tableColumn id="8342" name="Column8338" dataDxfId="8042"/>
    <tableColumn id="8343" name="Column8339" dataDxfId="8041"/>
    <tableColumn id="8344" name="Column8340" dataDxfId="8040"/>
    <tableColumn id="8345" name="Column8341" dataDxfId="8039"/>
    <tableColumn id="8346" name="Column8342" dataDxfId="8038"/>
    <tableColumn id="8347" name="Column8343" dataDxfId="8037"/>
    <tableColumn id="8348" name="Column8344" dataDxfId="8036"/>
    <tableColumn id="8349" name="Column8345" dataDxfId="8035"/>
    <tableColumn id="8350" name="Column8346" dataDxfId="8034"/>
    <tableColumn id="8351" name="Column8347" dataDxfId="8033"/>
    <tableColumn id="8352" name="Column8348" dataDxfId="8032"/>
    <tableColumn id="8353" name="Column8349" dataDxfId="8031"/>
    <tableColumn id="8354" name="Column8350" dataDxfId="8030"/>
    <tableColumn id="8355" name="Column8351" dataDxfId="8029"/>
    <tableColumn id="8356" name="Column8352" dataDxfId="8028"/>
    <tableColumn id="8357" name="Column8353" dataDxfId="8027"/>
    <tableColumn id="8358" name="Column8354" dataDxfId="8026"/>
    <tableColumn id="8359" name="Column8355" dataDxfId="8025"/>
    <tableColumn id="8360" name="Column8356" dataDxfId="8024"/>
    <tableColumn id="8361" name="Column8357" dataDxfId="8023"/>
    <tableColumn id="8362" name="Column8358" dataDxfId="8022"/>
    <tableColumn id="8363" name="Column8359" dataDxfId="8021"/>
    <tableColumn id="8364" name="Column8360" dataDxfId="8020"/>
    <tableColumn id="8365" name="Column8361" dataDxfId="8019"/>
    <tableColumn id="8366" name="Column8362" dataDxfId="8018"/>
    <tableColumn id="8367" name="Column8363" dataDxfId="8017"/>
    <tableColumn id="8368" name="Column8364" dataDxfId="8016"/>
    <tableColumn id="8369" name="Column8365" dataDxfId="8015"/>
    <tableColumn id="8370" name="Column8366" dataDxfId="8014"/>
    <tableColumn id="8371" name="Column8367" dataDxfId="8013"/>
    <tableColumn id="8372" name="Column8368" dataDxfId="8012"/>
    <tableColumn id="8373" name="Column8369" dataDxfId="8011"/>
    <tableColumn id="8374" name="Column8370" dataDxfId="8010"/>
    <tableColumn id="8375" name="Column8371" dataDxfId="8009"/>
    <tableColumn id="8376" name="Column8372" dataDxfId="8008"/>
    <tableColumn id="8377" name="Column8373" dataDxfId="8007"/>
    <tableColumn id="8378" name="Column8374" dataDxfId="8006"/>
    <tableColumn id="8379" name="Column8375" dataDxfId="8005"/>
    <tableColumn id="8380" name="Column8376" dataDxfId="8004"/>
    <tableColumn id="8381" name="Column8377" dataDxfId="8003"/>
    <tableColumn id="8382" name="Column8378" dataDxfId="8002"/>
    <tableColumn id="8383" name="Column8379" dataDxfId="8001"/>
    <tableColumn id="8384" name="Column8380" dataDxfId="8000"/>
    <tableColumn id="8385" name="Column8381" dataDxfId="7999"/>
    <tableColumn id="8386" name="Column8382" dataDxfId="7998"/>
    <tableColumn id="8387" name="Column8383" dataDxfId="7997"/>
    <tableColumn id="8388" name="Column8384" dataDxfId="7996"/>
    <tableColumn id="8389" name="Column8385" dataDxfId="7995"/>
    <tableColumn id="8390" name="Column8386" dataDxfId="7994"/>
    <tableColumn id="8391" name="Column8387" dataDxfId="7993"/>
    <tableColumn id="8392" name="Column8388" dataDxfId="7992"/>
    <tableColumn id="8393" name="Column8389" dataDxfId="7991"/>
    <tableColumn id="8394" name="Column8390" dataDxfId="7990"/>
    <tableColumn id="8395" name="Column8391" dataDxfId="7989"/>
    <tableColumn id="8396" name="Column8392" dataDxfId="7988"/>
    <tableColumn id="8397" name="Column8393" dataDxfId="7987"/>
    <tableColumn id="8398" name="Column8394" dataDxfId="7986"/>
    <tableColumn id="8399" name="Column8395" dataDxfId="7985"/>
    <tableColumn id="8400" name="Column8396" dataDxfId="7984"/>
    <tableColumn id="8401" name="Column8397" dataDxfId="7983"/>
    <tableColumn id="8402" name="Column8398" dataDxfId="7982"/>
    <tableColumn id="8403" name="Column8399" dataDxfId="7981"/>
    <tableColumn id="8404" name="Column8400" dataDxfId="7980"/>
    <tableColumn id="8405" name="Column8401" dataDxfId="7979"/>
    <tableColumn id="8406" name="Column8402" dataDxfId="7978"/>
    <tableColumn id="8407" name="Column8403" dataDxfId="7977"/>
    <tableColumn id="8408" name="Column8404" dataDxfId="7976"/>
    <tableColumn id="8409" name="Column8405" dataDxfId="7975"/>
    <tableColumn id="8410" name="Column8406" dataDxfId="7974"/>
    <tableColumn id="8411" name="Column8407" dataDxfId="7973"/>
    <tableColumn id="8412" name="Column8408" dataDxfId="7972"/>
    <tableColumn id="8413" name="Column8409" dataDxfId="7971"/>
    <tableColumn id="8414" name="Column8410" dataDxfId="7970"/>
    <tableColumn id="8415" name="Column8411" dataDxfId="7969"/>
    <tableColumn id="8416" name="Column8412" dataDxfId="7968"/>
    <tableColumn id="8417" name="Column8413" dataDxfId="7967"/>
    <tableColumn id="8418" name="Column8414" dataDxfId="7966"/>
    <tableColumn id="8419" name="Column8415" dataDxfId="7965"/>
    <tableColumn id="8420" name="Column8416" dataDxfId="7964"/>
    <tableColumn id="8421" name="Column8417" dataDxfId="7963"/>
    <tableColumn id="8422" name="Column8418" dataDxfId="7962"/>
    <tableColumn id="8423" name="Column8419" dataDxfId="7961"/>
    <tableColumn id="8424" name="Column8420" dataDxfId="7960"/>
    <tableColumn id="8425" name="Column8421" dataDxfId="7959"/>
    <tableColumn id="8426" name="Column8422" dataDxfId="7958"/>
    <tableColumn id="8427" name="Column8423" dataDxfId="7957"/>
    <tableColumn id="8428" name="Column8424" dataDxfId="7956"/>
    <tableColumn id="8429" name="Column8425" dataDxfId="7955"/>
    <tableColumn id="8430" name="Column8426" dataDxfId="7954"/>
    <tableColumn id="8431" name="Column8427" dataDxfId="7953"/>
    <tableColumn id="8432" name="Column8428" dataDxfId="7952"/>
    <tableColumn id="8433" name="Column8429" dataDxfId="7951"/>
    <tableColumn id="8434" name="Column8430" dataDxfId="7950"/>
    <tableColumn id="8435" name="Column8431" dataDxfId="7949"/>
    <tableColumn id="8436" name="Column8432" dataDxfId="7948"/>
    <tableColumn id="8437" name="Column8433" dataDxfId="7947"/>
    <tableColumn id="8438" name="Column8434" dataDxfId="7946"/>
    <tableColumn id="8439" name="Column8435" dataDxfId="7945"/>
    <tableColumn id="8440" name="Column8436" dataDxfId="7944"/>
    <tableColumn id="8441" name="Column8437" dataDxfId="7943"/>
    <tableColumn id="8442" name="Column8438" dataDxfId="7942"/>
    <tableColumn id="8443" name="Column8439" dataDxfId="7941"/>
    <tableColumn id="8444" name="Column8440" dataDxfId="7940"/>
    <tableColumn id="8445" name="Column8441" dataDxfId="7939"/>
    <tableColumn id="8446" name="Column8442" dataDxfId="7938"/>
    <tableColumn id="8447" name="Column8443" dataDxfId="7937"/>
    <tableColumn id="8448" name="Column8444" dataDxfId="7936"/>
    <tableColumn id="8449" name="Column8445" dataDxfId="7935"/>
    <tableColumn id="8450" name="Column8446" dataDxfId="7934"/>
    <tableColumn id="8451" name="Column8447" dataDxfId="7933"/>
    <tableColumn id="8452" name="Column8448" dataDxfId="7932"/>
    <tableColumn id="8453" name="Column8449" dataDxfId="7931"/>
    <tableColumn id="8454" name="Column8450" dataDxfId="7930"/>
    <tableColumn id="8455" name="Column8451" dataDxfId="7929"/>
    <tableColumn id="8456" name="Column8452" dataDxfId="7928"/>
    <tableColumn id="8457" name="Column8453" dataDxfId="7927"/>
    <tableColumn id="8458" name="Column8454" dataDxfId="7926"/>
    <tableColumn id="8459" name="Column8455" dataDxfId="7925"/>
    <tableColumn id="8460" name="Column8456" dataDxfId="7924"/>
    <tableColumn id="8461" name="Column8457" dataDxfId="7923"/>
    <tableColumn id="8462" name="Column8458" dataDxfId="7922"/>
    <tableColumn id="8463" name="Column8459" dataDxfId="7921"/>
    <tableColumn id="8464" name="Column8460" dataDxfId="7920"/>
    <tableColumn id="8465" name="Column8461" dataDxfId="7919"/>
    <tableColumn id="8466" name="Column8462" dataDxfId="7918"/>
    <tableColumn id="8467" name="Column8463" dataDxfId="7917"/>
    <tableColumn id="8468" name="Column8464" dataDxfId="7916"/>
    <tableColumn id="8469" name="Column8465" dataDxfId="7915"/>
    <tableColumn id="8470" name="Column8466" dataDxfId="7914"/>
    <tableColumn id="8471" name="Column8467" dataDxfId="7913"/>
    <tableColumn id="8472" name="Column8468" dataDxfId="7912"/>
    <tableColumn id="8473" name="Column8469" dataDxfId="7911"/>
    <tableColumn id="8474" name="Column8470" dataDxfId="7910"/>
    <tableColumn id="8475" name="Column8471" dataDxfId="7909"/>
    <tableColumn id="8476" name="Column8472" dataDxfId="7908"/>
    <tableColumn id="8477" name="Column8473" dataDxfId="7907"/>
    <tableColumn id="8478" name="Column8474" dataDxfId="7906"/>
    <tableColumn id="8479" name="Column8475" dataDxfId="7905"/>
    <tableColumn id="8480" name="Column8476" dataDxfId="7904"/>
    <tableColumn id="8481" name="Column8477" dataDxfId="7903"/>
    <tableColumn id="8482" name="Column8478" dataDxfId="7902"/>
    <tableColumn id="8483" name="Column8479" dataDxfId="7901"/>
    <tableColumn id="8484" name="Column8480" dataDxfId="7900"/>
    <tableColumn id="8485" name="Column8481" dataDxfId="7899"/>
    <tableColumn id="8486" name="Column8482" dataDxfId="7898"/>
    <tableColumn id="8487" name="Column8483" dataDxfId="7897"/>
    <tableColumn id="8488" name="Column8484" dataDxfId="7896"/>
    <tableColumn id="8489" name="Column8485" dataDxfId="7895"/>
    <tableColumn id="8490" name="Column8486" dataDxfId="7894"/>
    <tableColumn id="8491" name="Column8487" dataDxfId="7893"/>
    <tableColumn id="8492" name="Column8488" dataDxfId="7892"/>
    <tableColumn id="8493" name="Column8489" dataDxfId="7891"/>
    <tableColumn id="8494" name="Column8490" dataDxfId="7890"/>
    <tableColumn id="8495" name="Column8491" dataDxfId="7889"/>
    <tableColumn id="8496" name="Column8492" dataDxfId="7888"/>
    <tableColumn id="8497" name="Column8493" dataDxfId="7887"/>
    <tableColumn id="8498" name="Column8494" dataDxfId="7886"/>
    <tableColumn id="8499" name="Column8495" dataDxfId="7885"/>
    <tableColumn id="8500" name="Column8496" dataDxfId="7884"/>
    <tableColumn id="8501" name="Column8497" dataDxfId="7883"/>
    <tableColumn id="8502" name="Column8498" dataDxfId="7882"/>
    <tableColumn id="8503" name="Column8499" dataDxfId="7881"/>
    <tableColumn id="8504" name="Column8500" dataDxfId="7880"/>
    <tableColumn id="8505" name="Column8501" dataDxfId="7879"/>
    <tableColumn id="8506" name="Column8502" dataDxfId="7878"/>
    <tableColumn id="8507" name="Column8503" dataDxfId="7877"/>
    <tableColumn id="8508" name="Column8504" dataDxfId="7876"/>
    <tableColumn id="8509" name="Column8505" dataDxfId="7875"/>
    <tableColumn id="8510" name="Column8506" dataDxfId="7874"/>
    <tableColumn id="8511" name="Column8507" dataDxfId="7873"/>
    <tableColumn id="8512" name="Column8508" dataDxfId="7872"/>
    <tableColumn id="8513" name="Column8509" dataDxfId="7871"/>
    <tableColumn id="8514" name="Column8510" dataDxfId="7870"/>
    <tableColumn id="8515" name="Column8511" dataDxfId="7869"/>
    <tableColumn id="8516" name="Column8512" dataDxfId="7868"/>
    <tableColumn id="8517" name="Column8513" dataDxfId="7867"/>
    <tableColumn id="8518" name="Column8514" dataDxfId="7866"/>
    <tableColumn id="8519" name="Column8515" dataDxfId="7865"/>
    <tableColumn id="8520" name="Column8516" dataDxfId="7864"/>
    <tableColumn id="8521" name="Column8517" dataDxfId="7863"/>
    <tableColumn id="8522" name="Column8518" dataDxfId="7862"/>
    <tableColumn id="8523" name="Column8519" dataDxfId="7861"/>
    <tableColumn id="8524" name="Column8520" dataDxfId="7860"/>
    <tableColumn id="8525" name="Column8521" dataDxfId="7859"/>
    <tableColumn id="8526" name="Column8522" dataDxfId="7858"/>
    <tableColumn id="8527" name="Column8523" dataDxfId="7857"/>
    <tableColumn id="8528" name="Column8524" dataDxfId="7856"/>
    <tableColumn id="8529" name="Column8525" dataDxfId="7855"/>
    <tableColumn id="8530" name="Column8526" dataDxfId="7854"/>
    <tableColumn id="8531" name="Column8527" dataDxfId="7853"/>
    <tableColumn id="8532" name="Column8528" dataDxfId="7852"/>
    <tableColumn id="8533" name="Column8529" dataDxfId="7851"/>
    <tableColumn id="8534" name="Column8530" dataDxfId="7850"/>
    <tableColumn id="8535" name="Column8531" dataDxfId="7849"/>
    <tableColumn id="8536" name="Column8532" dataDxfId="7848"/>
    <tableColumn id="8537" name="Column8533" dataDxfId="7847"/>
    <tableColumn id="8538" name="Column8534" dataDxfId="7846"/>
    <tableColumn id="8539" name="Column8535" dataDxfId="7845"/>
    <tableColumn id="8540" name="Column8536" dataDxfId="7844"/>
    <tableColumn id="8541" name="Column8537" dataDxfId="7843"/>
    <tableColumn id="8542" name="Column8538" dataDxfId="7842"/>
    <tableColumn id="8543" name="Column8539" dataDxfId="7841"/>
    <tableColumn id="8544" name="Column8540" dataDxfId="7840"/>
    <tableColumn id="8545" name="Column8541" dataDxfId="7839"/>
    <tableColumn id="8546" name="Column8542" dataDxfId="7838"/>
    <tableColumn id="8547" name="Column8543" dataDxfId="7837"/>
    <tableColumn id="8548" name="Column8544" dataDxfId="7836"/>
    <tableColumn id="8549" name="Column8545" dataDxfId="7835"/>
    <tableColumn id="8550" name="Column8546" dataDxfId="7834"/>
    <tableColumn id="8551" name="Column8547" dataDxfId="7833"/>
    <tableColumn id="8552" name="Column8548" dataDxfId="7832"/>
    <tableColumn id="8553" name="Column8549" dataDxfId="7831"/>
    <tableColumn id="8554" name="Column8550" dataDxfId="7830"/>
    <tableColumn id="8555" name="Column8551" dataDxfId="7829"/>
    <tableColumn id="8556" name="Column8552" dataDxfId="7828"/>
    <tableColumn id="8557" name="Column8553" dataDxfId="7827"/>
    <tableColumn id="8558" name="Column8554" dataDxfId="7826"/>
    <tableColumn id="8559" name="Column8555" dataDxfId="7825"/>
    <tableColumn id="8560" name="Column8556" dataDxfId="7824"/>
    <tableColumn id="8561" name="Column8557" dataDxfId="7823"/>
    <tableColumn id="8562" name="Column8558" dataDxfId="7822"/>
    <tableColumn id="8563" name="Column8559" dataDxfId="7821"/>
    <tableColumn id="8564" name="Column8560" dataDxfId="7820"/>
    <tableColumn id="8565" name="Column8561" dataDxfId="7819"/>
    <tableColumn id="8566" name="Column8562" dataDxfId="7818"/>
    <tableColumn id="8567" name="Column8563" dataDxfId="7817"/>
    <tableColumn id="8568" name="Column8564" dataDxfId="7816"/>
    <tableColumn id="8569" name="Column8565" dataDxfId="7815"/>
    <tableColumn id="8570" name="Column8566" dataDxfId="7814"/>
    <tableColumn id="8571" name="Column8567" dataDxfId="7813"/>
    <tableColumn id="8572" name="Column8568" dataDxfId="7812"/>
    <tableColumn id="8573" name="Column8569" dataDxfId="7811"/>
    <tableColumn id="8574" name="Column8570" dataDxfId="7810"/>
    <tableColumn id="8575" name="Column8571" dataDxfId="7809"/>
    <tableColumn id="8576" name="Column8572" dataDxfId="7808"/>
    <tableColumn id="8577" name="Column8573" dataDxfId="7807"/>
    <tableColumn id="8578" name="Column8574" dataDxfId="7806"/>
    <tableColumn id="8579" name="Column8575" dataDxfId="7805"/>
    <tableColumn id="8580" name="Column8576" dataDxfId="7804"/>
    <tableColumn id="8581" name="Column8577" dataDxfId="7803"/>
    <tableColumn id="8582" name="Column8578" dataDxfId="7802"/>
    <tableColumn id="8583" name="Column8579" dataDxfId="7801"/>
    <tableColumn id="8584" name="Column8580" dataDxfId="7800"/>
    <tableColumn id="8585" name="Column8581" dataDxfId="7799"/>
    <tableColumn id="8586" name="Column8582" dataDxfId="7798"/>
    <tableColumn id="8587" name="Column8583" dataDxfId="7797"/>
    <tableColumn id="8588" name="Column8584" dataDxfId="7796"/>
    <tableColumn id="8589" name="Column8585" dataDxfId="7795"/>
    <tableColumn id="8590" name="Column8586" dataDxfId="7794"/>
    <tableColumn id="8591" name="Column8587" dataDxfId="7793"/>
    <tableColumn id="8592" name="Column8588" dataDxfId="7792"/>
    <tableColumn id="8593" name="Column8589" dataDxfId="7791"/>
    <tableColumn id="8594" name="Column8590" dataDxfId="7790"/>
    <tableColumn id="8595" name="Column8591" dataDxfId="7789"/>
    <tableColumn id="8596" name="Column8592" dataDxfId="7788"/>
    <tableColumn id="8597" name="Column8593" dataDxfId="7787"/>
    <tableColumn id="8598" name="Column8594" dataDxfId="7786"/>
    <tableColumn id="8599" name="Column8595" dataDxfId="7785"/>
    <tableColumn id="8600" name="Column8596" dataDxfId="7784"/>
    <tableColumn id="8601" name="Column8597" dataDxfId="7783"/>
    <tableColumn id="8602" name="Column8598" dataDxfId="7782"/>
    <tableColumn id="8603" name="Column8599" dataDxfId="7781"/>
    <tableColumn id="8604" name="Column8600" dataDxfId="7780"/>
    <tableColumn id="8605" name="Column8601" dataDxfId="7779"/>
    <tableColumn id="8606" name="Column8602" dataDxfId="7778"/>
    <tableColumn id="8607" name="Column8603" dataDxfId="7777"/>
    <tableColumn id="8608" name="Column8604" dataDxfId="7776"/>
    <tableColumn id="8609" name="Column8605" dataDxfId="7775"/>
    <tableColumn id="8610" name="Column8606" dataDxfId="7774"/>
    <tableColumn id="8611" name="Column8607" dataDxfId="7773"/>
    <tableColumn id="8612" name="Column8608" dataDxfId="7772"/>
    <tableColumn id="8613" name="Column8609" dataDxfId="7771"/>
    <tableColumn id="8614" name="Column8610" dataDxfId="7770"/>
    <tableColumn id="8615" name="Column8611" dataDxfId="7769"/>
    <tableColumn id="8616" name="Column8612" dataDxfId="7768"/>
    <tableColumn id="8617" name="Column8613" dataDxfId="7767"/>
    <tableColumn id="8618" name="Column8614" dataDxfId="7766"/>
    <tableColumn id="8619" name="Column8615" dataDxfId="7765"/>
    <tableColumn id="8620" name="Column8616" dataDxfId="7764"/>
    <tableColumn id="8621" name="Column8617" dataDxfId="7763"/>
    <tableColumn id="8622" name="Column8618" dataDxfId="7762"/>
    <tableColumn id="8623" name="Column8619" dataDxfId="7761"/>
    <tableColumn id="8624" name="Column8620" dataDxfId="7760"/>
    <tableColumn id="8625" name="Column8621" dataDxfId="7759"/>
    <tableColumn id="8626" name="Column8622" dataDxfId="7758"/>
    <tableColumn id="8627" name="Column8623" dataDxfId="7757"/>
    <tableColumn id="8628" name="Column8624" dataDxfId="7756"/>
    <tableColumn id="8629" name="Column8625" dataDxfId="7755"/>
    <tableColumn id="8630" name="Column8626" dataDxfId="7754"/>
    <tableColumn id="8631" name="Column8627" dataDxfId="7753"/>
    <tableColumn id="8632" name="Column8628" dataDxfId="7752"/>
    <tableColumn id="8633" name="Column8629" dataDxfId="7751"/>
    <tableColumn id="8634" name="Column8630" dataDxfId="7750"/>
    <tableColumn id="8635" name="Column8631" dataDxfId="7749"/>
    <tableColumn id="8636" name="Column8632" dataDxfId="7748"/>
    <tableColumn id="8637" name="Column8633" dataDxfId="7747"/>
    <tableColumn id="8638" name="Column8634" dataDxfId="7746"/>
    <tableColumn id="8639" name="Column8635" dataDxfId="7745"/>
    <tableColumn id="8640" name="Column8636" dataDxfId="7744"/>
    <tableColumn id="8641" name="Column8637" dataDxfId="7743"/>
    <tableColumn id="8642" name="Column8638" dataDxfId="7742"/>
    <tableColumn id="8643" name="Column8639" dataDxfId="7741"/>
    <tableColumn id="8644" name="Column8640" dataDxfId="7740"/>
    <tableColumn id="8645" name="Column8641" dataDxfId="7739"/>
    <tableColumn id="8646" name="Column8642" dataDxfId="7738"/>
    <tableColumn id="8647" name="Column8643" dataDxfId="7737"/>
    <tableColumn id="8648" name="Column8644" dataDxfId="7736"/>
    <tableColumn id="8649" name="Column8645" dataDxfId="7735"/>
    <tableColumn id="8650" name="Column8646" dataDxfId="7734"/>
    <tableColumn id="8651" name="Column8647" dataDxfId="7733"/>
    <tableColumn id="8652" name="Column8648" dataDxfId="7732"/>
    <tableColumn id="8653" name="Column8649" dataDxfId="7731"/>
    <tableColumn id="8654" name="Column8650" dataDxfId="7730"/>
    <tableColumn id="8655" name="Column8651" dataDxfId="7729"/>
    <tableColumn id="8656" name="Column8652" dataDxfId="7728"/>
    <tableColumn id="8657" name="Column8653" dataDxfId="7727"/>
    <tableColumn id="8658" name="Column8654" dataDxfId="7726"/>
    <tableColumn id="8659" name="Column8655" dataDxfId="7725"/>
    <tableColumn id="8660" name="Column8656" dataDxfId="7724"/>
    <tableColumn id="8661" name="Column8657" dataDxfId="7723"/>
    <tableColumn id="8662" name="Column8658" dataDxfId="7722"/>
    <tableColumn id="8663" name="Column8659" dataDxfId="7721"/>
    <tableColumn id="8664" name="Column8660" dataDxfId="7720"/>
    <tableColumn id="8665" name="Column8661" dataDxfId="7719"/>
    <tableColumn id="8666" name="Column8662" dataDxfId="7718"/>
    <tableColumn id="8667" name="Column8663" dataDxfId="7717"/>
    <tableColumn id="8668" name="Column8664" dataDxfId="7716"/>
    <tableColumn id="8669" name="Column8665" dataDxfId="7715"/>
    <tableColumn id="8670" name="Column8666" dataDxfId="7714"/>
    <tableColumn id="8671" name="Column8667" dataDxfId="7713"/>
    <tableColumn id="8672" name="Column8668" dataDxfId="7712"/>
    <tableColumn id="8673" name="Column8669" dataDxfId="7711"/>
    <tableColumn id="8674" name="Column8670" dataDxfId="7710"/>
    <tableColumn id="8675" name="Column8671" dataDxfId="7709"/>
    <tableColumn id="8676" name="Column8672" dataDxfId="7708"/>
    <tableColumn id="8677" name="Column8673" dataDxfId="7707"/>
    <tableColumn id="8678" name="Column8674" dataDxfId="7706"/>
    <tableColumn id="8679" name="Column8675" dataDxfId="7705"/>
    <tableColumn id="8680" name="Column8676" dataDxfId="7704"/>
    <tableColumn id="8681" name="Column8677" dataDxfId="7703"/>
    <tableColumn id="8682" name="Column8678" dataDxfId="7702"/>
    <tableColumn id="8683" name="Column8679" dataDxfId="7701"/>
    <tableColumn id="8684" name="Column8680" dataDxfId="7700"/>
    <tableColumn id="8685" name="Column8681" dataDxfId="7699"/>
    <tableColumn id="8686" name="Column8682" dataDxfId="7698"/>
    <tableColumn id="8687" name="Column8683" dataDxfId="7697"/>
    <tableColumn id="8688" name="Column8684" dataDxfId="7696"/>
    <tableColumn id="8689" name="Column8685" dataDxfId="7695"/>
    <tableColumn id="8690" name="Column8686" dataDxfId="7694"/>
    <tableColumn id="8691" name="Column8687" dataDxfId="7693"/>
    <tableColumn id="8692" name="Column8688" dataDxfId="7692"/>
    <tableColumn id="8693" name="Column8689" dataDxfId="7691"/>
    <tableColumn id="8694" name="Column8690" dataDxfId="7690"/>
    <tableColumn id="8695" name="Column8691" dataDxfId="7689"/>
    <tableColumn id="8696" name="Column8692" dataDxfId="7688"/>
    <tableColumn id="8697" name="Column8693" dataDxfId="7687"/>
    <tableColumn id="8698" name="Column8694" dataDxfId="7686"/>
    <tableColumn id="8699" name="Column8695" dataDxfId="7685"/>
    <tableColumn id="8700" name="Column8696" dataDxfId="7684"/>
    <tableColumn id="8701" name="Column8697" dataDxfId="7683"/>
    <tableColumn id="8702" name="Column8698" dataDxfId="7682"/>
    <tableColumn id="8703" name="Column8699" dataDxfId="7681"/>
    <tableColumn id="8704" name="Column8700" dataDxfId="7680"/>
    <tableColumn id="8705" name="Column8701" dataDxfId="7679"/>
    <tableColumn id="8706" name="Column8702" dataDxfId="7678"/>
    <tableColumn id="8707" name="Column8703" dataDxfId="7677"/>
    <tableColumn id="8708" name="Column8704" dataDxfId="7676"/>
    <tableColumn id="8709" name="Column8705" dataDxfId="7675"/>
    <tableColumn id="8710" name="Column8706" dataDxfId="7674"/>
    <tableColumn id="8711" name="Column8707" dataDxfId="7673"/>
    <tableColumn id="8712" name="Column8708" dataDxfId="7672"/>
    <tableColumn id="8713" name="Column8709" dataDxfId="7671"/>
    <tableColumn id="8714" name="Column8710" dataDxfId="7670"/>
    <tableColumn id="8715" name="Column8711" dataDxfId="7669"/>
    <tableColumn id="8716" name="Column8712" dataDxfId="7668"/>
    <tableColumn id="8717" name="Column8713" dataDxfId="7667"/>
    <tableColumn id="8718" name="Column8714" dataDxfId="7666"/>
    <tableColumn id="8719" name="Column8715" dataDxfId="7665"/>
    <tableColumn id="8720" name="Column8716" dataDxfId="7664"/>
    <tableColumn id="8721" name="Column8717" dataDxfId="7663"/>
    <tableColumn id="8722" name="Column8718" dataDxfId="7662"/>
    <tableColumn id="8723" name="Column8719" dataDxfId="7661"/>
    <tableColumn id="8724" name="Column8720" dataDxfId="7660"/>
    <tableColumn id="8725" name="Column8721" dataDxfId="7659"/>
    <tableColumn id="8726" name="Column8722" dataDxfId="7658"/>
    <tableColumn id="8727" name="Column8723" dataDxfId="7657"/>
    <tableColumn id="8728" name="Column8724" dataDxfId="7656"/>
    <tableColumn id="8729" name="Column8725" dataDxfId="7655"/>
    <tableColumn id="8730" name="Column8726" dataDxfId="7654"/>
    <tableColumn id="8731" name="Column8727" dataDxfId="7653"/>
    <tableColumn id="8732" name="Column8728" dataDxfId="7652"/>
    <tableColumn id="8733" name="Column8729" dataDxfId="7651"/>
    <tableColumn id="8734" name="Column8730" dataDxfId="7650"/>
    <tableColumn id="8735" name="Column8731" dataDxfId="7649"/>
    <tableColumn id="8736" name="Column8732" dataDxfId="7648"/>
    <tableColumn id="8737" name="Column8733" dataDxfId="7647"/>
    <tableColumn id="8738" name="Column8734" dataDxfId="7646"/>
    <tableColumn id="8739" name="Column8735" dataDxfId="7645"/>
    <tableColumn id="8740" name="Column8736" dataDxfId="7644"/>
    <tableColumn id="8741" name="Column8737" dataDxfId="7643"/>
    <tableColumn id="8742" name="Column8738" dataDxfId="7642"/>
    <tableColumn id="8743" name="Column8739" dataDxfId="7641"/>
    <tableColumn id="8744" name="Column8740" dataDxfId="7640"/>
    <tableColumn id="8745" name="Column8741" dataDxfId="7639"/>
    <tableColumn id="8746" name="Column8742" dataDxfId="7638"/>
    <tableColumn id="8747" name="Column8743" dataDxfId="7637"/>
    <tableColumn id="8748" name="Column8744" dataDxfId="7636"/>
    <tableColumn id="8749" name="Column8745" dataDxfId="7635"/>
    <tableColumn id="8750" name="Column8746" dataDxfId="7634"/>
    <tableColumn id="8751" name="Column8747" dataDxfId="7633"/>
    <tableColumn id="8752" name="Column8748" dataDxfId="7632"/>
    <tableColumn id="8753" name="Column8749" dataDxfId="7631"/>
    <tableColumn id="8754" name="Column8750" dataDxfId="7630"/>
    <tableColumn id="8755" name="Column8751" dataDxfId="7629"/>
    <tableColumn id="8756" name="Column8752" dataDxfId="7628"/>
    <tableColumn id="8757" name="Column8753" dataDxfId="7627"/>
    <tableColumn id="8758" name="Column8754" dataDxfId="7626"/>
    <tableColumn id="8759" name="Column8755" dataDxfId="7625"/>
    <tableColumn id="8760" name="Column8756" dataDxfId="7624"/>
    <tableColumn id="8761" name="Column8757" dataDxfId="7623"/>
    <tableColumn id="8762" name="Column8758" dataDxfId="7622"/>
    <tableColumn id="8763" name="Column8759" dataDxfId="7621"/>
    <tableColumn id="8764" name="Column8760" dataDxfId="7620"/>
    <tableColumn id="8765" name="Column8761" dataDxfId="7619"/>
    <tableColumn id="8766" name="Column8762" dataDxfId="7618"/>
    <tableColumn id="8767" name="Column8763" dataDxfId="7617"/>
    <tableColumn id="8768" name="Column8764" dataDxfId="7616"/>
    <tableColumn id="8769" name="Column8765" dataDxfId="7615"/>
    <tableColumn id="8770" name="Column8766" dataDxfId="7614"/>
    <tableColumn id="8771" name="Column8767" dataDxfId="7613"/>
    <tableColumn id="8772" name="Column8768" dataDxfId="7612"/>
    <tableColumn id="8773" name="Column8769" dataDxfId="7611"/>
    <tableColumn id="8774" name="Column8770" dataDxfId="7610"/>
    <tableColumn id="8775" name="Column8771" dataDxfId="7609"/>
    <tableColumn id="8776" name="Column8772" dataDxfId="7608"/>
    <tableColumn id="8777" name="Column8773" dataDxfId="7607"/>
    <tableColumn id="8778" name="Column8774" dataDxfId="7606"/>
    <tableColumn id="8779" name="Column8775" dataDxfId="7605"/>
    <tableColumn id="8780" name="Column8776" dataDxfId="7604"/>
    <tableColumn id="8781" name="Column8777" dataDxfId="7603"/>
    <tableColumn id="8782" name="Column8778" dataDxfId="7602"/>
    <tableColumn id="8783" name="Column8779" dataDxfId="7601"/>
    <tableColumn id="8784" name="Column8780" dataDxfId="7600"/>
    <tableColumn id="8785" name="Column8781" dataDxfId="7599"/>
    <tableColumn id="8786" name="Column8782" dataDxfId="7598"/>
    <tableColumn id="8787" name="Column8783" dataDxfId="7597"/>
    <tableColumn id="8788" name="Column8784" dataDxfId="7596"/>
    <tableColumn id="8789" name="Column8785" dataDxfId="7595"/>
    <tableColumn id="8790" name="Column8786" dataDxfId="7594"/>
    <tableColumn id="8791" name="Column8787" dataDxfId="7593"/>
    <tableColumn id="8792" name="Column8788" dataDxfId="7592"/>
    <tableColumn id="8793" name="Column8789" dataDxfId="7591"/>
    <tableColumn id="8794" name="Column8790" dataDxfId="7590"/>
    <tableColumn id="8795" name="Column8791" dataDxfId="7589"/>
    <tableColumn id="8796" name="Column8792" dataDxfId="7588"/>
    <tableColumn id="8797" name="Column8793" dataDxfId="7587"/>
    <tableColumn id="8798" name="Column8794" dataDxfId="7586"/>
    <tableColumn id="8799" name="Column8795" dataDxfId="7585"/>
    <tableColumn id="8800" name="Column8796" dataDxfId="7584"/>
    <tableColumn id="8801" name="Column8797" dataDxfId="7583"/>
    <tableColumn id="8802" name="Column8798" dataDxfId="7582"/>
    <tableColumn id="8803" name="Column8799" dataDxfId="7581"/>
    <tableColumn id="8804" name="Column8800" dataDxfId="7580"/>
    <tableColumn id="8805" name="Column8801" dataDxfId="7579"/>
    <tableColumn id="8806" name="Column8802" dataDxfId="7578"/>
    <tableColumn id="8807" name="Column8803" dataDxfId="7577"/>
    <tableColumn id="8808" name="Column8804" dataDxfId="7576"/>
    <tableColumn id="8809" name="Column8805" dataDxfId="7575"/>
    <tableColumn id="8810" name="Column8806" dataDxfId="7574"/>
    <tableColumn id="8811" name="Column8807" dataDxfId="7573"/>
    <tableColumn id="8812" name="Column8808" dataDxfId="7572"/>
    <tableColumn id="8813" name="Column8809" dataDxfId="7571"/>
    <tableColumn id="8814" name="Column8810" dataDxfId="7570"/>
    <tableColumn id="8815" name="Column8811" dataDxfId="7569"/>
    <tableColumn id="8816" name="Column8812" dataDxfId="7568"/>
    <tableColumn id="8817" name="Column8813" dataDxfId="7567"/>
    <tableColumn id="8818" name="Column8814" dataDxfId="7566"/>
    <tableColumn id="8819" name="Column8815" dataDxfId="7565"/>
    <tableColumn id="8820" name="Column8816" dataDxfId="7564"/>
    <tableColumn id="8821" name="Column8817" dataDxfId="7563"/>
    <tableColumn id="8822" name="Column8818" dataDxfId="7562"/>
    <tableColumn id="8823" name="Column8819" dataDxfId="7561"/>
    <tableColumn id="8824" name="Column8820" dataDxfId="7560"/>
    <tableColumn id="8825" name="Column8821" dataDxfId="7559"/>
    <tableColumn id="8826" name="Column8822" dataDxfId="7558"/>
    <tableColumn id="8827" name="Column8823" dataDxfId="7557"/>
    <tableColumn id="8828" name="Column8824" dataDxfId="7556"/>
    <tableColumn id="8829" name="Column8825" dataDxfId="7555"/>
    <tableColumn id="8830" name="Column8826" dataDxfId="7554"/>
    <tableColumn id="8831" name="Column8827" dataDxfId="7553"/>
    <tableColumn id="8832" name="Column8828" dataDxfId="7552"/>
    <tableColumn id="8833" name="Column8829" dataDxfId="7551"/>
    <tableColumn id="8834" name="Column8830" dataDxfId="7550"/>
    <tableColumn id="8835" name="Column8831" dataDxfId="7549"/>
    <tableColumn id="8836" name="Column8832" dataDxfId="7548"/>
    <tableColumn id="8837" name="Column8833" dataDxfId="7547"/>
    <tableColumn id="8838" name="Column8834" dataDxfId="7546"/>
    <tableColumn id="8839" name="Column8835" dataDxfId="7545"/>
    <tableColumn id="8840" name="Column8836" dataDxfId="7544"/>
    <tableColumn id="8841" name="Column8837" dataDxfId="7543"/>
    <tableColumn id="8842" name="Column8838" dataDxfId="7542"/>
    <tableColumn id="8843" name="Column8839" dataDxfId="7541"/>
    <tableColumn id="8844" name="Column8840" dataDxfId="7540"/>
    <tableColumn id="8845" name="Column8841" dataDxfId="7539"/>
    <tableColumn id="8846" name="Column8842" dataDxfId="7538"/>
    <tableColumn id="8847" name="Column8843" dataDxfId="7537"/>
    <tableColumn id="8848" name="Column8844" dataDxfId="7536"/>
    <tableColumn id="8849" name="Column8845" dataDxfId="7535"/>
    <tableColumn id="8850" name="Column8846" dataDxfId="7534"/>
    <tableColumn id="8851" name="Column8847" dataDxfId="7533"/>
    <tableColumn id="8852" name="Column8848" dataDxfId="7532"/>
    <tableColumn id="8853" name="Column8849" dataDxfId="7531"/>
    <tableColumn id="8854" name="Column8850" dataDxfId="7530"/>
    <tableColumn id="8855" name="Column8851" dataDxfId="7529"/>
    <tableColumn id="8856" name="Column8852" dataDxfId="7528"/>
    <tableColumn id="8857" name="Column8853" dataDxfId="7527"/>
    <tableColumn id="8858" name="Column8854" dataDxfId="7526"/>
    <tableColumn id="8859" name="Column8855" dataDxfId="7525"/>
    <tableColumn id="8860" name="Column8856" dataDxfId="7524"/>
    <tableColumn id="8861" name="Column8857" dataDxfId="7523"/>
    <tableColumn id="8862" name="Column8858" dataDxfId="7522"/>
    <tableColumn id="8863" name="Column8859" dataDxfId="7521"/>
    <tableColumn id="8864" name="Column8860" dataDxfId="7520"/>
    <tableColumn id="8865" name="Column8861" dataDxfId="7519"/>
    <tableColumn id="8866" name="Column8862" dataDxfId="7518"/>
    <tableColumn id="8867" name="Column8863" dataDxfId="7517"/>
    <tableColumn id="8868" name="Column8864" dataDxfId="7516"/>
    <tableColumn id="8869" name="Column8865" dataDxfId="7515"/>
    <tableColumn id="8870" name="Column8866" dataDxfId="7514"/>
    <tableColumn id="8871" name="Column8867" dataDxfId="7513"/>
    <tableColumn id="8872" name="Column8868" dataDxfId="7512"/>
    <tableColumn id="8873" name="Column8869" dataDxfId="7511"/>
    <tableColumn id="8874" name="Column8870" dataDxfId="7510"/>
    <tableColumn id="8875" name="Column8871" dataDxfId="7509"/>
    <tableColumn id="8876" name="Column8872" dataDxfId="7508"/>
    <tableColumn id="8877" name="Column8873" dataDxfId="7507"/>
    <tableColumn id="8878" name="Column8874" dataDxfId="7506"/>
    <tableColumn id="8879" name="Column8875" dataDxfId="7505"/>
    <tableColumn id="8880" name="Column8876" dataDxfId="7504"/>
    <tableColumn id="8881" name="Column8877" dataDxfId="7503"/>
    <tableColumn id="8882" name="Column8878" dataDxfId="7502"/>
    <tableColumn id="8883" name="Column8879" dataDxfId="7501"/>
    <tableColumn id="8884" name="Column8880" dataDxfId="7500"/>
    <tableColumn id="8885" name="Column8881" dataDxfId="7499"/>
    <tableColumn id="8886" name="Column8882" dataDxfId="7498"/>
    <tableColumn id="8887" name="Column8883" dataDxfId="7497"/>
    <tableColumn id="8888" name="Column8884" dataDxfId="7496"/>
    <tableColumn id="8889" name="Column8885" dataDxfId="7495"/>
    <tableColumn id="8890" name="Column8886" dataDxfId="7494"/>
    <tableColumn id="8891" name="Column8887" dataDxfId="7493"/>
    <tableColumn id="8892" name="Column8888" dataDxfId="7492"/>
    <tableColumn id="8893" name="Column8889" dataDxfId="7491"/>
    <tableColumn id="8894" name="Column8890" dataDxfId="7490"/>
    <tableColumn id="8895" name="Column8891" dataDxfId="7489"/>
    <tableColumn id="8896" name="Column8892" dataDxfId="7488"/>
    <tableColumn id="8897" name="Column8893" dataDxfId="7487"/>
    <tableColumn id="8898" name="Column8894" dataDxfId="7486"/>
    <tableColumn id="8899" name="Column8895" dataDxfId="7485"/>
    <tableColumn id="8900" name="Column8896" dataDxfId="7484"/>
    <tableColumn id="8901" name="Column8897" dataDxfId="7483"/>
    <tableColumn id="8902" name="Column8898" dataDxfId="7482"/>
    <tableColumn id="8903" name="Column8899" dataDxfId="7481"/>
    <tableColumn id="8904" name="Column8900" dataDxfId="7480"/>
    <tableColumn id="8905" name="Column8901" dataDxfId="7479"/>
    <tableColumn id="8906" name="Column8902" dataDxfId="7478"/>
    <tableColumn id="8907" name="Column8903" dataDxfId="7477"/>
    <tableColumn id="8908" name="Column8904" dataDxfId="7476"/>
    <tableColumn id="8909" name="Column8905" dataDxfId="7475"/>
    <tableColumn id="8910" name="Column8906" dataDxfId="7474"/>
    <tableColumn id="8911" name="Column8907" dataDxfId="7473"/>
    <tableColumn id="8912" name="Column8908" dataDxfId="7472"/>
    <tableColumn id="8913" name="Column8909" dataDxfId="7471"/>
    <tableColumn id="8914" name="Column8910" dataDxfId="7470"/>
    <tableColumn id="8915" name="Column8911" dataDxfId="7469"/>
    <tableColumn id="8916" name="Column8912" dataDxfId="7468"/>
    <tableColumn id="8917" name="Column8913" dataDxfId="7467"/>
    <tableColumn id="8918" name="Column8914" dataDxfId="7466"/>
    <tableColumn id="8919" name="Column8915" dataDxfId="7465"/>
    <tableColumn id="8920" name="Column8916" dataDxfId="7464"/>
    <tableColumn id="8921" name="Column8917" dataDxfId="7463"/>
    <tableColumn id="8922" name="Column8918" dataDxfId="7462"/>
    <tableColumn id="8923" name="Column8919" dataDxfId="7461"/>
    <tableColumn id="8924" name="Column8920" dataDxfId="7460"/>
    <tableColumn id="8925" name="Column8921" dataDxfId="7459"/>
    <tableColumn id="8926" name="Column8922" dataDxfId="7458"/>
    <tableColumn id="8927" name="Column8923" dataDxfId="7457"/>
    <tableColumn id="8928" name="Column8924" dataDxfId="7456"/>
    <tableColumn id="8929" name="Column8925" dataDxfId="7455"/>
    <tableColumn id="8930" name="Column8926" dataDxfId="7454"/>
    <tableColumn id="8931" name="Column8927" dataDxfId="7453"/>
    <tableColumn id="8932" name="Column8928" dataDxfId="7452"/>
    <tableColumn id="8933" name="Column8929" dataDxfId="7451"/>
    <tableColumn id="8934" name="Column8930" dataDxfId="7450"/>
    <tableColumn id="8935" name="Column8931" dataDxfId="7449"/>
    <tableColumn id="8936" name="Column8932" dataDxfId="7448"/>
    <tableColumn id="8937" name="Column8933" dataDxfId="7447"/>
    <tableColumn id="8938" name="Column8934" dataDxfId="7446"/>
    <tableColumn id="8939" name="Column8935" dataDxfId="7445"/>
    <tableColumn id="8940" name="Column8936" dataDxfId="7444"/>
    <tableColumn id="8941" name="Column8937" dataDxfId="7443"/>
    <tableColumn id="8942" name="Column8938" dataDxfId="7442"/>
    <tableColumn id="8943" name="Column8939" dataDxfId="7441"/>
    <tableColumn id="8944" name="Column8940" dataDxfId="7440"/>
    <tableColumn id="8945" name="Column8941" dataDxfId="7439"/>
    <tableColumn id="8946" name="Column8942" dataDxfId="7438"/>
    <tableColumn id="8947" name="Column8943" dataDxfId="7437"/>
    <tableColumn id="8948" name="Column8944" dataDxfId="7436"/>
    <tableColumn id="8949" name="Column8945" dataDxfId="7435"/>
    <tableColumn id="8950" name="Column8946" dataDxfId="7434"/>
    <tableColumn id="8951" name="Column8947" dataDxfId="7433"/>
    <tableColumn id="8952" name="Column8948" dataDxfId="7432"/>
    <tableColumn id="8953" name="Column8949" dataDxfId="7431"/>
    <tableColumn id="8954" name="Column8950" dataDxfId="7430"/>
    <tableColumn id="8955" name="Column8951" dataDxfId="7429"/>
    <tableColumn id="8956" name="Column8952" dataDxfId="7428"/>
    <tableColumn id="8957" name="Column8953" dataDxfId="7427"/>
    <tableColumn id="8958" name="Column8954" dataDxfId="7426"/>
    <tableColumn id="8959" name="Column8955" dataDxfId="7425"/>
    <tableColumn id="8960" name="Column8956" dataDxfId="7424"/>
    <tableColumn id="8961" name="Column8957" dataDxfId="7423"/>
    <tableColumn id="8962" name="Column8958" dataDxfId="7422"/>
    <tableColumn id="8963" name="Column8959" dataDxfId="7421"/>
    <tableColumn id="8964" name="Column8960" dataDxfId="7420"/>
    <tableColumn id="8965" name="Column8961" dataDxfId="7419"/>
    <tableColumn id="8966" name="Column8962" dataDxfId="7418"/>
    <tableColumn id="8967" name="Column8963" dataDxfId="7417"/>
    <tableColumn id="8968" name="Column8964" dataDxfId="7416"/>
    <tableColumn id="8969" name="Column8965" dataDxfId="7415"/>
    <tableColumn id="8970" name="Column8966" dataDxfId="7414"/>
    <tableColumn id="8971" name="Column8967" dataDxfId="7413"/>
    <tableColumn id="8972" name="Column8968" dataDxfId="7412"/>
    <tableColumn id="8973" name="Column8969" dataDxfId="7411"/>
    <tableColumn id="8974" name="Column8970" dataDxfId="7410"/>
    <tableColumn id="8975" name="Column8971" dataDxfId="7409"/>
    <tableColumn id="8976" name="Column8972" dataDxfId="7408"/>
    <tableColumn id="8977" name="Column8973" dataDxfId="7407"/>
    <tableColumn id="8978" name="Column8974" dataDxfId="7406"/>
    <tableColumn id="8979" name="Column8975" dataDxfId="7405"/>
    <tableColumn id="8980" name="Column8976" dataDxfId="7404"/>
    <tableColumn id="8981" name="Column8977" dataDxfId="7403"/>
    <tableColumn id="8982" name="Column8978" dataDxfId="7402"/>
    <tableColumn id="8983" name="Column8979" dataDxfId="7401"/>
    <tableColumn id="8984" name="Column8980" dataDxfId="7400"/>
    <tableColumn id="8985" name="Column8981" dataDxfId="7399"/>
    <tableColumn id="8986" name="Column8982" dataDxfId="7398"/>
    <tableColumn id="8987" name="Column8983" dataDxfId="7397"/>
    <tableColumn id="8988" name="Column8984" dataDxfId="7396"/>
    <tableColumn id="8989" name="Column8985" dataDxfId="7395"/>
    <tableColumn id="8990" name="Column8986" dataDxfId="7394"/>
    <tableColumn id="8991" name="Column8987" dataDxfId="7393"/>
    <tableColumn id="8992" name="Column8988" dataDxfId="7392"/>
    <tableColumn id="8993" name="Column8989" dataDxfId="7391"/>
    <tableColumn id="8994" name="Column8990" dataDxfId="7390"/>
    <tableColumn id="8995" name="Column8991" dataDxfId="7389"/>
    <tableColumn id="8996" name="Column8992" dataDxfId="7388"/>
    <tableColumn id="8997" name="Column8993" dataDxfId="7387"/>
    <tableColumn id="8998" name="Column8994" dataDxfId="7386"/>
    <tableColumn id="8999" name="Column8995" dataDxfId="7385"/>
    <tableColumn id="9000" name="Column8996" dataDxfId="7384"/>
    <tableColumn id="9001" name="Column8997" dataDxfId="7383"/>
    <tableColumn id="9002" name="Column8998" dataDxfId="7382"/>
    <tableColumn id="9003" name="Column8999" dataDxfId="7381"/>
    <tableColumn id="9004" name="Column9000" dataDxfId="7380"/>
    <tableColumn id="9005" name="Column9001" dataDxfId="7379"/>
    <tableColumn id="9006" name="Column9002" dataDxfId="7378"/>
    <tableColumn id="9007" name="Column9003" dataDxfId="7377"/>
    <tableColumn id="9008" name="Column9004" dataDxfId="7376"/>
    <tableColumn id="9009" name="Column9005" dataDxfId="7375"/>
    <tableColumn id="9010" name="Column9006" dataDxfId="7374"/>
    <tableColumn id="9011" name="Column9007" dataDxfId="7373"/>
    <tableColumn id="9012" name="Column9008" dataDxfId="7372"/>
    <tableColumn id="9013" name="Column9009" dataDxfId="7371"/>
    <tableColumn id="9014" name="Column9010" dataDxfId="7370"/>
    <tableColumn id="9015" name="Column9011" dataDxfId="7369"/>
    <tableColumn id="9016" name="Column9012" dataDxfId="7368"/>
    <tableColumn id="9017" name="Column9013" dataDxfId="7367"/>
    <tableColumn id="9018" name="Column9014" dataDxfId="7366"/>
    <tableColumn id="9019" name="Column9015" dataDxfId="7365"/>
    <tableColumn id="9020" name="Column9016" dataDxfId="7364"/>
    <tableColumn id="9021" name="Column9017" dataDxfId="7363"/>
    <tableColumn id="9022" name="Column9018" dataDxfId="7362"/>
    <tableColumn id="9023" name="Column9019" dataDxfId="7361"/>
    <tableColumn id="9024" name="Column9020" dataDxfId="7360"/>
    <tableColumn id="9025" name="Column9021" dataDxfId="7359"/>
    <tableColumn id="9026" name="Column9022" dataDxfId="7358"/>
    <tableColumn id="9027" name="Column9023" dataDxfId="7357"/>
    <tableColumn id="9028" name="Column9024" dataDxfId="7356"/>
    <tableColumn id="9029" name="Column9025" dataDxfId="7355"/>
    <tableColumn id="9030" name="Column9026" dataDxfId="7354"/>
    <tableColumn id="9031" name="Column9027" dataDxfId="7353"/>
    <tableColumn id="9032" name="Column9028" dataDxfId="7352"/>
    <tableColumn id="9033" name="Column9029" dataDxfId="7351"/>
    <tableColumn id="9034" name="Column9030" dataDxfId="7350"/>
    <tableColumn id="9035" name="Column9031" dataDxfId="7349"/>
    <tableColumn id="9036" name="Column9032" dataDxfId="7348"/>
    <tableColumn id="9037" name="Column9033" dataDxfId="7347"/>
    <tableColumn id="9038" name="Column9034" dataDxfId="7346"/>
    <tableColumn id="9039" name="Column9035" dataDxfId="7345"/>
    <tableColumn id="9040" name="Column9036" dataDxfId="7344"/>
    <tableColumn id="9041" name="Column9037" dataDxfId="7343"/>
    <tableColumn id="9042" name="Column9038" dataDxfId="7342"/>
    <tableColumn id="9043" name="Column9039" dataDxfId="7341"/>
    <tableColumn id="9044" name="Column9040" dataDxfId="7340"/>
    <tableColumn id="9045" name="Column9041" dataDxfId="7339"/>
    <tableColumn id="9046" name="Column9042" dataDxfId="7338"/>
    <tableColumn id="9047" name="Column9043" dataDxfId="7337"/>
    <tableColumn id="9048" name="Column9044" dataDxfId="7336"/>
    <tableColumn id="9049" name="Column9045" dataDxfId="7335"/>
    <tableColumn id="9050" name="Column9046" dataDxfId="7334"/>
    <tableColumn id="9051" name="Column9047" dataDxfId="7333"/>
    <tableColumn id="9052" name="Column9048" dataDxfId="7332"/>
    <tableColumn id="9053" name="Column9049" dataDxfId="7331"/>
    <tableColumn id="9054" name="Column9050" dataDxfId="7330"/>
    <tableColumn id="9055" name="Column9051" dataDxfId="7329"/>
    <tableColumn id="9056" name="Column9052" dataDxfId="7328"/>
    <tableColumn id="9057" name="Column9053" dataDxfId="7327"/>
    <tableColumn id="9058" name="Column9054" dataDxfId="7326"/>
    <tableColumn id="9059" name="Column9055" dataDxfId="7325"/>
    <tableColumn id="9060" name="Column9056" dataDxfId="7324"/>
    <tableColumn id="9061" name="Column9057" dataDxfId="7323"/>
    <tableColumn id="9062" name="Column9058" dataDxfId="7322"/>
    <tableColumn id="9063" name="Column9059" dataDxfId="7321"/>
    <tableColumn id="9064" name="Column9060" dataDxfId="7320"/>
    <tableColumn id="9065" name="Column9061" dataDxfId="7319"/>
    <tableColumn id="9066" name="Column9062" dataDxfId="7318"/>
    <tableColumn id="9067" name="Column9063" dataDxfId="7317"/>
    <tableColumn id="9068" name="Column9064" dataDxfId="7316"/>
    <tableColumn id="9069" name="Column9065" dataDxfId="7315"/>
    <tableColumn id="9070" name="Column9066" dataDxfId="7314"/>
    <tableColumn id="9071" name="Column9067" dataDxfId="7313"/>
    <tableColumn id="9072" name="Column9068" dataDxfId="7312"/>
    <tableColumn id="9073" name="Column9069" dataDxfId="7311"/>
    <tableColumn id="9074" name="Column9070" dataDxfId="7310"/>
    <tableColumn id="9075" name="Column9071" dataDxfId="7309"/>
    <tableColumn id="9076" name="Column9072" dataDxfId="7308"/>
    <tableColumn id="9077" name="Column9073" dataDxfId="7307"/>
    <tableColumn id="9078" name="Column9074" dataDxfId="7306"/>
    <tableColumn id="9079" name="Column9075" dataDxfId="7305"/>
    <tableColumn id="9080" name="Column9076" dataDxfId="7304"/>
    <tableColumn id="9081" name="Column9077" dataDxfId="7303"/>
    <tableColumn id="9082" name="Column9078" dataDxfId="7302"/>
    <tableColumn id="9083" name="Column9079" dataDxfId="7301"/>
    <tableColumn id="9084" name="Column9080" dataDxfId="7300"/>
    <tableColumn id="9085" name="Column9081" dataDxfId="7299"/>
    <tableColumn id="9086" name="Column9082" dataDxfId="7298"/>
    <tableColumn id="9087" name="Column9083" dataDxfId="7297"/>
    <tableColumn id="9088" name="Column9084" dataDxfId="7296"/>
    <tableColumn id="9089" name="Column9085" dataDxfId="7295"/>
    <tableColumn id="9090" name="Column9086" dataDxfId="7294"/>
    <tableColumn id="9091" name="Column9087" dataDxfId="7293"/>
    <tableColumn id="9092" name="Column9088" dataDxfId="7292"/>
    <tableColumn id="9093" name="Column9089" dataDxfId="7291"/>
    <tableColumn id="9094" name="Column9090" dataDxfId="7290"/>
    <tableColumn id="9095" name="Column9091" dataDxfId="7289"/>
    <tableColumn id="9096" name="Column9092" dataDxfId="7288"/>
    <tableColumn id="9097" name="Column9093" dataDxfId="7287"/>
    <tableColumn id="9098" name="Column9094" dataDxfId="7286"/>
    <tableColumn id="9099" name="Column9095" dataDxfId="7285"/>
    <tableColumn id="9100" name="Column9096" dataDxfId="7284"/>
    <tableColumn id="9101" name="Column9097" dataDxfId="7283"/>
    <tableColumn id="9102" name="Column9098" dataDxfId="7282"/>
    <tableColumn id="9103" name="Column9099" dataDxfId="7281"/>
    <tableColumn id="9104" name="Column9100" dataDxfId="7280"/>
    <tableColumn id="9105" name="Column9101" dataDxfId="7279"/>
    <tableColumn id="9106" name="Column9102" dataDxfId="7278"/>
    <tableColumn id="9107" name="Column9103" dataDxfId="7277"/>
    <tableColumn id="9108" name="Column9104" dataDxfId="7276"/>
    <tableColumn id="9109" name="Column9105" dataDxfId="7275"/>
    <tableColumn id="9110" name="Column9106" dataDxfId="7274"/>
    <tableColumn id="9111" name="Column9107" dataDxfId="7273"/>
    <tableColumn id="9112" name="Column9108" dataDxfId="7272"/>
    <tableColumn id="9113" name="Column9109" dataDxfId="7271"/>
    <tableColumn id="9114" name="Column9110" dataDxfId="7270"/>
    <tableColumn id="9115" name="Column9111" dataDxfId="7269"/>
    <tableColumn id="9116" name="Column9112" dataDxfId="7268"/>
    <tableColumn id="9117" name="Column9113" dataDxfId="7267"/>
    <tableColumn id="9118" name="Column9114" dataDxfId="7266"/>
    <tableColumn id="9119" name="Column9115" dataDxfId="7265"/>
    <tableColumn id="9120" name="Column9116" dataDxfId="7264"/>
    <tableColumn id="9121" name="Column9117" dataDxfId="7263"/>
    <tableColumn id="9122" name="Column9118" dataDxfId="7262"/>
    <tableColumn id="9123" name="Column9119" dataDxfId="7261"/>
    <tableColumn id="9124" name="Column9120" dataDxfId="7260"/>
    <tableColumn id="9125" name="Column9121" dataDxfId="7259"/>
    <tableColumn id="9126" name="Column9122" dataDxfId="7258"/>
    <tableColumn id="9127" name="Column9123" dataDxfId="7257"/>
    <tableColumn id="9128" name="Column9124" dataDxfId="7256"/>
    <tableColumn id="9129" name="Column9125" dataDxfId="7255"/>
    <tableColumn id="9130" name="Column9126" dataDxfId="7254"/>
    <tableColumn id="9131" name="Column9127" dataDxfId="7253"/>
    <tableColumn id="9132" name="Column9128" dataDxfId="7252"/>
    <tableColumn id="9133" name="Column9129" dataDxfId="7251"/>
    <tableColumn id="9134" name="Column9130" dataDxfId="7250"/>
    <tableColumn id="9135" name="Column9131" dataDxfId="7249"/>
    <tableColumn id="9136" name="Column9132" dataDxfId="7248"/>
    <tableColumn id="9137" name="Column9133" dataDxfId="7247"/>
    <tableColumn id="9138" name="Column9134" dataDxfId="7246"/>
    <tableColumn id="9139" name="Column9135" dataDxfId="7245"/>
    <tableColumn id="9140" name="Column9136" dataDxfId="7244"/>
    <tableColumn id="9141" name="Column9137" dataDxfId="7243"/>
    <tableColumn id="9142" name="Column9138" dataDxfId="7242"/>
    <tableColumn id="9143" name="Column9139" dataDxfId="7241"/>
    <tableColumn id="9144" name="Column9140" dataDxfId="7240"/>
    <tableColumn id="9145" name="Column9141" dataDxfId="7239"/>
    <tableColumn id="9146" name="Column9142" dataDxfId="7238"/>
    <tableColumn id="9147" name="Column9143" dataDxfId="7237"/>
    <tableColumn id="9148" name="Column9144" dataDxfId="7236"/>
    <tableColumn id="9149" name="Column9145" dataDxfId="7235"/>
    <tableColumn id="9150" name="Column9146" dataDxfId="7234"/>
    <tableColumn id="9151" name="Column9147" dataDxfId="7233"/>
    <tableColumn id="9152" name="Column9148" dataDxfId="7232"/>
    <tableColumn id="9153" name="Column9149" dataDxfId="7231"/>
    <tableColumn id="9154" name="Column9150" dataDxfId="7230"/>
    <tableColumn id="9155" name="Column9151" dataDxfId="7229"/>
    <tableColumn id="9156" name="Column9152" dataDxfId="7228"/>
    <tableColumn id="9157" name="Column9153" dataDxfId="7227"/>
    <tableColumn id="9158" name="Column9154" dataDxfId="7226"/>
    <tableColumn id="9159" name="Column9155" dataDxfId="7225"/>
    <tableColumn id="9160" name="Column9156" dataDxfId="7224"/>
    <tableColumn id="9161" name="Column9157" dataDxfId="7223"/>
    <tableColumn id="9162" name="Column9158" dataDxfId="7222"/>
    <tableColumn id="9163" name="Column9159" dataDxfId="7221"/>
    <tableColumn id="9164" name="Column9160" dataDxfId="7220"/>
    <tableColumn id="9165" name="Column9161" dataDxfId="7219"/>
    <tableColumn id="9166" name="Column9162" dataDxfId="7218"/>
    <tableColumn id="9167" name="Column9163" dataDxfId="7217"/>
    <tableColumn id="9168" name="Column9164" dataDxfId="7216"/>
    <tableColumn id="9169" name="Column9165" dataDxfId="7215"/>
    <tableColumn id="9170" name="Column9166" dataDxfId="7214"/>
    <tableColumn id="9171" name="Column9167" dataDxfId="7213"/>
    <tableColumn id="9172" name="Column9168" dataDxfId="7212"/>
    <tableColumn id="9173" name="Column9169" dataDxfId="7211"/>
    <tableColumn id="9174" name="Column9170" dataDxfId="7210"/>
    <tableColumn id="9175" name="Column9171" dataDxfId="7209"/>
    <tableColumn id="9176" name="Column9172" dataDxfId="7208"/>
    <tableColumn id="9177" name="Column9173" dataDxfId="7207"/>
    <tableColumn id="9178" name="Column9174" dataDxfId="7206"/>
    <tableColumn id="9179" name="Column9175" dataDxfId="7205"/>
    <tableColumn id="9180" name="Column9176" dataDxfId="7204"/>
    <tableColumn id="9181" name="Column9177" dataDxfId="7203"/>
    <tableColumn id="9182" name="Column9178" dataDxfId="7202"/>
    <tableColumn id="9183" name="Column9179" dataDxfId="7201"/>
    <tableColumn id="9184" name="Column9180" dataDxfId="7200"/>
    <tableColumn id="9185" name="Column9181" dataDxfId="7199"/>
    <tableColumn id="9186" name="Column9182" dataDxfId="7198"/>
    <tableColumn id="9187" name="Column9183" dataDxfId="7197"/>
    <tableColumn id="9188" name="Column9184" dataDxfId="7196"/>
    <tableColumn id="9189" name="Column9185" dataDxfId="7195"/>
    <tableColumn id="9190" name="Column9186" dataDxfId="7194"/>
    <tableColumn id="9191" name="Column9187" dataDxfId="7193"/>
    <tableColumn id="9192" name="Column9188" dataDxfId="7192"/>
    <tableColumn id="9193" name="Column9189" dataDxfId="7191"/>
    <tableColumn id="9194" name="Column9190" dataDxfId="7190"/>
    <tableColumn id="9195" name="Column9191" dataDxfId="7189"/>
    <tableColumn id="9196" name="Column9192" dataDxfId="7188"/>
    <tableColumn id="9197" name="Column9193" dataDxfId="7187"/>
    <tableColumn id="9198" name="Column9194" dataDxfId="7186"/>
    <tableColumn id="9199" name="Column9195" dataDxfId="7185"/>
    <tableColumn id="9200" name="Column9196" dataDxfId="7184"/>
    <tableColumn id="9201" name="Column9197" dataDxfId="7183"/>
    <tableColumn id="9202" name="Column9198" dataDxfId="7182"/>
    <tableColumn id="9203" name="Column9199" dataDxfId="7181"/>
    <tableColumn id="9204" name="Column9200" dataDxfId="7180"/>
    <tableColumn id="9205" name="Column9201" dataDxfId="7179"/>
    <tableColumn id="9206" name="Column9202" dataDxfId="7178"/>
    <tableColumn id="9207" name="Column9203" dataDxfId="7177"/>
    <tableColumn id="9208" name="Column9204" dataDxfId="7176"/>
    <tableColumn id="9209" name="Column9205" dataDxfId="7175"/>
    <tableColumn id="9210" name="Column9206" dataDxfId="7174"/>
    <tableColumn id="9211" name="Column9207" dataDxfId="7173"/>
    <tableColumn id="9212" name="Column9208" dataDxfId="7172"/>
    <tableColumn id="9213" name="Column9209" dataDxfId="7171"/>
    <tableColumn id="9214" name="Column9210" dataDxfId="7170"/>
    <tableColumn id="9215" name="Column9211" dataDxfId="7169"/>
    <tableColumn id="9216" name="Column9212" dataDxfId="7168"/>
    <tableColumn id="9217" name="Column9213" dataDxfId="7167"/>
    <tableColumn id="9218" name="Column9214" dataDxfId="7166"/>
    <tableColumn id="9219" name="Column9215" dataDxfId="7165"/>
    <tableColumn id="9220" name="Column9216" dataDxfId="7164"/>
    <tableColumn id="9221" name="Column9217" dataDxfId="7163"/>
    <tableColumn id="9222" name="Column9218" dataDxfId="7162"/>
    <tableColumn id="9223" name="Column9219" dataDxfId="7161"/>
    <tableColumn id="9224" name="Column9220" dataDxfId="7160"/>
    <tableColumn id="9225" name="Column9221" dataDxfId="7159"/>
    <tableColumn id="9226" name="Column9222" dataDxfId="7158"/>
    <tableColumn id="9227" name="Column9223" dataDxfId="7157"/>
    <tableColumn id="9228" name="Column9224" dataDxfId="7156"/>
    <tableColumn id="9229" name="Column9225" dataDxfId="7155"/>
    <tableColumn id="9230" name="Column9226" dataDxfId="7154"/>
    <tableColumn id="9231" name="Column9227" dataDxfId="7153"/>
    <tableColumn id="9232" name="Column9228" dataDxfId="7152"/>
    <tableColumn id="9233" name="Column9229" dataDxfId="7151"/>
    <tableColumn id="9234" name="Column9230" dataDxfId="7150"/>
    <tableColumn id="9235" name="Column9231" dataDxfId="7149"/>
    <tableColumn id="9236" name="Column9232" dataDxfId="7148"/>
    <tableColumn id="9237" name="Column9233" dataDxfId="7147"/>
    <tableColumn id="9238" name="Column9234" dataDxfId="7146"/>
    <tableColumn id="9239" name="Column9235" dataDxfId="7145"/>
    <tableColumn id="9240" name="Column9236" dataDxfId="7144"/>
    <tableColumn id="9241" name="Column9237" dataDxfId="7143"/>
    <tableColumn id="9242" name="Column9238" dataDxfId="7142"/>
    <tableColumn id="9243" name="Column9239" dataDxfId="7141"/>
    <tableColumn id="9244" name="Column9240" dataDxfId="7140"/>
    <tableColumn id="9245" name="Column9241" dataDxfId="7139"/>
    <tableColumn id="9246" name="Column9242" dataDxfId="7138"/>
    <tableColumn id="9247" name="Column9243" dataDxfId="7137"/>
    <tableColumn id="9248" name="Column9244" dataDxfId="7136"/>
    <tableColumn id="9249" name="Column9245" dataDxfId="7135"/>
    <tableColumn id="9250" name="Column9246" dataDxfId="7134"/>
    <tableColumn id="9251" name="Column9247" dataDxfId="7133"/>
    <tableColumn id="9252" name="Column9248" dataDxfId="7132"/>
    <tableColumn id="9253" name="Column9249" dataDxfId="7131"/>
    <tableColumn id="9254" name="Column9250" dataDxfId="7130"/>
    <tableColumn id="9255" name="Column9251" dataDxfId="7129"/>
    <tableColumn id="9256" name="Column9252" dataDxfId="7128"/>
    <tableColumn id="9257" name="Column9253" dataDxfId="7127"/>
    <tableColumn id="9258" name="Column9254" dataDxfId="7126"/>
    <tableColumn id="9259" name="Column9255" dataDxfId="7125"/>
    <tableColumn id="9260" name="Column9256" dataDxfId="7124"/>
    <tableColumn id="9261" name="Column9257" dataDxfId="7123"/>
    <tableColumn id="9262" name="Column9258" dataDxfId="7122"/>
    <tableColumn id="9263" name="Column9259" dataDxfId="7121"/>
    <tableColumn id="9264" name="Column9260" dataDxfId="7120"/>
    <tableColumn id="9265" name="Column9261" dataDxfId="7119"/>
    <tableColumn id="9266" name="Column9262" dataDxfId="7118"/>
    <tableColumn id="9267" name="Column9263" dataDxfId="7117"/>
    <tableColumn id="9268" name="Column9264" dataDxfId="7116"/>
    <tableColumn id="9269" name="Column9265" dataDxfId="7115"/>
    <tableColumn id="9270" name="Column9266" dataDxfId="7114"/>
    <tableColumn id="9271" name="Column9267" dataDxfId="7113"/>
    <tableColumn id="9272" name="Column9268" dataDxfId="7112"/>
    <tableColumn id="9273" name="Column9269" dataDxfId="7111"/>
    <tableColumn id="9274" name="Column9270" dataDxfId="7110"/>
    <tableColumn id="9275" name="Column9271" dataDxfId="7109"/>
    <tableColumn id="9276" name="Column9272" dataDxfId="7108"/>
    <tableColumn id="9277" name="Column9273" dataDxfId="7107"/>
    <tableColumn id="9278" name="Column9274" dataDxfId="7106"/>
    <tableColumn id="9279" name="Column9275" dataDxfId="7105"/>
    <tableColumn id="9280" name="Column9276" dataDxfId="7104"/>
    <tableColumn id="9281" name="Column9277" dataDxfId="7103"/>
    <tableColumn id="9282" name="Column9278" dataDxfId="7102"/>
    <tableColumn id="9283" name="Column9279" dataDxfId="7101"/>
    <tableColumn id="9284" name="Column9280" dataDxfId="7100"/>
    <tableColumn id="9285" name="Column9281" dataDxfId="7099"/>
    <tableColumn id="9286" name="Column9282" dataDxfId="7098"/>
    <tableColumn id="9287" name="Column9283" dataDxfId="7097"/>
    <tableColumn id="9288" name="Column9284" dataDxfId="7096"/>
    <tableColumn id="9289" name="Column9285" dataDxfId="7095"/>
    <tableColumn id="9290" name="Column9286" dataDxfId="7094"/>
    <tableColumn id="9291" name="Column9287" dataDxfId="7093"/>
    <tableColumn id="9292" name="Column9288" dataDxfId="7092"/>
    <tableColumn id="9293" name="Column9289" dataDxfId="7091"/>
    <tableColumn id="9294" name="Column9290" dataDxfId="7090"/>
    <tableColumn id="9295" name="Column9291" dataDxfId="7089"/>
    <tableColumn id="9296" name="Column9292" dataDxfId="7088"/>
    <tableColumn id="9297" name="Column9293" dataDxfId="7087"/>
    <tableColumn id="9298" name="Column9294" dataDxfId="7086"/>
    <tableColumn id="9299" name="Column9295" dataDxfId="7085"/>
    <tableColumn id="9300" name="Column9296" dataDxfId="7084"/>
    <tableColumn id="9301" name="Column9297" dataDxfId="7083"/>
    <tableColumn id="9302" name="Column9298" dataDxfId="7082"/>
    <tableColumn id="9303" name="Column9299" dataDxfId="7081"/>
    <tableColumn id="9304" name="Column9300" dataDxfId="7080"/>
    <tableColumn id="9305" name="Column9301" dataDxfId="7079"/>
    <tableColumn id="9306" name="Column9302" dataDxfId="7078"/>
    <tableColumn id="9307" name="Column9303" dataDxfId="7077"/>
    <tableColumn id="9308" name="Column9304" dataDxfId="7076"/>
    <tableColumn id="9309" name="Column9305" dataDxfId="7075"/>
    <tableColumn id="9310" name="Column9306" dataDxfId="7074"/>
    <tableColumn id="9311" name="Column9307" dataDxfId="7073"/>
    <tableColumn id="9312" name="Column9308" dataDxfId="7072"/>
    <tableColumn id="9313" name="Column9309" dataDxfId="7071"/>
    <tableColumn id="9314" name="Column9310" dataDxfId="7070"/>
    <tableColumn id="9315" name="Column9311" dataDxfId="7069"/>
    <tableColumn id="9316" name="Column9312" dataDxfId="7068"/>
    <tableColumn id="9317" name="Column9313" dataDxfId="7067"/>
    <tableColumn id="9318" name="Column9314" dataDxfId="7066"/>
    <tableColumn id="9319" name="Column9315" dataDxfId="7065"/>
    <tableColumn id="9320" name="Column9316" dataDxfId="7064"/>
    <tableColumn id="9321" name="Column9317" dataDxfId="7063"/>
    <tableColumn id="9322" name="Column9318" dataDxfId="7062"/>
    <tableColumn id="9323" name="Column9319" dataDxfId="7061"/>
    <tableColumn id="9324" name="Column9320" dataDxfId="7060"/>
    <tableColumn id="9325" name="Column9321" dataDxfId="7059"/>
    <tableColumn id="9326" name="Column9322" dataDxfId="7058"/>
    <tableColumn id="9327" name="Column9323" dataDxfId="7057"/>
    <tableColumn id="9328" name="Column9324" dataDxfId="7056"/>
    <tableColumn id="9329" name="Column9325" dataDxfId="7055"/>
    <tableColumn id="9330" name="Column9326" dataDxfId="7054"/>
    <tableColumn id="9331" name="Column9327" dataDxfId="7053"/>
    <tableColumn id="9332" name="Column9328" dataDxfId="7052"/>
    <tableColumn id="9333" name="Column9329" dataDxfId="7051"/>
    <tableColumn id="9334" name="Column9330" dataDxfId="7050"/>
    <tableColumn id="9335" name="Column9331" dataDxfId="7049"/>
    <tableColumn id="9336" name="Column9332" dataDxfId="7048"/>
    <tableColumn id="9337" name="Column9333" dataDxfId="7047"/>
    <tableColumn id="9338" name="Column9334" dataDxfId="7046"/>
    <tableColumn id="9339" name="Column9335" dataDxfId="7045"/>
    <tableColumn id="9340" name="Column9336" dataDxfId="7044"/>
    <tableColumn id="9341" name="Column9337" dataDxfId="7043"/>
    <tableColumn id="9342" name="Column9338" dataDxfId="7042"/>
    <tableColumn id="9343" name="Column9339" dataDxfId="7041"/>
    <tableColumn id="9344" name="Column9340" dataDxfId="7040"/>
    <tableColumn id="9345" name="Column9341" dataDxfId="7039"/>
    <tableColumn id="9346" name="Column9342" dataDxfId="7038"/>
    <tableColumn id="9347" name="Column9343" dataDxfId="7037"/>
    <tableColumn id="9348" name="Column9344" dataDxfId="7036"/>
    <tableColumn id="9349" name="Column9345" dataDxfId="7035"/>
    <tableColumn id="9350" name="Column9346" dataDxfId="7034"/>
    <tableColumn id="9351" name="Column9347" dataDxfId="7033"/>
    <tableColumn id="9352" name="Column9348" dataDxfId="7032"/>
    <tableColumn id="9353" name="Column9349" dataDxfId="7031"/>
    <tableColumn id="9354" name="Column9350" dataDxfId="7030"/>
    <tableColumn id="9355" name="Column9351" dataDxfId="7029"/>
    <tableColumn id="9356" name="Column9352" dataDxfId="7028"/>
    <tableColumn id="9357" name="Column9353" dataDxfId="7027"/>
    <tableColumn id="9358" name="Column9354" dataDxfId="7026"/>
    <tableColumn id="9359" name="Column9355" dataDxfId="7025"/>
    <tableColumn id="9360" name="Column9356" dataDxfId="7024"/>
    <tableColumn id="9361" name="Column9357" dataDxfId="7023"/>
    <tableColumn id="9362" name="Column9358" dataDxfId="7022"/>
    <tableColumn id="9363" name="Column9359" dataDxfId="7021"/>
    <tableColumn id="9364" name="Column9360" dataDxfId="7020"/>
    <tableColumn id="9365" name="Column9361" dataDxfId="7019"/>
    <tableColumn id="9366" name="Column9362" dataDxfId="7018"/>
    <tableColumn id="9367" name="Column9363" dataDxfId="7017"/>
    <tableColumn id="9368" name="Column9364" dataDxfId="7016"/>
    <tableColumn id="9369" name="Column9365" dataDxfId="7015"/>
    <tableColumn id="9370" name="Column9366" dataDxfId="7014"/>
    <tableColumn id="9371" name="Column9367" dataDxfId="7013"/>
    <tableColumn id="9372" name="Column9368" dataDxfId="7012"/>
    <tableColumn id="9373" name="Column9369" dataDxfId="7011"/>
    <tableColumn id="9374" name="Column9370" dataDxfId="7010"/>
    <tableColumn id="9375" name="Column9371" dataDxfId="7009"/>
    <tableColumn id="9376" name="Column9372" dataDxfId="7008"/>
    <tableColumn id="9377" name="Column9373" dataDxfId="7007"/>
    <tableColumn id="9378" name="Column9374" dataDxfId="7006"/>
    <tableColumn id="9379" name="Column9375" dataDxfId="7005"/>
    <tableColumn id="9380" name="Column9376" dataDxfId="7004"/>
    <tableColumn id="9381" name="Column9377" dataDxfId="7003"/>
    <tableColumn id="9382" name="Column9378" dataDxfId="7002"/>
    <tableColumn id="9383" name="Column9379" dataDxfId="7001"/>
    <tableColumn id="9384" name="Column9380" dataDxfId="7000"/>
    <tableColumn id="9385" name="Column9381" dataDxfId="6999"/>
    <tableColumn id="9386" name="Column9382" dataDxfId="6998"/>
    <tableColumn id="9387" name="Column9383" dataDxfId="6997"/>
    <tableColumn id="9388" name="Column9384" dataDxfId="6996"/>
    <tableColumn id="9389" name="Column9385" dataDxfId="6995"/>
    <tableColumn id="9390" name="Column9386" dataDxfId="6994"/>
    <tableColumn id="9391" name="Column9387" dataDxfId="6993"/>
    <tableColumn id="9392" name="Column9388" dataDxfId="6992"/>
    <tableColumn id="9393" name="Column9389" dataDxfId="6991"/>
    <tableColumn id="9394" name="Column9390" dataDxfId="6990"/>
    <tableColumn id="9395" name="Column9391" dataDxfId="6989"/>
    <tableColumn id="9396" name="Column9392" dataDxfId="6988"/>
    <tableColumn id="9397" name="Column9393" dataDxfId="6987"/>
    <tableColumn id="9398" name="Column9394" dataDxfId="6986"/>
    <tableColumn id="9399" name="Column9395" dataDxfId="6985"/>
    <tableColumn id="9400" name="Column9396" dataDxfId="6984"/>
    <tableColumn id="9401" name="Column9397" dataDxfId="6983"/>
    <tableColumn id="9402" name="Column9398" dataDxfId="6982"/>
    <tableColumn id="9403" name="Column9399" dataDxfId="6981"/>
    <tableColumn id="9404" name="Column9400" dataDxfId="6980"/>
    <tableColumn id="9405" name="Column9401" dataDxfId="6979"/>
    <tableColumn id="9406" name="Column9402" dataDxfId="6978"/>
    <tableColumn id="9407" name="Column9403" dataDxfId="6977"/>
    <tableColumn id="9408" name="Column9404" dataDxfId="6976"/>
    <tableColumn id="9409" name="Column9405" dataDxfId="6975"/>
    <tableColumn id="9410" name="Column9406" dataDxfId="6974"/>
    <tableColumn id="9411" name="Column9407" dataDxfId="6973"/>
    <tableColumn id="9412" name="Column9408" dataDxfId="6972"/>
    <tableColumn id="9413" name="Column9409" dataDxfId="6971"/>
    <tableColumn id="9414" name="Column9410" dataDxfId="6970"/>
    <tableColumn id="9415" name="Column9411" dataDxfId="6969"/>
    <tableColumn id="9416" name="Column9412" dataDxfId="6968"/>
    <tableColumn id="9417" name="Column9413" dataDxfId="6967"/>
    <tableColumn id="9418" name="Column9414" dataDxfId="6966"/>
    <tableColumn id="9419" name="Column9415" dataDxfId="6965"/>
    <tableColumn id="9420" name="Column9416" dataDxfId="6964"/>
    <tableColumn id="9421" name="Column9417" dataDxfId="6963"/>
    <tableColumn id="9422" name="Column9418" dataDxfId="6962"/>
    <tableColumn id="9423" name="Column9419" dataDxfId="6961"/>
    <tableColumn id="9424" name="Column9420" dataDxfId="6960"/>
    <tableColumn id="9425" name="Column9421" dataDxfId="6959"/>
    <tableColumn id="9426" name="Column9422" dataDxfId="6958"/>
    <tableColumn id="9427" name="Column9423" dataDxfId="6957"/>
    <tableColumn id="9428" name="Column9424" dataDxfId="6956"/>
    <tableColumn id="9429" name="Column9425" dataDxfId="6955"/>
    <tableColumn id="9430" name="Column9426" dataDxfId="6954"/>
    <tableColumn id="9431" name="Column9427" dataDxfId="6953"/>
    <tableColumn id="9432" name="Column9428" dataDxfId="6952"/>
    <tableColumn id="9433" name="Column9429" dataDxfId="6951"/>
    <tableColumn id="9434" name="Column9430" dataDxfId="6950"/>
    <tableColumn id="9435" name="Column9431" dataDxfId="6949"/>
    <tableColumn id="9436" name="Column9432" dataDxfId="6948"/>
    <tableColumn id="9437" name="Column9433" dataDxfId="6947"/>
    <tableColumn id="9438" name="Column9434" dataDxfId="6946"/>
    <tableColumn id="9439" name="Column9435" dataDxfId="6945"/>
    <tableColumn id="9440" name="Column9436" dataDxfId="6944"/>
    <tableColumn id="9441" name="Column9437" dataDxfId="6943"/>
    <tableColumn id="9442" name="Column9438" dataDxfId="6942"/>
    <tableColumn id="9443" name="Column9439" dataDxfId="6941"/>
    <tableColumn id="9444" name="Column9440" dataDxfId="6940"/>
    <tableColumn id="9445" name="Column9441" dataDxfId="6939"/>
    <tableColumn id="9446" name="Column9442" dataDxfId="6938"/>
    <tableColumn id="9447" name="Column9443" dataDxfId="6937"/>
    <tableColumn id="9448" name="Column9444" dataDxfId="6936"/>
    <tableColumn id="9449" name="Column9445" dataDxfId="6935"/>
    <tableColumn id="9450" name="Column9446" dataDxfId="6934"/>
    <tableColumn id="9451" name="Column9447" dataDxfId="6933"/>
    <tableColumn id="9452" name="Column9448" dataDxfId="6932"/>
    <tableColumn id="9453" name="Column9449" dataDxfId="6931"/>
    <tableColumn id="9454" name="Column9450" dataDxfId="6930"/>
    <tableColumn id="9455" name="Column9451" dataDxfId="6929"/>
    <tableColumn id="9456" name="Column9452" dataDxfId="6928"/>
    <tableColumn id="9457" name="Column9453" dataDxfId="6927"/>
    <tableColumn id="9458" name="Column9454" dataDxfId="6926"/>
    <tableColumn id="9459" name="Column9455" dataDxfId="6925"/>
    <tableColumn id="9460" name="Column9456" dataDxfId="6924"/>
    <tableColumn id="9461" name="Column9457" dataDxfId="6923"/>
    <tableColumn id="9462" name="Column9458" dataDxfId="6922"/>
    <tableColumn id="9463" name="Column9459" dataDxfId="6921"/>
    <tableColumn id="9464" name="Column9460" dataDxfId="6920"/>
    <tableColumn id="9465" name="Column9461" dataDxfId="6919"/>
    <tableColumn id="9466" name="Column9462" dataDxfId="6918"/>
    <tableColumn id="9467" name="Column9463" dataDxfId="6917"/>
    <tableColumn id="9468" name="Column9464" dataDxfId="6916"/>
    <tableColumn id="9469" name="Column9465" dataDxfId="6915"/>
    <tableColumn id="9470" name="Column9466" dataDxfId="6914"/>
    <tableColumn id="9471" name="Column9467" dataDxfId="6913"/>
    <tableColumn id="9472" name="Column9468" dataDxfId="6912"/>
    <tableColumn id="9473" name="Column9469" dataDxfId="6911"/>
    <tableColumn id="9474" name="Column9470" dataDxfId="6910"/>
    <tableColumn id="9475" name="Column9471" dataDxfId="6909"/>
    <tableColumn id="9476" name="Column9472" dataDxfId="6908"/>
    <tableColumn id="9477" name="Column9473" dataDxfId="6907"/>
    <tableColumn id="9478" name="Column9474" dataDxfId="6906"/>
    <tableColumn id="9479" name="Column9475" dataDxfId="6905"/>
    <tableColumn id="9480" name="Column9476" dataDxfId="6904"/>
    <tableColumn id="9481" name="Column9477" dataDxfId="6903"/>
    <tableColumn id="9482" name="Column9478" dataDxfId="6902"/>
    <tableColumn id="9483" name="Column9479" dataDxfId="6901"/>
    <tableColumn id="9484" name="Column9480" dataDxfId="6900"/>
    <tableColumn id="9485" name="Column9481" dataDxfId="6899"/>
    <tableColumn id="9486" name="Column9482" dataDxfId="6898"/>
    <tableColumn id="9487" name="Column9483" dataDxfId="6897"/>
    <tableColumn id="9488" name="Column9484" dataDxfId="6896"/>
    <tableColumn id="9489" name="Column9485" dataDxfId="6895"/>
    <tableColumn id="9490" name="Column9486" dataDxfId="6894"/>
    <tableColumn id="9491" name="Column9487" dataDxfId="6893"/>
    <tableColumn id="9492" name="Column9488" dataDxfId="6892"/>
    <tableColumn id="9493" name="Column9489" dataDxfId="6891"/>
    <tableColumn id="9494" name="Column9490" dataDxfId="6890"/>
    <tableColumn id="9495" name="Column9491" dataDxfId="6889"/>
    <tableColumn id="9496" name="Column9492" dataDxfId="6888"/>
    <tableColumn id="9497" name="Column9493" dataDxfId="6887"/>
    <tableColumn id="9498" name="Column9494" dataDxfId="6886"/>
    <tableColumn id="9499" name="Column9495" dataDxfId="6885"/>
    <tableColumn id="9500" name="Column9496" dataDxfId="6884"/>
    <tableColumn id="9501" name="Column9497" dataDxfId="6883"/>
    <tableColumn id="9502" name="Column9498" dataDxfId="6882"/>
    <tableColumn id="9503" name="Column9499" dataDxfId="6881"/>
    <tableColumn id="9504" name="Column9500" dataDxfId="6880"/>
    <tableColumn id="9505" name="Column9501" dataDxfId="6879"/>
    <tableColumn id="9506" name="Column9502" dataDxfId="6878"/>
    <tableColumn id="9507" name="Column9503" dataDxfId="6877"/>
    <tableColumn id="9508" name="Column9504" dataDxfId="6876"/>
    <tableColumn id="9509" name="Column9505" dataDxfId="6875"/>
    <tableColumn id="9510" name="Column9506" dataDxfId="6874"/>
    <tableColumn id="9511" name="Column9507" dataDxfId="6873"/>
    <tableColumn id="9512" name="Column9508" dataDxfId="6872"/>
    <tableColumn id="9513" name="Column9509" dataDxfId="6871"/>
    <tableColumn id="9514" name="Column9510" dataDxfId="6870"/>
    <tableColumn id="9515" name="Column9511" dataDxfId="6869"/>
    <tableColumn id="9516" name="Column9512" dataDxfId="6868"/>
    <tableColumn id="9517" name="Column9513" dataDxfId="6867"/>
    <tableColumn id="9518" name="Column9514" dataDxfId="6866"/>
    <tableColumn id="9519" name="Column9515" dataDxfId="6865"/>
    <tableColumn id="9520" name="Column9516" dataDxfId="6864"/>
    <tableColumn id="9521" name="Column9517" dataDxfId="6863"/>
    <tableColumn id="9522" name="Column9518" dataDxfId="6862"/>
    <tableColumn id="9523" name="Column9519" dataDxfId="6861"/>
    <tableColumn id="9524" name="Column9520" dataDxfId="6860"/>
    <tableColumn id="9525" name="Column9521" dataDxfId="6859"/>
    <tableColumn id="9526" name="Column9522" dataDxfId="6858"/>
    <tableColumn id="9527" name="Column9523" dataDxfId="6857"/>
    <tableColumn id="9528" name="Column9524" dataDxfId="6856"/>
    <tableColumn id="9529" name="Column9525" dataDxfId="6855"/>
    <tableColumn id="9530" name="Column9526" dataDxfId="6854"/>
    <tableColumn id="9531" name="Column9527" dataDxfId="6853"/>
    <tableColumn id="9532" name="Column9528" dataDxfId="6852"/>
    <tableColumn id="9533" name="Column9529" dataDxfId="6851"/>
    <tableColumn id="9534" name="Column9530" dataDxfId="6850"/>
    <tableColumn id="9535" name="Column9531" dataDxfId="6849"/>
    <tableColumn id="9536" name="Column9532" dataDxfId="6848"/>
    <tableColumn id="9537" name="Column9533" dataDxfId="6847"/>
    <tableColumn id="9538" name="Column9534" dataDxfId="6846"/>
    <tableColumn id="9539" name="Column9535" dataDxfId="6845"/>
    <tableColumn id="9540" name="Column9536" dataDxfId="6844"/>
    <tableColumn id="9541" name="Column9537" dataDxfId="6843"/>
    <tableColumn id="9542" name="Column9538" dataDxfId="6842"/>
    <tableColumn id="9543" name="Column9539" dataDxfId="6841"/>
    <tableColumn id="9544" name="Column9540" dataDxfId="6840"/>
    <tableColumn id="9545" name="Column9541" dataDxfId="6839"/>
    <tableColumn id="9546" name="Column9542" dataDxfId="6838"/>
    <tableColumn id="9547" name="Column9543" dataDxfId="6837"/>
    <tableColumn id="9548" name="Column9544" dataDxfId="6836"/>
    <tableColumn id="9549" name="Column9545" dataDxfId="6835"/>
    <tableColumn id="9550" name="Column9546" dataDxfId="6834"/>
    <tableColumn id="9551" name="Column9547" dataDxfId="6833"/>
    <tableColumn id="9552" name="Column9548" dataDxfId="6832"/>
    <tableColumn id="9553" name="Column9549" dataDxfId="6831"/>
    <tableColumn id="9554" name="Column9550" dataDxfId="6830"/>
    <tableColumn id="9555" name="Column9551" dataDxfId="6829"/>
    <tableColumn id="9556" name="Column9552" dataDxfId="6828"/>
    <tableColumn id="9557" name="Column9553" dataDxfId="6827"/>
    <tableColumn id="9558" name="Column9554" dataDxfId="6826"/>
    <tableColumn id="9559" name="Column9555" dataDxfId="6825"/>
    <tableColumn id="9560" name="Column9556" dataDxfId="6824"/>
    <tableColumn id="9561" name="Column9557" dataDxfId="6823"/>
    <tableColumn id="9562" name="Column9558" dataDxfId="6822"/>
    <tableColumn id="9563" name="Column9559" dataDxfId="6821"/>
    <tableColumn id="9564" name="Column9560" dataDxfId="6820"/>
    <tableColumn id="9565" name="Column9561" dataDxfId="6819"/>
    <tableColumn id="9566" name="Column9562" dataDxfId="6818"/>
    <tableColumn id="9567" name="Column9563" dataDxfId="6817"/>
    <tableColumn id="9568" name="Column9564" dataDxfId="6816"/>
    <tableColumn id="9569" name="Column9565" dataDxfId="6815"/>
    <tableColumn id="9570" name="Column9566" dataDxfId="6814"/>
    <tableColumn id="9571" name="Column9567" dataDxfId="6813"/>
    <tableColumn id="9572" name="Column9568" dataDxfId="6812"/>
    <tableColumn id="9573" name="Column9569" dataDxfId="6811"/>
    <tableColumn id="9574" name="Column9570" dataDxfId="6810"/>
    <tableColumn id="9575" name="Column9571" dataDxfId="6809"/>
    <tableColumn id="9576" name="Column9572" dataDxfId="6808"/>
    <tableColumn id="9577" name="Column9573" dataDxfId="6807"/>
    <tableColumn id="9578" name="Column9574" dataDxfId="6806"/>
    <tableColumn id="9579" name="Column9575" dataDxfId="6805"/>
    <tableColumn id="9580" name="Column9576" dataDxfId="6804"/>
    <tableColumn id="9581" name="Column9577" dataDxfId="6803"/>
    <tableColumn id="9582" name="Column9578" dataDxfId="6802"/>
    <tableColumn id="9583" name="Column9579" dataDxfId="6801"/>
    <tableColumn id="9584" name="Column9580" dataDxfId="6800"/>
    <tableColumn id="9585" name="Column9581" dataDxfId="6799"/>
    <tableColumn id="9586" name="Column9582" dataDxfId="6798"/>
    <tableColumn id="9587" name="Column9583" dataDxfId="6797"/>
    <tableColumn id="9588" name="Column9584" dataDxfId="6796"/>
    <tableColumn id="9589" name="Column9585" dataDxfId="6795"/>
    <tableColumn id="9590" name="Column9586" dataDxfId="6794"/>
    <tableColumn id="9591" name="Column9587" dataDxfId="6793"/>
    <tableColumn id="9592" name="Column9588" dataDxfId="6792"/>
    <tableColumn id="9593" name="Column9589" dataDxfId="6791"/>
    <tableColumn id="9594" name="Column9590" dataDxfId="6790"/>
    <tableColumn id="9595" name="Column9591" dataDxfId="6789"/>
    <tableColumn id="9596" name="Column9592" dataDxfId="6788"/>
    <tableColumn id="9597" name="Column9593" dataDxfId="6787"/>
    <tableColumn id="9598" name="Column9594" dataDxfId="6786"/>
    <tableColumn id="9599" name="Column9595" dataDxfId="6785"/>
    <tableColumn id="9600" name="Column9596" dataDxfId="6784"/>
    <tableColumn id="9601" name="Column9597" dataDxfId="6783"/>
    <tableColumn id="9602" name="Column9598" dataDxfId="6782"/>
    <tableColumn id="9603" name="Column9599" dataDxfId="6781"/>
    <tableColumn id="9604" name="Column9600" dataDxfId="6780"/>
    <tableColumn id="9605" name="Column9601" dataDxfId="6779"/>
    <tableColumn id="9606" name="Column9602" dataDxfId="6778"/>
    <tableColumn id="9607" name="Column9603" dataDxfId="6777"/>
    <tableColumn id="9608" name="Column9604" dataDxfId="6776"/>
    <tableColumn id="9609" name="Column9605" dataDxfId="6775"/>
    <tableColumn id="9610" name="Column9606" dataDxfId="6774"/>
    <tableColumn id="9611" name="Column9607" dataDxfId="6773"/>
    <tableColumn id="9612" name="Column9608" dataDxfId="6772"/>
    <tableColumn id="9613" name="Column9609" dataDxfId="6771"/>
    <tableColumn id="9614" name="Column9610" dataDxfId="6770"/>
    <tableColumn id="9615" name="Column9611" dataDxfId="6769"/>
    <tableColumn id="9616" name="Column9612" dataDxfId="6768"/>
    <tableColumn id="9617" name="Column9613" dataDxfId="6767"/>
    <tableColumn id="9618" name="Column9614" dataDxfId="6766"/>
    <tableColumn id="9619" name="Column9615" dataDxfId="6765"/>
    <tableColumn id="9620" name="Column9616" dataDxfId="6764"/>
    <tableColumn id="9621" name="Column9617" dataDxfId="6763"/>
    <tableColumn id="9622" name="Column9618" dataDxfId="6762"/>
    <tableColumn id="9623" name="Column9619" dataDxfId="6761"/>
    <tableColumn id="9624" name="Column9620" dataDxfId="6760"/>
    <tableColumn id="9625" name="Column9621" dataDxfId="6759"/>
    <tableColumn id="9626" name="Column9622" dataDxfId="6758"/>
    <tableColumn id="9627" name="Column9623" dataDxfId="6757"/>
    <tableColumn id="9628" name="Column9624" dataDxfId="6756"/>
    <tableColumn id="9629" name="Column9625" dataDxfId="6755"/>
    <tableColumn id="9630" name="Column9626" dataDxfId="6754"/>
    <tableColumn id="9631" name="Column9627" dataDxfId="6753"/>
    <tableColumn id="9632" name="Column9628" dataDxfId="6752"/>
    <tableColumn id="9633" name="Column9629" dataDxfId="6751"/>
    <tableColumn id="9634" name="Column9630" dataDxfId="6750"/>
    <tableColumn id="9635" name="Column9631" dataDxfId="6749"/>
    <tableColumn id="9636" name="Column9632" dataDxfId="6748"/>
    <tableColumn id="9637" name="Column9633" dataDxfId="6747"/>
    <tableColumn id="9638" name="Column9634" dataDxfId="6746"/>
    <tableColumn id="9639" name="Column9635" dataDxfId="6745"/>
    <tableColumn id="9640" name="Column9636" dataDxfId="6744"/>
    <tableColumn id="9641" name="Column9637" dataDxfId="6743"/>
    <tableColumn id="9642" name="Column9638" dataDxfId="6742"/>
    <tableColumn id="9643" name="Column9639" dataDxfId="6741"/>
    <tableColumn id="9644" name="Column9640" dataDxfId="6740"/>
    <tableColumn id="9645" name="Column9641" dataDxfId="6739"/>
    <tableColumn id="9646" name="Column9642" dataDxfId="6738"/>
    <tableColumn id="9647" name="Column9643" dataDxfId="6737"/>
    <tableColumn id="9648" name="Column9644" dataDxfId="6736"/>
    <tableColumn id="9649" name="Column9645" dataDxfId="6735"/>
    <tableColumn id="9650" name="Column9646" dataDxfId="6734"/>
    <tableColumn id="9651" name="Column9647" dataDxfId="6733"/>
    <tableColumn id="9652" name="Column9648" dataDxfId="6732"/>
    <tableColumn id="9653" name="Column9649" dataDxfId="6731"/>
    <tableColumn id="9654" name="Column9650" dataDxfId="6730"/>
    <tableColumn id="9655" name="Column9651" dataDxfId="6729"/>
    <tableColumn id="9656" name="Column9652" dataDxfId="6728"/>
    <tableColumn id="9657" name="Column9653" dataDxfId="6727"/>
    <tableColumn id="9658" name="Column9654" dataDxfId="6726"/>
    <tableColumn id="9659" name="Column9655" dataDxfId="6725"/>
    <tableColumn id="9660" name="Column9656" dataDxfId="6724"/>
    <tableColumn id="9661" name="Column9657" dataDxfId="6723"/>
    <tableColumn id="9662" name="Column9658" dataDxfId="6722"/>
    <tableColumn id="9663" name="Column9659" dataDxfId="6721"/>
    <tableColumn id="9664" name="Column9660" dataDxfId="6720"/>
    <tableColumn id="9665" name="Column9661" dataDxfId="6719"/>
    <tableColumn id="9666" name="Column9662" dataDxfId="6718"/>
    <tableColumn id="9667" name="Column9663" dataDxfId="6717"/>
    <tableColumn id="9668" name="Column9664" dataDxfId="6716"/>
    <tableColumn id="9669" name="Column9665" dataDxfId="6715"/>
    <tableColumn id="9670" name="Column9666" dataDxfId="6714"/>
    <tableColumn id="9671" name="Column9667" dataDxfId="6713"/>
    <tableColumn id="9672" name="Column9668" dataDxfId="6712"/>
    <tableColumn id="9673" name="Column9669" dataDxfId="6711"/>
    <tableColumn id="9674" name="Column9670" dataDxfId="6710"/>
    <tableColumn id="9675" name="Column9671" dataDxfId="6709"/>
    <tableColumn id="9676" name="Column9672" dataDxfId="6708"/>
    <tableColumn id="9677" name="Column9673" dataDxfId="6707"/>
    <tableColumn id="9678" name="Column9674" dataDxfId="6706"/>
    <tableColumn id="9679" name="Column9675" dataDxfId="6705"/>
    <tableColumn id="9680" name="Column9676" dataDxfId="6704"/>
    <tableColumn id="9681" name="Column9677" dataDxfId="6703"/>
    <tableColumn id="9682" name="Column9678" dataDxfId="6702"/>
    <tableColumn id="9683" name="Column9679" dataDxfId="6701"/>
    <tableColumn id="9684" name="Column9680" dataDxfId="6700"/>
    <tableColumn id="9685" name="Column9681" dataDxfId="6699"/>
    <tableColumn id="9686" name="Column9682" dataDxfId="6698"/>
    <tableColumn id="9687" name="Column9683" dataDxfId="6697"/>
    <tableColumn id="9688" name="Column9684" dataDxfId="6696"/>
    <tableColumn id="9689" name="Column9685" dataDxfId="6695"/>
    <tableColumn id="9690" name="Column9686" dataDxfId="6694"/>
    <tableColumn id="9691" name="Column9687" dataDxfId="6693"/>
    <tableColumn id="9692" name="Column9688" dataDxfId="6692"/>
    <tableColumn id="9693" name="Column9689" dataDxfId="6691"/>
    <tableColumn id="9694" name="Column9690" dataDxfId="6690"/>
    <tableColumn id="9695" name="Column9691" dataDxfId="6689"/>
    <tableColumn id="9696" name="Column9692" dataDxfId="6688"/>
    <tableColumn id="9697" name="Column9693" dataDxfId="6687"/>
    <tableColumn id="9698" name="Column9694" dataDxfId="6686"/>
    <tableColumn id="9699" name="Column9695" dataDxfId="6685"/>
    <tableColumn id="9700" name="Column9696" dataDxfId="6684"/>
    <tableColumn id="9701" name="Column9697" dataDxfId="6683"/>
    <tableColumn id="9702" name="Column9698" dataDxfId="6682"/>
    <tableColumn id="9703" name="Column9699" dataDxfId="6681"/>
    <tableColumn id="9704" name="Column9700" dataDxfId="6680"/>
    <tableColumn id="9705" name="Column9701" dataDxfId="6679"/>
    <tableColumn id="9706" name="Column9702" dataDxfId="6678"/>
    <tableColumn id="9707" name="Column9703" dataDxfId="6677"/>
    <tableColumn id="9708" name="Column9704" dataDxfId="6676"/>
    <tableColumn id="9709" name="Column9705" dataDxfId="6675"/>
    <tableColumn id="9710" name="Column9706" dataDxfId="6674"/>
    <tableColumn id="9711" name="Column9707" dataDxfId="6673"/>
    <tableColumn id="9712" name="Column9708" dataDxfId="6672"/>
    <tableColumn id="9713" name="Column9709" dataDxfId="6671"/>
    <tableColumn id="9714" name="Column9710" dataDxfId="6670"/>
    <tableColumn id="9715" name="Column9711" dataDxfId="6669"/>
    <tableColumn id="9716" name="Column9712" dataDxfId="6668"/>
    <tableColumn id="9717" name="Column9713" dataDxfId="6667"/>
    <tableColumn id="9718" name="Column9714" dataDxfId="6666"/>
    <tableColumn id="9719" name="Column9715" dataDxfId="6665"/>
    <tableColumn id="9720" name="Column9716" dataDxfId="6664"/>
    <tableColumn id="9721" name="Column9717" dataDxfId="6663"/>
    <tableColumn id="9722" name="Column9718" dataDxfId="6662"/>
    <tableColumn id="9723" name="Column9719" dataDxfId="6661"/>
    <tableColumn id="9724" name="Column9720" dataDxfId="6660"/>
    <tableColumn id="9725" name="Column9721" dataDxfId="6659"/>
    <tableColumn id="9726" name="Column9722" dataDxfId="6658"/>
    <tableColumn id="9727" name="Column9723" dataDxfId="6657"/>
    <tableColumn id="9728" name="Column9724" dataDxfId="6656"/>
    <tableColumn id="9729" name="Column9725" dataDxfId="6655"/>
    <tableColumn id="9730" name="Column9726" dataDxfId="6654"/>
    <tableColumn id="9731" name="Column9727" dataDxfId="6653"/>
    <tableColumn id="9732" name="Column9728" dataDxfId="6652"/>
    <tableColumn id="9733" name="Column9729" dataDxfId="6651"/>
    <tableColumn id="9734" name="Column9730" dataDxfId="6650"/>
    <tableColumn id="9735" name="Column9731" dataDxfId="6649"/>
    <tableColumn id="9736" name="Column9732" dataDxfId="6648"/>
    <tableColumn id="9737" name="Column9733" dataDxfId="6647"/>
    <tableColumn id="9738" name="Column9734" dataDxfId="6646"/>
    <tableColumn id="9739" name="Column9735" dataDxfId="6645"/>
    <tableColumn id="9740" name="Column9736" dataDxfId="6644"/>
    <tableColumn id="9741" name="Column9737" dataDxfId="6643"/>
    <tableColumn id="9742" name="Column9738" dataDxfId="6642"/>
    <tableColumn id="9743" name="Column9739" dataDxfId="6641"/>
    <tableColumn id="9744" name="Column9740" dataDxfId="6640"/>
    <tableColumn id="9745" name="Column9741" dataDxfId="6639"/>
    <tableColumn id="9746" name="Column9742" dataDxfId="6638"/>
    <tableColumn id="9747" name="Column9743" dataDxfId="6637"/>
    <tableColumn id="9748" name="Column9744" dataDxfId="6636"/>
    <tableColumn id="9749" name="Column9745" dataDxfId="6635"/>
    <tableColumn id="9750" name="Column9746" dataDxfId="6634"/>
    <tableColumn id="9751" name="Column9747" dataDxfId="6633"/>
    <tableColumn id="9752" name="Column9748" dataDxfId="6632"/>
    <tableColumn id="9753" name="Column9749" dataDxfId="6631"/>
    <tableColumn id="9754" name="Column9750" dataDxfId="6630"/>
    <tableColumn id="9755" name="Column9751" dataDxfId="6629"/>
    <tableColumn id="9756" name="Column9752" dataDxfId="6628"/>
    <tableColumn id="9757" name="Column9753" dataDxfId="6627"/>
    <tableColumn id="9758" name="Column9754" dataDxfId="6626"/>
    <tableColumn id="9759" name="Column9755" dataDxfId="6625"/>
    <tableColumn id="9760" name="Column9756" dataDxfId="6624"/>
    <tableColumn id="9761" name="Column9757" dataDxfId="6623"/>
    <tableColumn id="9762" name="Column9758" dataDxfId="6622"/>
    <tableColumn id="9763" name="Column9759" dataDxfId="6621"/>
    <tableColumn id="9764" name="Column9760" dataDxfId="6620"/>
    <tableColumn id="9765" name="Column9761" dataDxfId="6619"/>
    <tableColumn id="9766" name="Column9762" dataDxfId="6618"/>
    <tableColumn id="9767" name="Column9763" dataDxfId="6617"/>
    <tableColumn id="9768" name="Column9764" dataDxfId="6616"/>
    <tableColumn id="9769" name="Column9765" dataDxfId="6615"/>
    <tableColumn id="9770" name="Column9766" dataDxfId="6614"/>
    <tableColumn id="9771" name="Column9767" dataDxfId="6613"/>
    <tableColumn id="9772" name="Column9768" dataDxfId="6612"/>
    <tableColumn id="9773" name="Column9769" dataDxfId="6611"/>
    <tableColumn id="9774" name="Column9770" dataDxfId="6610"/>
    <tableColumn id="9775" name="Column9771" dataDxfId="6609"/>
    <tableColumn id="9776" name="Column9772" dataDxfId="6608"/>
    <tableColumn id="9777" name="Column9773" dataDxfId="6607"/>
    <tableColumn id="9778" name="Column9774" dataDxfId="6606"/>
    <tableColumn id="9779" name="Column9775" dataDxfId="6605"/>
    <tableColumn id="9780" name="Column9776" dataDxfId="6604"/>
    <tableColumn id="9781" name="Column9777" dataDxfId="6603"/>
    <tableColumn id="9782" name="Column9778" dataDxfId="6602"/>
    <tableColumn id="9783" name="Column9779" dataDxfId="6601"/>
    <tableColumn id="9784" name="Column9780" dataDxfId="6600"/>
    <tableColumn id="9785" name="Column9781" dataDxfId="6599"/>
    <tableColumn id="9786" name="Column9782" dataDxfId="6598"/>
    <tableColumn id="9787" name="Column9783" dataDxfId="6597"/>
    <tableColumn id="9788" name="Column9784" dataDxfId="6596"/>
    <tableColumn id="9789" name="Column9785" dataDxfId="6595"/>
    <tableColumn id="9790" name="Column9786" dataDxfId="6594"/>
    <tableColumn id="9791" name="Column9787" dataDxfId="6593"/>
    <tableColumn id="9792" name="Column9788" dataDxfId="6592"/>
    <tableColumn id="9793" name="Column9789" dataDxfId="6591"/>
    <tableColumn id="9794" name="Column9790" dataDxfId="6590"/>
    <tableColumn id="9795" name="Column9791" dataDxfId="6589"/>
    <tableColumn id="9796" name="Column9792" dataDxfId="6588"/>
    <tableColumn id="9797" name="Column9793" dataDxfId="6587"/>
    <tableColumn id="9798" name="Column9794" dataDxfId="6586"/>
    <tableColumn id="9799" name="Column9795" dataDxfId="6585"/>
    <tableColumn id="9800" name="Column9796" dataDxfId="6584"/>
    <tableColumn id="9801" name="Column9797" dataDxfId="6583"/>
    <tableColumn id="9802" name="Column9798" dataDxfId="6582"/>
    <tableColumn id="9803" name="Column9799" dataDxfId="6581"/>
    <tableColumn id="9804" name="Column9800" dataDxfId="6580"/>
    <tableColumn id="9805" name="Column9801" dataDxfId="6579"/>
    <tableColumn id="9806" name="Column9802" dataDxfId="6578"/>
    <tableColumn id="9807" name="Column9803" dataDxfId="6577"/>
    <tableColumn id="9808" name="Column9804" dataDxfId="6576"/>
    <tableColumn id="9809" name="Column9805" dataDxfId="6575"/>
    <tableColumn id="9810" name="Column9806" dataDxfId="6574"/>
    <tableColumn id="9811" name="Column9807" dataDxfId="6573"/>
    <tableColumn id="9812" name="Column9808" dataDxfId="6572"/>
    <tableColumn id="9813" name="Column9809" dataDxfId="6571"/>
    <tableColumn id="9814" name="Column9810" dataDxfId="6570"/>
    <tableColumn id="9815" name="Column9811" dataDxfId="6569"/>
    <tableColumn id="9816" name="Column9812" dataDxfId="6568"/>
    <tableColumn id="9817" name="Column9813" dataDxfId="6567"/>
    <tableColumn id="9818" name="Column9814" dataDxfId="6566"/>
    <tableColumn id="9819" name="Column9815" dataDxfId="6565"/>
    <tableColumn id="9820" name="Column9816" dataDxfId="6564"/>
    <tableColumn id="9821" name="Column9817" dataDxfId="6563"/>
    <tableColumn id="9822" name="Column9818" dataDxfId="6562"/>
    <tableColumn id="9823" name="Column9819" dataDxfId="6561"/>
    <tableColumn id="9824" name="Column9820" dataDxfId="6560"/>
    <tableColumn id="9825" name="Column9821" dataDxfId="6559"/>
    <tableColumn id="9826" name="Column9822" dataDxfId="6558"/>
    <tableColumn id="9827" name="Column9823" dataDxfId="6557"/>
    <tableColumn id="9828" name="Column9824" dataDxfId="6556"/>
    <tableColumn id="9829" name="Column9825" dataDxfId="6555"/>
    <tableColumn id="9830" name="Column9826" dataDxfId="6554"/>
    <tableColumn id="9831" name="Column9827" dataDxfId="6553"/>
    <tableColumn id="9832" name="Column9828" dataDxfId="6552"/>
    <tableColumn id="9833" name="Column9829" dataDxfId="6551"/>
    <tableColumn id="9834" name="Column9830" dataDxfId="6550"/>
    <tableColumn id="9835" name="Column9831" dataDxfId="6549"/>
    <tableColumn id="9836" name="Column9832" dataDxfId="6548"/>
    <tableColumn id="9837" name="Column9833" dataDxfId="6547"/>
    <tableColumn id="9838" name="Column9834" dataDxfId="6546"/>
    <tableColumn id="9839" name="Column9835" dataDxfId="6545"/>
    <tableColumn id="9840" name="Column9836" dataDxfId="6544"/>
    <tableColumn id="9841" name="Column9837" dataDxfId="6543"/>
    <tableColumn id="9842" name="Column9838" dataDxfId="6542"/>
    <tableColumn id="9843" name="Column9839" dataDxfId="6541"/>
    <tableColumn id="9844" name="Column9840" dataDxfId="6540"/>
    <tableColumn id="9845" name="Column9841" dataDxfId="6539"/>
    <tableColumn id="9846" name="Column9842" dataDxfId="6538"/>
    <tableColumn id="9847" name="Column9843" dataDxfId="6537"/>
    <tableColumn id="9848" name="Column9844" dataDxfId="6536"/>
    <tableColumn id="9849" name="Column9845" dataDxfId="6535"/>
    <tableColumn id="9850" name="Column9846" dataDxfId="6534"/>
    <tableColumn id="9851" name="Column9847" dataDxfId="6533"/>
    <tableColumn id="9852" name="Column9848" dataDxfId="6532"/>
    <tableColumn id="9853" name="Column9849" dataDxfId="6531"/>
    <tableColumn id="9854" name="Column9850" dataDxfId="6530"/>
    <tableColumn id="9855" name="Column9851" dataDxfId="6529"/>
    <tableColumn id="9856" name="Column9852" dataDxfId="6528"/>
    <tableColumn id="9857" name="Column9853" dataDxfId="6527"/>
    <tableColumn id="9858" name="Column9854" dataDxfId="6526"/>
    <tableColumn id="9859" name="Column9855" dataDxfId="6525"/>
    <tableColumn id="9860" name="Column9856" dataDxfId="6524"/>
    <tableColumn id="9861" name="Column9857" dataDxfId="6523"/>
    <tableColumn id="9862" name="Column9858" dataDxfId="6522"/>
    <tableColumn id="9863" name="Column9859" dataDxfId="6521"/>
    <tableColumn id="9864" name="Column9860" dataDxfId="6520"/>
    <tableColumn id="9865" name="Column9861" dataDxfId="6519"/>
    <tableColumn id="9866" name="Column9862" dataDxfId="6518"/>
    <tableColumn id="9867" name="Column9863" dataDxfId="6517"/>
    <tableColumn id="9868" name="Column9864" dataDxfId="6516"/>
    <tableColumn id="9869" name="Column9865" dataDxfId="6515"/>
    <tableColumn id="9870" name="Column9866" dataDxfId="6514"/>
    <tableColumn id="9871" name="Column9867" dataDxfId="6513"/>
    <tableColumn id="9872" name="Column9868" dataDxfId="6512"/>
    <tableColumn id="9873" name="Column9869" dataDxfId="6511"/>
    <tableColumn id="9874" name="Column9870" dataDxfId="6510"/>
    <tableColumn id="9875" name="Column9871" dataDxfId="6509"/>
    <tableColumn id="9876" name="Column9872" dataDxfId="6508"/>
    <tableColumn id="9877" name="Column9873" dataDxfId="6507"/>
    <tableColumn id="9878" name="Column9874" dataDxfId="6506"/>
    <tableColumn id="9879" name="Column9875" dataDxfId="6505"/>
    <tableColumn id="9880" name="Column9876" dataDxfId="6504"/>
    <tableColumn id="9881" name="Column9877" dataDxfId="6503"/>
    <tableColumn id="9882" name="Column9878" dataDxfId="6502"/>
    <tableColumn id="9883" name="Column9879" dataDxfId="6501"/>
    <tableColumn id="9884" name="Column9880" dataDxfId="6500"/>
    <tableColumn id="9885" name="Column9881" dataDxfId="6499"/>
    <tableColumn id="9886" name="Column9882" dataDxfId="6498"/>
    <tableColumn id="9887" name="Column9883" dataDxfId="6497"/>
    <tableColumn id="9888" name="Column9884" dataDxfId="6496"/>
    <tableColumn id="9889" name="Column9885" dataDxfId="6495"/>
    <tableColumn id="9890" name="Column9886" dataDxfId="6494"/>
    <tableColumn id="9891" name="Column9887" dataDxfId="6493"/>
    <tableColumn id="9892" name="Column9888" dataDxfId="6492"/>
    <tableColumn id="9893" name="Column9889" dataDxfId="6491"/>
    <tableColumn id="9894" name="Column9890" dataDxfId="6490"/>
    <tableColumn id="9895" name="Column9891" dataDxfId="6489"/>
    <tableColumn id="9896" name="Column9892" dataDxfId="6488"/>
    <tableColumn id="9897" name="Column9893" dataDxfId="6487"/>
    <tableColumn id="9898" name="Column9894" dataDxfId="6486"/>
    <tableColumn id="9899" name="Column9895" dataDxfId="6485"/>
    <tableColumn id="9900" name="Column9896" dataDxfId="6484"/>
    <tableColumn id="9901" name="Column9897" dataDxfId="6483"/>
    <tableColumn id="9902" name="Column9898" dataDxfId="6482"/>
    <tableColumn id="9903" name="Column9899" dataDxfId="6481"/>
    <tableColumn id="9904" name="Column9900" dataDxfId="6480"/>
    <tableColumn id="9905" name="Column9901" dataDxfId="6479"/>
    <tableColumn id="9906" name="Column9902" dataDxfId="6478"/>
    <tableColumn id="9907" name="Column9903" dataDxfId="6477"/>
    <tableColumn id="9908" name="Column9904" dataDxfId="6476"/>
    <tableColumn id="9909" name="Column9905" dataDxfId="6475"/>
    <tableColumn id="9910" name="Column9906" dataDxfId="6474"/>
    <tableColumn id="9911" name="Column9907" dataDxfId="6473"/>
    <tableColumn id="9912" name="Column9908" dataDxfId="6472"/>
    <tableColumn id="9913" name="Column9909" dataDxfId="6471"/>
    <tableColumn id="9914" name="Column9910" dataDxfId="6470"/>
    <tableColumn id="9915" name="Column9911" dataDxfId="6469"/>
    <tableColumn id="9916" name="Column9912" dataDxfId="6468"/>
    <tableColumn id="9917" name="Column9913" dataDxfId="6467"/>
    <tableColumn id="9918" name="Column9914" dataDxfId="6466"/>
    <tableColumn id="9919" name="Column9915" dataDxfId="6465"/>
    <tableColumn id="9920" name="Column9916" dataDxfId="6464"/>
    <tableColumn id="9921" name="Column9917" dataDxfId="6463"/>
    <tableColumn id="9922" name="Column9918" dataDxfId="6462"/>
    <tableColumn id="9923" name="Column9919" dataDxfId="6461"/>
    <tableColumn id="9924" name="Column9920" dataDxfId="6460"/>
    <tableColumn id="9925" name="Column9921" dataDxfId="6459"/>
    <tableColumn id="9926" name="Column9922" dataDxfId="6458"/>
    <tableColumn id="9927" name="Column9923" dataDxfId="6457"/>
    <tableColumn id="9928" name="Column9924" dataDxfId="6456"/>
    <tableColumn id="9929" name="Column9925" dataDxfId="6455"/>
    <tableColumn id="9930" name="Column9926" dataDxfId="6454"/>
    <tableColumn id="9931" name="Column9927" dataDxfId="6453"/>
    <tableColumn id="9932" name="Column9928" dataDxfId="6452"/>
    <tableColumn id="9933" name="Column9929" dataDxfId="6451"/>
    <tableColumn id="9934" name="Column9930" dataDxfId="6450"/>
    <tableColumn id="9935" name="Column9931" dataDxfId="6449"/>
    <tableColumn id="9936" name="Column9932" dataDxfId="6448"/>
    <tableColumn id="9937" name="Column9933" dataDxfId="6447"/>
    <tableColumn id="9938" name="Column9934" dataDxfId="6446"/>
    <tableColumn id="9939" name="Column9935" dataDxfId="6445"/>
    <tableColumn id="9940" name="Column9936" dataDxfId="6444"/>
    <tableColumn id="9941" name="Column9937" dataDxfId="6443"/>
    <tableColumn id="9942" name="Column9938" dataDxfId="6442"/>
    <tableColumn id="9943" name="Column9939" dataDxfId="6441"/>
    <tableColumn id="9944" name="Column9940" dataDxfId="6440"/>
    <tableColumn id="9945" name="Column9941" dataDxfId="6439"/>
    <tableColumn id="9946" name="Column9942" dataDxfId="6438"/>
    <tableColumn id="9947" name="Column9943" dataDxfId="6437"/>
    <tableColumn id="9948" name="Column9944" dataDxfId="6436"/>
    <tableColumn id="9949" name="Column9945" dataDxfId="6435"/>
    <tableColumn id="9950" name="Column9946" dataDxfId="6434"/>
    <tableColumn id="9951" name="Column9947" dataDxfId="6433"/>
    <tableColumn id="9952" name="Column9948" dataDxfId="6432"/>
    <tableColumn id="9953" name="Column9949" dataDxfId="6431"/>
    <tableColumn id="9954" name="Column9950" dataDxfId="6430"/>
    <tableColumn id="9955" name="Column9951" dataDxfId="6429"/>
    <tableColumn id="9956" name="Column9952" dataDxfId="6428"/>
    <tableColumn id="9957" name="Column9953" dataDxfId="6427"/>
    <tableColumn id="9958" name="Column9954" dataDxfId="6426"/>
    <tableColumn id="9959" name="Column9955" dataDxfId="6425"/>
    <tableColumn id="9960" name="Column9956" dataDxfId="6424"/>
    <tableColumn id="9961" name="Column9957" dataDxfId="6423"/>
    <tableColumn id="9962" name="Column9958" dataDxfId="6422"/>
    <tableColumn id="9963" name="Column9959" dataDxfId="6421"/>
    <tableColumn id="9964" name="Column9960" dataDxfId="6420"/>
    <tableColumn id="9965" name="Column9961" dataDxfId="6419"/>
    <tableColumn id="9966" name="Column9962" dataDxfId="6418"/>
    <tableColumn id="9967" name="Column9963" dataDxfId="6417"/>
    <tableColumn id="9968" name="Column9964" dataDxfId="6416"/>
    <tableColumn id="9969" name="Column9965" dataDxfId="6415"/>
    <tableColumn id="9970" name="Column9966" dataDxfId="6414"/>
    <tableColumn id="9971" name="Column9967" dataDxfId="6413"/>
    <tableColumn id="9972" name="Column9968" dataDxfId="6412"/>
    <tableColumn id="9973" name="Column9969" dataDxfId="6411"/>
    <tableColumn id="9974" name="Column9970" dataDxfId="6410"/>
    <tableColumn id="9975" name="Column9971" dataDxfId="6409"/>
    <tableColumn id="9976" name="Column9972" dataDxfId="6408"/>
    <tableColumn id="9977" name="Column9973" dataDxfId="6407"/>
    <tableColumn id="9978" name="Column9974" dataDxfId="6406"/>
    <tableColumn id="9979" name="Column9975" dataDxfId="6405"/>
    <tableColumn id="9980" name="Column9976" dataDxfId="6404"/>
    <tableColumn id="9981" name="Column9977" dataDxfId="6403"/>
    <tableColumn id="9982" name="Column9978" dataDxfId="6402"/>
    <tableColumn id="9983" name="Column9979" dataDxfId="6401"/>
    <tableColumn id="9984" name="Column9980" dataDxfId="6400"/>
    <tableColumn id="9985" name="Column9981" dataDxfId="6399"/>
    <tableColumn id="9986" name="Column9982" dataDxfId="6398"/>
    <tableColumn id="9987" name="Column9983" dataDxfId="6397"/>
    <tableColumn id="9988" name="Column9984" dataDxfId="6396"/>
    <tableColumn id="9989" name="Column9985" dataDxfId="6395"/>
    <tableColumn id="9990" name="Column9986" dataDxfId="6394"/>
    <tableColumn id="9991" name="Column9987" dataDxfId="6393"/>
    <tableColumn id="9992" name="Column9988" dataDxfId="6392"/>
    <tableColumn id="9993" name="Column9989" dataDxfId="6391"/>
    <tableColumn id="9994" name="Column9990" dataDxfId="6390"/>
    <tableColumn id="9995" name="Column9991" dataDxfId="6389"/>
    <tableColumn id="9996" name="Column9992" dataDxfId="6388"/>
    <tableColumn id="9997" name="Column9993" dataDxfId="6387"/>
    <tableColumn id="9998" name="Column9994" dataDxfId="6386"/>
    <tableColumn id="9999" name="Column9995" dataDxfId="6385"/>
    <tableColumn id="10000" name="Column9996" dataDxfId="6384"/>
    <tableColumn id="10001" name="Column9997" dataDxfId="6383"/>
    <tableColumn id="10002" name="Column9998" dataDxfId="6382"/>
    <tableColumn id="10003" name="Column9999" dataDxfId="6381"/>
    <tableColumn id="10004" name="Column10000" dataDxfId="6380"/>
    <tableColumn id="10005" name="Column10001" dataDxfId="6379"/>
    <tableColumn id="10006" name="Column10002" dataDxfId="6378"/>
    <tableColumn id="10007" name="Column10003" dataDxfId="6377"/>
    <tableColumn id="10008" name="Column10004" dataDxfId="6376"/>
    <tableColumn id="10009" name="Column10005" dataDxfId="6375"/>
    <tableColumn id="10010" name="Column10006" dataDxfId="6374"/>
    <tableColumn id="10011" name="Column10007" dataDxfId="6373"/>
    <tableColumn id="10012" name="Column10008" dataDxfId="6372"/>
    <tableColumn id="10013" name="Column10009" dataDxfId="6371"/>
    <tableColumn id="10014" name="Column10010" dataDxfId="6370"/>
    <tableColumn id="10015" name="Column10011" dataDxfId="6369"/>
    <tableColumn id="10016" name="Column10012" dataDxfId="6368"/>
    <tableColumn id="10017" name="Column10013" dataDxfId="6367"/>
    <tableColumn id="10018" name="Column10014" dataDxfId="6366"/>
    <tableColumn id="10019" name="Column10015" dataDxfId="6365"/>
    <tableColumn id="10020" name="Column10016" dataDxfId="6364"/>
    <tableColumn id="10021" name="Column10017" dataDxfId="6363"/>
    <tableColumn id="10022" name="Column10018" dataDxfId="6362"/>
    <tableColumn id="10023" name="Column10019" dataDxfId="6361"/>
    <tableColumn id="10024" name="Column10020" dataDxfId="6360"/>
    <tableColumn id="10025" name="Column10021" dataDxfId="6359"/>
    <tableColumn id="10026" name="Column10022" dataDxfId="6358"/>
    <tableColumn id="10027" name="Column10023" dataDxfId="6357"/>
    <tableColumn id="10028" name="Column10024" dataDxfId="6356"/>
    <tableColumn id="10029" name="Column10025" dataDxfId="6355"/>
    <tableColumn id="10030" name="Column10026" dataDxfId="6354"/>
    <tableColumn id="10031" name="Column10027" dataDxfId="6353"/>
    <tableColumn id="10032" name="Column10028" dataDxfId="6352"/>
    <tableColumn id="10033" name="Column10029" dataDxfId="6351"/>
    <tableColumn id="10034" name="Column10030" dataDxfId="6350"/>
    <tableColumn id="10035" name="Column10031" dataDxfId="6349"/>
    <tableColumn id="10036" name="Column10032" dataDxfId="6348"/>
    <tableColumn id="10037" name="Column10033" dataDxfId="6347"/>
    <tableColumn id="10038" name="Column10034" dataDxfId="6346"/>
    <tableColumn id="10039" name="Column10035" dataDxfId="6345"/>
    <tableColumn id="10040" name="Column10036" dataDxfId="6344"/>
    <tableColumn id="10041" name="Column10037" dataDxfId="6343"/>
    <tableColumn id="10042" name="Column10038" dataDxfId="6342"/>
    <tableColumn id="10043" name="Column10039" dataDxfId="6341"/>
    <tableColumn id="10044" name="Column10040" dataDxfId="6340"/>
    <tableColumn id="10045" name="Column10041" dataDxfId="6339"/>
    <tableColumn id="10046" name="Column10042" dataDxfId="6338"/>
    <tableColumn id="10047" name="Column10043" dataDxfId="6337"/>
    <tableColumn id="10048" name="Column10044" dataDxfId="6336"/>
    <tableColumn id="10049" name="Column10045" dataDxfId="6335"/>
    <tableColumn id="10050" name="Column10046" dataDxfId="6334"/>
    <tableColumn id="10051" name="Column10047" dataDxfId="6333"/>
    <tableColumn id="10052" name="Column10048" dataDxfId="6332"/>
    <tableColumn id="10053" name="Column10049" dataDxfId="6331"/>
    <tableColumn id="10054" name="Column10050" dataDxfId="6330"/>
    <tableColumn id="10055" name="Column10051" dataDxfId="6329"/>
    <tableColumn id="10056" name="Column10052" dataDxfId="6328"/>
    <tableColumn id="10057" name="Column10053" dataDxfId="6327"/>
    <tableColumn id="10058" name="Column10054" dataDxfId="6326"/>
    <tableColumn id="10059" name="Column10055" dataDxfId="6325"/>
    <tableColumn id="10060" name="Column10056" dataDxfId="6324"/>
    <tableColumn id="10061" name="Column10057" dataDxfId="6323"/>
    <tableColumn id="10062" name="Column10058" dataDxfId="6322"/>
    <tableColumn id="10063" name="Column10059" dataDxfId="6321"/>
    <tableColumn id="10064" name="Column10060" dataDxfId="6320"/>
    <tableColumn id="10065" name="Column10061" dataDxfId="6319"/>
    <tableColumn id="10066" name="Column10062" dataDxfId="6318"/>
    <tableColumn id="10067" name="Column10063" dataDxfId="6317"/>
    <tableColumn id="10068" name="Column10064" dataDxfId="6316"/>
    <tableColumn id="10069" name="Column10065" dataDxfId="6315"/>
    <tableColumn id="10070" name="Column10066" dataDxfId="6314"/>
    <tableColumn id="10071" name="Column10067" dataDxfId="6313"/>
    <tableColumn id="10072" name="Column10068" dataDxfId="6312"/>
    <tableColumn id="10073" name="Column10069" dataDxfId="6311"/>
    <tableColumn id="10074" name="Column10070" dataDxfId="6310"/>
    <tableColumn id="10075" name="Column10071" dataDxfId="6309"/>
    <tableColumn id="10076" name="Column10072" dataDxfId="6308"/>
    <tableColumn id="10077" name="Column10073" dataDxfId="6307"/>
    <tableColumn id="10078" name="Column10074" dataDxfId="6306"/>
    <tableColumn id="10079" name="Column10075" dataDxfId="6305"/>
    <tableColumn id="10080" name="Column10076" dataDxfId="6304"/>
    <tableColumn id="10081" name="Column10077" dataDxfId="6303"/>
    <tableColumn id="10082" name="Column10078" dataDxfId="6302"/>
    <tableColumn id="10083" name="Column10079" dataDxfId="6301"/>
    <tableColumn id="10084" name="Column10080" dataDxfId="6300"/>
    <tableColumn id="10085" name="Column10081" dataDxfId="6299"/>
    <tableColumn id="10086" name="Column10082" dataDxfId="6298"/>
    <tableColumn id="10087" name="Column10083" dataDxfId="6297"/>
    <tableColumn id="10088" name="Column10084" dataDxfId="6296"/>
    <tableColumn id="10089" name="Column10085" dataDxfId="6295"/>
    <tableColumn id="10090" name="Column10086" dataDxfId="6294"/>
    <tableColumn id="10091" name="Column10087" dataDxfId="6293"/>
    <tableColumn id="10092" name="Column10088" dataDxfId="6292"/>
    <tableColumn id="10093" name="Column10089" dataDxfId="6291"/>
    <tableColumn id="10094" name="Column10090" dataDxfId="6290"/>
    <tableColumn id="10095" name="Column10091" dataDxfId="6289"/>
    <tableColumn id="10096" name="Column10092" dataDxfId="6288"/>
    <tableColumn id="10097" name="Column10093" dataDxfId="6287"/>
    <tableColumn id="10098" name="Column10094" dataDxfId="6286"/>
    <tableColumn id="10099" name="Column10095" dataDxfId="6285"/>
    <tableColumn id="10100" name="Column10096" dataDxfId="6284"/>
    <tableColumn id="10101" name="Column10097" dataDxfId="6283"/>
    <tableColumn id="10102" name="Column10098" dataDxfId="6282"/>
    <tableColumn id="10103" name="Column10099" dataDxfId="6281"/>
    <tableColumn id="10104" name="Column10100" dataDxfId="6280"/>
    <tableColumn id="10105" name="Column10101" dataDxfId="6279"/>
    <tableColumn id="10106" name="Column10102" dataDxfId="6278"/>
    <tableColumn id="10107" name="Column10103" dataDxfId="6277"/>
    <tableColumn id="10108" name="Column10104" dataDxfId="6276"/>
    <tableColumn id="10109" name="Column10105" dataDxfId="6275"/>
    <tableColumn id="10110" name="Column10106" dataDxfId="6274"/>
    <tableColumn id="10111" name="Column10107" dataDxfId="6273"/>
    <tableColumn id="10112" name="Column10108" dataDxfId="6272"/>
    <tableColumn id="10113" name="Column10109" dataDxfId="6271"/>
    <tableColumn id="10114" name="Column10110" dataDxfId="6270"/>
    <tableColumn id="10115" name="Column10111" dataDxfId="6269"/>
    <tableColumn id="10116" name="Column10112" dataDxfId="6268"/>
    <tableColumn id="10117" name="Column10113" dataDxfId="6267"/>
    <tableColumn id="10118" name="Column10114" dataDxfId="6266"/>
    <tableColumn id="10119" name="Column10115" dataDxfId="6265"/>
    <tableColumn id="10120" name="Column10116" dataDxfId="6264"/>
    <tableColumn id="10121" name="Column10117" dataDxfId="6263"/>
    <tableColumn id="10122" name="Column10118" dataDxfId="6262"/>
    <tableColumn id="10123" name="Column10119" dataDxfId="6261"/>
    <tableColumn id="10124" name="Column10120" dataDxfId="6260"/>
    <tableColumn id="10125" name="Column10121" dataDxfId="6259"/>
    <tableColumn id="10126" name="Column10122" dataDxfId="6258"/>
    <tableColumn id="10127" name="Column10123" dataDxfId="6257"/>
    <tableColumn id="10128" name="Column10124" dataDxfId="6256"/>
    <tableColumn id="10129" name="Column10125" dataDxfId="6255"/>
    <tableColumn id="10130" name="Column10126" dataDxfId="6254"/>
    <tableColumn id="10131" name="Column10127" dataDxfId="6253"/>
    <tableColumn id="10132" name="Column10128" dataDxfId="6252"/>
    <tableColumn id="10133" name="Column10129" dataDxfId="6251"/>
    <tableColumn id="10134" name="Column10130" dataDxfId="6250"/>
    <tableColumn id="10135" name="Column10131" dataDxfId="6249"/>
    <tableColumn id="10136" name="Column10132" dataDxfId="6248"/>
    <tableColumn id="10137" name="Column10133" dataDxfId="6247"/>
    <tableColumn id="10138" name="Column10134" dataDxfId="6246"/>
    <tableColumn id="10139" name="Column10135" dataDxfId="6245"/>
    <tableColumn id="10140" name="Column10136" dataDxfId="6244"/>
    <tableColumn id="10141" name="Column10137" dataDxfId="6243"/>
    <tableColumn id="10142" name="Column10138" dataDxfId="6242"/>
    <tableColumn id="10143" name="Column10139" dataDxfId="6241"/>
    <tableColumn id="10144" name="Column10140" dataDxfId="6240"/>
    <tableColumn id="10145" name="Column10141" dataDxfId="6239"/>
    <tableColumn id="10146" name="Column10142" dataDxfId="6238"/>
    <tableColumn id="10147" name="Column10143" dataDxfId="6237"/>
    <tableColumn id="10148" name="Column10144" dataDxfId="6236"/>
    <tableColumn id="10149" name="Column10145" dataDxfId="6235"/>
    <tableColumn id="10150" name="Column10146" dataDxfId="6234"/>
    <tableColumn id="10151" name="Column10147" dataDxfId="6233"/>
    <tableColumn id="10152" name="Column10148" dataDxfId="6232"/>
    <tableColumn id="10153" name="Column10149" dataDxfId="6231"/>
    <tableColumn id="10154" name="Column10150" dataDxfId="6230"/>
    <tableColumn id="10155" name="Column10151" dataDxfId="6229"/>
    <tableColumn id="10156" name="Column10152" dataDxfId="6228"/>
    <tableColumn id="10157" name="Column10153" dataDxfId="6227"/>
    <tableColumn id="10158" name="Column10154" dataDxfId="6226"/>
    <tableColumn id="10159" name="Column10155" dataDxfId="6225"/>
    <tableColumn id="10160" name="Column10156" dataDxfId="6224"/>
    <tableColumn id="10161" name="Column10157" dataDxfId="6223"/>
    <tableColumn id="10162" name="Column10158" dataDxfId="6222"/>
    <tableColumn id="10163" name="Column10159" dataDxfId="6221"/>
    <tableColumn id="10164" name="Column10160" dataDxfId="6220"/>
    <tableColumn id="10165" name="Column10161" dataDxfId="6219"/>
    <tableColumn id="10166" name="Column10162" dataDxfId="6218"/>
    <tableColumn id="10167" name="Column10163" dataDxfId="6217"/>
    <tableColumn id="10168" name="Column10164" dataDxfId="6216"/>
    <tableColumn id="10169" name="Column10165" dataDxfId="6215"/>
    <tableColumn id="10170" name="Column10166" dataDxfId="6214"/>
    <tableColumn id="10171" name="Column10167" dataDxfId="6213"/>
    <tableColumn id="10172" name="Column10168" dataDxfId="6212"/>
    <tableColumn id="10173" name="Column10169" dataDxfId="6211"/>
    <tableColumn id="10174" name="Column10170" dataDxfId="6210"/>
    <tableColumn id="10175" name="Column10171" dataDxfId="6209"/>
    <tableColumn id="10176" name="Column10172" dataDxfId="6208"/>
    <tableColumn id="10177" name="Column10173" dataDxfId="6207"/>
    <tableColumn id="10178" name="Column10174" dataDxfId="6206"/>
    <tableColumn id="10179" name="Column10175" dataDxfId="6205"/>
    <tableColumn id="10180" name="Column10176" dataDxfId="6204"/>
    <tableColumn id="10181" name="Column10177" dataDxfId="6203"/>
    <tableColumn id="10182" name="Column10178" dataDxfId="6202"/>
    <tableColumn id="10183" name="Column10179" dataDxfId="6201"/>
    <tableColumn id="10184" name="Column10180" dataDxfId="6200"/>
    <tableColumn id="10185" name="Column10181" dataDxfId="6199"/>
    <tableColumn id="10186" name="Column10182" dataDxfId="6198"/>
    <tableColumn id="10187" name="Column10183" dataDxfId="6197"/>
    <tableColumn id="10188" name="Column10184" dataDxfId="6196"/>
    <tableColumn id="10189" name="Column10185" dataDxfId="6195"/>
    <tableColumn id="10190" name="Column10186" dataDxfId="6194"/>
    <tableColumn id="10191" name="Column10187" dataDxfId="6193"/>
    <tableColumn id="10192" name="Column10188" dataDxfId="6192"/>
    <tableColumn id="10193" name="Column10189" dataDxfId="6191"/>
    <tableColumn id="10194" name="Column10190" dataDxfId="6190"/>
    <tableColumn id="10195" name="Column10191" dataDxfId="6189"/>
    <tableColumn id="10196" name="Column10192" dataDxfId="6188"/>
    <tableColumn id="10197" name="Column10193" dataDxfId="6187"/>
    <tableColumn id="10198" name="Column10194" dataDxfId="6186"/>
    <tableColumn id="10199" name="Column10195" dataDxfId="6185"/>
    <tableColumn id="10200" name="Column10196" dataDxfId="6184"/>
    <tableColumn id="10201" name="Column10197" dataDxfId="6183"/>
    <tableColumn id="10202" name="Column10198" dataDxfId="6182"/>
    <tableColumn id="10203" name="Column10199" dataDxfId="6181"/>
    <tableColumn id="10204" name="Column10200" dataDxfId="6180"/>
    <tableColumn id="10205" name="Column10201" dataDxfId="6179"/>
    <tableColumn id="10206" name="Column10202" dataDxfId="6178"/>
    <tableColumn id="10207" name="Column10203" dataDxfId="6177"/>
    <tableColumn id="10208" name="Column10204" dataDxfId="6176"/>
    <tableColumn id="10209" name="Column10205" dataDxfId="6175"/>
    <tableColumn id="10210" name="Column10206" dataDxfId="6174"/>
    <tableColumn id="10211" name="Column10207" dataDxfId="6173"/>
    <tableColumn id="10212" name="Column10208" dataDxfId="6172"/>
    <tableColumn id="10213" name="Column10209" dataDxfId="6171"/>
    <tableColumn id="10214" name="Column10210" dataDxfId="6170"/>
    <tableColumn id="10215" name="Column10211" dataDxfId="6169"/>
    <tableColumn id="10216" name="Column10212" dataDxfId="6168"/>
    <tableColumn id="10217" name="Column10213" dataDxfId="6167"/>
    <tableColumn id="10218" name="Column10214" dataDxfId="6166"/>
    <tableColumn id="10219" name="Column10215" dataDxfId="6165"/>
    <tableColumn id="10220" name="Column10216" dataDxfId="6164"/>
    <tableColumn id="10221" name="Column10217" dataDxfId="6163"/>
    <tableColumn id="10222" name="Column10218" dataDxfId="6162"/>
    <tableColumn id="10223" name="Column10219" dataDxfId="6161"/>
    <tableColumn id="10224" name="Column10220" dataDxfId="6160"/>
    <tableColumn id="10225" name="Column10221" dataDxfId="6159"/>
    <tableColumn id="10226" name="Column10222" dataDxfId="6158"/>
    <tableColumn id="10227" name="Column10223" dataDxfId="6157"/>
    <tableColumn id="10228" name="Column10224" dataDxfId="6156"/>
    <tableColumn id="10229" name="Column10225" dataDxfId="6155"/>
    <tableColumn id="10230" name="Column10226" dataDxfId="6154"/>
    <tableColumn id="10231" name="Column10227" dataDxfId="6153"/>
    <tableColumn id="10232" name="Column10228" dataDxfId="6152"/>
    <tableColumn id="10233" name="Column10229" dataDxfId="6151"/>
    <tableColumn id="10234" name="Column10230" dataDxfId="6150"/>
    <tableColumn id="10235" name="Column10231" dataDxfId="6149"/>
    <tableColumn id="10236" name="Column10232" dataDxfId="6148"/>
    <tableColumn id="10237" name="Column10233" dataDxfId="6147"/>
    <tableColumn id="10238" name="Column10234" dataDxfId="6146"/>
    <tableColumn id="10239" name="Column10235" dataDxfId="6145"/>
    <tableColumn id="10240" name="Column10236" dataDxfId="6144"/>
    <tableColumn id="10241" name="Column10237" dataDxfId="6143"/>
    <tableColumn id="10242" name="Column10238" dataDxfId="6142"/>
    <tableColumn id="10243" name="Column10239" dataDxfId="6141"/>
    <tableColumn id="10244" name="Column10240" dataDxfId="6140"/>
    <tableColumn id="10245" name="Column10241" dataDxfId="6139"/>
    <tableColumn id="10246" name="Column10242" dataDxfId="6138"/>
    <tableColumn id="10247" name="Column10243" dataDxfId="6137"/>
    <tableColumn id="10248" name="Column10244" dataDxfId="6136"/>
    <tableColumn id="10249" name="Column10245" dataDxfId="6135"/>
    <tableColumn id="10250" name="Column10246" dataDxfId="6134"/>
    <tableColumn id="10251" name="Column10247" dataDxfId="6133"/>
    <tableColumn id="10252" name="Column10248" dataDxfId="6132"/>
    <tableColumn id="10253" name="Column10249" dataDxfId="6131"/>
    <tableColumn id="10254" name="Column10250" dataDxfId="6130"/>
    <tableColumn id="10255" name="Column10251" dataDxfId="6129"/>
    <tableColumn id="10256" name="Column10252" dataDxfId="6128"/>
    <tableColumn id="10257" name="Column10253" dataDxfId="6127"/>
    <tableColumn id="10258" name="Column10254" dataDxfId="6126"/>
    <tableColumn id="10259" name="Column10255" dataDxfId="6125"/>
    <tableColumn id="10260" name="Column10256" dataDxfId="6124"/>
    <tableColumn id="10261" name="Column10257" dataDxfId="6123"/>
    <tableColumn id="10262" name="Column10258" dataDxfId="6122"/>
    <tableColumn id="10263" name="Column10259" dataDxfId="6121"/>
    <tableColumn id="10264" name="Column10260" dataDxfId="6120"/>
    <tableColumn id="10265" name="Column10261" dataDxfId="6119"/>
    <tableColumn id="10266" name="Column10262" dataDxfId="6118"/>
    <tableColumn id="10267" name="Column10263" dataDxfId="6117"/>
    <tableColumn id="10268" name="Column10264" dataDxfId="6116"/>
    <tableColumn id="10269" name="Column10265" dataDxfId="6115"/>
    <tableColumn id="10270" name="Column10266" dataDxfId="6114"/>
    <tableColumn id="10271" name="Column10267" dataDxfId="6113"/>
    <tableColumn id="10272" name="Column10268" dataDxfId="6112"/>
    <tableColumn id="10273" name="Column10269" dataDxfId="6111"/>
    <tableColumn id="10274" name="Column10270" dataDxfId="6110"/>
    <tableColumn id="10275" name="Column10271" dataDxfId="6109"/>
    <tableColumn id="10276" name="Column10272" dataDxfId="6108"/>
    <tableColumn id="10277" name="Column10273" dataDxfId="6107"/>
    <tableColumn id="10278" name="Column10274" dataDxfId="6106"/>
    <tableColumn id="10279" name="Column10275" dataDxfId="6105"/>
    <tableColumn id="10280" name="Column10276" dataDxfId="6104"/>
    <tableColumn id="10281" name="Column10277" dataDxfId="6103"/>
    <tableColumn id="10282" name="Column10278" dataDxfId="6102"/>
    <tableColumn id="10283" name="Column10279" dataDxfId="6101"/>
    <tableColumn id="10284" name="Column10280" dataDxfId="6100"/>
    <tableColumn id="10285" name="Column10281" dataDxfId="6099"/>
    <tableColumn id="10286" name="Column10282" dataDxfId="6098"/>
    <tableColumn id="10287" name="Column10283" dataDxfId="6097"/>
    <tableColumn id="10288" name="Column10284" dataDxfId="6096"/>
    <tableColumn id="10289" name="Column10285" dataDxfId="6095"/>
    <tableColumn id="10290" name="Column10286" dataDxfId="6094"/>
    <tableColumn id="10291" name="Column10287" dataDxfId="6093"/>
    <tableColumn id="10292" name="Column10288" dataDxfId="6092"/>
    <tableColumn id="10293" name="Column10289" dataDxfId="6091"/>
    <tableColumn id="10294" name="Column10290" dataDxfId="6090"/>
    <tableColumn id="10295" name="Column10291" dataDxfId="6089"/>
    <tableColumn id="10296" name="Column10292" dataDxfId="6088"/>
    <tableColumn id="10297" name="Column10293" dataDxfId="6087"/>
    <tableColumn id="10298" name="Column10294" dataDxfId="6086"/>
    <tableColumn id="10299" name="Column10295" dataDxfId="6085"/>
    <tableColumn id="10300" name="Column10296" dataDxfId="6084"/>
    <tableColumn id="10301" name="Column10297" dataDxfId="6083"/>
    <tableColumn id="10302" name="Column10298" dataDxfId="6082"/>
    <tableColumn id="10303" name="Column10299" dataDxfId="6081"/>
    <tableColumn id="10304" name="Column10300" dataDxfId="6080"/>
    <tableColumn id="10305" name="Column10301" dataDxfId="6079"/>
    <tableColumn id="10306" name="Column10302" dataDxfId="6078"/>
    <tableColumn id="10307" name="Column10303" dataDxfId="6077"/>
    <tableColumn id="10308" name="Column10304" dataDxfId="6076"/>
    <tableColumn id="10309" name="Column10305" dataDxfId="6075"/>
    <tableColumn id="10310" name="Column10306" dataDxfId="6074"/>
    <tableColumn id="10311" name="Column10307" dataDxfId="6073"/>
    <tableColumn id="10312" name="Column10308" dataDxfId="6072"/>
    <tableColumn id="10313" name="Column10309" dataDxfId="6071"/>
    <tableColumn id="10314" name="Column10310" dataDxfId="6070"/>
    <tableColumn id="10315" name="Column10311" dataDxfId="6069"/>
    <tableColumn id="10316" name="Column10312" dataDxfId="6068"/>
    <tableColumn id="10317" name="Column10313" dataDxfId="6067"/>
    <tableColumn id="10318" name="Column10314" dataDxfId="6066"/>
    <tableColumn id="10319" name="Column10315" dataDxfId="6065"/>
    <tableColumn id="10320" name="Column10316" dataDxfId="6064"/>
    <tableColumn id="10321" name="Column10317" dataDxfId="6063"/>
    <tableColumn id="10322" name="Column10318" dataDxfId="6062"/>
    <tableColumn id="10323" name="Column10319" dataDxfId="6061"/>
    <tableColumn id="10324" name="Column10320" dataDxfId="6060"/>
    <tableColumn id="10325" name="Column10321" dataDxfId="6059"/>
    <tableColumn id="10326" name="Column10322" dataDxfId="6058"/>
    <tableColumn id="10327" name="Column10323" dataDxfId="6057"/>
    <tableColumn id="10328" name="Column10324" dataDxfId="6056"/>
    <tableColumn id="10329" name="Column10325" dataDxfId="6055"/>
    <tableColumn id="10330" name="Column10326" dataDxfId="6054"/>
    <tableColumn id="10331" name="Column10327" dataDxfId="6053"/>
    <tableColumn id="10332" name="Column10328" dataDxfId="6052"/>
    <tableColumn id="10333" name="Column10329" dataDxfId="6051"/>
    <tableColumn id="10334" name="Column10330" dataDxfId="6050"/>
    <tableColumn id="10335" name="Column10331" dataDxfId="6049"/>
    <tableColumn id="10336" name="Column10332" dataDxfId="6048"/>
    <tableColumn id="10337" name="Column10333" dataDxfId="6047"/>
    <tableColumn id="10338" name="Column10334" dataDxfId="6046"/>
    <tableColumn id="10339" name="Column10335" dataDxfId="6045"/>
    <tableColumn id="10340" name="Column10336" dataDxfId="6044"/>
    <tableColumn id="10341" name="Column10337" dataDxfId="6043"/>
    <tableColumn id="10342" name="Column10338" dataDxfId="6042"/>
    <tableColumn id="10343" name="Column10339" dataDxfId="6041"/>
    <tableColumn id="10344" name="Column10340" dataDxfId="6040"/>
    <tableColumn id="10345" name="Column10341" dataDxfId="6039"/>
    <tableColumn id="10346" name="Column10342" dataDxfId="6038"/>
    <tableColumn id="10347" name="Column10343" dataDxfId="6037"/>
    <tableColumn id="10348" name="Column10344" dataDxfId="6036"/>
    <tableColumn id="10349" name="Column10345" dataDxfId="6035"/>
    <tableColumn id="10350" name="Column10346" dataDxfId="6034"/>
    <tableColumn id="10351" name="Column10347" dataDxfId="6033"/>
    <tableColumn id="10352" name="Column10348" dataDxfId="6032"/>
    <tableColumn id="10353" name="Column10349" dataDxfId="6031"/>
    <tableColumn id="10354" name="Column10350" dataDxfId="6030"/>
    <tableColumn id="10355" name="Column10351" dataDxfId="6029"/>
    <tableColumn id="10356" name="Column10352" dataDxfId="6028"/>
    <tableColumn id="10357" name="Column10353" dataDxfId="6027"/>
    <tableColumn id="10358" name="Column10354" dataDxfId="6026"/>
    <tableColumn id="10359" name="Column10355" dataDxfId="6025"/>
    <tableColumn id="10360" name="Column10356" dataDxfId="6024"/>
    <tableColumn id="10361" name="Column10357" dataDxfId="6023"/>
    <tableColumn id="10362" name="Column10358" dataDxfId="6022"/>
    <tableColumn id="10363" name="Column10359" dataDxfId="6021"/>
    <tableColumn id="10364" name="Column10360" dataDxfId="6020"/>
    <tableColumn id="10365" name="Column10361" dataDxfId="6019"/>
    <tableColumn id="10366" name="Column10362" dataDxfId="6018"/>
    <tableColumn id="10367" name="Column10363" dataDxfId="6017"/>
    <tableColumn id="10368" name="Column10364" dataDxfId="6016"/>
    <tableColumn id="10369" name="Column10365" dataDxfId="6015"/>
    <tableColumn id="10370" name="Column10366" dataDxfId="6014"/>
    <tableColumn id="10371" name="Column10367" dataDxfId="6013"/>
    <tableColumn id="10372" name="Column10368" dataDxfId="6012"/>
    <tableColumn id="10373" name="Column10369" dataDxfId="6011"/>
    <tableColumn id="10374" name="Column10370" dataDxfId="6010"/>
    <tableColumn id="10375" name="Column10371" dataDxfId="6009"/>
    <tableColumn id="10376" name="Column10372" dataDxfId="6008"/>
    <tableColumn id="10377" name="Column10373" dataDxfId="6007"/>
    <tableColumn id="10378" name="Column10374" dataDxfId="6006"/>
    <tableColumn id="10379" name="Column10375" dataDxfId="6005"/>
    <tableColumn id="10380" name="Column10376" dataDxfId="6004"/>
    <tableColumn id="10381" name="Column10377" dataDxfId="6003"/>
    <tableColumn id="10382" name="Column10378" dataDxfId="6002"/>
    <tableColumn id="10383" name="Column10379" dataDxfId="6001"/>
    <tableColumn id="10384" name="Column10380" dataDxfId="6000"/>
    <tableColumn id="10385" name="Column10381" dataDxfId="5999"/>
    <tableColumn id="10386" name="Column10382" dataDxfId="5998"/>
    <tableColumn id="10387" name="Column10383" dataDxfId="5997"/>
    <tableColumn id="10388" name="Column10384" dataDxfId="5996"/>
    <tableColumn id="10389" name="Column10385" dataDxfId="5995"/>
    <tableColumn id="10390" name="Column10386" dataDxfId="5994"/>
    <tableColumn id="10391" name="Column10387" dataDxfId="5993"/>
    <tableColumn id="10392" name="Column10388" dataDxfId="5992"/>
    <tableColumn id="10393" name="Column10389" dataDxfId="5991"/>
    <tableColumn id="10394" name="Column10390" dataDxfId="5990"/>
    <tableColumn id="10395" name="Column10391" dataDxfId="5989"/>
    <tableColumn id="10396" name="Column10392" dataDxfId="5988"/>
    <tableColumn id="10397" name="Column10393" dataDxfId="5987"/>
    <tableColumn id="10398" name="Column10394" dataDxfId="5986"/>
    <tableColumn id="10399" name="Column10395" dataDxfId="5985"/>
    <tableColumn id="10400" name="Column10396" dataDxfId="5984"/>
    <tableColumn id="10401" name="Column10397" dataDxfId="5983"/>
    <tableColumn id="10402" name="Column10398" dataDxfId="5982"/>
    <tableColumn id="10403" name="Column10399" dataDxfId="5981"/>
    <tableColumn id="10404" name="Column10400" dataDxfId="5980"/>
    <tableColumn id="10405" name="Column10401" dataDxfId="5979"/>
    <tableColumn id="10406" name="Column10402" dataDxfId="5978"/>
    <tableColumn id="10407" name="Column10403" dataDxfId="5977"/>
    <tableColumn id="10408" name="Column10404" dataDxfId="5976"/>
    <tableColumn id="10409" name="Column10405" dataDxfId="5975"/>
    <tableColumn id="10410" name="Column10406" dataDxfId="5974"/>
    <tableColumn id="10411" name="Column10407" dataDxfId="5973"/>
    <tableColumn id="10412" name="Column10408" dataDxfId="5972"/>
    <tableColumn id="10413" name="Column10409" dataDxfId="5971"/>
    <tableColumn id="10414" name="Column10410" dataDxfId="5970"/>
    <tableColumn id="10415" name="Column10411" dataDxfId="5969"/>
    <tableColumn id="10416" name="Column10412" dataDxfId="5968"/>
    <tableColumn id="10417" name="Column10413" dataDxfId="5967"/>
    <tableColumn id="10418" name="Column10414" dataDxfId="5966"/>
    <tableColumn id="10419" name="Column10415" dataDxfId="5965"/>
    <tableColumn id="10420" name="Column10416" dataDxfId="5964"/>
    <tableColumn id="10421" name="Column10417" dataDxfId="5963"/>
    <tableColumn id="10422" name="Column10418" dataDxfId="5962"/>
    <tableColumn id="10423" name="Column10419" dataDxfId="5961"/>
    <tableColumn id="10424" name="Column10420" dataDxfId="5960"/>
    <tableColumn id="10425" name="Column10421" dataDxfId="5959"/>
    <tableColumn id="10426" name="Column10422" dataDxfId="5958"/>
    <tableColumn id="10427" name="Column10423" dataDxfId="5957"/>
    <tableColumn id="10428" name="Column10424" dataDxfId="5956"/>
    <tableColumn id="10429" name="Column10425" dataDxfId="5955"/>
    <tableColumn id="10430" name="Column10426" dataDxfId="5954"/>
    <tableColumn id="10431" name="Column10427" dataDxfId="5953"/>
    <tableColumn id="10432" name="Column10428" dataDxfId="5952"/>
    <tableColumn id="10433" name="Column10429" dataDxfId="5951"/>
    <tableColumn id="10434" name="Column10430" dataDxfId="5950"/>
    <tableColumn id="10435" name="Column10431" dataDxfId="5949"/>
    <tableColumn id="10436" name="Column10432" dataDxfId="5948"/>
    <tableColumn id="10437" name="Column10433" dataDxfId="5947"/>
    <tableColumn id="10438" name="Column10434" dataDxfId="5946"/>
    <tableColumn id="10439" name="Column10435" dataDxfId="5945"/>
    <tableColumn id="10440" name="Column10436" dataDxfId="5944"/>
    <tableColumn id="10441" name="Column10437" dataDxfId="5943"/>
    <tableColumn id="10442" name="Column10438" dataDxfId="5942"/>
    <tableColumn id="10443" name="Column10439" dataDxfId="5941"/>
    <tableColumn id="10444" name="Column10440" dataDxfId="5940"/>
    <tableColumn id="10445" name="Column10441" dataDxfId="5939"/>
    <tableColumn id="10446" name="Column10442" dataDxfId="5938"/>
    <tableColumn id="10447" name="Column10443" dataDxfId="5937"/>
    <tableColumn id="10448" name="Column10444" dataDxfId="5936"/>
    <tableColumn id="10449" name="Column10445" dataDxfId="5935"/>
    <tableColumn id="10450" name="Column10446" dataDxfId="5934"/>
    <tableColumn id="10451" name="Column10447" dataDxfId="5933"/>
    <tableColumn id="10452" name="Column10448" dataDxfId="5932"/>
    <tableColumn id="10453" name="Column10449" dataDxfId="5931"/>
    <tableColumn id="10454" name="Column10450" dataDxfId="5930"/>
    <tableColumn id="10455" name="Column10451" dataDxfId="5929"/>
    <tableColumn id="10456" name="Column10452" dataDxfId="5928"/>
    <tableColumn id="10457" name="Column10453" dataDxfId="5927"/>
    <tableColumn id="10458" name="Column10454" dataDxfId="5926"/>
    <tableColumn id="10459" name="Column10455" dataDxfId="5925"/>
    <tableColumn id="10460" name="Column10456" dataDxfId="5924"/>
    <tableColumn id="10461" name="Column10457" dataDxfId="5923"/>
    <tableColumn id="10462" name="Column10458" dataDxfId="5922"/>
    <tableColumn id="10463" name="Column10459" dataDxfId="5921"/>
    <tableColumn id="10464" name="Column10460" dataDxfId="5920"/>
    <tableColumn id="10465" name="Column10461" dataDxfId="5919"/>
    <tableColumn id="10466" name="Column10462" dataDxfId="5918"/>
    <tableColumn id="10467" name="Column10463" dataDxfId="5917"/>
    <tableColumn id="10468" name="Column10464" dataDxfId="5916"/>
    <tableColumn id="10469" name="Column10465" dataDxfId="5915"/>
    <tableColumn id="10470" name="Column10466" dataDxfId="5914"/>
    <tableColumn id="10471" name="Column10467" dataDxfId="5913"/>
    <tableColumn id="10472" name="Column10468" dataDxfId="5912"/>
    <tableColumn id="10473" name="Column10469" dataDxfId="5911"/>
    <tableColumn id="10474" name="Column10470" dataDxfId="5910"/>
    <tableColumn id="10475" name="Column10471" dataDxfId="5909"/>
    <tableColumn id="10476" name="Column10472" dataDxfId="5908"/>
    <tableColumn id="10477" name="Column10473" dataDxfId="5907"/>
    <tableColumn id="10478" name="Column10474" dataDxfId="5906"/>
    <tableColumn id="10479" name="Column10475" dataDxfId="5905"/>
    <tableColumn id="10480" name="Column10476" dataDxfId="5904"/>
    <tableColumn id="10481" name="Column10477" dataDxfId="5903"/>
    <tableColumn id="10482" name="Column10478" dataDxfId="5902"/>
    <tableColumn id="10483" name="Column10479" dataDxfId="5901"/>
    <tableColumn id="10484" name="Column10480" dataDxfId="5900"/>
    <tableColumn id="10485" name="Column10481" dataDxfId="5899"/>
    <tableColumn id="10486" name="Column10482" dataDxfId="5898"/>
    <tableColumn id="10487" name="Column10483" dataDxfId="5897"/>
    <tableColumn id="10488" name="Column10484" dataDxfId="5896"/>
    <tableColumn id="10489" name="Column10485" dataDxfId="5895"/>
    <tableColumn id="10490" name="Column10486" dataDxfId="5894"/>
    <tableColumn id="10491" name="Column10487" dataDxfId="5893"/>
    <tableColumn id="10492" name="Column10488" dataDxfId="5892"/>
    <tableColumn id="10493" name="Column10489" dataDxfId="5891"/>
    <tableColumn id="10494" name="Column10490" dataDxfId="5890"/>
    <tableColumn id="10495" name="Column10491" dataDxfId="5889"/>
    <tableColumn id="10496" name="Column10492" dataDxfId="5888"/>
    <tableColumn id="10497" name="Column10493" dataDxfId="5887"/>
    <tableColumn id="10498" name="Column10494" dataDxfId="5886"/>
    <tableColumn id="10499" name="Column10495" dataDxfId="5885"/>
    <tableColumn id="10500" name="Column10496" dataDxfId="5884"/>
    <tableColumn id="10501" name="Column10497" dataDxfId="5883"/>
    <tableColumn id="10502" name="Column10498" dataDxfId="5882"/>
    <tableColumn id="10503" name="Column10499" dataDxfId="5881"/>
    <tableColumn id="10504" name="Column10500" dataDxfId="5880"/>
    <tableColumn id="10505" name="Column10501" dataDxfId="5879"/>
    <tableColumn id="10506" name="Column10502" dataDxfId="5878"/>
    <tableColumn id="10507" name="Column10503" dataDxfId="5877"/>
    <tableColumn id="10508" name="Column10504" dataDxfId="5876"/>
    <tableColumn id="10509" name="Column10505" dataDxfId="5875"/>
    <tableColumn id="10510" name="Column10506" dataDxfId="5874"/>
    <tableColumn id="10511" name="Column10507" dataDxfId="5873"/>
    <tableColumn id="10512" name="Column10508" dataDxfId="5872"/>
    <tableColumn id="10513" name="Column10509" dataDxfId="5871"/>
    <tableColumn id="10514" name="Column10510" dataDxfId="5870"/>
    <tableColumn id="10515" name="Column10511" dataDxfId="5869"/>
    <tableColumn id="10516" name="Column10512" dataDxfId="5868"/>
    <tableColumn id="10517" name="Column10513" dataDxfId="5867"/>
    <tableColumn id="10518" name="Column10514" dataDxfId="5866"/>
    <tableColumn id="10519" name="Column10515" dataDxfId="5865"/>
    <tableColumn id="10520" name="Column10516" dataDxfId="5864"/>
    <tableColumn id="10521" name="Column10517" dataDxfId="5863"/>
    <tableColumn id="10522" name="Column10518" dataDxfId="5862"/>
    <tableColumn id="10523" name="Column10519" dataDxfId="5861"/>
    <tableColumn id="10524" name="Column10520" dataDxfId="5860"/>
    <tableColumn id="10525" name="Column10521" dataDxfId="5859"/>
    <tableColumn id="10526" name="Column10522" dataDxfId="5858"/>
    <tableColumn id="10527" name="Column10523" dataDxfId="5857"/>
    <tableColumn id="10528" name="Column10524" dataDxfId="5856"/>
    <tableColumn id="10529" name="Column10525" dataDxfId="5855"/>
    <tableColumn id="10530" name="Column10526" dataDxfId="5854"/>
    <tableColumn id="10531" name="Column10527" dataDxfId="5853"/>
    <tableColumn id="10532" name="Column10528" dataDxfId="5852"/>
    <tableColumn id="10533" name="Column10529" dataDxfId="5851"/>
    <tableColumn id="10534" name="Column10530" dataDxfId="5850"/>
    <tableColumn id="10535" name="Column10531" dataDxfId="5849"/>
    <tableColumn id="10536" name="Column10532" dataDxfId="5848"/>
    <tableColumn id="10537" name="Column10533" dataDxfId="5847"/>
    <tableColumn id="10538" name="Column10534" dataDxfId="5846"/>
    <tableColumn id="10539" name="Column10535" dataDxfId="5845"/>
    <tableColumn id="10540" name="Column10536" dataDxfId="5844"/>
    <tableColumn id="10541" name="Column10537" dataDxfId="5843"/>
    <tableColumn id="10542" name="Column10538" dataDxfId="5842"/>
    <tableColumn id="10543" name="Column10539" dataDxfId="5841"/>
    <tableColumn id="10544" name="Column10540" dataDxfId="5840"/>
    <tableColumn id="10545" name="Column10541" dataDxfId="5839"/>
    <tableColumn id="10546" name="Column10542" dataDxfId="5838"/>
    <tableColumn id="10547" name="Column10543" dataDxfId="5837"/>
    <tableColumn id="10548" name="Column10544" dataDxfId="5836"/>
    <tableColumn id="10549" name="Column10545" dataDxfId="5835"/>
    <tableColumn id="10550" name="Column10546" dataDxfId="5834"/>
    <tableColumn id="10551" name="Column10547" dataDxfId="5833"/>
    <tableColumn id="10552" name="Column10548" dataDxfId="5832"/>
    <tableColumn id="10553" name="Column10549" dataDxfId="5831"/>
    <tableColumn id="10554" name="Column10550" dataDxfId="5830"/>
    <tableColumn id="10555" name="Column10551" dataDxfId="5829"/>
    <tableColumn id="10556" name="Column10552" dataDxfId="5828"/>
    <tableColumn id="10557" name="Column10553" dataDxfId="5827"/>
    <tableColumn id="10558" name="Column10554" dataDxfId="5826"/>
    <tableColumn id="10559" name="Column10555" dataDxfId="5825"/>
    <tableColumn id="10560" name="Column10556" dataDxfId="5824"/>
    <tableColumn id="10561" name="Column10557" dataDxfId="5823"/>
    <tableColumn id="10562" name="Column10558" dataDxfId="5822"/>
    <tableColumn id="10563" name="Column10559" dataDxfId="5821"/>
    <tableColumn id="10564" name="Column10560" dataDxfId="5820"/>
    <tableColumn id="10565" name="Column10561" dataDxfId="5819"/>
    <tableColumn id="10566" name="Column10562" dataDxfId="5818"/>
    <tableColumn id="10567" name="Column10563" dataDxfId="5817"/>
    <tableColumn id="10568" name="Column10564" dataDxfId="5816"/>
    <tableColumn id="10569" name="Column10565" dataDxfId="5815"/>
    <tableColumn id="10570" name="Column10566" dataDxfId="5814"/>
    <tableColumn id="10571" name="Column10567" dataDxfId="5813"/>
    <tableColumn id="10572" name="Column10568" dataDxfId="5812"/>
    <tableColumn id="10573" name="Column10569" dataDxfId="5811"/>
    <tableColumn id="10574" name="Column10570" dataDxfId="5810"/>
    <tableColumn id="10575" name="Column10571" dataDxfId="5809"/>
    <tableColumn id="10576" name="Column10572" dataDxfId="5808"/>
    <tableColumn id="10577" name="Column10573" dataDxfId="5807"/>
    <tableColumn id="10578" name="Column10574" dataDxfId="5806"/>
    <tableColumn id="10579" name="Column10575" dataDxfId="5805"/>
    <tableColumn id="10580" name="Column10576" dataDxfId="5804"/>
    <tableColumn id="10581" name="Column10577" dataDxfId="5803"/>
    <tableColumn id="10582" name="Column10578" dataDxfId="5802"/>
    <tableColumn id="10583" name="Column10579" dataDxfId="5801"/>
    <tableColumn id="10584" name="Column10580" dataDxfId="5800"/>
    <tableColumn id="10585" name="Column10581" dataDxfId="5799"/>
    <tableColumn id="10586" name="Column10582" dataDxfId="5798"/>
    <tableColumn id="10587" name="Column10583" dataDxfId="5797"/>
    <tableColumn id="10588" name="Column10584" dataDxfId="5796"/>
    <tableColumn id="10589" name="Column10585" dataDxfId="5795"/>
    <tableColumn id="10590" name="Column10586" dataDxfId="5794"/>
    <tableColumn id="10591" name="Column10587" dataDxfId="5793"/>
    <tableColumn id="10592" name="Column10588" dataDxfId="5792"/>
    <tableColumn id="10593" name="Column10589" dataDxfId="5791"/>
    <tableColumn id="10594" name="Column10590" dataDxfId="5790"/>
    <tableColumn id="10595" name="Column10591" dataDxfId="5789"/>
    <tableColumn id="10596" name="Column10592" dataDxfId="5788"/>
    <tableColumn id="10597" name="Column10593" dataDxfId="5787"/>
    <tableColumn id="10598" name="Column10594" dataDxfId="5786"/>
    <tableColumn id="10599" name="Column10595" dataDxfId="5785"/>
    <tableColumn id="10600" name="Column10596" dataDxfId="5784"/>
    <tableColumn id="10601" name="Column10597" dataDxfId="5783"/>
    <tableColumn id="10602" name="Column10598" dataDxfId="5782"/>
    <tableColumn id="10603" name="Column10599" dataDxfId="5781"/>
    <tableColumn id="10604" name="Column10600" dataDxfId="5780"/>
    <tableColumn id="10605" name="Column10601" dataDxfId="5779"/>
    <tableColumn id="10606" name="Column10602" dataDxfId="5778"/>
    <tableColumn id="10607" name="Column10603" dataDxfId="5777"/>
    <tableColumn id="10608" name="Column10604" dataDxfId="5776"/>
    <tableColumn id="10609" name="Column10605" dataDxfId="5775"/>
    <tableColumn id="10610" name="Column10606" dataDxfId="5774"/>
    <tableColumn id="10611" name="Column10607" dataDxfId="5773"/>
    <tableColumn id="10612" name="Column10608" dataDxfId="5772"/>
    <tableColumn id="10613" name="Column10609" dataDxfId="5771"/>
    <tableColumn id="10614" name="Column10610" dataDxfId="5770"/>
    <tableColumn id="10615" name="Column10611" dataDxfId="5769"/>
    <tableColumn id="10616" name="Column10612" dataDxfId="5768"/>
    <tableColumn id="10617" name="Column10613" dataDxfId="5767"/>
    <tableColumn id="10618" name="Column10614" dataDxfId="5766"/>
    <tableColumn id="10619" name="Column10615" dataDxfId="5765"/>
    <tableColumn id="10620" name="Column10616" dataDxfId="5764"/>
    <tableColumn id="10621" name="Column10617" dataDxfId="5763"/>
    <tableColumn id="10622" name="Column10618" dataDxfId="5762"/>
    <tableColumn id="10623" name="Column10619" dataDxfId="5761"/>
    <tableColumn id="10624" name="Column10620" dataDxfId="5760"/>
    <tableColumn id="10625" name="Column10621" dataDxfId="5759"/>
    <tableColumn id="10626" name="Column10622" dataDxfId="5758"/>
    <tableColumn id="10627" name="Column10623" dataDxfId="5757"/>
    <tableColumn id="10628" name="Column10624" dataDxfId="5756"/>
    <tableColumn id="10629" name="Column10625" dataDxfId="5755"/>
    <tableColumn id="10630" name="Column10626" dataDxfId="5754"/>
    <tableColumn id="10631" name="Column10627" dataDxfId="5753"/>
    <tableColumn id="10632" name="Column10628" dataDxfId="5752"/>
    <tableColumn id="10633" name="Column10629" dataDxfId="5751"/>
    <tableColumn id="10634" name="Column10630" dataDxfId="5750"/>
    <tableColumn id="10635" name="Column10631" dataDxfId="5749"/>
    <tableColumn id="10636" name="Column10632" dataDxfId="5748"/>
    <tableColumn id="10637" name="Column10633" dataDxfId="5747"/>
    <tableColumn id="10638" name="Column10634" dataDxfId="5746"/>
    <tableColumn id="10639" name="Column10635" dataDxfId="5745"/>
    <tableColumn id="10640" name="Column10636" dataDxfId="5744"/>
    <tableColumn id="10641" name="Column10637" dataDxfId="5743"/>
    <tableColumn id="10642" name="Column10638" dataDxfId="5742"/>
    <tableColumn id="10643" name="Column10639" dataDxfId="5741"/>
    <tableColumn id="10644" name="Column10640" dataDxfId="5740"/>
    <tableColumn id="10645" name="Column10641" dataDxfId="5739"/>
    <tableColumn id="10646" name="Column10642" dataDxfId="5738"/>
    <tableColumn id="10647" name="Column10643" dataDxfId="5737"/>
    <tableColumn id="10648" name="Column10644" dataDxfId="5736"/>
    <tableColumn id="10649" name="Column10645" dataDxfId="5735"/>
    <tableColumn id="10650" name="Column10646" dataDxfId="5734"/>
    <tableColumn id="10651" name="Column10647" dataDxfId="5733"/>
    <tableColumn id="10652" name="Column10648" dataDxfId="5732"/>
    <tableColumn id="10653" name="Column10649" dataDxfId="5731"/>
    <tableColumn id="10654" name="Column10650" dataDxfId="5730"/>
    <tableColumn id="10655" name="Column10651" dataDxfId="5729"/>
    <tableColumn id="10656" name="Column10652" dataDxfId="5728"/>
    <tableColumn id="10657" name="Column10653" dataDxfId="5727"/>
    <tableColumn id="10658" name="Column10654" dataDxfId="5726"/>
    <tableColumn id="10659" name="Column10655" dataDxfId="5725"/>
    <tableColumn id="10660" name="Column10656" dataDxfId="5724"/>
    <tableColumn id="10661" name="Column10657" dataDxfId="5723"/>
    <tableColumn id="10662" name="Column10658" dataDxfId="5722"/>
    <tableColumn id="10663" name="Column10659" dataDxfId="5721"/>
    <tableColumn id="10664" name="Column10660" dataDxfId="5720"/>
    <tableColumn id="10665" name="Column10661" dataDxfId="5719"/>
    <tableColumn id="10666" name="Column10662" dataDxfId="5718"/>
    <tableColumn id="10667" name="Column10663" dataDxfId="5717"/>
    <tableColumn id="10668" name="Column10664" dataDxfId="5716"/>
    <tableColumn id="10669" name="Column10665" dataDxfId="5715"/>
    <tableColumn id="10670" name="Column10666" dataDxfId="5714"/>
    <tableColumn id="10671" name="Column10667" dataDxfId="5713"/>
    <tableColumn id="10672" name="Column10668" dataDxfId="5712"/>
    <tableColumn id="10673" name="Column10669" dataDxfId="5711"/>
    <tableColumn id="10674" name="Column10670" dataDxfId="5710"/>
    <tableColumn id="10675" name="Column10671" dataDxfId="5709"/>
    <tableColumn id="10676" name="Column10672" dataDxfId="5708"/>
    <tableColumn id="10677" name="Column10673" dataDxfId="5707"/>
    <tableColumn id="10678" name="Column10674" dataDxfId="5706"/>
    <tableColumn id="10679" name="Column10675" dataDxfId="5705"/>
    <tableColumn id="10680" name="Column10676" dataDxfId="5704"/>
    <tableColumn id="10681" name="Column10677" dataDxfId="5703"/>
    <tableColumn id="10682" name="Column10678" dataDxfId="5702"/>
    <tableColumn id="10683" name="Column10679" dataDxfId="5701"/>
    <tableColumn id="10684" name="Column10680" dataDxfId="5700"/>
    <tableColumn id="10685" name="Column10681" dataDxfId="5699"/>
    <tableColumn id="10686" name="Column10682" dataDxfId="5698"/>
    <tableColumn id="10687" name="Column10683" dataDxfId="5697"/>
    <tableColumn id="10688" name="Column10684" dataDxfId="5696"/>
    <tableColumn id="10689" name="Column10685" dataDxfId="5695"/>
    <tableColumn id="10690" name="Column10686" dataDxfId="5694"/>
    <tableColumn id="10691" name="Column10687" dataDxfId="5693"/>
    <tableColumn id="10692" name="Column10688" dataDxfId="5692"/>
    <tableColumn id="10693" name="Column10689" dataDxfId="5691"/>
    <tableColumn id="10694" name="Column10690" dataDxfId="5690"/>
    <tableColumn id="10695" name="Column10691" dataDxfId="5689"/>
    <tableColumn id="10696" name="Column10692" dataDxfId="5688"/>
    <tableColumn id="10697" name="Column10693" dataDxfId="5687"/>
    <tableColumn id="10698" name="Column10694" dataDxfId="5686"/>
    <tableColumn id="10699" name="Column10695" dataDxfId="5685"/>
    <tableColumn id="10700" name="Column10696" dataDxfId="5684"/>
    <tableColumn id="10701" name="Column10697" dataDxfId="5683"/>
    <tableColumn id="10702" name="Column10698" dataDxfId="5682"/>
    <tableColumn id="10703" name="Column10699" dataDxfId="5681"/>
    <tableColumn id="10704" name="Column10700" dataDxfId="5680"/>
    <tableColumn id="10705" name="Column10701" dataDxfId="5679"/>
    <tableColumn id="10706" name="Column10702" dataDxfId="5678"/>
    <tableColumn id="10707" name="Column10703" dataDxfId="5677"/>
    <tableColumn id="10708" name="Column10704" dataDxfId="5676"/>
    <tableColumn id="10709" name="Column10705" dataDxfId="5675"/>
    <tableColumn id="10710" name="Column10706" dataDxfId="5674"/>
    <tableColumn id="10711" name="Column10707" dataDxfId="5673"/>
    <tableColumn id="10712" name="Column10708" dataDxfId="5672"/>
    <tableColumn id="10713" name="Column10709" dataDxfId="5671"/>
    <tableColumn id="10714" name="Column10710" dataDxfId="5670"/>
    <tableColumn id="10715" name="Column10711" dataDxfId="5669"/>
    <tableColumn id="10716" name="Column10712" dataDxfId="5668"/>
    <tableColumn id="10717" name="Column10713" dataDxfId="5667"/>
    <tableColumn id="10718" name="Column10714" dataDxfId="5666"/>
    <tableColumn id="10719" name="Column10715" dataDxfId="5665"/>
    <tableColumn id="10720" name="Column10716" dataDxfId="5664"/>
    <tableColumn id="10721" name="Column10717" dataDxfId="5663"/>
    <tableColumn id="10722" name="Column10718" dataDxfId="5662"/>
    <tableColumn id="10723" name="Column10719" dataDxfId="5661"/>
    <tableColumn id="10724" name="Column10720" dataDxfId="5660"/>
    <tableColumn id="10725" name="Column10721" dataDxfId="5659"/>
    <tableColumn id="10726" name="Column10722" dataDxfId="5658"/>
    <tableColumn id="10727" name="Column10723" dataDxfId="5657"/>
    <tableColumn id="10728" name="Column10724" dataDxfId="5656"/>
    <tableColumn id="10729" name="Column10725" dataDxfId="5655"/>
    <tableColumn id="10730" name="Column10726" dataDxfId="5654"/>
    <tableColumn id="10731" name="Column10727" dataDxfId="5653"/>
    <tableColumn id="10732" name="Column10728" dataDxfId="5652"/>
    <tableColumn id="10733" name="Column10729" dataDxfId="5651"/>
    <tableColumn id="10734" name="Column10730" dataDxfId="5650"/>
    <tableColumn id="10735" name="Column10731" dataDxfId="5649"/>
    <tableColumn id="10736" name="Column10732" dataDxfId="5648"/>
    <tableColumn id="10737" name="Column10733" dataDxfId="5647"/>
    <tableColumn id="10738" name="Column10734" dataDxfId="5646"/>
    <tableColumn id="10739" name="Column10735" dataDxfId="5645"/>
    <tableColumn id="10740" name="Column10736" dataDxfId="5644"/>
    <tableColumn id="10741" name="Column10737" dataDxfId="5643"/>
    <tableColumn id="10742" name="Column10738" dataDxfId="5642"/>
    <tableColumn id="10743" name="Column10739" dataDxfId="5641"/>
    <tableColumn id="10744" name="Column10740" dataDxfId="5640"/>
    <tableColumn id="10745" name="Column10741" dataDxfId="5639"/>
    <tableColumn id="10746" name="Column10742" dataDxfId="5638"/>
    <tableColumn id="10747" name="Column10743" dataDxfId="5637"/>
    <tableColumn id="10748" name="Column10744" dataDxfId="5636"/>
    <tableColumn id="10749" name="Column10745" dataDxfId="5635"/>
    <tableColumn id="10750" name="Column10746" dataDxfId="5634"/>
    <tableColumn id="10751" name="Column10747" dataDxfId="5633"/>
    <tableColumn id="10752" name="Column10748" dataDxfId="5632"/>
    <tableColumn id="10753" name="Column10749" dataDxfId="5631"/>
    <tableColumn id="10754" name="Column10750" dataDxfId="5630"/>
    <tableColumn id="10755" name="Column10751" dataDxfId="5629"/>
    <tableColumn id="10756" name="Column10752" dataDxfId="5628"/>
    <tableColumn id="10757" name="Column10753" dataDxfId="5627"/>
    <tableColumn id="10758" name="Column10754" dataDxfId="5626"/>
    <tableColumn id="10759" name="Column10755" dataDxfId="5625"/>
    <tableColumn id="10760" name="Column10756" dataDxfId="5624"/>
    <tableColumn id="10761" name="Column10757" dataDxfId="5623"/>
    <tableColumn id="10762" name="Column10758" dataDxfId="5622"/>
    <tableColumn id="10763" name="Column10759" dataDxfId="5621"/>
    <tableColumn id="10764" name="Column10760" dataDxfId="5620"/>
    <tableColumn id="10765" name="Column10761" dataDxfId="5619"/>
    <tableColumn id="10766" name="Column10762" dataDxfId="5618"/>
    <tableColumn id="10767" name="Column10763" dataDxfId="5617"/>
    <tableColumn id="10768" name="Column10764" dataDxfId="5616"/>
    <tableColumn id="10769" name="Column10765" dataDxfId="5615"/>
    <tableColumn id="10770" name="Column10766" dataDxfId="5614"/>
    <tableColumn id="10771" name="Column10767" dataDxfId="5613"/>
    <tableColumn id="10772" name="Column10768" dataDxfId="5612"/>
    <tableColumn id="10773" name="Column10769" dataDxfId="5611"/>
    <tableColumn id="10774" name="Column10770" dataDxfId="5610"/>
    <tableColumn id="10775" name="Column10771" dataDxfId="5609"/>
    <tableColumn id="10776" name="Column10772" dataDxfId="5608"/>
    <tableColumn id="10777" name="Column10773" dataDxfId="5607"/>
    <tableColumn id="10778" name="Column10774" dataDxfId="5606"/>
    <tableColumn id="10779" name="Column10775" dataDxfId="5605"/>
    <tableColumn id="10780" name="Column10776" dataDxfId="5604"/>
    <tableColumn id="10781" name="Column10777" dataDxfId="5603"/>
    <tableColumn id="10782" name="Column10778" dataDxfId="5602"/>
    <tableColumn id="10783" name="Column10779" dataDxfId="5601"/>
    <tableColumn id="10784" name="Column10780" dataDxfId="5600"/>
    <tableColumn id="10785" name="Column10781" dataDxfId="5599"/>
    <tableColumn id="10786" name="Column10782" dataDxfId="5598"/>
    <tableColumn id="10787" name="Column10783" dataDxfId="5597"/>
    <tableColumn id="10788" name="Column10784" dataDxfId="5596"/>
    <tableColumn id="10789" name="Column10785" dataDxfId="5595"/>
    <tableColumn id="10790" name="Column10786" dataDxfId="5594"/>
    <tableColumn id="10791" name="Column10787" dataDxfId="5593"/>
    <tableColumn id="10792" name="Column10788" dataDxfId="5592"/>
    <tableColumn id="10793" name="Column10789" dataDxfId="5591"/>
    <tableColumn id="10794" name="Column10790" dataDxfId="5590"/>
    <tableColumn id="10795" name="Column10791" dataDxfId="5589"/>
    <tableColumn id="10796" name="Column10792" dataDxfId="5588"/>
    <tableColumn id="10797" name="Column10793" dataDxfId="5587"/>
    <tableColumn id="10798" name="Column10794" dataDxfId="5586"/>
    <tableColumn id="10799" name="Column10795" dataDxfId="5585"/>
    <tableColumn id="10800" name="Column10796" dataDxfId="5584"/>
    <tableColumn id="10801" name="Column10797" dataDxfId="5583"/>
    <tableColumn id="10802" name="Column10798" dataDxfId="5582"/>
    <tableColumn id="10803" name="Column10799" dataDxfId="5581"/>
    <tableColumn id="10804" name="Column10800" dataDxfId="5580"/>
    <tableColumn id="10805" name="Column10801" dataDxfId="5579"/>
    <tableColumn id="10806" name="Column10802" dataDxfId="5578"/>
    <tableColumn id="10807" name="Column10803" dataDxfId="5577"/>
    <tableColumn id="10808" name="Column10804" dataDxfId="5576"/>
    <tableColumn id="10809" name="Column10805" dataDxfId="5575"/>
    <tableColumn id="10810" name="Column10806" dataDxfId="5574"/>
    <tableColumn id="10811" name="Column10807" dataDxfId="5573"/>
    <tableColumn id="10812" name="Column10808" dataDxfId="5572"/>
    <tableColumn id="10813" name="Column10809" dataDxfId="5571"/>
    <tableColumn id="10814" name="Column10810" dataDxfId="5570"/>
    <tableColumn id="10815" name="Column10811" dataDxfId="5569"/>
    <tableColumn id="10816" name="Column10812" dataDxfId="5568"/>
    <tableColumn id="10817" name="Column10813" dataDxfId="5567"/>
    <tableColumn id="10818" name="Column10814" dataDxfId="5566"/>
    <tableColumn id="10819" name="Column10815" dataDxfId="5565"/>
    <tableColumn id="10820" name="Column10816" dataDxfId="5564"/>
    <tableColumn id="10821" name="Column10817" dataDxfId="5563"/>
    <tableColumn id="10822" name="Column10818" dataDxfId="5562"/>
    <tableColumn id="10823" name="Column10819" dataDxfId="5561"/>
    <tableColumn id="10824" name="Column10820" dataDxfId="5560"/>
    <tableColumn id="10825" name="Column10821" dataDxfId="5559"/>
    <tableColumn id="10826" name="Column10822" dataDxfId="5558"/>
    <tableColumn id="10827" name="Column10823" dataDxfId="5557"/>
    <tableColumn id="10828" name="Column10824" dataDxfId="5556"/>
    <tableColumn id="10829" name="Column10825" dataDxfId="5555"/>
    <tableColumn id="10830" name="Column10826" dataDxfId="5554"/>
    <tableColumn id="10831" name="Column10827" dataDxfId="5553"/>
    <tableColumn id="10832" name="Column10828" dataDxfId="5552"/>
    <tableColumn id="10833" name="Column10829" dataDxfId="5551"/>
    <tableColumn id="10834" name="Column10830" dataDxfId="5550"/>
    <tableColumn id="10835" name="Column10831" dataDxfId="5549"/>
    <tableColumn id="10836" name="Column10832" dataDxfId="5548"/>
    <tableColumn id="10837" name="Column10833" dataDxfId="5547"/>
    <tableColumn id="10838" name="Column10834" dataDxfId="5546"/>
    <tableColumn id="10839" name="Column10835" dataDxfId="5545"/>
    <tableColumn id="10840" name="Column10836" dataDxfId="5544"/>
    <tableColumn id="10841" name="Column10837" dataDxfId="5543"/>
    <tableColumn id="10842" name="Column10838" dataDxfId="5542"/>
    <tableColumn id="10843" name="Column10839" dataDxfId="5541"/>
    <tableColumn id="10844" name="Column10840" dataDxfId="5540"/>
    <tableColumn id="10845" name="Column10841" dataDxfId="5539"/>
    <tableColumn id="10846" name="Column10842" dataDxfId="5538"/>
    <tableColumn id="10847" name="Column10843" dataDxfId="5537"/>
    <tableColumn id="10848" name="Column10844" dataDxfId="5536"/>
    <tableColumn id="10849" name="Column10845" dataDxfId="5535"/>
    <tableColumn id="10850" name="Column10846" dataDxfId="5534"/>
    <tableColumn id="10851" name="Column10847" dataDxfId="5533"/>
    <tableColumn id="10852" name="Column10848" dataDxfId="5532"/>
    <tableColumn id="10853" name="Column10849" dataDxfId="5531"/>
    <tableColumn id="10854" name="Column10850" dataDxfId="5530"/>
    <tableColumn id="10855" name="Column10851" dataDxfId="5529"/>
    <tableColumn id="10856" name="Column10852" dataDxfId="5528"/>
    <tableColumn id="10857" name="Column10853" dataDxfId="5527"/>
    <tableColumn id="10858" name="Column10854" dataDxfId="5526"/>
    <tableColumn id="10859" name="Column10855" dataDxfId="5525"/>
    <tableColumn id="10860" name="Column10856" dataDxfId="5524"/>
    <tableColumn id="10861" name="Column10857" dataDxfId="5523"/>
    <tableColumn id="10862" name="Column10858" dataDxfId="5522"/>
    <tableColumn id="10863" name="Column10859" dataDxfId="5521"/>
    <tableColumn id="10864" name="Column10860" dataDxfId="5520"/>
    <tableColumn id="10865" name="Column10861" dataDxfId="5519"/>
    <tableColumn id="10866" name="Column10862" dataDxfId="5518"/>
    <tableColumn id="10867" name="Column10863" dataDxfId="5517"/>
    <tableColumn id="10868" name="Column10864" dataDxfId="5516"/>
    <tableColumn id="10869" name="Column10865" dataDxfId="5515"/>
    <tableColumn id="10870" name="Column10866" dataDxfId="5514"/>
    <tableColumn id="10871" name="Column10867" dataDxfId="5513"/>
    <tableColumn id="10872" name="Column10868" dataDxfId="5512"/>
    <tableColumn id="10873" name="Column10869" dataDxfId="5511"/>
    <tableColumn id="10874" name="Column10870" dataDxfId="5510"/>
    <tableColumn id="10875" name="Column10871" dataDxfId="5509"/>
    <tableColumn id="10876" name="Column10872" dataDxfId="5508"/>
    <tableColumn id="10877" name="Column10873" dataDxfId="5507"/>
    <tableColumn id="10878" name="Column10874" dataDxfId="5506"/>
    <tableColumn id="10879" name="Column10875" dataDxfId="5505"/>
    <tableColumn id="10880" name="Column10876" dataDxfId="5504"/>
    <tableColumn id="10881" name="Column10877" dataDxfId="5503"/>
    <tableColumn id="10882" name="Column10878" dataDxfId="5502"/>
    <tableColumn id="10883" name="Column10879" dataDxfId="5501"/>
    <tableColumn id="10884" name="Column10880" dataDxfId="5500"/>
    <tableColumn id="10885" name="Column10881" dataDxfId="5499"/>
    <tableColumn id="10886" name="Column10882" dataDxfId="5498"/>
    <tableColumn id="10887" name="Column10883" dataDxfId="5497"/>
    <tableColumn id="10888" name="Column10884" dataDxfId="5496"/>
    <tableColumn id="10889" name="Column10885" dataDxfId="5495"/>
    <tableColumn id="10890" name="Column10886" dataDxfId="5494"/>
    <tableColumn id="10891" name="Column10887" dataDxfId="5493"/>
    <tableColumn id="10892" name="Column10888" dataDxfId="5492"/>
    <tableColumn id="10893" name="Column10889" dataDxfId="5491"/>
    <tableColumn id="10894" name="Column10890" dataDxfId="5490"/>
    <tableColumn id="10895" name="Column10891" dataDxfId="5489"/>
    <tableColumn id="10896" name="Column10892" dataDxfId="5488"/>
    <tableColumn id="10897" name="Column10893" dataDxfId="5487"/>
    <tableColumn id="10898" name="Column10894" dataDxfId="5486"/>
    <tableColumn id="10899" name="Column10895" dataDxfId="5485"/>
    <tableColumn id="10900" name="Column10896" dataDxfId="5484"/>
    <tableColumn id="10901" name="Column10897" dataDxfId="5483"/>
    <tableColumn id="10902" name="Column10898" dataDxfId="5482"/>
    <tableColumn id="10903" name="Column10899" dataDxfId="5481"/>
    <tableColumn id="10904" name="Column10900" dataDxfId="5480"/>
    <tableColumn id="10905" name="Column10901" dataDxfId="5479"/>
    <tableColumn id="10906" name="Column10902" dataDxfId="5478"/>
    <tableColumn id="10907" name="Column10903" dataDxfId="5477"/>
    <tableColumn id="10908" name="Column10904" dataDxfId="5476"/>
    <tableColumn id="10909" name="Column10905" dataDxfId="5475"/>
    <tableColumn id="10910" name="Column10906" dataDxfId="5474"/>
    <tableColumn id="10911" name="Column10907" dataDxfId="5473"/>
    <tableColumn id="10912" name="Column10908" dataDxfId="5472"/>
    <tableColumn id="10913" name="Column10909" dataDxfId="5471"/>
    <tableColumn id="10914" name="Column10910" dataDxfId="5470"/>
    <tableColumn id="10915" name="Column10911" dataDxfId="5469"/>
    <tableColumn id="10916" name="Column10912" dataDxfId="5468"/>
    <tableColumn id="10917" name="Column10913" dataDxfId="5467"/>
    <tableColumn id="10918" name="Column10914" dataDxfId="5466"/>
    <tableColumn id="10919" name="Column10915" dataDxfId="5465"/>
    <tableColumn id="10920" name="Column10916" dataDxfId="5464"/>
    <tableColumn id="10921" name="Column10917" dataDxfId="5463"/>
    <tableColumn id="10922" name="Column10918" dataDxfId="5462"/>
    <tableColumn id="10923" name="Column10919" dataDxfId="5461"/>
    <tableColumn id="10924" name="Column10920" dataDxfId="5460"/>
    <tableColumn id="10925" name="Column10921" dataDxfId="5459"/>
    <tableColumn id="10926" name="Column10922" dataDxfId="5458"/>
    <tableColumn id="10927" name="Column10923" dataDxfId="5457"/>
    <tableColumn id="10928" name="Column10924" dataDxfId="5456"/>
    <tableColumn id="10929" name="Column10925" dataDxfId="5455"/>
    <tableColumn id="10930" name="Column10926" dataDxfId="5454"/>
    <tableColumn id="10931" name="Column10927" dataDxfId="5453"/>
    <tableColumn id="10932" name="Column10928" dataDxfId="5452"/>
    <tableColumn id="10933" name="Column10929" dataDxfId="5451"/>
    <tableColumn id="10934" name="Column10930" dataDxfId="5450"/>
    <tableColumn id="10935" name="Column10931" dataDxfId="5449"/>
    <tableColumn id="10936" name="Column10932" dataDxfId="5448"/>
    <tableColumn id="10937" name="Column10933" dataDxfId="5447"/>
    <tableColumn id="10938" name="Column10934" dataDxfId="5446"/>
    <tableColumn id="10939" name="Column10935" dataDxfId="5445"/>
    <tableColumn id="10940" name="Column10936" dataDxfId="5444"/>
    <tableColumn id="10941" name="Column10937" dataDxfId="5443"/>
    <tableColumn id="10942" name="Column10938" dataDxfId="5442"/>
    <tableColumn id="10943" name="Column10939" dataDxfId="5441"/>
    <tableColumn id="10944" name="Column10940" dataDxfId="5440"/>
    <tableColumn id="10945" name="Column10941" dataDxfId="5439"/>
    <tableColumn id="10946" name="Column10942" dataDxfId="5438"/>
    <tableColumn id="10947" name="Column10943" dataDxfId="5437"/>
    <tableColumn id="10948" name="Column10944" dataDxfId="5436"/>
    <tableColumn id="10949" name="Column10945" dataDxfId="5435"/>
    <tableColumn id="10950" name="Column10946" dataDxfId="5434"/>
    <tableColumn id="10951" name="Column10947" dataDxfId="5433"/>
    <tableColumn id="10952" name="Column10948" dataDxfId="5432"/>
    <tableColumn id="10953" name="Column10949" dataDxfId="5431"/>
    <tableColumn id="10954" name="Column10950" dataDxfId="5430"/>
    <tableColumn id="10955" name="Column10951" dataDxfId="5429"/>
    <tableColumn id="10956" name="Column10952" dataDxfId="5428"/>
    <tableColumn id="10957" name="Column10953" dataDxfId="5427"/>
    <tableColumn id="10958" name="Column10954" dataDxfId="5426"/>
    <tableColumn id="10959" name="Column10955" dataDxfId="5425"/>
    <tableColumn id="10960" name="Column10956" dataDxfId="5424"/>
    <tableColumn id="10961" name="Column10957" dataDxfId="5423"/>
    <tableColumn id="10962" name="Column10958" dataDxfId="5422"/>
    <tableColumn id="10963" name="Column10959" dataDxfId="5421"/>
    <tableColumn id="10964" name="Column10960" dataDxfId="5420"/>
    <tableColumn id="10965" name="Column10961" dataDxfId="5419"/>
    <tableColumn id="10966" name="Column10962" dataDxfId="5418"/>
    <tableColumn id="10967" name="Column10963" dataDxfId="5417"/>
    <tableColumn id="10968" name="Column10964" dataDxfId="5416"/>
    <tableColumn id="10969" name="Column10965" dataDxfId="5415"/>
    <tableColumn id="10970" name="Column10966" dataDxfId="5414"/>
    <tableColumn id="10971" name="Column10967" dataDxfId="5413"/>
    <tableColumn id="10972" name="Column10968" dataDxfId="5412"/>
    <tableColumn id="10973" name="Column10969" dataDxfId="5411"/>
    <tableColumn id="10974" name="Column10970" dataDxfId="5410"/>
    <tableColumn id="10975" name="Column10971" dataDxfId="5409"/>
    <tableColumn id="10976" name="Column10972" dataDxfId="5408"/>
    <tableColumn id="10977" name="Column10973" dataDxfId="5407"/>
    <tableColumn id="10978" name="Column10974" dataDxfId="5406"/>
    <tableColumn id="10979" name="Column10975" dataDxfId="5405"/>
    <tableColumn id="10980" name="Column10976" dataDxfId="5404"/>
    <tableColumn id="10981" name="Column10977" dataDxfId="5403"/>
    <tableColumn id="10982" name="Column10978" dataDxfId="5402"/>
    <tableColumn id="10983" name="Column10979" dataDxfId="5401"/>
    <tableColumn id="10984" name="Column10980" dataDxfId="5400"/>
    <tableColumn id="10985" name="Column10981" dataDxfId="5399"/>
    <tableColumn id="10986" name="Column10982" dataDxfId="5398"/>
    <tableColumn id="10987" name="Column10983" dataDxfId="5397"/>
    <tableColumn id="10988" name="Column10984" dataDxfId="5396"/>
    <tableColumn id="10989" name="Column10985" dataDxfId="5395"/>
    <tableColumn id="10990" name="Column10986" dataDxfId="5394"/>
    <tableColumn id="10991" name="Column10987" dataDxfId="5393"/>
    <tableColumn id="10992" name="Column10988" dataDxfId="5392"/>
    <tableColumn id="10993" name="Column10989" dataDxfId="5391"/>
    <tableColumn id="10994" name="Column10990" dataDxfId="5390"/>
    <tableColumn id="10995" name="Column10991" dataDxfId="5389"/>
    <tableColumn id="10996" name="Column10992" dataDxfId="5388"/>
    <tableColumn id="10997" name="Column10993" dataDxfId="5387"/>
    <tableColumn id="10998" name="Column10994" dataDxfId="5386"/>
    <tableColumn id="10999" name="Column10995" dataDxfId="5385"/>
    <tableColumn id="11000" name="Column10996" dataDxfId="5384"/>
    <tableColumn id="11001" name="Column10997" dataDxfId="5383"/>
    <tableColumn id="11002" name="Column10998" dataDxfId="5382"/>
    <tableColumn id="11003" name="Column10999" dataDxfId="5381"/>
    <tableColumn id="11004" name="Column11000" dataDxfId="5380"/>
    <tableColumn id="11005" name="Column11001" dataDxfId="5379"/>
    <tableColumn id="11006" name="Column11002" dataDxfId="5378"/>
    <tableColumn id="11007" name="Column11003" dataDxfId="5377"/>
    <tableColumn id="11008" name="Column11004" dataDxfId="5376"/>
    <tableColumn id="11009" name="Column11005" dataDxfId="5375"/>
    <tableColumn id="11010" name="Column11006" dataDxfId="5374"/>
    <tableColumn id="11011" name="Column11007" dataDxfId="5373"/>
    <tableColumn id="11012" name="Column11008" dataDxfId="5372"/>
    <tableColumn id="11013" name="Column11009" dataDxfId="5371"/>
    <tableColumn id="11014" name="Column11010" dataDxfId="5370"/>
    <tableColumn id="11015" name="Column11011" dataDxfId="5369"/>
    <tableColumn id="11016" name="Column11012" dataDxfId="5368"/>
    <tableColumn id="11017" name="Column11013" dataDxfId="5367"/>
    <tableColumn id="11018" name="Column11014" dataDxfId="5366"/>
    <tableColumn id="11019" name="Column11015" dataDxfId="5365"/>
    <tableColumn id="11020" name="Column11016" dataDxfId="5364"/>
    <tableColumn id="11021" name="Column11017" dataDxfId="5363"/>
    <tableColumn id="11022" name="Column11018" dataDxfId="5362"/>
    <tableColumn id="11023" name="Column11019" dataDxfId="5361"/>
    <tableColumn id="11024" name="Column11020" dataDxfId="5360"/>
    <tableColumn id="11025" name="Column11021" dataDxfId="5359"/>
    <tableColumn id="11026" name="Column11022" dataDxfId="5358"/>
    <tableColumn id="11027" name="Column11023" dataDxfId="5357"/>
    <tableColumn id="11028" name="Column11024" dataDxfId="5356"/>
    <tableColumn id="11029" name="Column11025" dataDxfId="5355"/>
    <tableColumn id="11030" name="Column11026" dataDxfId="5354"/>
    <tableColumn id="11031" name="Column11027" dataDxfId="5353"/>
    <tableColumn id="11032" name="Column11028" dataDxfId="5352"/>
    <tableColumn id="11033" name="Column11029" dataDxfId="5351"/>
    <tableColumn id="11034" name="Column11030" dataDxfId="5350"/>
    <tableColumn id="11035" name="Column11031" dataDxfId="5349"/>
    <tableColumn id="11036" name="Column11032" dataDxfId="5348"/>
    <tableColumn id="11037" name="Column11033" dataDxfId="5347"/>
    <tableColumn id="11038" name="Column11034" dataDxfId="5346"/>
    <tableColumn id="11039" name="Column11035" dataDxfId="5345"/>
    <tableColumn id="11040" name="Column11036" dataDxfId="5344"/>
    <tableColumn id="11041" name="Column11037" dataDxfId="5343"/>
    <tableColumn id="11042" name="Column11038" dataDxfId="5342"/>
    <tableColumn id="11043" name="Column11039" dataDxfId="5341"/>
    <tableColumn id="11044" name="Column11040" dataDxfId="5340"/>
    <tableColumn id="11045" name="Column11041" dataDxfId="5339"/>
    <tableColumn id="11046" name="Column11042" dataDxfId="5338"/>
    <tableColumn id="11047" name="Column11043" dataDxfId="5337"/>
    <tableColumn id="11048" name="Column11044" dataDxfId="5336"/>
    <tableColumn id="11049" name="Column11045" dataDxfId="5335"/>
    <tableColumn id="11050" name="Column11046" dataDxfId="5334"/>
    <tableColumn id="11051" name="Column11047" dataDxfId="5333"/>
    <tableColumn id="11052" name="Column11048" dataDxfId="5332"/>
    <tableColumn id="11053" name="Column11049" dataDxfId="5331"/>
    <tableColumn id="11054" name="Column11050" dataDxfId="5330"/>
    <tableColumn id="11055" name="Column11051" dataDxfId="5329"/>
    <tableColumn id="11056" name="Column11052" dataDxfId="5328"/>
    <tableColumn id="11057" name="Column11053" dataDxfId="5327"/>
    <tableColumn id="11058" name="Column11054" dataDxfId="5326"/>
    <tableColumn id="11059" name="Column11055" dataDxfId="5325"/>
    <tableColumn id="11060" name="Column11056" dataDxfId="5324"/>
    <tableColumn id="11061" name="Column11057" dataDxfId="5323"/>
    <tableColumn id="11062" name="Column11058" dataDxfId="5322"/>
    <tableColumn id="11063" name="Column11059" dataDxfId="5321"/>
    <tableColumn id="11064" name="Column11060" dataDxfId="5320"/>
    <tableColumn id="11065" name="Column11061" dataDxfId="5319"/>
    <tableColumn id="11066" name="Column11062" dataDxfId="5318"/>
    <tableColumn id="11067" name="Column11063" dataDxfId="5317"/>
    <tableColumn id="11068" name="Column11064" dataDxfId="5316"/>
    <tableColumn id="11069" name="Column11065" dataDxfId="5315"/>
    <tableColumn id="11070" name="Column11066" dataDxfId="5314"/>
    <tableColumn id="11071" name="Column11067" dataDxfId="5313"/>
    <tableColumn id="11072" name="Column11068" dataDxfId="5312"/>
    <tableColumn id="11073" name="Column11069" dataDxfId="5311"/>
    <tableColumn id="11074" name="Column11070" dataDxfId="5310"/>
    <tableColumn id="11075" name="Column11071" dataDxfId="5309"/>
    <tableColumn id="11076" name="Column11072" dataDxfId="5308"/>
    <tableColumn id="11077" name="Column11073" dataDxfId="5307"/>
    <tableColumn id="11078" name="Column11074" dataDxfId="5306"/>
    <tableColumn id="11079" name="Column11075" dataDxfId="5305"/>
    <tableColumn id="11080" name="Column11076" dataDxfId="5304"/>
    <tableColumn id="11081" name="Column11077" dataDxfId="5303"/>
    <tableColumn id="11082" name="Column11078" dataDxfId="5302"/>
    <tableColumn id="11083" name="Column11079" dataDxfId="5301"/>
    <tableColumn id="11084" name="Column11080" dataDxfId="5300"/>
    <tableColumn id="11085" name="Column11081" dataDxfId="5299"/>
    <tableColumn id="11086" name="Column11082" dataDxfId="5298"/>
    <tableColumn id="11087" name="Column11083" dataDxfId="5297"/>
    <tableColumn id="11088" name="Column11084" dataDxfId="5296"/>
    <tableColumn id="11089" name="Column11085" dataDxfId="5295"/>
    <tableColumn id="11090" name="Column11086" dataDxfId="5294"/>
    <tableColumn id="11091" name="Column11087" dataDxfId="5293"/>
    <tableColumn id="11092" name="Column11088" dataDxfId="5292"/>
    <tableColumn id="11093" name="Column11089" dataDxfId="5291"/>
    <tableColumn id="11094" name="Column11090" dataDxfId="5290"/>
    <tableColumn id="11095" name="Column11091" dataDxfId="5289"/>
    <tableColumn id="11096" name="Column11092" dataDxfId="5288"/>
    <tableColumn id="11097" name="Column11093" dataDxfId="5287"/>
    <tableColumn id="11098" name="Column11094" dataDxfId="5286"/>
    <tableColumn id="11099" name="Column11095" dataDxfId="5285"/>
    <tableColumn id="11100" name="Column11096" dataDxfId="5284"/>
    <tableColumn id="11101" name="Column11097" dataDxfId="5283"/>
    <tableColumn id="11102" name="Column11098" dataDxfId="5282"/>
    <tableColumn id="11103" name="Column11099" dataDxfId="5281"/>
    <tableColumn id="11104" name="Column11100" dataDxfId="5280"/>
    <tableColumn id="11105" name="Column11101" dataDxfId="5279"/>
    <tableColumn id="11106" name="Column11102" dataDxfId="5278"/>
    <tableColumn id="11107" name="Column11103" dataDxfId="5277"/>
    <tableColumn id="11108" name="Column11104" dataDxfId="5276"/>
    <tableColumn id="11109" name="Column11105" dataDxfId="5275"/>
    <tableColumn id="11110" name="Column11106" dataDxfId="5274"/>
    <tableColumn id="11111" name="Column11107" dataDxfId="5273"/>
    <tableColumn id="11112" name="Column11108" dataDxfId="5272"/>
    <tableColumn id="11113" name="Column11109" dataDxfId="5271"/>
    <tableColumn id="11114" name="Column11110" dataDxfId="5270"/>
    <tableColumn id="11115" name="Column11111" dataDxfId="5269"/>
    <tableColumn id="11116" name="Column11112" dataDxfId="5268"/>
    <tableColumn id="11117" name="Column11113" dataDxfId="5267"/>
    <tableColumn id="11118" name="Column11114" dataDxfId="5266"/>
    <tableColumn id="11119" name="Column11115" dataDxfId="5265"/>
    <tableColumn id="11120" name="Column11116" dataDxfId="5264"/>
    <tableColumn id="11121" name="Column11117" dataDxfId="5263"/>
    <tableColumn id="11122" name="Column11118" dataDxfId="5262"/>
    <tableColumn id="11123" name="Column11119" dataDxfId="5261"/>
    <tableColumn id="11124" name="Column11120" dataDxfId="5260"/>
    <tableColumn id="11125" name="Column11121" dataDxfId="5259"/>
    <tableColumn id="11126" name="Column11122" dataDxfId="5258"/>
    <tableColumn id="11127" name="Column11123" dataDxfId="5257"/>
    <tableColumn id="11128" name="Column11124" dataDxfId="5256"/>
    <tableColumn id="11129" name="Column11125" dataDxfId="5255"/>
    <tableColumn id="11130" name="Column11126" dataDxfId="5254"/>
    <tableColumn id="11131" name="Column11127" dataDxfId="5253"/>
    <tableColumn id="11132" name="Column11128" dataDxfId="5252"/>
    <tableColumn id="11133" name="Column11129" dataDxfId="5251"/>
    <tableColumn id="11134" name="Column11130" dataDxfId="5250"/>
    <tableColumn id="11135" name="Column11131" dataDxfId="5249"/>
    <tableColumn id="11136" name="Column11132" dataDxfId="5248"/>
    <tableColumn id="11137" name="Column11133" dataDxfId="5247"/>
    <tableColumn id="11138" name="Column11134" dataDxfId="5246"/>
    <tableColumn id="11139" name="Column11135" dataDxfId="5245"/>
    <tableColumn id="11140" name="Column11136" dataDxfId="5244"/>
    <tableColumn id="11141" name="Column11137" dataDxfId="5243"/>
    <tableColumn id="11142" name="Column11138" dataDxfId="5242"/>
    <tableColumn id="11143" name="Column11139" dataDxfId="5241"/>
    <tableColumn id="11144" name="Column11140" dataDxfId="5240"/>
    <tableColumn id="11145" name="Column11141" dataDxfId="5239"/>
    <tableColumn id="11146" name="Column11142" dataDxfId="5238"/>
    <tableColumn id="11147" name="Column11143" dataDxfId="5237"/>
    <tableColumn id="11148" name="Column11144" dataDxfId="5236"/>
    <tableColumn id="11149" name="Column11145" dataDxfId="5235"/>
    <tableColumn id="11150" name="Column11146" dataDxfId="5234"/>
    <tableColumn id="11151" name="Column11147" dataDxfId="5233"/>
    <tableColumn id="11152" name="Column11148" dataDxfId="5232"/>
    <tableColumn id="11153" name="Column11149" dataDxfId="5231"/>
    <tableColumn id="11154" name="Column11150" dataDxfId="5230"/>
    <tableColumn id="11155" name="Column11151" dataDxfId="5229"/>
    <tableColumn id="11156" name="Column11152" dataDxfId="5228"/>
    <tableColumn id="11157" name="Column11153" dataDxfId="5227"/>
    <tableColumn id="11158" name="Column11154" dataDxfId="5226"/>
    <tableColumn id="11159" name="Column11155" dataDxfId="5225"/>
    <tableColumn id="11160" name="Column11156" dataDxfId="5224"/>
    <tableColumn id="11161" name="Column11157" dataDxfId="5223"/>
    <tableColumn id="11162" name="Column11158" dataDxfId="5222"/>
    <tableColumn id="11163" name="Column11159" dataDxfId="5221"/>
    <tableColumn id="11164" name="Column11160" dataDxfId="5220"/>
    <tableColumn id="11165" name="Column11161" dataDxfId="5219"/>
    <tableColumn id="11166" name="Column11162" dataDxfId="5218"/>
    <tableColumn id="11167" name="Column11163" dataDxfId="5217"/>
    <tableColumn id="11168" name="Column11164" dataDxfId="5216"/>
    <tableColumn id="11169" name="Column11165" dataDxfId="5215"/>
    <tableColumn id="11170" name="Column11166" dataDxfId="5214"/>
    <tableColumn id="11171" name="Column11167" dataDxfId="5213"/>
    <tableColumn id="11172" name="Column11168" dataDxfId="5212"/>
    <tableColumn id="11173" name="Column11169" dataDxfId="5211"/>
    <tableColumn id="11174" name="Column11170" dataDxfId="5210"/>
    <tableColumn id="11175" name="Column11171" dataDxfId="5209"/>
    <tableColumn id="11176" name="Column11172" dataDxfId="5208"/>
    <tableColumn id="11177" name="Column11173" dataDxfId="5207"/>
    <tableColumn id="11178" name="Column11174" dataDxfId="5206"/>
    <tableColumn id="11179" name="Column11175" dataDxfId="5205"/>
    <tableColumn id="11180" name="Column11176" dataDxfId="5204"/>
    <tableColumn id="11181" name="Column11177" dataDxfId="5203"/>
    <tableColumn id="11182" name="Column11178" dataDxfId="5202"/>
    <tableColumn id="11183" name="Column11179" dataDxfId="5201"/>
    <tableColumn id="11184" name="Column11180" dataDxfId="5200"/>
    <tableColumn id="11185" name="Column11181" dataDxfId="5199"/>
    <tableColumn id="11186" name="Column11182" dataDxfId="5198"/>
    <tableColumn id="11187" name="Column11183" dataDxfId="5197"/>
    <tableColumn id="11188" name="Column11184" dataDxfId="5196"/>
    <tableColumn id="11189" name="Column11185" dataDxfId="5195"/>
    <tableColumn id="11190" name="Column11186" dataDxfId="5194"/>
    <tableColumn id="11191" name="Column11187" dataDxfId="5193"/>
    <tableColumn id="11192" name="Column11188" dataDxfId="5192"/>
    <tableColumn id="11193" name="Column11189" dataDxfId="5191"/>
    <tableColumn id="11194" name="Column11190" dataDxfId="5190"/>
    <tableColumn id="11195" name="Column11191" dataDxfId="5189"/>
    <tableColumn id="11196" name="Column11192" dataDxfId="5188"/>
    <tableColumn id="11197" name="Column11193" dataDxfId="5187"/>
    <tableColumn id="11198" name="Column11194" dataDxfId="5186"/>
    <tableColumn id="11199" name="Column11195" dataDxfId="5185"/>
    <tableColumn id="11200" name="Column11196" dataDxfId="5184"/>
    <tableColumn id="11201" name="Column11197" dataDxfId="5183"/>
    <tableColumn id="11202" name="Column11198" dataDxfId="5182"/>
    <tableColumn id="11203" name="Column11199" dataDxfId="5181"/>
    <tableColumn id="11204" name="Column11200" dataDxfId="5180"/>
    <tableColumn id="11205" name="Column11201" dataDxfId="5179"/>
    <tableColumn id="11206" name="Column11202" dataDxfId="5178"/>
    <tableColumn id="11207" name="Column11203" dataDxfId="5177"/>
    <tableColumn id="11208" name="Column11204" dataDxfId="5176"/>
    <tableColumn id="11209" name="Column11205" dataDxfId="5175"/>
    <tableColumn id="11210" name="Column11206" dataDxfId="5174"/>
    <tableColumn id="11211" name="Column11207" dataDxfId="5173"/>
    <tableColumn id="11212" name="Column11208" dataDxfId="5172"/>
    <tableColumn id="11213" name="Column11209" dataDxfId="5171"/>
    <tableColumn id="11214" name="Column11210" dataDxfId="5170"/>
    <tableColumn id="11215" name="Column11211" dataDxfId="5169"/>
    <tableColumn id="11216" name="Column11212" dataDxfId="5168"/>
    <tableColumn id="11217" name="Column11213" dataDxfId="5167"/>
    <tableColumn id="11218" name="Column11214" dataDxfId="5166"/>
    <tableColumn id="11219" name="Column11215" dataDxfId="5165"/>
    <tableColumn id="11220" name="Column11216" dataDxfId="5164"/>
    <tableColumn id="11221" name="Column11217" dataDxfId="5163"/>
    <tableColumn id="11222" name="Column11218" dataDxfId="5162"/>
    <tableColumn id="11223" name="Column11219" dataDxfId="5161"/>
    <tableColumn id="11224" name="Column11220" dataDxfId="5160"/>
    <tableColumn id="11225" name="Column11221" dataDxfId="5159"/>
    <tableColumn id="11226" name="Column11222" dataDxfId="5158"/>
    <tableColumn id="11227" name="Column11223" dataDxfId="5157"/>
    <tableColumn id="11228" name="Column11224" dataDxfId="5156"/>
    <tableColumn id="11229" name="Column11225" dataDxfId="5155"/>
    <tableColumn id="11230" name="Column11226" dataDxfId="5154"/>
    <tableColumn id="11231" name="Column11227" dataDxfId="5153"/>
    <tableColumn id="11232" name="Column11228" dataDxfId="5152"/>
    <tableColumn id="11233" name="Column11229" dataDxfId="5151"/>
    <tableColumn id="11234" name="Column11230" dataDxfId="5150"/>
    <tableColumn id="11235" name="Column11231" dataDxfId="5149"/>
    <tableColumn id="11236" name="Column11232" dataDxfId="5148"/>
    <tableColumn id="11237" name="Column11233" dataDxfId="5147"/>
    <tableColumn id="11238" name="Column11234" dataDxfId="5146"/>
    <tableColumn id="11239" name="Column11235" dataDxfId="5145"/>
    <tableColumn id="11240" name="Column11236" dataDxfId="5144"/>
    <tableColumn id="11241" name="Column11237" dataDxfId="5143"/>
    <tableColumn id="11242" name="Column11238" dataDxfId="5142"/>
    <tableColumn id="11243" name="Column11239" dataDxfId="5141"/>
    <tableColumn id="11244" name="Column11240" dataDxfId="5140"/>
    <tableColumn id="11245" name="Column11241" dataDxfId="5139"/>
    <tableColumn id="11246" name="Column11242" dataDxfId="5138"/>
    <tableColumn id="11247" name="Column11243" dataDxfId="5137"/>
    <tableColumn id="11248" name="Column11244" dataDxfId="5136"/>
    <tableColumn id="11249" name="Column11245" dataDxfId="5135"/>
    <tableColumn id="11250" name="Column11246" dataDxfId="5134"/>
    <tableColumn id="11251" name="Column11247" dataDxfId="5133"/>
    <tableColumn id="11252" name="Column11248" dataDxfId="5132"/>
    <tableColumn id="11253" name="Column11249" dataDxfId="5131"/>
    <tableColumn id="11254" name="Column11250" dataDxfId="5130"/>
    <tableColumn id="11255" name="Column11251" dataDxfId="5129"/>
    <tableColumn id="11256" name="Column11252" dataDxfId="5128"/>
    <tableColumn id="11257" name="Column11253" dataDxfId="5127"/>
    <tableColumn id="11258" name="Column11254" dataDxfId="5126"/>
    <tableColumn id="11259" name="Column11255" dataDxfId="5125"/>
    <tableColumn id="11260" name="Column11256" dataDxfId="5124"/>
    <tableColumn id="11261" name="Column11257" dataDxfId="5123"/>
    <tableColumn id="11262" name="Column11258" dataDxfId="5122"/>
    <tableColumn id="11263" name="Column11259" dataDxfId="5121"/>
    <tableColumn id="11264" name="Column11260" dataDxfId="5120"/>
    <tableColumn id="11265" name="Column11261" dataDxfId="5119"/>
    <tableColumn id="11266" name="Column11262" dataDxfId="5118"/>
    <tableColumn id="11267" name="Column11263" dataDxfId="5117"/>
    <tableColumn id="11268" name="Column11264" dataDxfId="5116"/>
    <tableColumn id="11269" name="Column11265" dataDxfId="5115"/>
    <tableColumn id="11270" name="Column11266" dataDxfId="5114"/>
    <tableColumn id="11271" name="Column11267" dataDxfId="5113"/>
    <tableColumn id="11272" name="Column11268" dataDxfId="5112"/>
    <tableColumn id="11273" name="Column11269" dataDxfId="5111"/>
    <tableColumn id="11274" name="Column11270" dataDxfId="5110"/>
    <tableColumn id="11275" name="Column11271" dataDxfId="5109"/>
    <tableColumn id="11276" name="Column11272" dataDxfId="5108"/>
    <tableColumn id="11277" name="Column11273" dataDxfId="5107"/>
    <tableColumn id="11278" name="Column11274" dataDxfId="5106"/>
    <tableColumn id="11279" name="Column11275" dataDxfId="5105"/>
    <tableColumn id="11280" name="Column11276" dataDxfId="5104"/>
    <tableColumn id="11281" name="Column11277" dataDxfId="5103"/>
    <tableColumn id="11282" name="Column11278" dataDxfId="5102"/>
    <tableColumn id="11283" name="Column11279" dataDxfId="5101"/>
    <tableColumn id="11284" name="Column11280" dataDxfId="5100"/>
    <tableColumn id="11285" name="Column11281" dataDxfId="5099"/>
    <tableColumn id="11286" name="Column11282" dataDxfId="5098"/>
    <tableColumn id="11287" name="Column11283" dataDxfId="5097"/>
    <tableColumn id="11288" name="Column11284" dataDxfId="5096"/>
    <tableColumn id="11289" name="Column11285" dataDxfId="5095"/>
    <tableColumn id="11290" name="Column11286" dataDxfId="5094"/>
    <tableColumn id="11291" name="Column11287" dataDxfId="5093"/>
    <tableColumn id="11292" name="Column11288" dataDxfId="5092"/>
    <tableColumn id="11293" name="Column11289" dataDxfId="5091"/>
    <tableColumn id="11294" name="Column11290" dataDxfId="5090"/>
    <tableColumn id="11295" name="Column11291" dataDxfId="5089"/>
    <tableColumn id="11296" name="Column11292" dataDxfId="5088"/>
    <tableColumn id="11297" name="Column11293" dataDxfId="5087"/>
    <tableColumn id="11298" name="Column11294" dataDxfId="5086"/>
    <tableColumn id="11299" name="Column11295" dataDxfId="5085"/>
    <tableColumn id="11300" name="Column11296" dataDxfId="5084"/>
    <tableColumn id="11301" name="Column11297" dataDxfId="5083"/>
    <tableColumn id="11302" name="Column11298" dataDxfId="5082"/>
    <tableColumn id="11303" name="Column11299" dataDxfId="5081"/>
    <tableColumn id="11304" name="Column11300" dataDxfId="5080"/>
    <tableColumn id="11305" name="Column11301" dataDxfId="5079"/>
    <tableColumn id="11306" name="Column11302" dataDxfId="5078"/>
    <tableColumn id="11307" name="Column11303" dataDxfId="5077"/>
    <tableColumn id="11308" name="Column11304" dataDxfId="5076"/>
    <tableColumn id="11309" name="Column11305" dataDxfId="5075"/>
    <tableColumn id="11310" name="Column11306" dataDxfId="5074"/>
    <tableColumn id="11311" name="Column11307" dataDxfId="5073"/>
    <tableColumn id="11312" name="Column11308" dataDxfId="5072"/>
    <tableColumn id="11313" name="Column11309" dataDxfId="5071"/>
    <tableColumn id="11314" name="Column11310" dataDxfId="5070"/>
    <tableColumn id="11315" name="Column11311" dataDxfId="5069"/>
    <tableColumn id="11316" name="Column11312" dataDxfId="5068"/>
    <tableColumn id="11317" name="Column11313" dataDxfId="5067"/>
    <tableColumn id="11318" name="Column11314" dataDxfId="5066"/>
    <tableColumn id="11319" name="Column11315" dataDxfId="5065"/>
    <tableColumn id="11320" name="Column11316" dataDxfId="5064"/>
    <tableColumn id="11321" name="Column11317" dataDxfId="5063"/>
    <tableColumn id="11322" name="Column11318" dataDxfId="5062"/>
    <tableColumn id="11323" name="Column11319" dataDxfId="5061"/>
    <tableColumn id="11324" name="Column11320" dataDxfId="5060"/>
    <tableColumn id="11325" name="Column11321" dataDxfId="5059"/>
    <tableColumn id="11326" name="Column11322" dataDxfId="5058"/>
    <tableColumn id="11327" name="Column11323" dataDxfId="5057"/>
    <tableColumn id="11328" name="Column11324" dataDxfId="5056"/>
    <tableColumn id="11329" name="Column11325" dataDxfId="5055"/>
    <tableColumn id="11330" name="Column11326" dataDxfId="5054"/>
    <tableColumn id="11331" name="Column11327" dataDxfId="5053"/>
    <tableColumn id="11332" name="Column11328" dataDxfId="5052"/>
    <tableColumn id="11333" name="Column11329" dataDxfId="5051"/>
    <tableColumn id="11334" name="Column11330" dataDxfId="5050"/>
    <tableColumn id="11335" name="Column11331" dataDxfId="5049"/>
    <tableColumn id="11336" name="Column11332" dataDxfId="5048"/>
    <tableColumn id="11337" name="Column11333" dataDxfId="5047"/>
    <tableColumn id="11338" name="Column11334" dataDxfId="5046"/>
    <tableColumn id="11339" name="Column11335" dataDxfId="5045"/>
    <tableColumn id="11340" name="Column11336" dataDxfId="5044"/>
    <tableColumn id="11341" name="Column11337" dataDxfId="5043"/>
    <tableColumn id="11342" name="Column11338" dataDxfId="5042"/>
    <tableColumn id="11343" name="Column11339" dataDxfId="5041"/>
    <tableColumn id="11344" name="Column11340" dataDxfId="5040"/>
    <tableColumn id="11345" name="Column11341" dataDxfId="5039"/>
    <tableColumn id="11346" name="Column11342" dataDxfId="5038"/>
    <tableColumn id="11347" name="Column11343" dataDxfId="5037"/>
    <tableColumn id="11348" name="Column11344" dataDxfId="5036"/>
    <tableColumn id="11349" name="Column11345" dataDxfId="5035"/>
    <tableColumn id="11350" name="Column11346" dataDxfId="5034"/>
    <tableColumn id="11351" name="Column11347" dataDxfId="5033"/>
    <tableColumn id="11352" name="Column11348" dataDxfId="5032"/>
    <tableColumn id="11353" name="Column11349" dataDxfId="5031"/>
    <tableColumn id="11354" name="Column11350" dataDxfId="5030"/>
    <tableColumn id="11355" name="Column11351" dataDxfId="5029"/>
    <tableColumn id="11356" name="Column11352" dataDxfId="5028"/>
    <tableColumn id="11357" name="Column11353" dataDxfId="5027"/>
    <tableColumn id="11358" name="Column11354" dataDxfId="5026"/>
    <tableColumn id="11359" name="Column11355" dataDxfId="5025"/>
    <tableColumn id="11360" name="Column11356" dataDxfId="5024"/>
    <tableColumn id="11361" name="Column11357" dataDxfId="5023"/>
    <tableColumn id="11362" name="Column11358" dataDxfId="5022"/>
    <tableColumn id="11363" name="Column11359" dataDxfId="5021"/>
    <tableColumn id="11364" name="Column11360" dataDxfId="5020"/>
    <tableColumn id="11365" name="Column11361" dataDxfId="5019"/>
    <tableColumn id="11366" name="Column11362" dataDxfId="5018"/>
    <tableColumn id="11367" name="Column11363" dataDxfId="5017"/>
    <tableColumn id="11368" name="Column11364" dataDxfId="5016"/>
    <tableColumn id="11369" name="Column11365" dataDxfId="5015"/>
    <tableColumn id="11370" name="Column11366" dataDxfId="5014"/>
    <tableColumn id="11371" name="Column11367" dataDxfId="5013"/>
    <tableColumn id="11372" name="Column11368" dataDxfId="5012"/>
    <tableColumn id="11373" name="Column11369" dataDxfId="5011"/>
    <tableColumn id="11374" name="Column11370" dataDxfId="5010"/>
    <tableColumn id="11375" name="Column11371" dataDxfId="5009"/>
    <tableColumn id="11376" name="Column11372" dataDxfId="5008"/>
    <tableColumn id="11377" name="Column11373" dataDxfId="5007"/>
    <tableColumn id="11378" name="Column11374" dataDxfId="5006"/>
    <tableColumn id="11379" name="Column11375" dataDxfId="5005"/>
    <tableColumn id="11380" name="Column11376" dataDxfId="5004"/>
    <tableColumn id="11381" name="Column11377" dataDxfId="5003"/>
    <tableColumn id="11382" name="Column11378" dataDxfId="5002"/>
    <tableColumn id="11383" name="Column11379" dataDxfId="5001"/>
    <tableColumn id="11384" name="Column11380" dataDxfId="5000"/>
    <tableColumn id="11385" name="Column11381" dataDxfId="4999"/>
    <tableColumn id="11386" name="Column11382" dataDxfId="4998"/>
    <tableColumn id="11387" name="Column11383" dataDxfId="4997"/>
    <tableColumn id="11388" name="Column11384" dataDxfId="4996"/>
    <tableColumn id="11389" name="Column11385" dataDxfId="4995"/>
    <tableColumn id="11390" name="Column11386" dataDxfId="4994"/>
    <tableColumn id="11391" name="Column11387" dataDxfId="4993"/>
    <tableColumn id="11392" name="Column11388" dataDxfId="4992"/>
    <tableColumn id="11393" name="Column11389" dataDxfId="4991"/>
    <tableColumn id="11394" name="Column11390" dataDxfId="4990"/>
    <tableColumn id="11395" name="Column11391" dataDxfId="4989"/>
    <tableColumn id="11396" name="Column11392" dataDxfId="4988"/>
    <tableColumn id="11397" name="Column11393" dataDxfId="4987"/>
    <tableColumn id="11398" name="Column11394" dataDxfId="4986"/>
    <tableColumn id="11399" name="Column11395" dataDxfId="4985"/>
    <tableColumn id="11400" name="Column11396" dataDxfId="4984"/>
    <tableColumn id="11401" name="Column11397" dataDxfId="4983"/>
    <tableColumn id="11402" name="Column11398" dataDxfId="4982"/>
    <tableColumn id="11403" name="Column11399" dataDxfId="4981"/>
    <tableColumn id="11404" name="Column11400" dataDxfId="4980"/>
    <tableColumn id="11405" name="Column11401" dataDxfId="4979"/>
    <tableColumn id="11406" name="Column11402" dataDxfId="4978"/>
    <tableColumn id="11407" name="Column11403" dataDxfId="4977"/>
    <tableColumn id="11408" name="Column11404" dataDxfId="4976"/>
    <tableColumn id="11409" name="Column11405" dataDxfId="4975"/>
    <tableColumn id="11410" name="Column11406" dataDxfId="4974"/>
    <tableColumn id="11411" name="Column11407" dataDxfId="4973"/>
    <tableColumn id="11412" name="Column11408" dataDxfId="4972"/>
    <tableColumn id="11413" name="Column11409" dataDxfId="4971"/>
    <tableColumn id="11414" name="Column11410" dataDxfId="4970"/>
    <tableColumn id="11415" name="Column11411" dataDxfId="4969"/>
    <tableColumn id="11416" name="Column11412" dataDxfId="4968"/>
    <tableColumn id="11417" name="Column11413" dataDxfId="4967"/>
    <tableColumn id="11418" name="Column11414" dataDxfId="4966"/>
    <tableColumn id="11419" name="Column11415" dataDxfId="4965"/>
    <tableColumn id="11420" name="Column11416" dataDxfId="4964"/>
    <tableColumn id="11421" name="Column11417" dataDxfId="4963"/>
    <tableColumn id="11422" name="Column11418" dataDxfId="4962"/>
    <tableColumn id="11423" name="Column11419" dataDxfId="4961"/>
    <tableColumn id="11424" name="Column11420" dataDxfId="4960"/>
    <tableColumn id="11425" name="Column11421" dataDxfId="4959"/>
    <tableColumn id="11426" name="Column11422" dataDxfId="4958"/>
    <tableColumn id="11427" name="Column11423" dataDxfId="4957"/>
    <tableColumn id="11428" name="Column11424" dataDxfId="4956"/>
    <tableColumn id="11429" name="Column11425" dataDxfId="4955"/>
    <tableColumn id="11430" name="Column11426" dataDxfId="4954"/>
    <tableColumn id="11431" name="Column11427" dataDxfId="4953"/>
    <tableColumn id="11432" name="Column11428" dataDxfId="4952"/>
    <tableColumn id="11433" name="Column11429" dataDxfId="4951"/>
    <tableColumn id="11434" name="Column11430" dataDxfId="4950"/>
    <tableColumn id="11435" name="Column11431" dataDxfId="4949"/>
    <tableColumn id="11436" name="Column11432" dataDxfId="4948"/>
    <tableColumn id="11437" name="Column11433" dataDxfId="4947"/>
    <tableColumn id="11438" name="Column11434" dataDxfId="4946"/>
    <tableColumn id="11439" name="Column11435" dataDxfId="4945"/>
    <tableColumn id="11440" name="Column11436" dataDxfId="4944"/>
    <tableColumn id="11441" name="Column11437" dataDxfId="4943"/>
    <tableColumn id="11442" name="Column11438" dataDxfId="4942"/>
    <tableColumn id="11443" name="Column11439" dataDxfId="4941"/>
    <tableColumn id="11444" name="Column11440" dataDxfId="4940"/>
    <tableColumn id="11445" name="Column11441" dataDxfId="4939"/>
    <tableColumn id="11446" name="Column11442" dataDxfId="4938"/>
    <tableColumn id="11447" name="Column11443" dataDxfId="4937"/>
    <tableColumn id="11448" name="Column11444" dataDxfId="4936"/>
    <tableColumn id="11449" name="Column11445" dataDxfId="4935"/>
    <tableColumn id="11450" name="Column11446" dataDxfId="4934"/>
    <tableColumn id="11451" name="Column11447" dataDxfId="4933"/>
    <tableColumn id="11452" name="Column11448" dataDxfId="4932"/>
    <tableColumn id="11453" name="Column11449" dataDxfId="4931"/>
    <tableColumn id="11454" name="Column11450" dataDxfId="4930"/>
    <tableColumn id="11455" name="Column11451" dataDxfId="4929"/>
    <tableColumn id="11456" name="Column11452" dataDxfId="4928"/>
    <tableColumn id="11457" name="Column11453" dataDxfId="4927"/>
    <tableColumn id="11458" name="Column11454" dataDxfId="4926"/>
    <tableColumn id="11459" name="Column11455" dataDxfId="4925"/>
    <tableColumn id="11460" name="Column11456" dataDxfId="4924"/>
    <tableColumn id="11461" name="Column11457" dataDxfId="4923"/>
    <tableColumn id="11462" name="Column11458" dataDxfId="4922"/>
    <tableColumn id="11463" name="Column11459" dataDxfId="4921"/>
    <tableColumn id="11464" name="Column11460" dataDxfId="4920"/>
    <tableColumn id="11465" name="Column11461" dataDxfId="4919"/>
    <tableColumn id="11466" name="Column11462" dataDxfId="4918"/>
    <tableColumn id="11467" name="Column11463" dataDxfId="4917"/>
    <tableColumn id="11468" name="Column11464" dataDxfId="4916"/>
    <tableColumn id="11469" name="Column11465" dataDxfId="4915"/>
    <tableColumn id="11470" name="Column11466" dataDxfId="4914"/>
    <tableColumn id="11471" name="Column11467" dataDxfId="4913"/>
    <tableColumn id="11472" name="Column11468" dataDxfId="4912"/>
    <tableColumn id="11473" name="Column11469" dataDxfId="4911"/>
    <tableColumn id="11474" name="Column11470" dataDxfId="4910"/>
    <tableColumn id="11475" name="Column11471" dataDxfId="4909"/>
    <tableColumn id="11476" name="Column11472" dataDxfId="4908"/>
    <tableColumn id="11477" name="Column11473" dataDxfId="4907"/>
    <tableColumn id="11478" name="Column11474" dataDxfId="4906"/>
    <tableColumn id="11479" name="Column11475" dataDxfId="4905"/>
    <tableColumn id="11480" name="Column11476" dataDxfId="4904"/>
    <tableColumn id="11481" name="Column11477" dataDxfId="4903"/>
    <tableColumn id="11482" name="Column11478" dataDxfId="4902"/>
    <tableColumn id="11483" name="Column11479" dataDxfId="4901"/>
    <tableColumn id="11484" name="Column11480" dataDxfId="4900"/>
    <tableColumn id="11485" name="Column11481" dataDxfId="4899"/>
    <tableColumn id="11486" name="Column11482" dataDxfId="4898"/>
    <tableColumn id="11487" name="Column11483" dataDxfId="4897"/>
    <tableColumn id="11488" name="Column11484" dataDxfId="4896"/>
    <tableColumn id="11489" name="Column11485" dataDxfId="4895"/>
    <tableColumn id="11490" name="Column11486" dataDxfId="4894"/>
    <tableColumn id="11491" name="Column11487" dataDxfId="4893"/>
    <tableColumn id="11492" name="Column11488" dataDxfId="4892"/>
    <tableColumn id="11493" name="Column11489" dataDxfId="4891"/>
    <tableColumn id="11494" name="Column11490" dataDxfId="4890"/>
    <tableColumn id="11495" name="Column11491" dataDxfId="4889"/>
    <tableColumn id="11496" name="Column11492" dataDxfId="4888"/>
    <tableColumn id="11497" name="Column11493" dataDxfId="4887"/>
    <tableColumn id="11498" name="Column11494" dataDxfId="4886"/>
    <tableColumn id="11499" name="Column11495" dataDxfId="4885"/>
    <tableColumn id="11500" name="Column11496" dataDxfId="4884"/>
    <tableColumn id="11501" name="Column11497" dataDxfId="4883"/>
    <tableColumn id="11502" name="Column11498" dataDxfId="4882"/>
    <tableColumn id="11503" name="Column11499" dataDxfId="4881"/>
    <tableColumn id="11504" name="Column11500" dataDxfId="4880"/>
    <tableColumn id="11505" name="Column11501" dataDxfId="4879"/>
    <tableColumn id="11506" name="Column11502" dataDxfId="4878"/>
    <tableColumn id="11507" name="Column11503" dataDxfId="4877"/>
    <tableColumn id="11508" name="Column11504" dataDxfId="4876"/>
    <tableColumn id="11509" name="Column11505" dataDxfId="4875"/>
    <tableColumn id="11510" name="Column11506" dataDxfId="4874"/>
    <tableColumn id="11511" name="Column11507" dataDxfId="4873"/>
    <tableColumn id="11512" name="Column11508" dataDxfId="4872"/>
    <tableColumn id="11513" name="Column11509" dataDxfId="4871"/>
    <tableColumn id="11514" name="Column11510" dataDxfId="4870"/>
    <tableColumn id="11515" name="Column11511" dataDxfId="4869"/>
    <tableColumn id="11516" name="Column11512" dataDxfId="4868"/>
    <tableColumn id="11517" name="Column11513" dataDxfId="4867"/>
    <tableColumn id="11518" name="Column11514" dataDxfId="4866"/>
    <tableColumn id="11519" name="Column11515" dataDxfId="4865"/>
    <tableColumn id="11520" name="Column11516" dataDxfId="4864"/>
    <tableColumn id="11521" name="Column11517" dataDxfId="4863"/>
    <tableColumn id="11522" name="Column11518" dataDxfId="4862"/>
    <tableColumn id="11523" name="Column11519" dataDxfId="4861"/>
    <tableColumn id="11524" name="Column11520" dataDxfId="4860"/>
    <tableColumn id="11525" name="Column11521" dataDxfId="4859"/>
    <tableColumn id="11526" name="Column11522" dataDxfId="4858"/>
    <tableColumn id="11527" name="Column11523" dataDxfId="4857"/>
    <tableColumn id="11528" name="Column11524" dataDxfId="4856"/>
    <tableColumn id="11529" name="Column11525" dataDxfId="4855"/>
    <tableColumn id="11530" name="Column11526" dataDxfId="4854"/>
    <tableColumn id="11531" name="Column11527" dataDxfId="4853"/>
    <tableColumn id="11532" name="Column11528" dataDxfId="4852"/>
    <tableColumn id="11533" name="Column11529" dataDxfId="4851"/>
    <tableColumn id="11534" name="Column11530" dataDxfId="4850"/>
    <tableColumn id="11535" name="Column11531" dataDxfId="4849"/>
    <tableColumn id="11536" name="Column11532" dataDxfId="4848"/>
    <tableColumn id="11537" name="Column11533" dataDxfId="4847"/>
    <tableColumn id="11538" name="Column11534" dataDxfId="4846"/>
    <tableColumn id="11539" name="Column11535" dataDxfId="4845"/>
    <tableColumn id="11540" name="Column11536" dataDxfId="4844"/>
    <tableColumn id="11541" name="Column11537" dataDxfId="4843"/>
    <tableColumn id="11542" name="Column11538" dataDxfId="4842"/>
    <tableColumn id="11543" name="Column11539" dataDxfId="4841"/>
    <tableColumn id="11544" name="Column11540" dataDxfId="4840"/>
    <tableColumn id="11545" name="Column11541" dataDxfId="4839"/>
    <tableColumn id="11546" name="Column11542" dataDxfId="4838"/>
    <tableColumn id="11547" name="Column11543" dataDxfId="4837"/>
    <tableColumn id="11548" name="Column11544" dataDxfId="4836"/>
    <tableColumn id="11549" name="Column11545" dataDxfId="4835"/>
    <tableColumn id="11550" name="Column11546" dataDxfId="4834"/>
    <tableColumn id="11551" name="Column11547" dataDxfId="4833"/>
    <tableColumn id="11552" name="Column11548" dataDxfId="4832"/>
    <tableColumn id="11553" name="Column11549" dataDxfId="4831"/>
    <tableColumn id="11554" name="Column11550" dataDxfId="4830"/>
    <tableColumn id="11555" name="Column11551" dataDxfId="4829"/>
    <tableColumn id="11556" name="Column11552" dataDxfId="4828"/>
    <tableColumn id="11557" name="Column11553" dataDxfId="4827"/>
    <tableColumn id="11558" name="Column11554" dataDxfId="4826"/>
    <tableColumn id="11559" name="Column11555" dataDxfId="4825"/>
    <tableColumn id="11560" name="Column11556" dataDxfId="4824"/>
    <tableColumn id="11561" name="Column11557" dataDxfId="4823"/>
    <tableColumn id="11562" name="Column11558" dataDxfId="4822"/>
    <tableColumn id="11563" name="Column11559" dataDxfId="4821"/>
    <tableColumn id="11564" name="Column11560" dataDxfId="4820"/>
    <tableColumn id="11565" name="Column11561" dataDxfId="4819"/>
    <tableColumn id="11566" name="Column11562" dataDxfId="4818"/>
    <tableColumn id="11567" name="Column11563" dataDxfId="4817"/>
    <tableColumn id="11568" name="Column11564" dataDxfId="4816"/>
    <tableColumn id="11569" name="Column11565" dataDxfId="4815"/>
    <tableColumn id="11570" name="Column11566" dataDxfId="4814"/>
    <tableColumn id="11571" name="Column11567" dataDxfId="4813"/>
    <tableColumn id="11572" name="Column11568" dataDxfId="4812"/>
    <tableColumn id="11573" name="Column11569" dataDxfId="4811"/>
    <tableColumn id="11574" name="Column11570" dataDxfId="4810"/>
    <tableColumn id="11575" name="Column11571" dataDxfId="4809"/>
    <tableColumn id="11576" name="Column11572" dataDxfId="4808"/>
    <tableColumn id="11577" name="Column11573" dataDxfId="4807"/>
    <tableColumn id="11578" name="Column11574" dataDxfId="4806"/>
    <tableColumn id="11579" name="Column11575" dataDxfId="4805"/>
    <tableColumn id="11580" name="Column11576" dataDxfId="4804"/>
    <tableColumn id="11581" name="Column11577" dataDxfId="4803"/>
    <tableColumn id="11582" name="Column11578" dataDxfId="4802"/>
    <tableColumn id="11583" name="Column11579" dataDxfId="4801"/>
    <tableColumn id="11584" name="Column11580" dataDxfId="4800"/>
    <tableColumn id="11585" name="Column11581" dataDxfId="4799"/>
    <tableColumn id="11586" name="Column11582" dataDxfId="4798"/>
    <tableColumn id="11587" name="Column11583" dataDxfId="4797"/>
    <tableColumn id="11588" name="Column11584" dataDxfId="4796"/>
    <tableColumn id="11589" name="Column11585" dataDxfId="4795"/>
    <tableColumn id="11590" name="Column11586" dataDxfId="4794"/>
    <tableColumn id="11591" name="Column11587" dataDxfId="4793"/>
    <tableColumn id="11592" name="Column11588" dataDxfId="4792"/>
    <tableColumn id="11593" name="Column11589" dataDxfId="4791"/>
    <tableColumn id="11594" name="Column11590" dataDxfId="4790"/>
    <tableColumn id="11595" name="Column11591" dataDxfId="4789"/>
    <tableColumn id="11596" name="Column11592" dataDxfId="4788"/>
    <tableColumn id="11597" name="Column11593" dataDxfId="4787"/>
    <tableColumn id="11598" name="Column11594" dataDxfId="4786"/>
    <tableColumn id="11599" name="Column11595" dataDxfId="4785"/>
    <tableColumn id="11600" name="Column11596" dataDxfId="4784"/>
    <tableColumn id="11601" name="Column11597" dataDxfId="4783"/>
    <tableColumn id="11602" name="Column11598" dataDxfId="4782"/>
    <tableColumn id="11603" name="Column11599" dataDxfId="4781"/>
    <tableColumn id="11604" name="Column11600" dataDxfId="4780"/>
    <tableColumn id="11605" name="Column11601" dataDxfId="4779"/>
    <tableColumn id="11606" name="Column11602" dataDxfId="4778"/>
    <tableColumn id="11607" name="Column11603" dataDxfId="4777"/>
    <tableColumn id="11608" name="Column11604" dataDxfId="4776"/>
    <tableColumn id="11609" name="Column11605" dataDxfId="4775"/>
    <tableColumn id="11610" name="Column11606" dataDxfId="4774"/>
    <tableColumn id="11611" name="Column11607" dataDxfId="4773"/>
    <tableColumn id="11612" name="Column11608" dataDxfId="4772"/>
    <tableColumn id="11613" name="Column11609" dataDxfId="4771"/>
    <tableColumn id="11614" name="Column11610" dataDxfId="4770"/>
    <tableColumn id="11615" name="Column11611" dataDxfId="4769"/>
    <tableColumn id="11616" name="Column11612" dataDxfId="4768"/>
    <tableColumn id="11617" name="Column11613" dataDxfId="4767"/>
    <tableColumn id="11618" name="Column11614" dataDxfId="4766"/>
    <tableColumn id="11619" name="Column11615" dataDxfId="4765"/>
    <tableColumn id="11620" name="Column11616" dataDxfId="4764"/>
    <tableColumn id="11621" name="Column11617" dataDxfId="4763"/>
    <tableColumn id="11622" name="Column11618" dataDxfId="4762"/>
    <tableColumn id="11623" name="Column11619" dataDxfId="4761"/>
    <tableColumn id="11624" name="Column11620" dataDxfId="4760"/>
    <tableColumn id="11625" name="Column11621" dataDxfId="4759"/>
    <tableColumn id="11626" name="Column11622" dataDxfId="4758"/>
    <tableColumn id="11627" name="Column11623" dataDxfId="4757"/>
    <tableColumn id="11628" name="Column11624" dataDxfId="4756"/>
    <tableColumn id="11629" name="Column11625" dataDxfId="4755"/>
    <tableColumn id="11630" name="Column11626" dataDxfId="4754"/>
    <tableColumn id="11631" name="Column11627" dataDxfId="4753"/>
    <tableColumn id="11632" name="Column11628" dataDxfId="4752"/>
    <tableColumn id="11633" name="Column11629" dataDxfId="4751"/>
    <tableColumn id="11634" name="Column11630" dataDxfId="4750"/>
    <tableColumn id="11635" name="Column11631" dataDxfId="4749"/>
    <tableColumn id="11636" name="Column11632" dataDxfId="4748"/>
    <tableColumn id="11637" name="Column11633" dataDxfId="4747"/>
    <tableColumn id="11638" name="Column11634" dataDxfId="4746"/>
    <tableColumn id="11639" name="Column11635" dataDxfId="4745"/>
    <tableColumn id="11640" name="Column11636" dataDxfId="4744"/>
    <tableColumn id="11641" name="Column11637" dataDxfId="4743"/>
    <tableColumn id="11642" name="Column11638" dataDxfId="4742"/>
    <tableColumn id="11643" name="Column11639" dataDxfId="4741"/>
    <tableColumn id="11644" name="Column11640" dataDxfId="4740"/>
    <tableColumn id="11645" name="Column11641" dataDxfId="4739"/>
    <tableColumn id="11646" name="Column11642" dataDxfId="4738"/>
    <tableColumn id="11647" name="Column11643" dataDxfId="4737"/>
    <tableColumn id="11648" name="Column11644" dataDxfId="4736"/>
    <tableColumn id="11649" name="Column11645" dataDxfId="4735"/>
    <tableColumn id="11650" name="Column11646" dataDxfId="4734"/>
    <tableColumn id="11651" name="Column11647" dataDxfId="4733"/>
    <tableColumn id="11652" name="Column11648" dataDxfId="4732"/>
    <tableColumn id="11653" name="Column11649" dataDxfId="4731"/>
    <tableColumn id="11654" name="Column11650" dataDxfId="4730"/>
    <tableColumn id="11655" name="Column11651" dataDxfId="4729"/>
    <tableColumn id="11656" name="Column11652" dataDxfId="4728"/>
    <tableColumn id="11657" name="Column11653" dataDxfId="4727"/>
    <tableColumn id="11658" name="Column11654" dataDxfId="4726"/>
    <tableColumn id="11659" name="Column11655" dataDxfId="4725"/>
    <tableColumn id="11660" name="Column11656" dataDxfId="4724"/>
    <tableColumn id="11661" name="Column11657" dataDxfId="4723"/>
    <tableColumn id="11662" name="Column11658" dataDxfId="4722"/>
    <tableColumn id="11663" name="Column11659" dataDxfId="4721"/>
    <tableColumn id="11664" name="Column11660" dataDxfId="4720"/>
    <tableColumn id="11665" name="Column11661" dataDxfId="4719"/>
    <tableColumn id="11666" name="Column11662" dataDxfId="4718"/>
    <tableColumn id="11667" name="Column11663" dataDxfId="4717"/>
    <tableColumn id="11668" name="Column11664" dataDxfId="4716"/>
    <tableColumn id="11669" name="Column11665" dataDxfId="4715"/>
    <tableColumn id="11670" name="Column11666" dataDxfId="4714"/>
    <tableColumn id="11671" name="Column11667" dataDxfId="4713"/>
    <tableColumn id="11672" name="Column11668" dataDxfId="4712"/>
    <tableColumn id="11673" name="Column11669" dataDxfId="4711"/>
    <tableColumn id="11674" name="Column11670" dataDxfId="4710"/>
    <tableColumn id="11675" name="Column11671" dataDxfId="4709"/>
    <tableColumn id="11676" name="Column11672" dataDxfId="4708"/>
    <tableColumn id="11677" name="Column11673" dataDxfId="4707"/>
    <tableColumn id="11678" name="Column11674" dataDxfId="4706"/>
    <tableColumn id="11679" name="Column11675" dataDxfId="4705"/>
    <tableColumn id="11680" name="Column11676" dataDxfId="4704"/>
    <tableColumn id="11681" name="Column11677" dataDxfId="4703"/>
    <tableColumn id="11682" name="Column11678" dataDxfId="4702"/>
    <tableColumn id="11683" name="Column11679" dataDxfId="4701"/>
    <tableColumn id="11684" name="Column11680" dataDxfId="4700"/>
    <tableColumn id="11685" name="Column11681" dataDxfId="4699"/>
    <tableColumn id="11686" name="Column11682" dataDxfId="4698"/>
    <tableColumn id="11687" name="Column11683" dataDxfId="4697"/>
    <tableColumn id="11688" name="Column11684" dataDxfId="4696"/>
    <tableColumn id="11689" name="Column11685" dataDxfId="4695"/>
    <tableColumn id="11690" name="Column11686" dataDxfId="4694"/>
    <tableColumn id="11691" name="Column11687" dataDxfId="4693"/>
    <tableColumn id="11692" name="Column11688" dataDxfId="4692"/>
    <tableColumn id="11693" name="Column11689" dataDxfId="4691"/>
    <tableColumn id="11694" name="Column11690" dataDxfId="4690"/>
    <tableColumn id="11695" name="Column11691" dataDxfId="4689"/>
    <tableColumn id="11696" name="Column11692" dataDxfId="4688"/>
    <tableColumn id="11697" name="Column11693" dataDxfId="4687"/>
    <tableColumn id="11698" name="Column11694" dataDxfId="4686"/>
    <tableColumn id="11699" name="Column11695" dataDxfId="4685"/>
    <tableColumn id="11700" name="Column11696" dataDxfId="4684"/>
    <tableColumn id="11701" name="Column11697" dataDxfId="4683"/>
    <tableColumn id="11702" name="Column11698" dataDxfId="4682"/>
    <tableColumn id="11703" name="Column11699" dataDxfId="4681"/>
    <tableColumn id="11704" name="Column11700" dataDxfId="4680"/>
    <tableColumn id="11705" name="Column11701" dataDxfId="4679"/>
    <tableColumn id="11706" name="Column11702" dataDxfId="4678"/>
    <tableColumn id="11707" name="Column11703" dataDxfId="4677"/>
    <tableColumn id="11708" name="Column11704" dataDxfId="4676"/>
    <tableColumn id="11709" name="Column11705" dataDxfId="4675"/>
    <tableColumn id="11710" name="Column11706" dataDxfId="4674"/>
    <tableColumn id="11711" name="Column11707" dataDxfId="4673"/>
    <tableColumn id="11712" name="Column11708" dataDxfId="4672"/>
    <tableColumn id="11713" name="Column11709" dataDxfId="4671"/>
    <tableColumn id="11714" name="Column11710" dataDxfId="4670"/>
    <tableColumn id="11715" name="Column11711" dataDxfId="4669"/>
    <tableColumn id="11716" name="Column11712" dataDxfId="4668"/>
    <tableColumn id="11717" name="Column11713" dataDxfId="4667"/>
    <tableColumn id="11718" name="Column11714" dataDxfId="4666"/>
    <tableColumn id="11719" name="Column11715" dataDxfId="4665"/>
    <tableColumn id="11720" name="Column11716" dataDxfId="4664"/>
    <tableColumn id="11721" name="Column11717" dataDxfId="4663"/>
    <tableColumn id="11722" name="Column11718" dataDxfId="4662"/>
    <tableColumn id="11723" name="Column11719" dataDxfId="4661"/>
    <tableColumn id="11724" name="Column11720" dataDxfId="4660"/>
    <tableColumn id="11725" name="Column11721" dataDxfId="4659"/>
    <tableColumn id="11726" name="Column11722" dataDxfId="4658"/>
    <tableColumn id="11727" name="Column11723" dataDxfId="4657"/>
    <tableColumn id="11728" name="Column11724" dataDxfId="4656"/>
    <tableColumn id="11729" name="Column11725" dataDxfId="4655"/>
    <tableColumn id="11730" name="Column11726" dataDxfId="4654"/>
    <tableColumn id="11731" name="Column11727" dataDxfId="4653"/>
    <tableColumn id="11732" name="Column11728" dataDxfId="4652"/>
    <tableColumn id="11733" name="Column11729" dataDxfId="4651"/>
    <tableColumn id="11734" name="Column11730" dataDxfId="4650"/>
    <tableColumn id="11735" name="Column11731" dataDxfId="4649"/>
    <tableColumn id="11736" name="Column11732" dataDxfId="4648"/>
    <tableColumn id="11737" name="Column11733" dataDxfId="4647"/>
    <tableColumn id="11738" name="Column11734" dataDxfId="4646"/>
    <tableColumn id="11739" name="Column11735" dataDxfId="4645"/>
    <tableColumn id="11740" name="Column11736" dataDxfId="4644"/>
    <tableColumn id="11741" name="Column11737" dataDxfId="4643"/>
    <tableColumn id="11742" name="Column11738" dataDxfId="4642"/>
    <tableColumn id="11743" name="Column11739" dataDxfId="4641"/>
    <tableColumn id="11744" name="Column11740" dataDxfId="4640"/>
    <tableColumn id="11745" name="Column11741" dataDxfId="4639"/>
    <tableColumn id="11746" name="Column11742" dataDxfId="4638"/>
    <tableColumn id="11747" name="Column11743" dataDxfId="4637"/>
    <tableColumn id="11748" name="Column11744" dataDxfId="4636"/>
    <tableColumn id="11749" name="Column11745" dataDxfId="4635"/>
    <tableColumn id="11750" name="Column11746" dataDxfId="4634"/>
    <tableColumn id="11751" name="Column11747" dataDxfId="4633"/>
    <tableColumn id="11752" name="Column11748" dataDxfId="4632"/>
    <tableColumn id="11753" name="Column11749" dataDxfId="4631"/>
    <tableColumn id="11754" name="Column11750" dataDxfId="4630"/>
    <tableColumn id="11755" name="Column11751" dataDxfId="4629"/>
    <tableColumn id="11756" name="Column11752" dataDxfId="4628"/>
    <tableColumn id="11757" name="Column11753" dataDxfId="4627"/>
    <tableColumn id="11758" name="Column11754" dataDxfId="4626"/>
    <tableColumn id="11759" name="Column11755" dataDxfId="4625"/>
    <tableColumn id="11760" name="Column11756" dataDxfId="4624"/>
    <tableColumn id="11761" name="Column11757" dataDxfId="4623"/>
    <tableColumn id="11762" name="Column11758" dataDxfId="4622"/>
    <tableColumn id="11763" name="Column11759" dataDxfId="4621"/>
    <tableColumn id="11764" name="Column11760" dataDxfId="4620"/>
    <tableColumn id="11765" name="Column11761" dataDxfId="4619"/>
    <tableColumn id="11766" name="Column11762" dataDxfId="4618"/>
    <tableColumn id="11767" name="Column11763" dataDxfId="4617"/>
    <tableColumn id="11768" name="Column11764" dataDxfId="4616"/>
    <tableColumn id="11769" name="Column11765" dataDxfId="4615"/>
    <tableColumn id="11770" name="Column11766" dataDxfId="4614"/>
    <tableColumn id="11771" name="Column11767" dataDxfId="4613"/>
    <tableColumn id="11772" name="Column11768" dataDxfId="4612"/>
    <tableColumn id="11773" name="Column11769" dataDxfId="4611"/>
    <tableColumn id="11774" name="Column11770" dataDxfId="4610"/>
    <tableColumn id="11775" name="Column11771" dataDxfId="4609"/>
    <tableColumn id="11776" name="Column11772" dataDxfId="4608"/>
    <tableColumn id="11777" name="Column11773" dataDxfId="4607"/>
    <tableColumn id="11778" name="Column11774" dataDxfId="4606"/>
    <tableColumn id="11779" name="Column11775" dataDxfId="4605"/>
    <tableColumn id="11780" name="Column11776" dataDxfId="4604"/>
    <tableColumn id="11781" name="Column11777" dataDxfId="4603"/>
    <tableColumn id="11782" name="Column11778" dataDxfId="4602"/>
    <tableColumn id="11783" name="Column11779" dataDxfId="4601"/>
    <tableColumn id="11784" name="Column11780" dataDxfId="4600"/>
    <tableColumn id="11785" name="Column11781" dataDxfId="4599"/>
    <tableColumn id="11786" name="Column11782" dataDxfId="4598"/>
    <tableColumn id="11787" name="Column11783" dataDxfId="4597"/>
    <tableColumn id="11788" name="Column11784" dataDxfId="4596"/>
    <tableColumn id="11789" name="Column11785" dataDxfId="4595"/>
    <tableColumn id="11790" name="Column11786" dataDxfId="4594"/>
    <tableColumn id="11791" name="Column11787" dataDxfId="4593"/>
    <tableColumn id="11792" name="Column11788" dataDxfId="4592"/>
    <tableColumn id="11793" name="Column11789" dataDxfId="4591"/>
    <tableColumn id="11794" name="Column11790" dataDxfId="4590"/>
    <tableColumn id="11795" name="Column11791" dataDxfId="4589"/>
    <tableColumn id="11796" name="Column11792" dataDxfId="4588"/>
    <tableColumn id="11797" name="Column11793" dataDxfId="4587"/>
    <tableColumn id="11798" name="Column11794" dataDxfId="4586"/>
    <tableColumn id="11799" name="Column11795" dataDxfId="4585"/>
    <tableColumn id="11800" name="Column11796" dataDxfId="4584"/>
    <tableColumn id="11801" name="Column11797" dataDxfId="4583"/>
    <tableColumn id="11802" name="Column11798" dataDxfId="4582"/>
    <tableColumn id="11803" name="Column11799" dataDxfId="4581"/>
    <tableColumn id="11804" name="Column11800" dataDxfId="4580"/>
    <tableColumn id="11805" name="Column11801" dataDxfId="4579"/>
    <tableColumn id="11806" name="Column11802" dataDxfId="4578"/>
    <tableColumn id="11807" name="Column11803" dataDxfId="4577"/>
    <tableColumn id="11808" name="Column11804" dataDxfId="4576"/>
    <tableColumn id="11809" name="Column11805" dataDxfId="4575"/>
    <tableColumn id="11810" name="Column11806" dataDxfId="4574"/>
    <tableColumn id="11811" name="Column11807" dataDxfId="4573"/>
    <tableColumn id="11812" name="Column11808" dataDxfId="4572"/>
    <tableColumn id="11813" name="Column11809" dataDxfId="4571"/>
    <tableColumn id="11814" name="Column11810" dataDxfId="4570"/>
    <tableColumn id="11815" name="Column11811" dataDxfId="4569"/>
    <tableColumn id="11816" name="Column11812" dataDxfId="4568"/>
    <tableColumn id="11817" name="Column11813" dataDxfId="4567"/>
    <tableColumn id="11818" name="Column11814" dataDxfId="4566"/>
    <tableColumn id="11819" name="Column11815" dataDxfId="4565"/>
    <tableColumn id="11820" name="Column11816" dataDxfId="4564"/>
    <tableColumn id="11821" name="Column11817" dataDxfId="4563"/>
    <tableColumn id="11822" name="Column11818" dataDxfId="4562"/>
    <tableColumn id="11823" name="Column11819" dataDxfId="4561"/>
    <tableColumn id="11824" name="Column11820" dataDxfId="4560"/>
    <tableColumn id="11825" name="Column11821" dataDxfId="4559"/>
    <tableColumn id="11826" name="Column11822" dataDxfId="4558"/>
    <tableColumn id="11827" name="Column11823" dataDxfId="4557"/>
    <tableColumn id="11828" name="Column11824" dataDxfId="4556"/>
    <tableColumn id="11829" name="Column11825" dataDxfId="4555"/>
    <tableColumn id="11830" name="Column11826" dataDxfId="4554"/>
    <tableColumn id="11831" name="Column11827" dataDxfId="4553"/>
    <tableColumn id="11832" name="Column11828" dataDxfId="4552"/>
    <tableColumn id="11833" name="Column11829" dataDxfId="4551"/>
    <tableColumn id="11834" name="Column11830" dataDxfId="4550"/>
    <tableColumn id="11835" name="Column11831" dataDxfId="4549"/>
    <tableColumn id="11836" name="Column11832" dataDxfId="4548"/>
    <tableColumn id="11837" name="Column11833" dataDxfId="4547"/>
    <tableColumn id="11838" name="Column11834" dataDxfId="4546"/>
    <tableColumn id="11839" name="Column11835" dataDxfId="4545"/>
    <tableColumn id="11840" name="Column11836" dataDxfId="4544"/>
    <tableColumn id="11841" name="Column11837" dataDxfId="4543"/>
    <tableColumn id="11842" name="Column11838" dataDxfId="4542"/>
    <tableColumn id="11843" name="Column11839" dataDxfId="4541"/>
    <tableColumn id="11844" name="Column11840" dataDxfId="4540"/>
    <tableColumn id="11845" name="Column11841" dataDxfId="4539"/>
    <tableColumn id="11846" name="Column11842" dataDxfId="4538"/>
    <tableColumn id="11847" name="Column11843" dataDxfId="4537"/>
    <tableColumn id="11848" name="Column11844" dataDxfId="4536"/>
    <tableColumn id="11849" name="Column11845" dataDxfId="4535"/>
    <tableColumn id="11850" name="Column11846" dataDxfId="4534"/>
    <tableColumn id="11851" name="Column11847" dataDxfId="4533"/>
    <tableColumn id="11852" name="Column11848" dataDxfId="4532"/>
    <tableColumn id="11853" name="Column11849" dataDxfId="4531"/>
    <tableColumn id="11854" name="Column11850" dataDxfId="4530"/>
    <tableColumn id="11855" name="Column11851" dataDxfId="4529"/>
    <tableColumn id="11856" name="Column11852" dataDxfId="4528"/>
    <tableColumn id="11857" name="Column11853" dataDxfId="4527"/>
    <tableColumn id="11858" name="Column11854" dataDxfId="4526"/>
    <tableColumn id="11859" name="Column11855" dataDxfId="4525"/>
    <tableColumn id="11860" name="Column11856" dataDxfId="4524"/>
    <tableColumn id="11861" name="Column11857" dataDxfId="4523"/>
    <tableColumn id="11862" name="Column11858" dataDxfId="4522"/>
    <tableColumn id="11863" name="Column11859" dataDxfId="4521"/>
    <tableColumn id="11864" name="Column11860" dataDxfId="4520"/>
    <tableColumn id="11865" name="Column11861" dataDxfId="4519"/>
    <tableColumn id="11866" name="Column11862" dataDxfId="4518"/>
    <tableColumn id="11867" name="Column11863" dataDxfId="4517"/>
    <tableColumn id="11868" name="Column11864" dataDxfId="4516"/>
    <tableColumn id="11869" name="Column11865" dataDxfId="4515"/>
    <tableColumn id="11870" name="Column11866" dataDxfId="4514"/>
    <tableColumn id="11871" name="Column11867" dataDxfId="4513"/>
    <tableColumn id="11872" name="Column11868" dataDxfId="4512"/>
    <tableColumn id="11873" name="Column11869" dataDxfId="4511"/>
    <tableColumn id="11874" name="Column11870" dataDxfId="4510"/>
    <tableColumn id="11875" name="Column11871" dataDxfId="4509"/>
    <tableColumn id="11876" name="Column11872" dataDxfId="4508"/>
    <tableColumn id="11877" name="Column11873" dataDxfId="4507"/>
    <tableColumn id="11878" name="Column11874" dataDxfId="4506"/>
    <tableColumn id="11879" name="Column11875" dataDxfId="4505"/>
    <tableColumn id="11880" name="Column11876" dataDxfId="4504"/>
    <tableColumn id="11881" name="Column11877" dataDxfId="4503"/>
    <tableColumn id="11882" name="Column11878" dataDxfId="4502"/>
    <tableColumn id="11883" name="Column11879" dataDxfId="4501"/>
    <tableColumn id="11884" name="Column11880" dataDxfId="4500"/>
    <tableColumn id="11885" name="Column11881" dataDxfId="4499"/>
    <tableColumn id="11886" name="Column11882" dataDxfId="4498"/>
    <tableColumn id="11887" name="Column11883" dataDxfId="4497"/>
    <tableColumn id="11888" name="Column11884" dataDxfId="4496"/>
    <tableColumn id="11889" name="Column11885" dataDxfId="4495"/>
    <tableColumn id="11890" name="Column11886" dataDxfId="4494"/>
    <tableColumn id="11891" name="Column11887" dataDxfId="4493"/>
    <tableColumn id="11892" name="Column11888" dataDxfId="4492"/>
    <tableColumn id="11893" name="Column11889" dataDxfId="4491"/>
    <tableColumn id="11894" name="Column11890" dataDxfId="4490"/>
    <tableColumn id="11895" name="Column11891" dataDxfId="4489"/>
    <tableColumn id="11896" name="Column11892" dataDxfId="4488"/>
    <tableColumn id="11897" name="Column11893" dataDxfId="4487"/>
    <tableColumn id="11898" name="Column11894" dataDxfId="4486"/>
    <tableColumn id="11899" name="Column11895" dataDxfId="4485"/>
    <tableColumn id="11900" name="Column11896" dataDxfId="4484"/>
    <tableColumn id="11901" name="Column11897" dataDxfId="4483"/>
    <tableColumn id="11902" name="Column11898" dataDxfId="4482"/>
    <tableColumn id="11903" name="Column11899" dataDxfId="4481"/>
    <tableColumn id="11904" name="Column11900" dataDxfId="4480"/>
    <tableColumn id="11905" name="Column11901" dataDxfId="4479"/>
    <tableColumn id="11906" name="Column11902" dataDxfId="4478"/>
    <tableColumn id="11907" name="Column11903" dataDxfId="4477"/>
    <tableColumn id="11908" name="Column11904" dataDxfId="4476"/>
    <tableColumn id="11909" name="Column11905" dataDxfId="4475"/>
    <tableColumn id="11910" name="Column11906" dataDxfId="4474"/>
    <tableColumn id="11911" name="Column11907" dataDxfId="4473"/>
    <tableColumn id="11912" name="Column11908" dataDxfId="4472"/>
    <tableColumn id="11913" name="Column11909" dataDxfId="4471"/>
    <tableColumn id="11914" name="Column11910" dataDxfId="4470"/>
    <tableColumn id="11915" name="Column11911" dataDxfId="4469"/>
    <tableColumn id="11916" name="Column11912" dataDxfId="4468"/>
    <tableColumn id="11917" name="Column11913" dataDxfId="4467"/>
    <tableColumn id="11918" name="Column11914" dataDxfId="4466"/>
    <tableColumn id="11919" name="Column11915" dataDxfId="4465"/>
    <tableColumn id="11920" name="Column11916" dataDxfId="4464"/>
    <tableColumn id="11921" name="Column11917" dataDxfId="4463"/>
    <tableColumn id="11922" name="Column11918" dataDxfId="4462"/>
    <tableColumn id="11923" name="Column11919" dataDxfId="4461"/>
    <tableColumn id="11924" name="Column11920" dataDxfId="4460"/>
    <tableColumn id="11925" name="Column11921" dataDxfId="4459"/>
    <tableColumn id="11926" name="Column11922" dataDxfId="4458"/>
    <tableColumn id="11927" name="Column11923" dataDxfId="4457"/>
    <tableColumn id="11928" name="Column11924" dataDxfId="4456"/>
    <tableColumn id="11929" name="Column11925" dataDxfId="4455"/>
    <tableColumn id="11930" name="Column11926" dataDxfId="4454"/>
    <tableColumn id="11931" name="Column11927" dataDxfId="4453"/>
    <tableColumn id="11932" name="Column11928" dataDxfId="4452"/>
    <tableColumn id="11933" name="Column11929" dataDxfId="4451"/>
    <tableColumn id="11934" name="Column11930" dataDxfId="4450"/>
    <tableColumn id="11935" name="Column11931" dataDxfId="4449"/>
    <tableColumn id="11936" name="Column11932" dataDxfId="4448"/>
    <tableColumn id="11937" name="Column11933" dataDxfId="4447"/>
    <tableColumn id="11938" name="Column11934" dataDxfId="4446"/>
    <tableColumn id="11939" name="Column11935" dataDxfId="4445"/>
    <tableColumn id="11940" name="Column11936" dataDxfId="4444"/>
    <tableColumn id="11941" name="Column11937" dataDxfId="4443"/>
    <tableColumn id="11942" name="Column11938" dataDxfId="4442"/>
    <tableColumn id="11943" name="Column11939" dataDxfId="4441"/>
    <tableColumn id="11944" name="Column11940" dataDxfId="4440"/>
    <tableColumn id="11945" name="Column11941" dataDxfId="4439"/>
    <tableColumn id="11946" name="Column11942" dataDxfId="4438"/>
    <tableColumn id="11947" name="Column11943" dataDxfId="4437"/>
    <tableColumn id="11948" name="Column11944" dataDxfId="4436"/>
    <tableColumn id="11949" name="Column11945" dataDxfId="4435"/>
    <tableColumn id="11950" name="Column11946" dataDxfId="4434"/>
    <tableColumn id="11951" name="Column11947" dataDxfId="4433"/>
    <tableColumn id="11952" name="Column11948" dataDxfId="4432"/>
    <tableColumn id="11953" name="Column11949" dataDxfId="4431"/>
    <tableColumn id="11954" name="Column11950" dataDxfId="4430"/>
    <tableColumn id="11955" name="Column11951" dataDxfId="4429"/>
    <tableColumn id="11956" name="Column11952" dataDxfId="4428"/>
    <tableColumn id="11957" name="Column11953" dataDxfId="4427"/>
    <tableColumn id="11958" name="Column11954" dataDxfId="4426"/>
    <tableColumn id="11959" name="Column11955" dataDxfId="4425"/>
    <tableColumn id="11960" name="Column11956" dataDxfId="4424"/>
    <tableColumn id="11961" name="Column11957" dataDxfId="4423"/>
    <tableColumn id="11962" name="Column11958" dataDxfId="4422"/>
    <tableColumn id="11963" name="Column11959" dataDxfId="4421"/>
    <tableColumn id="11964" name="Column11960" dataDxfId="4420"/>
    <tableColumn id="11965" name="Column11961" dataDxfId="4419"/>
    <tableColumn id="11966" name="Column11962" dataDxfId="4418"/>
    <tableColumn id="11967" name="Column11963" dataDxfId="4417"/>
    <tableColumn id="11968" name="Column11964" dataDxfId="4416"/>
    <tableColumn id="11969" name="Column11965" dataDxfId="4415"/>
    <tableColumn id="11970" name="Column11966" dataDxfId="4414"/>
    <tableColumn id="11971" name="Column11967" dataDxfId="4413"/>
    <tableColumn id="11972" name="Column11968" dataDxfId="4412"/>
    <tableColumn id="11973" name="Column11969" dataDxfId="4411"/>
    <tableColumn id="11974" name="Column11970" dataDxfId="4410"/>
    <tableColumn id="11975" name="Column11971" dataDxfId="4409"/>
    <tableColumn id="11976" name="Column11972" dataDxfId="4408"/>
    <tableColumn id="11977" name="Column11973" dataDxfId="4407"/>
    <tableColumn id="11978" name="Column11974" dataDxfId="4406"/>
    <tableColumn id="11979" name="Column11975" dataDxfId="4405"/>
    <tableColumn id="11980" name="Column11976" dataDxfId="4404"/>
    <tableColumn id="11981" name="Column11977" dataDxfId="4403"/>
    <tableColumn id="11982" name="Column11978" dataDxfId="4402"/>
    <tableColumn id="11983" name="Column11979" dataDxfId="4401"/>
    <tableColumn id="11984" name="Column11980" dataDxfId="4400"/>
    <tableColumn id="11985" name="Column11981" dataDxfId="4399"/>
    <tableColumn id="11986" name="Column11982" dataDxfId="4398"/>
    <tableColumn id="11987" name="Column11983" dataDxfId="4397"/>
    <tableColumn id="11988" name="Column11984" dataDxfId="4396"/>
    <tableColumn id="11989" name="Column11985" dataDxfId="4395"/>
    <tableColumn id="11990" name="Column11986" dataDxfId="4394"/>
    <tableColumn id="11991" name="Column11987" dataDxfId="4393"/>
    <tableColumn id="11992" name="Column11988" dataDxfId="4392"/>
    <tableColumn id="11993" name="Column11989" dataDxfId="4391"/>
    <tableColumn id="11994" name="Column11990" dataDxfId="4390"/>
    <tableColumn id="11995" name="Column11991" dataDxfId="4389"/>
    <tableColumn id="11996" name="Column11992" dataDxfId="4388"/>
    <tableColumn id="11997" name="Column11993" dataDxfId="4387"/>
    <tableColumn id="11998" name="Column11994" dataDxfId="4386"/>
    <tableColumn id="11999" name="Column11995" dataDxfId="4385"/>
    <tableColumn id="12000" name="Column11996" dataDxfId="4384"/>
    <tableColumn id="12001" name="Column11997" dataDxfId="4383"/>
    <tableColumn id="12002" name="Column11998" dataDxfId="4382"/>
    <tableColumn id="12003" name="Column11999" dataDxfId="4381"/>
    <tableColumn id="12004" name="Column12000" dataDxfId="4380"/>
    <tableColumn id="12005" name="Column12001" dataDxfId="4379"/>
    <tableColumn id="12006" name="Column12002" dataDxfId="4378"/>
    <tableColumn id="12007" name="Column12003" dataDxfId="4377"/>
    <tableColumn id="12008" name="Column12004" dataDxfId="4376"/>
    <tableColumn id="12009" name="Column12005" dataDxfId="4375"/>
    <tableColumn id="12010" name="Column12006" dataDxfId="4374"/>
    <tableColumn id="12011" name="Column12007" dataDxfId="4373"/>
    <tableColumn id="12012" name="Column12008" dataDxfId="4372"/>
    <tableColumn id="12013" name="Column12009" dataDxfId="4371"/>
    <tableColumn id="12014" name="Column12010" dataDxfId="4370"/>
    <tableColumn id="12015" name="Column12011" dataDxfId="4369"/>
    <tableColumn id="12016" name="Column12012" dataDxfId="4368"/>
    <tableColumn id="12017" name="Column12013" dataDxfId="4367"/>
    <tableColumn id="12018" name="Column12014" dataDxfId="4366"/>
    <tableColumn id="12019" name="Column12015" dataDxfId="4365"/>
    <tableColumn id="12020" name="Column12016" dataDxfId="4364"/>
    <tableColumn id="12021" name="Column12017" dataDxfId="4363"/>
    <tableColumn id="12022" name="Column12018" dataDxfId="4362"/>
    <tableColumn id="12023" name="Column12019" dataDxfId="4361"/>
    <tableColumn id="12024" name="Column12020" dataDxfId="4360"/>
    <tableColumn id="12025" name="Column12021" dataDxfId="4359"/>
    <tableColumn id="12026" name="Column12022" dataDxfId="4358"/>
    <tableColumn id="12027" name="Column12023" dataDxfId="4357"/>
    <tableColumn id="12028" name="Column12024" dataDxfId="4356"/>
    <tableColumn id="12029" name="Column12025" dataDxfId="4355"/>
    <tableColumn id="12030" name="Column12026" dataDxfId="4354"/>
    <tableColumn id="12031" name="Column12027" dataDxfId="4353"/>
    <tableColumn id="12032" name="Column12028" dataDxfId="4352"/>
    <tableColumn id="12033" name="Column12029" dataDxfId="4351"/>
    <tableColumn id="12034" name="Column12030" dataDxfId="4350"/>
    <tableColumn id="12035" name="Column12031" dataDxfId="4349"/>
    <tableColumn id="12036" name="Column12032" dataDxfId="4348"/>
    <tableColumn id="12037" name="Column12033" dataDxfId="4347"/>
    <tableColumn id="12038" name="Column12034" dataDxfId="4346"/>
    <tableColumn id="12039" name="Column12035" dataDxfId="4345"/>
    <tableColumn id="12040" name="Column12036" dataDxfId="4344"/>
    <tableColumn id="12041" name="Column12037" dataDxfId="4343"/>
    <tableColumn id="12042" name="Column12038" dataDxfId="4342"/>
    <tableColumn id="12043" name="Column12039" dataDxfId="4341"/>
    <tableColumn id="12044" name="Column12040" dataDxfId="4340"/>
    <tableColumn id="12045" name="Column12041" dataDxfId="4339"/>
    <tableColumn id="12046" name="Column12042" dataDxfId="4338"/>
    <tableColumn id="12047" name="Column12043" dataDxfId="4337"/>
    <tableColumn id="12048" name="Column12044" dataDxfId="4336"/>
    <tableColumn id="12049" name="Column12045" dataDxfId="4335"/>
    <tableColumn id="12050" name="Column12046" dataDxfId="4334"/>
    <tableColumn id="12051" name="Column12047" dataDxfId="4333"/>
    <tableColumn id="12052" name="Column12048" dataDxfId="4332"/>
    <tableColumn id="12053" name="Column12049" dataDxfId="4331"/>
    <tableColumn id="12054" name="Column12050" dataDxfId="4330"/>
    <tableColumn id="12055" name="Column12051" dataDxfId="4329"/>
    <tableColumn id="12056" name="Column12052" dataDxfId="4328"/>
    <tableColumn id="12057" name="Column12053" dataDxfId="4327"/>
    <tableColumn id="12058" name="Column12054" dataDxfId="4326"/>
    <tableColumn id="12059" name="Column12055" dataDxfId="4325"/>
    <tableColumn id="12060" name="Column12056" dataDxfId="4324"/>
    <tableColumn id="12061" name="Column12057" dataDxfId="4323"/>
    <tableColumn id="12062" name="Column12058" dataDxfId="4322"/>
    <tableColumn id="12063" name="Column12059" dataDxfId="4321"/>
    <tableColumn id="12064" name="Column12060" dataDxfId="4320"/>
    <tableColumn id="12065" name="Column12061" dataDxfId="4319"/>
    <tableColumn id="12066" name="Column12062" dataDxfId="4318"/>
    <tableColumn id="12067" name="Column12063" dataDxfId="4317"/>
    <tableColumn id="12068" name="Column12064" dataDxfId="4316"/>
    <tableColumn id="12069" name="Column12065" dataDxfId="4315"/>
    <tableColumn id="12070" name="Column12066" dataDxfId="4314"/>
    <tableColumn id="12071" name="Column12067" dataDxfId="4313"/>
    <tableColumn id="12072" name="Column12068" dataDxfId="4312"/>
    <tableColumn id="12073" name="Column12069" dataDxfId="4311"/>
    <tableColumn id="12074" name="Column12070" dataDxfId="4310"/>
    <tableColumn id="12075" name="Column12071" dataDxfId="4309"/>
    <tableColumn id="12076" name="Column12072" dataDxfId="4308"/>
    <tableColumn id="12077" name="Column12073" dataDxfId="4307"/>
    <tableColumn id="12078" name="Column12074" dataDxfId="4306"/>
    <tableColumn id="12079" name="Column12075" dataDxfId="4305"/>
    <tableColumn id="12080" name="Column12076" dataDxfId="4304"/>
    <tableColumn id="12081" name="Column12077" dataDxfId="4303"/>
    <tableColumn id="12082" name="Column12078" dataDxfId="4302"/>
    <tableColumn id="12083" name="Column12079" dataDxfId="4301"/>
    <tableColumn id="12084" name="Column12080" dataDxfId="4300"/>
    <tableColumn id="12085" name="Column12081" dataDxfId="4299"/>
    <tableColumn id="12086" name="Column12082" dataDxfId="4298"/>
    <tableColumn id="12087" name="Column12083" dataDxfId="4297"/>
    <tableColumn id="12088" name="Column12084" dataDxfId="4296"/>
    <tableColumn id="12089" name="Column12085" dataDxfId="4295"/>
    <tableColumn id="12090" name="Column12086" dataDxfId="4294"/>
    <tableColumn id="12091" name="Column12087" dataDxfId="4293"/>
    <tableColumn id="12092" name="Column12088" dataDxfId="4292"/>
    <tableColumn id="12093" name="Column12089" dataDxfId="4291"/>
    <tableColumn id="12094" name="Column12090" dataDxfId="4290"/>
    <tableColumn id="12095" name="Column12091" dataDxfId="4289"/>
    <tableColumn id="12096" name="Column12092" dataDxfId="4288"/>
    <tableColumn id="12097" name="Column12093" dataDxfId="4287"/>
    <tableColumn id="12098" name="Column12094" dataDxfId="4286"/>
    <tableColumn id="12099" name="Column12095" dataDxfId="4285"/>
    <tableColumn id="12100" name="Column12096" dataDxfId="4284"/>
    <tableColumn id="12101" name="Column12097" dataDxfId="4283"/>
    <tableColumn id="12102" name="Column12098" dataDxfId="4282"/>
    <tableColumn id="12103" name="Column12099" dataDxfId="4281"/>
    <tableColumn id="12104" name="Column12100" dataDxfId="4280"/>
    <tableColumn id="12105" name="Column12101" dataDxfId="4279"/>
    <tableColumn id="12106" name="Column12102" dataDxfId="4278"/>
    <tableColumn id="12107" name="Column12103" dataDxfId="4277"/>
    <tableColumn id="12108" name="Column12104" dataDxfId="4276"/>
    <tableColumn id="12109" name="Column12105" dataDxfId="4275"/>
    <tableColumn id="12110" name="Column12106" dataDxfId="4274"/>
    <tableColumn id="12111" name="Column12107" dataDxfId="4273"/>
    <tableColumn id="12112" name="Column12108" dataDxfId="4272"/>
    <tableColumn id="12113" name="Column12109" dataDxfId="4271"/>
    <tableColumn id="12114" name="Column12110" dataDxfId="4270"/>
    <tableColumn id="12115" name="Column12111" dataDxfId="4269"/>
    <tableColumn id="12116" name="Column12112" dataDxfId="4268"/>
    <tableColumn id="12117" name="Column12113" dataDxfId="4267"/>
    <tableColumn id="12118" name="Column12114" dataDxfId="4266"/>
    <tableColumn id="12119" name="Column12115" dataDxfId="4265"/>
    <tableColumn id="12120" name="Column12116" dataDxfId="4264"/>
    <tableColumn id="12121" name="Column12117" dataDxfId="4263"/>
    <tableColumn id="12122" name="Column12118" dataDxfId="4262"/>
    <tableColumn id="12123" name="Column12119" dataDxfId="4261"/>
    <tableColumn id="12124" name="Column12120" dataDxfId="4260"/>
    <tableColumn id="12125" name="Column12121" dataDxfId="4259"/>
    <tableColumn id="12126" name="Column12122" dataDxfId="4258"/>
    <tableColumn id="12127" name="Column12123" dataDxfId="4257"/>
    <tableColumn id="12128" name="Column12124" dataDxfId="4256"/>
    <tableColumn id="12129" name="Column12125" dataDxfId="4255"/>
    <tableColumn id="12130" name="Column12126" dataDxfId="4254"/>
    <tableColumn id="12131" name="Column12127" dataDxfId="4253"/>
    <tableColumn id="12132" name="Column12128" dataDxfId="4252"/>
    <tableColumn id="12133" name="Column12129" dataDxfId="4251"/>
    <tableColumn id="12134" name="Column12130" dataDxfId="4250"/>
    <tableColumn id="12135" name="Column12131" dataDxfId="4249"/>
    <tableColumn id="12136" name="Column12132" dataDxfId="4248"/>
    <tableColumn id="12137" name="Column12133" dataDxfId="4247"/>
    <tableColumn id="12138" name="Column12134" dataDxfId="4246"/>
    <tableColumn id="12139" name="Column12135" dataDxfId="4245"/>
    <tableColumn id="12140" name="Column12136" dataDxfId="4244"/>
    <tableColumn id="12141" name="Column12137" dataDxfId="4243"/>
    <tableColumn id="12142" name="Column12138" dataDxfId="4242"/>
    <tableColumn id="12143" name="Column12139" dataDxfId="4241"/>
    <tableColumn id="12144" name="Column12140" dataDxfId="4240"/>
    <tableColumn id="12145" name="Column12141" dataDxfId="4239"/>
    <tableColumn id="12146" name="Column12142" dataDxfId="4238"/>
    <tableColumn id="12147" name="Column12143" dataDxfId="4237"/>
    <tableColumn id="12148" name="Column12144" dataDxfId="4236"/>
    <tableColumn id="12149" name="Column12145" dataDxfId="4235"/>
    <tableColumn id="12150" name="Column12146" dataDxfId="4234"/>
    <tableColumn id="12151" name="Column12147" dataDxfId="4233"/>
    <tableColumn id="12152" name="Column12148" dataDxfId="4232"/>
    <tableColumn id="12153" name="Column12149" dataDxfId="4231"/>
    <tableColumn id="12154" name="Column12150" dataDxfId="4230"/>
    <tableColumn id="12155" name="Column12151" dataDxfId="4229"/>
    <tableColumn id="12156" name="Column12152" dataDxfId="4228"/>
    <tableColumn id="12157" name="Column12153" dataDxfId="4227"/>
    <tableColumn id="12158" name="Column12154" dataDxfId="4226"/>
    <tableColumn id="12159" name="Column12155" dataDxfId="4225"/>
    <tableColumn id="12160" name="Column12156" dataDxfId="4224"/>
    <tableColumn id="12161" name="Column12157" dataDxfId="4223"/>
    <tableColumn id="12162" name="Column12158" dataDxfId="4222"/>
    <tableColumn id="12163" name="Column12159" dataDxfId="4221"/>
    <tableColumn id="12164" name="Column12160" dataDxfId="4220"/>
    <tableColumn id="12165" name="Column12161" dataDxfId="4219"/>
    <tableColumn id="12166" name="Column12162" dataDxfId="4218"/>
    <tableColumn id="12167" name="Column12163" dataDxfId="4217"/>
    <tableColumn id="12168" name="Column12164" dataDxfId="4216"/>
    <tableColumn id="12169" name="Column12165" dataDxfId="4215"/>
    <tableColumn id="12170" name="Column12166" dataDxfId="4214"/>
    <tableColumn id="12171" name="Column12167" dataDxfId="4213"/>
    <tableColumn id="12172" name="Column12168" dataDxfId="4212"/>
    <tableColumn id="12173" name="Column12169" dataDxfId="4211"/>
    <tableColumn id="12174" name="Column12170" dataDxfId="4210"/>
    <tableColumn id="12175" name="Column12171" dataDxfId="4209"/>
    <tableColumn id="12176" name="Column12172" dataDxfId="4208"/>
    <tableColumn id="12177" name="Column12173" dataDxfId="4207"/>
    <tableColumn id="12178" name="Column12174" dataDxfId="4206"/>
    <tableColumn id="12179" name="Column12175" dataDxfId="4205"/>
    <tableColumn id="12180" name="Column12176" dataDxfId="4204"/>
    <tableColumn id="12181" name="Column12177" dataDxfId="4203"/>
    <tableColumn id="12182" name="Column12178" dataDxfId="4202"/>
    <tableColumn id="12183" name="Column12179" dataDxfId="4201"/>
    <tableColumn id="12184" name="Column12180" dataDxfId="4200"/>
    <tableColumn id="12185" name="Column12181" dataDxfId="4199"/>
    <tableColumn id="12186" name="Column12182" dataDxfId="4198"/>
    <tableColumn id="12187" name="Column12183" dataDxfId="4197"/>
    <tableColumn id="12188" name="Column12184" dataDxfId="4196"/>
    <tableColumn id="12189" name="Column12185" dataDxfId="4195"/>
    <tableColumn id="12190" name="Column12186" dataDxfId="4194"/>
    <tableColumn id="12191" name="Column12187" dataDxfId="4193"/>
    <tableColumn id="12192" name="Column12188" dataDxfId="4192"/>
    <tableColumn id="12193" name="Column12189" dataDxfId="4191"/>
    <tableColumn id="12194" name="Column12190" dataDxfId="4190"/>
    <tableColumn id="12195" name="Column12191" dataDxfId="4189"/>
    <tableColumn id="12196" name="Column12192" dataDxfId="4188"/>
    <tableColumn id="12197" name="Column12193" dataDxfId="4187"/>
    <tableColumn id="12198" name="Column12194" dataDxfId="4186"/>
    <tableColumn id="12199" name="Column12195" dataDxfId="4185"/>
    <tableColumn id="12200" name="Column12196" dataDxfId="4184"/>
    <tableColumn id="12201" name="Column12197" dataDxfId="4183"/>
    <tableColumn id="12202" name="Column12198" dataDxfId="4182"/>
    <tableColumn id="12203" name="Column12199" dataDxfId="4181"/>
    <tableColumn id="12204" name="Column12200" dataDxfId="4180"/>
    <tableColumn id="12205" name="Column12201" dataDxfId="4179"/>
    <tableColumn id="12206" name="Column12202" dataDxfId="4178"/>
    <tableColumn id="12207" name="Column12203" dataDxfId="4177"/>
    <tableColumn id="12208" name="Column12204" dataDxfId="4176"/>
    <tableColumn id="12209" name="Column12205" dataDxfId="4175"/>
    <tableColumn id="12210" name="Column12206" dataDxfId="4174"/>
    <tableColumn id="12211" name="Column12207" dataDxfId="4173"/>
    <tableColumn id="12212" name="Column12208" dataDxfId="4172"/>
    <tableColumn id="12213" name="Column12209" dataDxfId="4171"/>
    <tableColumn id="12214" name="Column12210" dataDxfId="4170"/>
    <tableColumn id="12215" name="Column12211" dataDxfId="4169"/>
    <tableColumn id="12216" name="Column12212" dataDxfId="4168"/>
    <tableColumn id="12217" name="Column12213" dataDxfId="4167"/>
    <tableColumn id="12218" name="Column12214" dataDxfId="4166"/>
    <tableColumn id="12219" name="Column12215" dataDxfId="4165"/>
    <tableColumn id="12220" name="Column12216" dataDxfId="4164"/>
    <tableColumn id="12221" name="Column12217" dataDxfId="4163"/>
    <tableColumn id="12222" name="Column12218" dataDxfId="4162"/>
    <tableColumn id="12223" name="Column12219" dataDxfId="4161"/>
    <tableColumn id="12224" name="Column12220" dataDxfId="4160"/>
    <tableColumn id="12225" name="Column12221" dataDxfId="4159"/>
    <tableColumn id="12226" name="Column12222" dataDxfId="4158"/>
    <tableColumn id="12227" name="Column12223" dataDxfId="4157"/>
    <tableColumn id="12228" name="Column12224" dataDxfId="4156"/>
    <tableColumn id="12229" name="Column12225" dataDxfId="4155"/>
    <tableColumn id="12230" name="Column12226" dataDxfId="4154"/>
    <tableColumn id="12231" name="Column12227" dataDxfId="4153"/>
    <tableColumn id="12232" name="Column12228" dataDxfId="4152"/>
    <tableColumn id="12233" name="Column12229" dataDxfId="4151"/>
    <tableColumn id="12234" name="Column12230" dataDxfId="4150"/>
    <tableColumn id="12235" name="Column12231" dataDxfId="4149"/>
    <tableColumn id="12236" name="Column12232" dataDxfId="4148"/>
    <tableColumn id="12237" name="Column12233" dataDxfId="4147"/>
    <tableColumn id="12238" name="Column12234" dataDxfId="4146"/>
    <tableColumn id="12239" name="Column12235" dataDxfId="4145"/>
    <tableColumn id="12240" name="Column12236" dataDxfId="4144"/>
    <tableColumn id="12241" name="Column12237" dataDxfId="4143"/>
    <tableColumn id="12242" name="Column12238" dataDxfId="4142"/>
    <tableColumn id="12243" name="Column12239" dataDxfId="4141"/>
    <tableColumn id="12244" name="Column12240" dataDxfId="4140"/>
    <tableColumn id="12245" name="Column12241" dataDxfId="4139"/>
    <tableColumn id="12246" name="Column12242" dataDxfId="4138"/>
    <tableColumn id="12247" name="Column12243" dataDxfId="4137"/>
    <tableColumn id="12248" name="Column12244" dataDxfId="4136"/>
    <tableColumn id="12249" name="Column12245" dataDxfId="4135"/>
    <tableColumn id="12250" name="Column12246" dataDxfId="4134"/>
    <tableColumn id="12251" name="Column12247" dataDxfId="4133"/>
    <tableColumn id="12252" name="Column12248" dataDxfId="4132"/>
    <tableColumn id="12253" name="Column12249" dataDxfId="4131"/>
    <tableColumn id="12254" name="Column12250" dataDxfId="4130"/>
    <tableColumn id="12255" name="Column12251" dataDxfId="4129"/>
    <tableColumn id="12256" name="Column12252" dataDxfId="4128"/>
    <tableColumn id="12257" name="Column12253" dataDxfId="4127"/>
    <tableColumn id="12258" name="Column12254" dataDxfId="4126"/>
    <tableColumn id="12259" name="Column12255" dataDxfId="4125"/>
    <tableColumn id="12260" name="Column12256" dataDxfId="4124"/>
    <tableColumn id="12261" name="Column12257" dataDxfId="4123"/>
    <tableColumn id="12262" name="Column12258" dataDxfId="4122"/>
    <tableColumn id="12263" name="Column12259" dataDxfId="4121"/>
    <tableColumn id="12264" name="Column12260" dataDxfId="4120"/>
    <tableColumn id="12265" name="Column12261" dataDxfId="4119"/>
    <tableColumn id="12266" name="Column12262" dataDxfId="4118"/>
    <tableColumn id="12267" name="Column12263" dataDxfId="4117"/>
    <tableColumn id="12268" name="Column12264" dataDxfId="4116"/>
    <tableColumn id="12269" name="Column12265" dataDxfId="4115"/>
    <tableColumn id="12270" name="Column12266" dataDxfId="4114"/>
    <tableColumn id="12271" name="Column12267" dataDxfId="4113"/>
    <tableColumn id="12272" name="Column12268" dataDxfId="4112"/>
    <tableColumn id="12273" name="Column12269" dataDxfId="4111"/>
    <tableColumn id="12274" name="Column12270" dataDxfId="4110"/>
    <tableColumn id="12275" name="Column12271" dataDxfId="4109"/>
    <tableColumn id="12276" name="Column12272" dataDxfId="4108"/>
    <tableColumn id="12277" name="Column12273" dataDxfId="4107"/>
    <tableColumn id="12278" name="Column12274" dataDxfId="4106"/>
    <tableColumn id="12279" name="Column12275" dataDxfId="4105"/>
    <tableColumn id="12280" name="Column12276" dataDxfId="4104"/>
    <tableColumn id="12281" name="Column12277" dataDxfId="4103"/>
    <tableColumn id="12282" name="Column12278" dataDxfId="4102"/>
    <tableColumn id="12283" name="Column12279" dataDxfId="4101"/>
    <tableColumn id="12284" name="Column12280" dataDxfId="4100"/>
    <tableColumn id="12285" name="Column12281" dataDxfId="4099"/>
    <tableColumn id="12286" name="Column12282" dataDxfId="4098"/>
    <tableColumn id="12287" name="Column12283" dataDxfId="4097"/>
    <tableColumn id="12288" name="Column12284" dataDxfId="4096"/>
    <tableColumn id="12289" name="Column12285" dataDxfId="4095"/>
    <tableColumn id="12290" name="Column12286" dataDxfId="4094"/>
    <tableColumn id="12291" name="Column12287" dataDxfId="4093"/>
    <tableColumn id="12292" name="Column12288" dataDxfId="4092"/>
    <tableColumn id="12293" name="Column12289" dataDxfId="4091"/>
    <tableColumn id="12294" name="Column12290" dataDxfId="4090"/>
    <tableColumn id="12295" name="Column12291" dataDxfId="4089"/>
    <tableColumn id="12296" name="Column12292" dataDxfId="4088"/>
    <tableColumn id="12297" name="Column12293" dataDxfId="4087"/>
    <tableColumn id="12298" name="Column12294" dataDxfId="4086"/>
    <tableColumn id="12299" name="Column12295" dataDxfId="4085"/>
    <tableColumn id="12300" name="Column12296" dataDxfId="4084"/>
    <tableColumn id="12301" name="Column12297" dataDxfId="4083"/>
    <tableColumn id="12302" name="Column12298" dataDxfId="4082"/>
    <tableColumn id="12303" name="Column12299" dataDxfId="4081"/>
    <tableColumn id="12304" name="Column12300" dataDxfId="4080"/>
    <tableColumn id="12305" name="Column12301" dataDxfId="4079"/>
    <tableColumn id="12306" name="Column12302" dataDxfId="4078"/>
    <tableColumn id="12307" name="Column12303" dataDxfId="4077"/>
    <tableColumn id="12308" name="Column12304" dataDxfId="4076"/>
    <tableColumn id="12309" name="Column12305" dataDxfId="4075"/>
    <tableColumn id="12310" name="Column12306" dataDxfId="4074"/>
    <tableColumn id="12311" name="Column12307" dataDxfId="4073"/>
    <tableColumn id="12312" name="Column12308" dataDxfId="4072"/>
    <tableColumn id="12313" name="Column12309" dataDxfId="4071"/>
    <tableColumn id="12314" name="Column12310" dataDxfId="4070"/>
    <tableColumn id="12315" name="Column12311" dataDxfId="4069"/>
    <tableColumn id="12316" name="Column12312" dataDxfId="4068"/>
    <tableColumn id="12317" name="Column12313" dataDxfId="4067"/>
    <tableColumn id="12318" name="Column12314" dataDxfId="4066"/>
    <tableColumn id="12319" name="Column12315" dataDxfId="4065"/>
    <tableColumn id="12320" name="Column12316" dataDxfId="4064"/>
    <tableColumn id="12321" name="Column12317" dataDxfId="4063"/>
    <tableColumn id="12322" name="Column12318" dataDxfId="4062"/>
    <tableColumn id="12323" name="Column12319" dataDxfId="4061"/>
    <tableColumn id="12324" name="Column12320" dataDxfId="4060"/>
    <tableColumn id="12325" name="Column12321" dataDxfId="4059"/>
    <tableColumn id="12326" name="Column12322" dataDxfId="4058"/>
    <tableColumn id="12327" name="Column12323" dataDxfId="4057"/>
    <tableColumn id="12328" name="Column12324" dataDxfId="4056"/>
    <tableColumn id="12329" name="Column12325" dataDxfId="4055"/>
    <tableColumn id="12330" name="Column12326" dataDxfId="4054"/>
    <tableColumn id="12331" name="Column12327" dataDxfId="4053"/>
    <tableColumn id="12332" name="Column12328" dataDxfId="4052"/>
    <tableColumn id="12333" name="Column12329" dataDxfId="4051"/>
    <tableColumn id="12334" name="Column12330" dataDxfId="4050"/>
    <tableColumn id="12335" name="Column12331" dataDxfId="4049"/>
    <tableColumn id="12336" name="Column12332" dataDxfId="4048"/>
    <tableColumn id="12337" name="Column12333" dataDxfId="4047"/>
    <tableColumn id="12338" name="Column12334" dataDxfId="4046"/>
    <tableColumn id="12339" name="Column12335" dataDxfId="4045"/>
    <tableColumn id="12340" name="Column12336" dataDxfId="4044"/>
    <tableColumn id="12341" name="Column12337" dataDxfId="4043"/>
    <tableColumn id="12342" name="Column12338" dataDxfId="4042"/>
    <tableColumn id="12343" name="Column12339" dataDxfId="4041"/>
    <tableColumn id="12344" name="Column12340" dataDxfId="4040"/>
    <tableColumn id="12345" name="Column12341" dataDxfId="4039"/>
    <tableColumn id="12346" name="Column12342" dataDxfId="4038"/>
    <tableColumn id="12347" name="Column12343" dataDxfId="4037"/>
    <tableColumn id="12348" name="Column12344" dataDxfId="4036"/>
    <tableColumn id="12349" name="Column12345" dataDxfId="4035"/>
    <tableColumn id="12350" name="Column12346" dataDxfId="4034"/>
    <tableColumn id="12351" name="Column12347" dataDxfId="4033"/>
    <tableColumn id="12352" name="Column12348" dataDxfId="4032"/>
    <tableColumn id="12353" name="Column12349" dataDxfId="4031"/>
    <tableColumn id="12354" name="Column12350" dataDxfId="4030"/>
    <tableColumn id="12355" name="Column12351" dataDxfId="4029"/>
    <tableColumn id="12356" name="Column12352" dataDxfId="4028"/>
    <tableColumn id="12357" name="Column12353" dataDxfId="4027"/>
    <tableColumn id="12358" name="Column12354" dataDxfId="4026"/>
    <tableColumn id="12359" name="Column12355" dataDxfId="4025"/>
    <tableColumn id="12360" name="Column12356" dataDxfId="4024"/>
    <tableColumn id="12361" name="Column12357" dataDxfId="4023"/>
    <tableColumn id="12362" name="Column12358" dataDxfId="4022"/>
    <tableColumn id="12363" name="Column12359" dataDxfId="4021"/>
    <tableColumn id="12364" name="Column12360" dataDxfId="4020"/>
    <tableColumn id="12365" name="Column12361" dataDxfId="4019"/>
    <tableColumn id="12366" name="Column12362" dataDxfId="4018"/>
    <tableColumn id="12367" name="Column12363" dataDxfId="4017"/>
    <tableColumn id="12368" name="Column12364" dataDxfId="4016"/>
    <tableColumn id="12369" name="Column12365" dataDxfId="4015"/>
    <tableColumn id="12370" name="Column12366" dataDxfId="4014"/>
    <tableColumn id="12371" name="Column12367" dataDxfId="4013"/>
    <tableColumn id="12372" name="Column12368" dataDxfId="4012"/>
    <tableColumn id="12373" name="Column12369" dataDxfId="4011"/>
    <tableColumn id="12374" name="Column12370" dataDxfId="4010"/>
    <tableColumn id="12375" name="Column12371" dataDxfId="4009"/>
    <tableColumn id="12376" name="Column12372" dataDxfId="4008"/>
    <tableColumn id="12377" name="Column12373" dataDxfId="4007"/>
    <tableColumn id="12378" name="Column12374" dataDxfId="4006"/>
    <tableColumn id="12379" name="Column12375" dataDxfId="4005"/>
    <tableColumn id="12380" name="Column12376" dataDxfId="4004"/>
    <tableColumn id="12381" name="Column12377" dataDxfId="4003"/>
    <tableColumn id="12382" name="Column12378" dataDxfId="4002"/>
    <tableColumn id="12383" name="Column12379" dataDxfId="4001"/>
    <tableColumn id="12384" name="Column12380" dataDxfId="4000"/>
    <tableColumn id="12385" name="Column12381" dataDxfId="3999"/>
    <tableColumn id="12386" name="Column12382" dataDxfId="3998"/>
    <tableColumn id="12387" name="Column12383" dataDxfId="3997"/>
    <tableColumn id="12388" name="Column12384" dataDxfId="3996"/>
    <tableColumn id="12389" name="Column12385" dataDxfId="3995"/>
    <tableColumn id="12390" name="Column12386" dataDxfId="3994"/>
    <tableColumn id="12391" name="Column12387" dataDxfId="3993"/>
    <tableColumn id="12392" name="Column12388" dataDxfId="3992"/>
    <tableColumn id="12393" name="Column12389" dataDxfId="3991"/>
    <tableColumn id="12394" name="Column12390" dataDxfId="3990"/>
    <tableColumn id="12395" name="Column12391" dataDxfId="3989"/>
    <tableColumn id="12396" name="Column12392" dataDxfId="3988"/>
    <tableColumn id="12397" name="Column12393" dataDxfId="3987"/>
    <tableColumn id="12398" name="Column12394" dataDxfId="3986"/>
    <tableColumn id="12399" name="Column12395" dataDxfId="3985"/>
    <tableColumn id="12400" name="Column12396" dataDxfId="3984"/>
    <tableColumn id="12401" name="Column12397" dataDxfId="3983"/>
    <tableColumn id="12402" name="Column12398" dataDxfId="3982"/>
    <tableColumn id="12403" name="Column12399" dataDxfId="3981"/>
    <tableColumn id="12404" name="Column12400" dataDxfId="3980"/>
    <tableColumn id="12405" name="Column12401" dataDxfId="3979"/>
    <tableColumn id="12406" name="Column12402" dataDxfId="3978"/>
    <tableColumn id="12407" name="Column12403" dataDxfId="3977"/>
    <tableColumn id="12408" name="Column12404" dataDxfId="3976"/>
    <tableColumn id="12409" name="Column12405" dataDxfId="3975"/>
    <tableColumn id="12410" name="Column12406" dataDxfId="3974"/>
    <tableColumn id="12411" name="Column12407" dataDxfId="3973"/>
    <tableColumn id="12412" name="Column12408" dataDxfId="3972"/>
    <tableColumn id="12413" name="Column12409" dataDxfId="3971"/>
    <tableColumn id="12414" name="Column12410" dataDxfId="3970"/>
    <tableColumn id="12415" name="Column12411" dataDxfId="3969"/>
    <tableColumn id="12416" name="Column12412" dataDxfId="3968"/>
    <tableColumn id="12417" name="Column12413" dataDxfId="3967"/>
    <tableColumn id="12418" name="Column12414" dataDxfId="3966"/>
    <tableColumn id="12419" name="Column12415" dataDxfId="3965"/>
    <tableColumn id="12420" name="Column12416" dataDxfId="3964"/>
    <tableColumn id="12421" name="Column12417" dataDxfId="3963"/>
    <tableColumn id="12422" name="Column12418" dataDxfId="3962"/>
    <tableColumn id="12423" name="Column12419" dataDxfId="3961"/>
    <tableColumn id="12424" name="Column12420" dataDxfId="3960"/>
    <tableColumn id="12425" name="Column12421" dataDxfId="3959"/>
    <tableColumn id="12426" name="Column12422" dataDxfId="3958"/>
    <tableColumn id="12427" name="Column12423" dataDxfId="3957"/>
    <tableColumn id="12428" name="Column12424" dataDxfId="3956"/>
    <tableColumn id="12429" name="Column12425" dataDxfId="3955"/>
    <tableColumn id="12430" name="Column12426" dataDxfId="3954"/>
    <tableColumn id="12431" name="Column12427" dataDxfId="3953"/>
    <tableColumn id="12432" name="Column12428" dataDxfId="3952"/>
    <tableColumn id="12433" name="Column12429" dataDxfId="3951"/>
    <tableColumn id="12434" name="Column12430" dataDxfId="3950"/>
    <tableColumn id="12435" name="Column12431" dataDxfId="3949"/>
    <tableColumn id="12436" name="Column12432" dataDxfId="3948"/>
    <tableColumn id="12437" name="Column12433" dataDxfId="3947"/>
    <tableColumn id="12438" name="Column12434" dataDxfId="3946"/>
    <tableColumn id="12439" name="Column12435" dataDxfId="3945"/>
    <tableColumn id="12440" name="Column12436" dataDxfId="3944"/>
    <tableColumn id="12441" name="Column12437" dataDxfId="3943"/>
    <tableColumn id="12442" name="Column12438" dataDxfId="3942"/>
    <tableColumn id="12443" name="Column12439" dataDxfId="3941"/>
    <tableColumn id="12444" name="Column12440" dataDxfId="3940"/>
    <tableColumn id="12445" name="Column12441" dataDxfId="3939"/>
    <tableColumn id="12446" name="Column12442" dataDxfId="3938"/>
    <tableColumn id="12447" name="Column12443" dataDxfId="3937"/>
    <tableColumn id="12448" name="Column12444" dataDxfId="3936"/>
    <tableColumn id="12449" name="Column12445" dataDxfId="3935"/>
    <tableColumn id="12450" name="Column12446" dataDxfId="3934"/>
    <tableColumn id="12451" name="Column12447" dataDxfId="3933"/>
    <tableColumn id="12452" name="Column12448" dataDxfId="3932"/>
    <tableColumn id="12453" name="Column12449" dataDxfId="3931"/>
    <tableColumn id="12454" name="Column12450" dataDxfId="3930"/>
    <tableColumn id="12455" name="Column12451" dataDxfId="3929"/>
    <tableColumn id="12456" name="Column12452" dataDxfId="3928"/>
    <tableColumn id="12457" name="Column12453" dataDxfId="3927"/>
    <tableColumn id="12458" name="Column12454" dataDxfId="3926"/>
    <tableColumn id="12459" name="Column12455" dataDxfId="3925"/>
    <tableColumn id="12460" name="Column12456" dataDxfId="3924"/>
    <tableColumn id="12461" name="Column12457" dataDxfId="3923"/>
    <tableColumn id="12462" name="Column12458" dataDxfId="3922"/>
    <tableColumn id="12463" name="Column12459" dataDxfId="3921"/>
    <tableColumn id="12464" name="Column12460" dataDxfId="3920"/>
    <tableColumn id="12465" name="Column12461" dataDxfId="3919"/>
    <tableColumn id="12466" name="Column12462" dataDxfId="3918"/>
    <tableColumn id="12467" name="Column12463" dataDxfId="3917"/>
    <tableColumn id="12468" name="Column12464" dataDxfId="3916"/>
    <tableColumn id="12469" name="Column12465" dataDxfId="3915"/>
    <tableColumn id="12470" name="Column12466" dataDxfId="3914"/>
    <tableColumn id="12471" name="Column12467" dataDxfId="3913"/>
    <tableColumn id="12472" name="Column12468" dataDxfId="3912"/>
    <tableColumn id="12473" name="Column12469" dataDxfId="3911"/>
    <tableColumn id="12474" name="Column12470" dataDxfId="3910"/>
    <tableColumn id="12475" name="Column12471" dataDxfId="3909"/>
    <tableColumn id="12476" name="Column12472" dataDxfId="3908"/>
    <tableColumn id="12477" name="Column12473" dataDxfId="3907"/>
    <tableColumn id="12478" name="Column12474" dataDxfId="3906"/>
    <tableColumn id="12479" name="Column12475" dataDxfId="3905"/>
    <tableColumn id="12480" name="Column12476" dataDxfId="3904"/>
    <tableColumn id="12481" name="Column12477" dataDxfId="3903"/>
    <tableColumn id="12482" name="Column12478" dataDxfId="3902"/>
    <tableColumn id="12483" name="Column12479" dataDxfId="3901"/>
    <tableColumn id="12484" name="Column12480" dataDxfId="3900"/>
    <tableColumn id="12485" name="Column12481" dataDxfId="3899"/>
    <tableColumn id="12486" name="Column12482" dataDxfId="3898"/>
    <tableColumn id="12487" name="Column12483" dataDxfId="3897"/>
    <tableColumn id="12488" name="Column12484" dataDxfId="3896"/>
    <tableColumn id="12489" name="Column12485" dataDxfId="3895"/>
    <tableColumn id="12490" name="Column12486" dataDxfId="3894"/>
    <tableColumn id="12491" name="Column12487" dataDxfId="3893"/>
    <tableColumn id="12492" name="Column12488" dataDxfId="3892"/>
    <tableColumn id="12493" name="Column12489" dataDxfId="3891"/>
    <tableColumn id="12494" name="Column12490" dataDxfId="3890"/>
    <tableColumn id="12495" name="Column12491" dataDxfId="3889"/>
    <tableColumn id="12496" name="Column12492" dataDxfId="3888"/>
    <tableColumn id="12497" name="Column12493" dataDxfId="3887"/>
    <tableColumn id="12498" name="Column12494" dataDxfId="3886"/>
    <tableColumn id="12499" name="Column12495" dataDxfId="3885"/>
    <tableColumn id="12500" name="Column12496" dataDxfId="3884"/>
    <tableColumn id="12501" name="Column12497" dataDxfId="3883"/>
    <tableColumn id="12502" name="Column12498" dataDxfId="3882"/>
    <tableColumn id="12503" name="Column12499" dataDxfId="3881"/>
    <tableColumn id="12504" name="Column12500" dataDxfId="3880"/>
    <tableColumn id="12505" name="Column12501" dataDxfId="3879"/>
    <tableColumn id="12506" name="Column12502" dataDxfId="3878"/>
    <tableColumn id="12507" name="Column12503" dataDxfId="3877"/>
    <tableColumn id="12508" name="Column12504" dataDxfId="3876"/>
    <tableColumn id="12509" name="Column12505" dataDxfId="3875"/>
    <tableColumn id="12510" name="Column12506" dataDxfId="3874"/>
    <tableColumn id="12511" name="Column12507" dataDxfId="3873"/>
    <tableColumn id="12512" name="Column12508" dataDxfId="3872"/>
    <tableColumn id="12513" name="Column12509" dataDxfId="3871"/>
    <tableColumn id="12514" name="Column12510" dataDxfId="3870"/>
    <tableColumn id="12515" name="Column12511" dataDxfId="3869"/>
    <tableColumn id="12516" name="Column12512" dataDxfId="3868"/>
    <tableColumn id="12517" name="Column12513" dataDxfId="3867"/>
    <tableColumn id="12518" name="Column12514" dataDxfId="3866"/>
    <tableColumn id="12519" name="Column12515" dataDxfId="3865"/>
    <tableColumn id="12520" name="Column12516" dataDxfId="3864"/>
    <tableColumn id="12521" name="Column12517" dataDxfId="3863"/>
    <tableColumn id="12522" name="Column12518" dataDxfId="3862"/>
    <tableColumn id="12523" name="Column12519" dataDxfId="3861"/>
    <tableColumn id="12524" name="Column12520" dataDxfId="3860"/>
    <tableColumn id="12525" name="Column12521" dataDxfId="3859"/>
    <tableColumn id="12526" name="Column12522" dataDxfId="3858"/>
    <tableColumn id="12527" name="Column12523" dataDxfId="3857"/>
    <tableColumn id="12528" name="Column12524" dataDxfId="3856"/>
    <tableColumn id="12529" name="Column12525" dataDxfId="3855"/>
    <tableColumn id="12530" name="Column12526" dataDxfId="3854"/>
    <tableColumn id="12531" name="Column12527" dataDxfId="3853"/>
    <tableColumn id="12532" name="Column12528" dataDxfId="3852"/>
    <tableColumn id="12533" name="Column12529" dataDxfId="3851"/>
    <tableColumn id="12534" name="Column12530" dataDxfId="3850"/>
    <tableColumn id="12535" name="Column12531" dataDxfId="3849"/>
    <tableColumn id="12536" name="Column12532" dataDxfId="3848"/>
    <tableColumn id="12537" name="Column12533" dataDxfId="3847"/>
    <tableColumn id="12538" name="Column12534" dataDxfId="3846"/>
    <tableColumn id="12539" name="Column12535" dataDxfId="3845"/>
    <tableColumn id="12540" name="Column12536" dataDxfId="3844"/>
    <tableColumn id="12541" name="Column12537" dataDxfId="3843"/>
    <tableColumn id="12542" name="Column12538" dataDxfId="3842"/>
    <tableColumn id="12543" name="Column12539" dataDxfId="3841"/>
    <tableColumn id="12544" name="Column12540" dataDxfId="3840"/>
    <tableColumn id="12545" name="Column12541" dataDxfId="3839"/>
    <tableColumn id="12546" name="Column12542" dataDxfId="3838"/>
    <tableColumn id="12547" name="Column12543" dataDxfId="3837"/>
    <tableColumn id="12548" name="Column12544" dataDxfId="3836"/>
    <tableColumn id="12549" name="Column12545" dataDxfId="3835"/>
    <tableColumn id="12550" name="Column12546" dataDxfId="3834"/>
    <tableColumn id="12551" name="Column12547" dataDxfId="3833"/>
    <tableColumn id="12552" name="Column12548" dataDxfId="3832"/>
    <tableColumn id="12553" name="Column12549" dataDxfId="3831"/>
    <tableColumn id="12554" name="Column12550" dataDxfId="3830"/>
    <tableColumn id="12555" name="Column12551" dataDxfId="3829"/>
    <tableColumn id="12556" name="Column12552" dataDxfId="3828"/>
    <tableColumn id="12557" name="Column12553" dataDxfId="3827"/>
    <tableColumn id="12558" name="Column12554" dataDxfId="3826"/>
    <tableColumn id="12559" name="Column12555" dataDxfId="3825"/>
    <tableColumn id="12560" name="Column12556" dataDxfId="3824"/>
    <tableColumn id="12561" name="Column12557" dataDxfId="3823"/>
    <tableColumn id="12562" name="Column12558" dataDxfId="3822"/>
    <tableColumn id="12563" name="Column12559" dataDxfId="3821"/>
    <tableColumn id="12564" name="Column12560" dataDxfId="3820"/>
    <tableColumn id="12565" name="Column12561" dataDxfId="3819"/>
    <tableColumn id="12566" name="Column12562" dataDxfId="3818"/>
    <tableColumn id="12567" name="Column12563" dataDxfId="3817"/>
    <tableColumn id="12568" name="Column12564" dataDxfId="3816"/>
    <tableColumn id="12569" name="Column12565" dataDxfId="3815"/>
    <tableColumn id="12570" name="Column12566" dataDxfId="3814"/>
    <tableColumn id="12571" name="Column12567" dataDxfId="3813"/>
    <tableColumn id="12572" name="Column12568" dataDxfId="3812"/>
    <tableColumn id="12573" name="Column12569" dataDxfId="3811"/>
    <tableColumn id="12574" name="Column12570" dataDxfId="3810"/>
    <tableColumn id="12575" name="Column12571" dataDxfId="3809"/>
    <tableColumn id="12576" name="Column12572" dataDxfId="3808"/>
    <tableColumn id="12577" name="Column12573" dataDxfId="3807"/>
    <tableColumn id="12578" name="Column12574" dataDxfId="3806"/>
    <tableColumn id="12579" name="Column12575" dataDxfId="3805"/>
    <tableColumn id="12580" name="Column12576" dataDxfId="3804"/>
    <tableColumn id="12581" name="Column12577" dataDxfId="3803"/>
    <tableColumn id="12582" name="Column12578" dataDxfId="3802"/>
    <tableColumn id="12583" name="Column12579" dataDxfId="3801"/>
    <tableColumn id="12584" name="Column12580" dataDxfId="3800"/>
    <tableColumn id="12585" name="Column12581" dataDxfId="3799"/>
    <tableColumn id="12586" name="Column12582" dataDxfId="3798"/>
    <tableColumn id="12587" name="Column12583" dataDxfId="3797"/>
    <tableColumn id="12588" name="Column12584" dataDxfId="3796"/>
    <tableColumn id="12589" name="Column12585" dataDxfId="3795"/>
    <tableColumn id="12590" name="Column12586" dataDxfId="3794"/>
    <tableColumn id="12591" name="Column12587" dataDxfId="3793"/>
    <tableColumn id="12592" name="Column12588" dataDxfId="3792"/>
    <tableColumn id="12593" name="Column12589" dataDxfId="3791"/>
    <tableColumn id="12594" name="Column12590" dataDxfId="3790"/>
    <tableColumn id="12595" name="Column12591" dataDxfId="3789"/>
    <tableColumn id="12596" name="Column12592" dataDxfId="3788"/>
    <tableColumn id="12597" name="Column12593" dataDxfId="3787"/>
    <tableColumn id="12598" name="Column12594" dataDxfId="3786"/>
    <tableColumn id="12599" name="Column12595" dataDxfId="3785"/>
    <tableColumn id="12600" name="Column12596" dataDxfId="3784"/>
    <tableColumn id="12601" name="Column12597" dataDxfId="3783"/>
    <tableColumn id="12602" name="Column12598" dataDxfId="3782"/>
    <tableColumn id="12603" name="Column12599" dataDxfId="3781"/>
    <tableColumn id="12604" name="Column12600" dataDxfId="3780"/>
    <tableColumn id="12605" name="Column12601" dataDxfId="3779"/>
    <tableColumn id="12606" name="Column12602" dataDxfId="3778"/>
    <tableColumn id="12607" name="Column12603" dataDxfId="3777"/>
    <tableColumn id="12608" name="Column12604" dataDxfId="3776"/>
    <tableColumn id="12609" name="Column12605" dataDxfId="3775"/>
    <tableColumn id="12610" name="Column12606" dataDxfId="3774"/>
    <tableColumn id="12611" name="Column12607" dataDxfId="3773"/>
    <tableColumn id="12612" name="Column12608" dataDxfId="3772"/>
    <tableColumn id="12613" name="Column12609" dataDxfId="3771"/>
    <tableColumn id="12614" name="Column12610" dataDxfId="3770"/>
    <tableColumn id="12615" name="Column12611" dataDxfId="3769"/>
    <tableColumn id="12616" name="Column12612" dataDxfId="3768"/>
    <tableColumn id="12617" name="Column12613" dataDxfId="3767"/>
    <tableColumn id="12618" name="Column12614" dataDxfId="3766"/>
    <tableColumn id="12619" name="Column12615" dataDxfId="3765"/>
    <tableColumn id="12620" name="Column12616" dataDxfId="3764"/>
    <tableColumn id="12621" name="Column12617" dataDxfId="3763"/>
    <tableColumn id="12622" name="Column12618" dataDxfId="3762"/>
    <tableColumn id="12623" name="Column12619" dataDxfId="3761"/>
    <tableColumn id="12624" name="Column12620" dataDxfId="3760"/>
    <tableColumn id="12625" name="Column12621" dataDxfId="3759"/>
    <tableColumn id="12626" name="Column12622" dataDxfId="3758"/>
    <tableColumn id="12627" name="Column12623" dataDxfId="3757"/>
    <tableColumn id="12628" name="Column12624" dataDxfId="3756"/>
    <tableColumn id="12629" name="Column12625" dataDxfId="3755"/>
    <tableColumn id="12630" name="Column12626" dataDxfId="3754"/>
    <tableColumn id="12631" name="Column12627" dataDxfId="3753"/>
    <tableColumn id="12632" name="Column12628" dataDxfId="3752"/>
    <tableColumn id="12633" name="Column12629" dataDxfId="3751"/>
    <tableColumn id="12634" name="Column12630" dataDxfId="3750"/>
    <tableColumn id="12635" name="Column12631" dataDxfId="3749"/>
    <tableColumn id="12636" name="Column12632" dataDxfId="3748"/>
    <tableColumn id="12637" name="Column12633" dataDxfId="3747"/>
    <tableColumn id="12638" name="Column12634" dataDxfId="3746"/>
    <tableColumn id="12639" name="Column12635" dataDxfId="3745"/>
    <tableColumn id="12640" name="Column12636" dataDxfId="3744"/>
    <tableColumn id="12641" name="Column12637" dataDxfId="3743"/>
    <tableColumn id="12642" name="Column12638" dataDxfId="3742"/>
    <tableColumn id="12643" name="Column12639" dataDxfId="3741"/>
    <tableColumn id="12644" name="Column12640" dataDxfId="3740"/>
    <tableColumn id="12645" name="Column12641" dataDxfId="3739"/>
    <tableColumn id="12646" name="Column12642" dataDxfId="3738"/>
    <tableColumn id="12647" name="Column12643" dataDxfId="3737"/>
    <tableColumn id="12648" name="Column12644" dataDxfId="3736"/>
    <tableColumn id="12649" name="Column12645" dataDxfId="3735"/>
    <tableColumn id="12650" name="Column12646" dataDxfId="3734"/>
    <tableColumn id="12651" name="Column12647" dataDxfId="3733"/>
    <tableColumn id="12652" name="Column12648" dataDxfId="3732"/>
    <tableColumn id="12653" name="Column12649" dataDxfId="3731"/>
    <tableColumn id="12654" name="Column12650" dataDxfId="3730"/>
    <tableColumn id="12655" name="Column12651" dataDxfId="3729"/>
    <tableColumn id="12656" name="Column12652" dataDxfId="3728"/>
    <tableColumn id="12657" name="Column12653" dataDxfId="3727"/>
    <tableColumn id="12658" name="Column12654" dataDxfId="3726"/>
    <tableColumn id="12659" name="Column12655" dataDxfId="3725"/>
    <tableColumn id="12660" name="Column12656" dataDxfId="3724"/>
    <tableColumn id="12661" name="Column12657" dataDxfId="3723"/>
    <tableColumn id="12662" name="Column12658" dataDxfId="3722"/>
    <tableColumn id="12663" name="Column12659" dataDxfId="3721"/>
    <tableColumn id="12664" name="Column12660" dataDxfId="3720"/>
    <tableColumn id="12665" name="Column12661" dataDxfId="3719"/>
    <tableColumn id="12666" name="Column12662" dataDxfId="3718"/>
    <tableColumn id="12667" name="Column12663" dataDxfId="3717"/>
    <tableColumn id="12668" name="Column12664" dataDxfId="3716"/>
    <tableColumn id="12669" name="Column12665" dataDxfId="3715"/>
    <tableColumn id="12670" name="Column12666" dataDxfId="3714"/>
    <tableColumn id="12671" name="Column12667" dataDxfId="3713"/>
    <tableColumn id="12672" name="Column12668" dataDxfId="3712"/>
    <tableColumn id="12673" name="Column12669" dataDxfId="3711"/>
    <tableColumn id="12674" name="Column12670" dataDxfId="3710"/>
    <tableColumn id="12675" name="Column12671" dataDxfId="3709"/>
    <tableColumn id="12676" name="Column12672" dataDxfId="3708"/>
    <tableColumn id="12677" name="Column12673" dataDxfId="3707"/>
    <tableColumn id="12678" name="Column12674" dataDxfId="3706"/>
    <tableColumn id="12679" name="Column12675" dataDxfId="3705"/>
    <tableColumn id="12680" name="Column12676" dataDxfId="3704"/>
    <tableColumn id="12681" name="Column12677" dataDxfId="3703"/>
    <tableColumn id="12682" name="Column12678" dataDxfId="3702"/>
    <tableColumn id="12683" name="Column12679" dataDxfId="3701"/>
    <tableColumn id="12684" name="Column12680" dataDxfId="3700"/>
    <tableColumn id="12685" name="Column12681" dataDxfId="3699"/>
    <tableColumn id="12686" name="Column12682" dataDxfId="3698"/>
    <tableColumn id="12687" name="Column12683" dataDxfId="3697"/>
    <tableColumn id="12688" name="Column12684" dataDxfId="3696"/>
    <tableColumn id="12689" name="Column12685" dataDxfId="3695"/>
    <tableColumn id="12690" name="Column12686" dataDxfId="3694"/>
    <tableColumn id="12691" name="Column12687" dataDxfId="3693"/>
    <tableColumn id="12692" name="Column12688" dataDxfId="3692"/>
    <tableColumn id="12693" name="Column12689" dataDxfId="3691"/>
    <tableColumn id="12694" name="Column12690" dataDxfId="3690"/>
    <tableColumn id="12695" name="Column12691" dataDxfId="3689"/>
    <tableColumn id="12696" name="Column12692" dataDxfId="3688"/>
    <tableColumn id="12697" name="Column12693" dataDxfId="3687"/>
    <tableColumn id="12698" name="Column12694" dataDxfId="3686"/>
    <tableColumn id="12699" name="Column12695" dataDxfId="3685"/>
    <tableColumn id="12700" name="Column12696" dataDxfId="3684"/>
    <tableColumn id="12701" name="Column12697" dataDxfId="3683"/>
    <tableColumn id="12702" name="Column12698" dataDxfId="3682"/>
    <tableColumn id="12703" name="Column12699" dataDxfId="3681"/>
    <tableColumn id="12704" name="Column12700" dataDxfId="3680"/>
    <tableColumn id="12705" name="Column12701" dataDxfId="3679"/>
    <tableColumn id="12706" name="Column12702" dataDxfId="3678"/>
    <tableColumn id="12707" name="Column12703" dataDxfId="3677"/>
    <tableColumn id="12708" name="Column12704" dataDxfId="3676"/>
    <tableColumn id="12709" name="Column12705" dataDxfId="3675"/>
    <tableColumn id="12710" name="Column12706" dataDxfId="3674"/>
    <tableColumn id="12711" name="Column12707" dataDxfId="3673"/>
    <tableColumn id="12712" name="Column12708" dataDxfId="3672"/>
    <tableColumn id="12713" name="Column12709" dataDxfId="3671"/>
    <tableColumn id="12714" name="Column12710" dataDxfId="3670"/>
    <tableColumn id="12715" name="Column12711" dataDxfId="3669"/>
    <tableColumn id="12716" name="Column12712" dataDxfId="3668"/>
    <tableColumn id="12717" name="Column12713" dataDxfId="3667"/>
    <tableColumn id="12718" name="Column12714" dataDxfId="3666"/>
    <tableColumn id="12719" name="Column12715" dataDxfId="3665"/>
    <tableColumn id="12720" name="Column12716" dataDxfId="3664"/>
    <tableColumn id="12721" name="Column12717" dataDxfId="3663"/>
    <tableColumn id="12722" name="Column12718" dataDxfId="3662"/>
    <tableColumn id="12723" name="Column12719" dataDxfId="3661"/>
    <tableColumn id="12724" name="Column12720" dataDxfId="3660"/>
    <tableColumn id="12725" name="Column12721" dataDxfId="3659"/>
    <tableColumn id="12726" name="Column12722" dataDxfId="3658"/>
    <tableColumn id="12727" name="Column12723" dataDxfId="3657"/>
    <tableColumn id="12728" name="Column12724" dataDxfId="3656"/>
    <tableColumn id="12729" name="Column12725" dataDxfId="3655"/>
    <tableColumn id="12730" name="Column12726" dataDxfId="3654"/>
    <tableColumn id="12731" name="Column12727" dataDxfId="3653"/>
    <tableColumn id="12732" name="Column12728" dataDxfId="3652"/>
    <tableColumn id="12733" name="Column12729" dataDxfId="3651"/>
    <tableColumn id="12734" name="Column12730" dataDxfId="3650"/>
    <tableColumn id="12735" name="Column12731" dataDxfId="3649"/>
    <tableColumn id="12736" name="Column12732" dataDxfId="3648"/>
    <tableColumn id="12737" name="Column12733" dataDxfId="3647"/>
    <tableColumn id="12738" name="Column12734" dataDxfId="3646"/>
    <tableColumn id="12739" name="Column12735" dataDxfId="3645"/>
    <tableColumn id="12740" name="Column12736" dataDxfId="3644"/>
    <tableColumn id="12741" name="Column12737" dataDxfId="3643"/>
    <tableColumn id="12742" name="Column12738" dataDxfId="3642"/>
    <tableColumn id="12743" name="Column12739" dataDxfId="3641"/>
    <tableColumn id="12744" name="Column12740" dataDxfId="3640"/>
    <tableColumn id="12745" name="Column12741" dataDxfId="3639"/>
    <tableColumn id="12746" name="Column12742" dataDxfId="3638"/>
    <tableColumn id="12747" name="Column12743" dataDxfId="3637"/>
    <tableColumn id="12748" name="Column12744" dataDxfId="3636"/>
    <tableColumn id="12749" name="Column12745" dataDxfId="3635"/>
    <tableColumn id="12750" name="Column12746" dataDxfId="3634"/>
    <tableColumn id="12751" name="Column12747" dataDxfId="3633"/>
    <tableColumn id="12752" name="Column12748" dataDxfId="3632"/>
    <tableColumn id="12753" name="Column12749" dataDxfId="3631"/>
    <tableColumn id="12754" name="Column12750" dataDxfId="3630"/>
    <tableColumn id="12755" name="Column12751" dataDxfId="3629"/>
    <tableColumn id="12756" name="Column12752" dataDxfId="3628"/>
    <tableColumn id="12757" name="Column12753" dataDxfId="3627"/>
    <tableColumn id="12758" name="Column12754" dataDxfId="3626"/>
    <tableColumn id="12759" name="Column12755" dataDxfId="3625"/>
    <tableColumn id="12760" name="Column12756" dataDxfId="3624"/>
    <tableColumn id="12761" name="Column12757" dataDxfId="3623"/>
    <tableColumn id="12762" name="Column12758" dataDxfId="3622"/>
    <tableColumn id="12763" name="Column12759" dataDxfId="3621"/>
    <tableColumn id="12764" name="Column12760" dataDxfId="3620"/>
    <tableColumn id="12765" name="Column12761" dataDxfId="3619"/>
    <tableColumn id="12766" name="Column12762" dataDxfId="3618"/>
    <tableColumn id="12767" name="Column12763" dataDxfId="3617"/>
    <tableColumn id="12768" name="Column12764" dataDxfId="3616"/>
    <tableColumn id="12769" name="Column12765" dataDxfId="3615"/>
    <tableColumn id="12770" name="Column12766" dataDxfId="3614"/>
    <tableColumn id="12771" name="Column12767" dataDxfId="3613"/>
    <tableColumn id="12772" name="Column12768" dataDxfId="3612"/>
    <tableColumn id="12773" name="Column12769" dataDxfId="3611"/>
    <tableColumn id="12774" name="Column12770" dataDxfId="3610"/>
    <tableColumn id="12775" name="Column12771" dataDxfId="3609"/>
    <tableColumn id="12776" name="Column12772" dataDxfId="3608"/>
    <tableColumn id="12777" name="Column12773" dataDxfId="3607"/>
    <tableColumn id="12778" name="Column12774" dataDxfId="3606"/>
    <tableColumn id="12779" name="Column12775" dataDxfId="3605"/>
    <tableColumn id="12780" name="Column12776" dataDxfId="3604"/>
    <tableColumn id="12781" name="Column12777" dataDxfId="3603"/>
    <tableColumn id="12782" name="Column12778" dataDxfId="3602"/>
    <tableColumn id="12783" name="Column12779" dataDxfId="3601"/>
    <tableColumn id="12784" name="Column12780" dataDxfId="3600"/>
    <tableColumn id="12785" name="Column12781" dataDxfId="3599"/>
    <tableColumn id="12786" name="Column12782" dataDxfId="3598"/>
    <tableColumn id="12787" name="Column12783" dataDxfId="3597"/>
    <tableColumn id="12788" name="Column12784" dataDxfId="3596"/>
    <tableColumn id="12789" name="Column12785" dataDxfId="3595"/>
    <tableColumn id="12790" name="Column12786" dataDxfId="3594"/>
    <tableColumn id="12791" name="Column12787" dataDxfId="3593"/>
    <tableColumn id="12792" name="Column12788" dataDxfId="3592"/>
    <tableColumn id="12793" name="Column12789" dataDxfId="3591"/>
    <tableColumn id="12794" name="Column12790" dataDxfId="3590"/>
    <tableColumn id="12795" name="Column12791" dataDxfId="3589"/>
    <tableColumn id="12796" name="Column12792" dataDxfId="3588"/>
    <tableColumn id="12797" name="Column12793" dataDxfId="3587"/>
    <tableColumn id="12798" name="Column12794" dataDxfId="3586"/>
    <tableColumn id="12799" name="Column12795" dataDxfId="3585"/>
    <tableColumn id="12800" name="Column12796" dataDxfId="3584"/>
    <tableColumn id="12801" name="Column12797" dataDxfId="3583"/>
    <tableColumn id="12802" name="Column12798" dataDxfId="3582"/>
    <tableColumn id="12803" name="Column12799" dataDxfId="3581"/>
    <tableColumn id="12804" name="Column12800" dataDxfId="3580"/>
    <tableColumn id="12805" name="Column12801" dataDxfId="3579"/>
    <tableColumn id="12806" name="Column12802" dataDxfId="3578"/>
    <tableColumn id="12807" name="Column12803" dataDxfId="3577"/>
    <tableColumn id="12808" name="Column12804" dataDxfId="3576"/>
    <tableColumn id="12809" name="Column12805" dataDxfId="3575"/>
    <tableColumn id="12810" name="Column12806" dataDxfId="3574"/>
    <tableColumn id="12811" name="Column12807" dataDxfId="3573"/>
    <tableColumn id="12812" name="Column12808" dataDxfId="3572"/>
    <tableColumn id="12813" name="Column12809" dataDxfId="3571"/>
    <tableColumn id="12814" name="Column12810" dataDxfId="3570"/>
    <tableColumn id="12815" name="Column12811" dataDxfId="3569"/>
    <tableColumn id="12816" name="Column12812" dataDxfId="3568"/>
    <tableColumn id="12817" name="Column12813" dataDxfId="3567"/>
    <tableColumn id="12818" name="Column12814" dataDxfId="3566"/>
    <tableColumn id="12819" name="Column12815" dataDxfId="3565"/>
    <tableColumn id="12820" name="Column12816" dataDxfId="3564"/>
    <tableColumn id="12821" name="Column12817" dataDxfId="3563"/>
    <tableColumn id="12822" name="Column12818" dataDxfId="3562"/>
    <tableColumn id="12823" name="Column12819" dataDxfId="3561"/>
    <tableColumn id="12824" name="Column12820" dataDxfId="3560"/>
    <tableColumn id="12825" name="Column12821" dataDxfId="3559"/>
    <tableColumn id="12826" name="Column12822" dataDxfId="3558"/>
    <tableColumn id="12827" name="Column12823" dataDxfId="3557"/>
    <tableColumn id="12828" name="Column12824" dataDxfId="3556"/>
    <tableColumn id="12829" name="Column12825" dataDxfId="3555"/>
    <tableColumn id="12830" name="Column12826" dataDxfId="3554"/>
    <tableColumn id="12831" name="Column12827" dataDxfId="3553"/>
    <tableColumn id="12832" name="Column12828" dataDxfId="3552"/>
    <tableColumn id="12833" name="Column12829" dataDxfId="3551"/>
    <tableColumn id="12834" name="Column12830" dataDxfId="3550"/>
    <tableColumn id="12835" name="Column12831" dataDxfId="3549"/>
    <tableColumn id="12836" name="Column12832" dataDxfId="3548"/>
    <tableColumn id="12837" name="Column12833" dataDxfId="3547"/>
    <tableColumn id="12838" name="Column12834" dataDxfId="3546"/>
    <tableColumn id="12839" name="Column12835" dataDxfId="3545"/>
    <tableColumn id="12840" name="Column12836" dataDxfId="3544"/>
    <tableColumn id="12841" name="Column12837" dataDxfId="3543"/>
    <tableColumn id="12842" name="Column12838" dataDxfId="3542"/>
    <tableColumn id="12843" name="Column12839" dataDxfId="3541"/>
    <tableColumn id="12844" name="Column12840" dataDxfId="3540"/>
    <tableColumn id="12845" name="Column12841" dataDxfId="3539"/>
    <tableColumn id="12846" name="Column12842" dataDxfId="3538"/>
    <tableColumn id="12847" name="Column12843" dataDxfId="3537"/>
    <tableColumn id="12848" name="Column12844" dataDxfId="3536"/>
    <tableColumn id="12849" name="Column12845" dataDxfId="3535"/>
    <tableColumn id="12850" name="Column12846" dataDxfId="3534"/>
    <tableColumn id="12851" name="Column12847" dataDxfId="3533"/>
    <tableColumn id="12852" name="Column12848" dataDxfId="3532"/>
    <tableColumn id="12853" name="Column12849" dataDxfId="3531"/>
    <tableColumn id="12854" name="Column12850" dataDxfId="3530"/>
    <tableColumn id="12855" name="Column12851" dataDxfId="3529"/>
    <tableColumn id="12856" name="Column12852" dataDxfId="3528"/>
    <tableColumn id="12857" name="Column12853" dataDxfId="3527"/>
    <tableColumn id="12858" name="Column12854" dataDxfId="3526"/>
    <tableColumn id="12859" name="Column12855" dataDxfId="3525"/>
    <tableColumn id="12860" name="Column12856" dataDxfId="3524"/>
    <tableColumn id="12861" name="Column12857" dataDxfId="3523"/>
    <tableColumn id="12862" name="Column12858" dataDxfId="3522"/>
    <tableColumn id="12863" name="Column12859" dataDxfId="3521"/>
    <tableColumn id="12864" name="Column12860" dataDxfId="3520"/>
    <tableColumn id="12865" name="Column12861" dataDxfId="3519"/>
    <tableColumn id="12866" name="Column12862" dataDxfId="3518"/>
    <tableColumn id="12867" name="Column12863" dataDxfId="3517"/>
    <tableColumn id="12868" name="Column12864" dataDxfId="3516"/>
    <tableColumn id="12869" name="Column12865" dataDxfId="3515"/>
    <tableColumn id="12870" name="Column12866" dataDxfId="3514"/>
    <tableColumn id="12871" name="Column12867" dataDxfId="3513"/>
    <tableColumn id="12872" name="Column12868" dataDxfId="3512"/>
    <tableColumn id="12873" name="Column12869" dataDxfId="3511"/>
    <tableColumn id="12874" name="Column12870" dataDxfId="3510"/>
    <tableColumn id="12875" name="Column12871" dataDxfId="3509"/>
    <tableColumn id="12876" name="Column12872" dataDxfId="3508"/>
    <tableColumn id="12877" name="Column12873" dataDxfId="3507"/>
    <tableColumn id="12878" name="Column12874" dataDxfId="3506"/>
    <tableColumn id="12879" name="Column12875" dataDxfId="3505"/>
    <tableColumn id="12880" name="Column12876" dataDxfId="3504"/>
    <tableColumn id="12881" name="Column12877" dataDxfId="3503"/>
    <tableColumn id="12882" name="Column12878" dataDxfId="3502"/>
    <tableColumn id="12883" name="Column12879" dataDxfId="3501"/>
    <tableColumn id="12884" name="Column12880" dataDxfId="3500"/>
    <tableColumn id="12885" name="Column12881" dataDxfId="3499"/>
    <tableColumn id="12886" name="Column12882" dataDxfId="3498"/>
    <tableColumn id="12887" name="Column12883" dataDxfId="3497"/>
    <tableColumn id="12888" name="Column12884" dataDxfId="3496"/>
    <tableColumn id="12889" name="Column12885" dataDxfId="3495"/>
    <tableColumn id="12890" name="Column12886" dataDxfId="3494"/>
    <tableColumn id="12891" name="Column12887" dataDxfId="3493"/>
    <tableColumn id="12892" name="Column12888" dataDxfId="3492"/>
    <tableColumn id="12893" name="Column12889" dataDxfId="3491"/>
    <tableColumn id="12894" name="Column12890" dataDxfId="3490"/>
    <tableColumn id="12895" name="Column12891" dataDxfId="3489"/>
    <tableColumn id="12896" name="Column12892" dataDxfId="3488"/>
    <tableColumn id="12897" name="Column12893" dataDxfId="3487"/>
    <tableColumn id="12898" name="Column12894" dataDxfId="3486"/>
    <tableColumn id="12899" name="Column12895" dataDxfId="3485"/>
    <tableColumn id="12900" name="Column12896" dataDxfId="3484"/>
    <tableColumn id="12901" name="Column12897" dataDxfId="3483"/>
    <tableColumn id="12902" name="Column12898" dataDxfId="3482"/>
    <tableColumn id="12903" name="Column12899" dataDxfId="3481"/>
    <tableColumn id="12904" name="Column12900" dataDxfId="3480"/>
    <tableColumn id="12905" name="Column12901" dataDxfId="3479"/>
    <tableColumn id="12906" name="Column12902" dataDxfId="3478"/>
    <tableColumn id="12907" name="Column12903" dataDxfId="3477"/>
    <tableColumn id="12908" name="Column12904" dataDxfId="3476"/>
    <tableColumn id="12909" name="Column12905" dataDxfId="3475"/>
    <tableColumn id="12910" name="Column12906" dataDxfId="3474"/>
    <tableColumn id="12911" name="Column12907" dataDxfId="3473"/>
    <tableColumn id="12912" name="Column12908" dataDxfId="3472"/>
    <tableColumn id="12913" name="Column12909" dataDxfId="3471"/>
    <tableColumn id="12914" name="Column12910" dataDxfId="3470"/>
    <tableColumn id="12915" name="Column12911" dataDxfId="3469"/>
    <tableColumn id="12916" name="Column12912" dataDxfId="3468"/>
    <tableColumn id="12917" name="Column12913" dataDxfId="3467"/>
    <tableColumn id="12918" name="Column12914" dataDxfId="3466"/>
    <tableColumn id="12919" name="Column12915" dataDxfId="3465"/>
    <tableColumn id="12920" name="Column12916" dataDxfId="3464"/>
    <tableColumn id="12921" name="Column12917" dataDxfId="3463"/>
    <tableColumn id="12922" name="Column12918" dataDxfId="3462"/>
    <tableColumn id="12923" name="Column12919" dataDxfId="3461"/>
    <tableColumn id="12924" name="Column12920" dataDxfId="3460"/>
    <tableColumn id="12925" name="Column12921" dataDxfId="3459"/>
    <tableColumn id="12926" name="Column12922" dataDxfId="3458"/>
    <tableColumn id="12927" name="Column12923" dataDxfId="3457"/>
    <tableColumn id="12928" name="Column12924" dataDxfId="3456"/>
    <tableColumn id="12929" name="Column12925" dataDxfId="3455"/>
    <tableColumn id="12930" name="Column12926" dataDxfId="3454"/>
    <tableColumn id="12931" name="Column12927" dataDxfId="3453"/>
    <tableColumn id="12932" name="Column12928" dataDxfId="3452"/>
    <tableColumn id="12933" name="Column12929" dataDxfId="3451"/>
    <tableColumn id="12934" name="Column12930" dataDxfId="3450"/>
    <tableColumn id="12935" name="Column12931" dataDxfId="3449"/>
    <tableColumn id="12936" name="Column12932" dataDxfId="3448"/>
    <tableColumn id="12937" name="Column12933" dataDxfId="3447"/>
    <tableColumn id="12938" name="Column12934" dataDxfId="3446"/>
    <tableColumn id="12939" name="Column12935" dataDxfId="3445"/>
    <tableColumn id="12940" name="Column12936" dataDxfId="3444"/>
    <tableColumn id="12941" name="Column12937" dataDxfId="3443"/>
    <tableColumn id="12942" name="Column12938" dataDxfId="3442"/>
    <tableColumn id="12943" name="Column12939" dataDxfId="3441"/>
    <tableColumn id="12944" name="Column12940" dataDxfId="3440"/>
    <tableColumn id="12945" name="Column12941" dataDxfId="3439"/>
    <tableColumn id="12946" name="Column12942" dataDxfId="3438"/>
    <tableColumn id="12947" name="Column12943" dataDxfId="3437"/>
    <tableColumn id="12948" name="Column12944" dataDxfId="3436"/>
    <tableColumn id="12949" name="Column12945" dataDxfId="3435"/>
    <tableColumn id="12950" name="Column12946" dataDxfId="3434"/>
    <tableColumn id="12951" name="Column12947" dataDxfId="3433"/>
    <tableColumn id="12952" name="Column12948" dataDxfId="3432"/>
    <tableColumn id="12953" name="Column12949" dataDxfId="3431"/>
    <tableColumn id="12954" name="Column12950" dataDxfId="3430"/>
    <tableColumn id="12955" name="Column12951" dataDxfId="3429"/>
    <tableColumn id="12956" name="Column12952" dataDxfId="3428"/>
    <tableColumn id="12957" name="Column12953" dataDxfId="3427"/>
    <tableColumn id="12958" name="Column12954" dataDxfId="3426"/>
    <tableColumn id="12959" name="Column12955" dataDxfId="3425"/>
    <tableColumn id="12960" name="Column12956" dataDxfId="3424"/>
    <tableColumn id="12961" name="Column12957" dataDxfId="3423"/>
    <tableColumn id="12962" name="Column12958" dataDxfId="3422"/>
    <tableColumn id="12963" name="Column12959" dataDxfId="3421"/>
    <tableColumn id="12964" name="Column12960" dataDxfId="3420"/>
    <tableColumn id="12965" name="Column12961" dataDxfId="3419"/>
    <tableColumn id="12966" name="Column12962" dataDxfId="3418"/>
    <tableColumn id="12967" name="Column12963" dataDxfId="3417"/>
    <tableColumn id="12968" name="Column12964" dataDxfId="3416"/>
    <tableColumn id="12969" name="Column12965" dataDxfId="3415"/>
    <tableColumn id="12970" name="Column12966" dataDxfId="3414"/>
    <tableColumn id="12971" name="Column12967" dataDxfId="3413"/>
    <tableColumn id="12972" name="Column12968" dataDxfId="3412"/>
    <tableColumn id="12973" name="Column12969" dataDxfId="3411"/>
    <tableColumn id="12974" name="Column12970" dataDxfId="3410"/>
    <tableColumn id="12975" name="Column12971" dataDxfId="3409"/>
    <tableColumn id="12976" name="Column12972" dataDxfId="3408"/>
    <tableColumn id="12977" name="Column12973" dataDxfId="3407"/>
    <tableColumn id="12978" name="Column12974" dataDxfId="3406"/>
    <tableColumn id="12979" name="Column12975" dataDxfId="3405"/>
    <tableColumn id="12980" name="Column12976" dataDxfId="3404"/>
    <tableColumn id="12981" name="Column12977" dataDxfId="3403"/>
    <tableColumn id="12982" name="Column12978" dataDxfId="3402"/>
    <tableColumn id="12983" name="Column12979" dataDxfId="3401"/>
    <tableColumn id="12984" name="Column12980" dataDxfId="3400"/>
    <tableColumn id="12985" name="Column12981" dataDxfId="3399"/>
    <tableColumn id="12986" name="Column12982" dataDxfId="3398"/>
    <tableColumn id="12987" name="Column12983" dataDxfId="3397"/>
    <tableColumn id="12988" name="Column12984" dataDxfId="3396"/>
    <tableColumn id="12989" name="Column12985" dataDxfId="3395"/>
    <tableColumn id="12990" name="Column12986" dataDxfId="3394"/>
    <tableColumn id="12991" name="Column12987" dataDxfId="3393"/>
    <tableColumn id="12992" name="Column12988" dataDxfId="3392"/>
    <tableColumn id="12993" name="Column12989" dataDxfId="3391"/>
    <tableColumn id="12994" name="Column12990" dataDxfId="3390"/>
    <tableColumn id="12995" name="Column12991" dataDxfId="3389"/>
    <tableColumn id="12996" name="Column12992" dataDxfId="3388"/>
    <tableColumn id="12997" name="Column12993" dataDxfId="3387"/>
    <tableColumn id="12998" name="Column12994" dataDxfId="3386"/>
    <tableColumn id="12999" name="Column12995" dataDxfId="3385"/>
    <tableColumn id="13000" name="Column12996" dataDxfId="3384"/>
    <tableColumn id="13001" name="Column12997" dataDxfId="3383"/>
    <tableColumn id="13002" name="Column12998" dataDxfId="3382"/>
    <tableColumn id="13003" name="Column12999" dataDxfId="3381"/>
    <tableColumn id="13004" name="Column13000" dataDxfId="3380"/>
    <tableColumn id="13005" name="Column13001" dataDxfId="3379"/>
    <tableColumn id="13006" name="Column13002" dataDxfId="3378"/>
    <tableColumn id="13007" name="Column13003" dataDxfId="3377"/>
    <tableColumn id="13008" name="Column13004" dataDxfId="3376"/>
    <tableColumn id="13009" name="Column13005" dataDxfId="3375"/>
    <tableColumn id="13010" name="Column13006" dataDxfId="3374"/>
    <tableColumn id="13011" name="Column13007" dataDxfId="3373"/>
    <tableColumn id="13012" name="Column13008" dataDxfId="3372"/>
    <tableColumn id="13013" name="Column13009" dataDxfId="3371"/>
    <tableColumn id="13014" name="Column13010" dataDxfId="3370"/>
    <tableColumn id="13015" name="Column13011" dataDxfId="3369"/>
    <tableColumn id="13016" name="Column13012" dataDxfId="3368"/>
    <tableColumn id="13017" name="Column13013" dataDxfId="3367"/>
    <tableColumn id="13018" name="Column13014" dataDxfId="3366"/>
    <tableColumn id="13019" name="Column13015" dataDxfId="3365"/>
    <tableColumn id="13020" name="Column13016" dataDxfId="3364"/>
    <tableColumn id="13021" name="Column13017" dataDxfId="3363"/>
    <tableColumn id="13022" name="Column13018" dataDxfId="3362"/>
    <tableColumn id="13023" name="Column13019" dataDxfId="3361"/>
    <tableColumn id="13024" name="Column13020" dataDxfId="3360"/>
    <tableColumn id="13025" name="Column13021" dataDxfId="3359"/>
    <tableColumn id="13026" name="Column13022" dataDxfId="3358"/>
    <tableColumn id="13027" name="Column13023" dataDxfId="3357"/>
    <tableColumn id="13028" name="Column13024" dataDxfId="3356"/>
    <tableColumn id="13029" name="Column13025" dataDxfId="3355"/>
    <tableColumn id="13030" name="Column13026" dataDxfId="3354"/>
    <tableColumn id="13031" name="Column13027" dataDxfId="3353"/>
    <tableColumn id="13032" name="Column13028" dataDxfId="3352"/>
    <tableColumn id="13033" name="Column13029" dataDxfId="3351"/>
    <tableColumn id="13034" name="Column13030" dataDxfId="3350"/>
    <tableColumn id="13035" name="Column13031" dataDxfId="3349"/>
    <tableColumn id="13036" name="Column13032" dataDxfId="3348"/>
    <tableColumn id="13037" name="Column13033" dataDxfId="3347"/>
    <tableColumn id="13038" name="Column13034" dataDxfId="3346"/>
    <tableColumn id="13039" name="Column13035" dataDxfId="3345"/>
    <tableColumn id="13040" name="Column13036" dataDxfId="3344"/>
    <tableColumn id="13041" name="Column13037" dataDxfId="3343"/>
    <tableColumn id="13042" name="Column13038" dataDxfId="3342"/>
    <tableColumn id="13043" name="Column13039" dataDxfId="3341"/>
    <tableColumn id="13044" name="Column13040" dataDxfId="3340"/>
    <tableColumn id="13045" name="Column13041" dataDxfId="3339"/>
    <tableColumn id="13046" name="Column13042" dataDxfId="3338"/>
    <tableColumn id="13047" name="Column13043" dataDxfId="3337"/>
    <tableColumn id="13048" name="Column13044" dataDxfId="3336"/>
    <tableColumn id="13049" name="Column13045" dataDxfId="3335"/>
    <tableColumn id="13050" name="Column13046" dataDxfId="3334"/>
    <tableColumn id="13051" name="Column13047" dataDxfId="3333"/>
    <tableColumn id="13052" name="Column13048" dataDxfId="3332"/>
    <tableColumn id="13053" name="Column13049" dataDxfId="3331"/>
    <tableColumn id="13054" name="Column13050" dataDxfId="3330"/>
    <tableColumn id="13055" name="Column13051" dataDxfId="3329"/>
    <tableColumn id="13056" name="Column13052" dataDxfId="3328"/>
    <tableColumn id="13057" name="Column13053" dataDxfId="3327"/>
    <tableColumn id="13058" name="Column13054" dataDxfId="3326"/>
    <tableColumn id="13059" name="Column13055" dataDxfId="3325"/>
    <tableColumn id="13060" name="Column13056" dataDxfId="3324"/>
    <tableColumn id="13061" name="Column13057" dataDxfId="3323"/>
    <tableColumn id="13062" name="Column13058" dataDxfId="3322"/>
    <tableColumn id="13063" name="Column13059" dataDxfId="3321"/>
    <tableColumn id="13064" name="Column13060" dataDxfId="3320"/>
    <tableColumn id="13065" name="Column13061" dataDxfId="3319"/>
    <tableColumn id="13066" name="Column13062" dataDxfId="3318"/>
    <tableColumn id="13067" name="Column13063" dataDxfId="3317"/>
    <tableColumn id="13068" name="Column13064" dataDxfId="3316"/>
    <tableColumn id="13069" name="Column13065" dataDxfId="3315"/>
    <tableColumn id="13070" name="Column13066" dataDxfId="3314"/>
    <tableColumn id="13071" name="Column13067" dataDxfId="3313"/>
    <tableColumn id="13072" name="Column13068" dataDxfId="3312"/>
    <tableColumn id="13073" name="Column13069" dataDxfId="3311"/>
    <tableColumn id="13074" name="Column13070" dataDxfId="3310"/>
    <tableColumn id="13075" name="Column13071" dataDxfId="3309"/>
    <tableColumn id="13076" name="Column13072" dataDxfId="3308"/>
    <tableColumn id="13077" name="Column13073" dataDxfId="3307"/>
    <tableColumn id="13078" name="Column13074" dataDxfId="3306"/>
    <tableColumn id="13079" name="Column13075" dataDxfId="3305"/>
    <tableColumn id="13080" name="Column13076" dataDxfId="3304"/>
    <tableColumn id="13081" name="Column13077" dataDxfId="3303"/>
    <tableColumn id="13082" name="Column13078" dataDxfId="3302"/>
    <tableColumn id="13083" name="Column13079" dataDxfId="3301"/>
    <tableColumn id="13084" name="Column13080" dataDxfId="3300"/>
    <tableColumn id="13085" name="Column13081" dataDxfId="3299"/>
    <tableColumn id="13086" name="Column13082" dataDxfId="3298"/>
    <tableColumn id="13087" name="Column13083" dataDxfId="3297"/>
    <tableColumn id="13088" name="Column13084" dataDxfId="3296"/>
    <tableColumn id="13089" name="Column13085" dataDxfId="3295"/>
    <tableColumn id="13090" name="Column13086" dataDxfId="3294"/>
    <tableColumn id="13091" name="Column13087" dataDxfId="3293"/>
    <tableColumn id="13092" name="Column13088" dataDxfId="3292"/>
    <tableColumn id="13093" name="Column13089" dataDxfId="3291"/>
    <tableColumn id="13094" name="Column13090" dataDxfId="3290"/>
    <tableColumn id="13095" name="Column13091" dataDxfId="3289"/>
    <tableColumn id="13096" name="Column13092" dataDxfId="3288"/>
    <tableColumn id="13097" name="Column13093" dataDxfId="3287"/>
    <tableColumn id="13098" name="Column13094" dataDxfId="3286"/>
    <tableColumn id="13099" name="Column13095" dataDxfId="3285"/>
    <tableColumn id="13100" name="Column13096" dataDxfId="3284"/>
    <tableColumn id="13101" name="Column13097" dataDxfId="3283"/>
    <tableColumn id="13102" name="Column13098" dataDxfId="3282"/>
    <tableColumn id="13103" name="Column13099" dataDxfId="3281"/>
    <tableColumn id="13104" name="Column13100" dataDxfId="3280"/>
    <tableColumn id="13105" name="Column13101" dataDxfId="3279"/>
    <tableColumn id="13106" name="Column13102" dataDxfId="3278"/>
    <tableColumn id="13107" name="Column13103" dataDxfId="3277"/>
    <tableColumn id="13108" name="Column13104" dataDxfId="3276"/>
    <tableColumn id="13109" name="Column13105" dataDxfId="3275"/>
    <tableColumn id="13110" name="Column13106" dataDxfId="3274"/>
    <tableColumn id="13111" name="Column13107" dataDxfId="3273"/>
    <tableColumn id="13112" name="Column13108" dataDxfId="3272"/>
    <tableColumn id="13113" name="Column13109" dataDxfId="3271"/>
    <tableColumn id="13114" name="Column13110" dataDxfId="3270"/>
    <tableColumn id="13115" name="Column13111" dataDxfId="3269"/>
    <tableColumn id="13116" name="Column13112" dataDxfId="3268"/>
    <tableColumn id="13117" name="Column13113" dataDxfId="3267"/>
    <tableColumn id="13118" name="Column13114" dataDxfId="3266"/>
    <tableColumn id="13119" name="Column13115" dataDxfId="3265"/>
    <tableColumn id="13120" name="Column13116" dataDxfId="3264"/>
    <tableColumn id="13121" name="Column13117" dataDxfId="3263"/>
    <tableColumn id="13122" name="Column13118" dataDxfId="3262"/>
    <tableColumn id="13123" name="Column13119" dataDxfId="3261"/>
    <tableColumn id="13124" name="Column13120" dataDxfId="3260"/>
    <tableColumn id="13125" name="Column13121" dataDxfId="3259"/>
    <tableColumn id="13126" name="Column13122" dataDxfId="3258"/>
    <tableColumn id="13127" name="Column13123" dataDxfId="3257"/>
    <tableColumn id="13128" name="Column13124" dataDxfId="3256"/>
    <tableColumn id="13129" name="Column13125" dataDxfId="3255"/>
    <tableColumn id="13130" name="Column13126" dataDxfId="3254"/>
    <tableColumn id="13131" name="Column13127" dataDxfId="3253"/>
    <tableColumn id="13132" name="Column13128" dataDxfId="3252"/>
    <tableColumn id="13133" name="Column13129" dataDxfId="3251"/>
    <tableColumn id="13134" name="Column13130" dataDxfId="3250"/>
    <tableColumn id="13135" name="Column13131" dataDxfId="3249"/>
    <tableColumn id="13136" name="Column13132" dataDxfId="3248"/>
    <tableColumn id="13137" name="Column13133" dataDxfId="3247"/>
    <tableColumn id="13138" name="Column13134" dataDxfId="3246"/>
    <tableColumn id="13139" name="Column13135" dataDxfId="3245"/>
    <tableColumn id="13140" name="Column13136" dataDxfId="3244"/>
    <tableColumn id="13141" name="Column13137" dataDxfId="3243"/>
    <tableColumn id="13142" name="Column13138" dataDxfId="3242"/>
    <tableColumn id="13143" name="Column13139" dataDxfId="3241"/>
    <tableColumn id="13144" name="Column13140" dataDxfId="3240"/>
    <tableColumn id="13145" name="Column13141" dataDxfId="3239"/>
    <tableColumn id="13146" name="Column13142" dataDxfId="3238"/>
    <tableColumn id="13147" name="Column13143" dataDxfId="3237"/>
    <tableColumn id="13148" name="Column13144" dataDxfId="3236"/>
    <tableColumn id="13149" name="Column13145" dataDxfId="3235"/>
    <tableColumn id="13150" name="Column13146" dataDxfId="3234"/>
    <tableColumn id="13151" name="Column13147" dataDxfId="3233"/>
    <tableColumn id="13152" name="Column13148" dataDxfId="3232"/>
    <tableColumn id="13153" name="Column13149" dataDxfId="3231"/>
    <tableColumn id="13154" name="Column13150" dataDxfId="3230"/>
    <tableColumn id="13155" name="Column13151" dataDxfId="3229"/>
    <tableColumn id="13156" name="Column13152" dataDxfId="3228"/>
    <tableColumn id="13157" name="Column13153" dataDxfId="3227"/>
    <tableColumn id="13158" name="Column13154" dataDxfId="3226"/>
    <tableColumn id="13159" name="Column13155" dataDxfId="3225"/>
    <tableColumn id="13160" name="Column13156" dataDxfId="3224"/>
    <tableColumn id="13161" name="Column13157" dataDxfId="3223"/>
    <tableColumn id="13162" name="Column13158" dataDxfId="3222"/>
    <tableColumn id="13163" name="Column13159" dataDxfId="3221"/>
    <tableColumn id="13164" name="Column13160" dataDxfId="3220"/>
    <tableColumn id="13165" name="Column13161" dataDxfId="3219"/>
    <tableColumn id="13166" name="Column13162" dataDxfId="3218"/>
    <tableColumn id="13167" name="Column13163" dataDxfId="3217"/>
    <tableColumn id="13168" name="Column13164" dataDxfId="3216"/>
    <tableColumn id="13169" name="Column13165" dataDxfId="3215"/>
    <tableColumn id="13170" name="Column13166" dataDxfId="3214"/>
    <tableColumn id="13171" name="Column13167" dataDxfId="3213"/>
    <tableColumn id="13172" name="Column13168" dataDxfId="3212"/>
    <tableColumn id="13173" name="Column13169" dataDxfId="3211"/>
    <tableColumn id="13174" name="Column13170" dataDxfId="3210"/>
    <tableColumn id="13175" name="Column13171" dataDxfId="3209"/>
    <tableColumn id="13176" name="Column13172" dataDxfId="3208"/>
    <tableColumn id="13177" name="Column13173" dataDxfId="3207"/>
    <tableColumn id="13178" name="Column13174" dataDxfId="3206"/>
    <tableColumn id="13179" name="Column13175" dataDxfId="3205"/>
    <tableColumn id="13180" name="Column13176" dataDxfId="3204"/>
    <tableColumn id="13181" name="Column13177" dataDxfId="3203"/>
    <tableColumn id="13182" name="Column13178" dataDxfId="3202"/>
    <tableColumn id="13183" name="Column13179" dataDxfId="3201"/>
    <tableColumn id="13184" name="Column13180" dataDxfId="3200"/>
    <tableColumn id="13185" name="Column13181" dataDxfId="3199"/>
    <tableColumn id="13186" name="Column13182" dataDxfId="3198"/>
    <tableColumn id="13187" name="Column13183" dataDxfId="3197"/>
    <tableColumn id="13188" name="Column13184" dataDxfId="3196"/>
    <tableColumn id="13189" name="Column13185" dataDxfId="3195"/>
    <tableColumn id="13190" name="Column13186" dataDxfId="3194"/>
    <tableColumn id="13191" name="Column13187" dataDxfId="3193"/>
    <tableColumn id="13192" name="Column13188" dataDxfId="3192"/>
    <tableColumn id="13193" name="Column13189" dataDxfId="3191"/>
    <tableColumn id="13194" name="Column13190" dataDxfId="3190"/>
    <tableColumn id="13195" name="Column13191" dataDxfId="3189"/>
    <tableColumn id="13196" name="Column13192" dataDxfId="3188"/>
    <tableColumn id="13197" name="Column13193" dataDxfId="3187"/>
    <tableColumn id="13198" name="Column13194" dataDxfId="3186"/>
    <tableColumn id="13199" name="Column13195" dataDxfId="3185"/>
    <tableColumn id="13200" name="Column13196" dataDxfId="3184"/>
    <tableColumn id="13201" name="Column13197" dataDxfId="3183"/>
    <tableColumn id="13202" name="Column13198" dataDxfId="3182"/>
    <tableColumn id="13203" name="Column13199" dataDxfId="3181"/>
    <tableColumn id="13204" name="Column13200" dataDxfId="3180"/>
    <tableColumn id="13205" name="Column13201" dataDxfId="3179"/>
    <tableColumn id="13206" name="Column13202" dataDxfId="3178"/>
    <tableColumn id="13207" name="Column13203" dataDxfId="3177"/>
    <tableColumn id="13208" name="Column13204" dataDxfId="3176"/>
    <tableColumn id="13209" name="Column13205" dataDxfId="3175"/>
    <tableColumn id="13210" name="Column13206" dataDxfId="3174"/>
    <tableColumn id="13211" name="Column13207" dataDxfId="3173"/>
    <tableColumn id="13212" name="Column13208" dataDxfId="3172"/>
    <tableColumn id="13213" name="Column13209" dataDxfId="3171"/>
    <tableColumn id="13214" name="Column13210" dataDxfId="3170"/>
    <tableColumn id="13215" name="Column13211" dataDxfId="3169"/>
    <tableColumn id="13216" name="Column13212" dataDxfId="3168"/>
    <tableColumn id="13217" name="Column13213" dataDxfId="3167"/>
    <tableColumn id="13218" name="Column13214" dataDxfId="3166"/>
    <tableColumn id="13219" name="Column13215" dataDxfId="3165"/>
    <tableColumn id="13220" name="Column13216" dataDxfId="3164"/>
    <tableColumn id="13221" name="Column13217" dataDxfId="3163"/>
    <tableColumn id="13222" name="Column13218" dataDxfId="3162"/>
    <tableColumn id="13223" name="Column13219" dataDxfId="3161"/>
    <tableColumn id="13224" name="Column13220" dataDxfId="3160"/>
    <tableColumn id="13225" name="Column13221" dataDxfId="3159"/>
    <tableColumn id="13226" name="Column13222" dataDxfId="3158"/>
    <tableColumn id="13227" name="Column13223" dataDxfId="3157"/>
    <tableColumn id="13228" name="Column13224" dataDxfId="3156"/>
    <tableColumn id="13229" name="Column13225" dataDxfId="3155"/>
    <tableColumn id="13230" name="Column13226" dataDxfId="3154"/>
    <tableColumn id="13231" name="Column13227" dataDxfId="3153"/>
    <tableColumn id="13232" name="Column13228" dataDxfId="3152"/>
    <tableColumn id="13233" name="Column13229" dataDxfId="3151"/>
    <tableColumn id="13234" name="Column13230" dataDxfId="3150"/>
    <tableColumn id="13235" name="Column13231" dataDxfId="3149"/>
    <tableColumn id="13236" name="Column13232" dataDxfId="3148"/>
    <tableColumn id="13237" name="Column13233" dataDxfId="3147"/>
    <tableColumn id="13238" name="Column13234" dataDxfId="3146"/>
    <tableColumn id="13239" name="Column13235" dataDxfId="3145"/>
    <tableColumn id="13240" name="Column13236" dataDxfId="3144"/>
    <tableColumn id="13241" name="Column13237" dataDxfId="3143"/>
    <tableColumn id="13242" name="Column13238" dataDxfId="3142"/>
    <tableColumn id="13243" name="Column13239" dataDxfId="3141"/>
    <tableColumn id="13244" name="Column13240" dataDxfId="3140"/>
    <tableColumn id="13245" name="Column13241" dataDxfId="3139"/>
    <tableColumn id="13246" name="Column13242" dataDxfId="3138"/>
    <tableColumn id="13247" name="Column13243" dataDxfId="3137"/>
    <tableColumn id="13248" name="Column13244" dataDxfId="3136"/>
    <tableColumn id="13249" name="Column13245" dataDxfId="3135"/>
    <tableColumn id="13250" name="Column13246" dataDxfId="3134"/>
    <tableColumn id="13251" name="Column13247" dataDxfId="3133"/>
    <tableColumn id="13252" name="Column13248" dataDxfId="3132"/>
    <tableColumn id="13253" name="Column13249" dataDxfId="3131"/>
    <tableColumn id="13254" name="Column13250" dataDxfId="3130"/>
    <tableColumn id="13255" name="Column13251" dataDxfId="3129"/>
    <tableColumn id="13256" name="Column13252" dataDxfId="3128"/>
    <tableColumn id="13257" name="Column13253" dataDxfId="3127"/>
    <tableColumn id="13258" name="Column13254" dataDxfId="3126"/>
    <tableColumn id="13259" name="Column13255" dataDxfId="3125"/>
    <tableColumn id="13260" name="Column13256" dataDxfId="3124"/>
    <tableColumn id="13261" name="Column13257" dataDxfId="3123"/>
    <tableColumn id="13262" name="Column13258" dataDxfId="3122"/>
    <tableColumn id="13263" name="Column13259" dataDxfId="3121"/>
    <tableColumn id="13264" name="Column13260" dataDxfId="3120"/>
    <tableColumn id="13265" name="Column13261" dataDxfId="3119"/>
    <tableColumn id="13266" name="Column13262" dataDxfId="3118"/>
    <tableColumn id="13267" name="Column13263" dataDxfId="3117"/>
    <tableColumn id="13268" name="Column13264" dataDxfId="3116"/>
    <tableColumn id="13269" name="Column13265" dataDxfId="3115"/>
    <tableColumn id="13270" name="Column13266" dataDxfId="3114"/>
    <tableColumn id="13271" name="Column13267" dataDxfId="3113"/>
    <tableColumn id="13272" name="Column13268" dataDxfId="3112"/>
    <tableColumn id="13273" name="Column13269" dataDxfId="3111"/>
    <tableColumn id="13274" name="Column13270" dataDxfId="3110"/>
    <tableColumn id="13275" name="Column13271" dataDxfId="3109"/>
    <tableColumn id="13276" name="Column13272" dataDxfId="3108"/>
    <tableColumn id="13277" name="Column13273" dataDxfId="3107"/>
    <tableColumn id="13278" name="Column13274" dataDxfId="3106"/>
    <tableColumn id="13279" name="Column13275" dataDxfId="3105"/>
    <tableColumn id="13280" name="Column13276" dataDxfId="3104"/>
    <tableColumn id="13281" name="Column13277" dataDxfId="3103"/>
    <tableColumn id="13282" name="Column13278" dataDxfId="3102"/>
    <tableColumn id="13283" name="Column13279" dataDxfId="3101"/>
    <tableColumn id="13284" name="Column13280" dataDxfId="3100"/>
    <tableColumn id="13285" name="Column13281" dataDxfId="3099"/>
    <tableColumn id="13286" name="Column13282" dataDxfId="3098"/>
    <tableColumn id="13287" name="Column13283" dataDxfId="3097"/>
    <tableColumn id="13288" name="Column13284" dataDxfId="3096"/>
    <tableColumn id="13289" name="Column13285" dataDxfId="3095"/>
    <tableColumn id="13290" name="Column13286" dataDxfId="3094"/>
    <tableColumn id="13291" name="Column13287" dataDxfId="3093"/>
    <tableColumn id="13292" name="Column13288" dataDxfId="3092"/>
    <tableColumn id="13293" name="Column13289" dataDxfId="3091"/>
    <tableColumn id="13294" name="Column13290" dataDxfId="3090"/>
    <tableColumn id="13295" name="Column13291" dataDxfId="3089"/>
    <tableColumn id="13296" name="Column13292" dataDxfId="3088"/>
    <tableColumn id="13297" name="Column13293" dataDxfId="3087"/>
    <tableColumn id="13298" name="Column13294" dataDxfId="3086"/>
    <tableColumn id="13299" name="Column13295" dataDxfId="3085"/>
    <tableColumn id="13300" name="Column13296" dataDxfId="3084"/>
    <tableColumn id="13301" name="Column13297" dataDxfId="3083"/>
    <tableColumn id="13302" name="Column13298" dataDxfId="3082"/>
    <tableColumn id="13303" name="Column13299" dataDxfId="3081"/>
    <tableColumn id="13304" name="Column13300" dataDxfId="3080"/>
    <tableColumn id="13305" name="Column13301" dataDxfId="3079"/>
    <tableColumn id="13306" name="Column13302" dataDxfId="3078"/>
    <tableColumn id="13307" name="Column13303" dataDxfId="3077"/>
    <tableColumn id="13308" name="Column13304" dataDxfId="3076"/>
    <tableColumn id="13309" name="Column13305" dataDxfId="3075"/>
    <tableColumn id="13310" name="Column13306" dataDxfId="3074"/>
    <tableColumn id="13311" name="Column13307" dataDxfId="3073"/>
    <tableColumn id="13312" name="Column13308" dataDxfId="3072"/>
    <tableColumn id="13313" name="Column13309" dataDxfId="3071"/>
    <tableColumn id="13314" name="Column13310" dataDxfId="3070"/>
    <tableColumn id="13315" name="Column13311" dataDxfId="3069"/>
    <tableColumn id="13316" name="Column13312" dataDxfId="3068"/>
    <tableColumn id="13317" name="Column13313" dataDxfId="3067"/>
    <tableColumn id="13318" name="Column13314" dataDxfId="3066"/>
    <tableColumn id="13319" name="Column13315" dataDxfId="3065"/>
    <tableColumn id="13320" name="Column13316" dataDxfId="3064"/>
    <tableColumn id="13321" name="Column13317" dataDxfId="3063"/>
    <tableColumn id="13322" name="Column13318" dataDxfId="3062"/>
    <tableColumn id="13323" name="Column13319" dataDxfId="3061"/>
    <tableColumn id="13324" name="Column13320" dataDxfId="3060"/>
    <tableColumn id="13325" name="Column13321" dataDxfId="3059"/>
    <tableColumn id="13326" name="Column13322" dataDxfId="3058"/>
    <tableColumn id="13327" name="Column13323" dataDxfId="3057"/>
    <tableColumn id="13328" name="Column13324" dataDxfId="3056"/>
    <tableColumn id="13329" name="Column13325" dataDxfId="3055"/>
    <tableColumn id="13330" name="Column13326" dataDxfId="3054"/>
    <tableColumn id="13331" name="Column13327" dataDxfId="3053"/>
    <tableColumn id="13332" name="Column13328" dataDxfId="3052"/>
    <tableColumn id="13333" name="Column13329" dataDxfId="3051"/>
    <tableColumn id="13334" name="Column13330" dataDxfId="3050"/>
    <tableColumn id="13335" name="Column13331" dataDxfId="3049"/>
    <tableColumn id="13336" name="Column13332" dataDxfId="3048"/>
    <tableColumn id="13337" name="Column13333" dataDxfId="3047"/>
    <tableColumn id="13338" name="Column13334" dataDxfId="3046"/>
    <tableColumn id="13339" name="Column13335" dataDxfId="3045"/>
    <tableColumn id="13340" name="Column13336" dataDxfId="3044"/>
    <tableColumn id="13341" name="Column13337" dataDxfId="3043"/>
    <tableColumn id="13342" name="Column13338" dataDxfId="3042"/>
    <tableColumn id="13343" name="Column13339" dataDxfId="3041"/>
    <tableColumn id="13344" name="Column13340" dataDxfId="3040"/>
    <tableColumn id="13345" name="Column13341" dataDxfId="3039"/>
    <tableColumn id="13346" name="Column13342" dataDxfId="3038"/>
    <tableColumn id="13347" name="Column13343" dataDxfId="3037"/>
    <tableColumn id="13348" name="Column13344" dataDxfId="3036"/>
    <tableColumn id="13349" name="Column13345" dataDxfId="3035"/>
    <tableColumn id="13350" name="Column13346" dataDxfId="3034"/>
    <tableColumn id="13351" name="Column13347" dataDxfId="3033"/>
    <tableColumn id="13352" name="Column13348" dataDxfId="3032"/>
    <tableColumn id="13353" name="Column13349" dataDxfId="3031"/>
    <tableColumn id="13354" name="Column13350" dataDxfId="3030"/>
    <tableColumn id="13355" name="Column13351" dataDxfId="3029"/>
    <tableColumn id="13356" name="Column13352" dataDxfId="3028"/>
    <tableColumn id="13357" name="Column13353" dataDxfId="3027"/>
    <tableColumn id="13358" name="Column13354" dataDxfId="3026"/>
    <tableColumn id="13359" name="Column13355" dataDxfId="3025"/>
    <tableColumn id="13360" name="Column13356" dataDxfId="3024"/>
    <tableColumn id="13361" name="Column13357" dataDxfId="3023"/>
    <tableColumn id="13362" name="Column13358" dataDxfId="3022"/>
    <tableColumn id="13363" name="Column13359" dataDxfId="3021"/>
    <tableColumn id="13364" name="Column13360" dataDxfId="3020"/>
    <tableColumn id="13365" name="Column13361" dataDxfId="3019"/>
    <tableColumn id="13366" name="Column13362" dataDxfId="3018"/>
    <tableColumn id="13367" name="Column13363" dataDxfId="3017"/>
    <tableColumn id="13368" name="Column13364" dataDxfId="3016"/>
    <tableColumn id="13369" name="Column13365" dataDxfId="3015"/>
    <tableColumn id="13370" name="Column13366" dataDxfId="3014"/>
    <tableColumn id="13371" name="Column13367" dataDxfId="3013"/>
    <tableColumn id="13372" name="Column13368" dataDxfId="3012"/>
    <tableColumn id="13373" name="Column13369" dataDxfId="3011"/>
    <tableColumn id="13374" name="Column13370" dataDxfId="3010"/>
    <tableColumn id="13375" name="Column13371" dataDxfId="3009"/>
    <tableColumn id="13376" name="Column13372" dataDxfId="3008"/>
    <tableColumn id="13377" name="Column13373" dataDxfId="3007"/>
    <tableColumn id="13378" name="Column13374" dataDxfId="3006"/>
    <tableColumn id="13379" name="Column13375" dataDxfId="3005"/>
    <tableColumn id="13380" name="Column13376" dataDxfId="3004"/>
    <tableColumn id="13381" name="Column13377" dataDxfId="3003"/>
    <tableColumn id="13382" name="Column13378" dataDxfId="3002"/>
    <tableColumn id="13383" name="Column13379" dataDxfId="3001"/>
    <tableColumn id="13384" name="Column13380" dataDxfId="3000"/>
    <tableColumn id="13385" name="Column13381" dataDxfId="2999"/>
    <tableColumn id="13386" name="Column13382" dataDxfId="2998"/>
    <tableColumn id="13387" name="Column13383" dataDxfId="2997"/>
    <tableColumn id="13388" name="Column13384" dataDxfId="2996"/>
    <tableColumn id="13389" name="Column13385" dataDxfId="2995"/>
    <tableColumn id="13390" name="Column13386" dataDxfId="2994"/>
    <tableColumn id="13391" name="Column13387" dataDxfId="2993"/>
    <tableColumn id="13392" name="Column13388" dataDxfId="2992"/>
    <tableColumn id="13393" name="Column13389" dataDxfId="2991"/>
    <tableColumn id="13394" name="Column13390" dataDxfId="2990"/>
    <tableColumn id="13395" name="Column13391" dataDxfId="2989"/>
    <tableColumn id="13396" name="Column13392" dataDxfId="2988"/>
    <tableColumn id="13397" name="Column13393" dataDxfId="2987"/>
    <tableColumn id="13398" name="Column13394" dataDxfId="2986"/>
    <tableColumn id="13399" name="Column13395" dataDxfId="2985"/>
    <tableColumn id="13400" name="Column13396" dataDxfId="2984"/>
    <tableColumn id="13401" name="Column13397" dataDxfId="2983"/>
    <tableColumn id="13402" name="Column13398" dataDxfId="2982"/>
    <tableColumn id="13403" name="Column13399" dataDxfId="2981"/>
    <tableColumn id="13404" name="Column13400" dataDxfId="2980"/>
    <tableColumn id="13405" name="Column13401" dataDxfId="2979"/>
    <tableColumn id="13406" name="Column13402" dataDxfId="2978"/>
    <tableColumn id="13407" name="Column13403" dataDxfId="2977"/>
    <tableColumn id="13408" name="Column13404" dataDxfId="2976"/>
    <tableColumn id="13409" name="Column13405" dataDxfId="2975"/>
    <tableColumn id="13410" name="Column13406" dataDxfId="2974"/>
    <tableColumn id="13411" name="Column13407" dataDxfId="2973"/>
    <tableColumn id="13412" name="Column13408" dataDxfId="2972"/>
    <tableColumn id="13413" name="Column13409" dataDxfId="2971"/>
    <tableColumn id="13414" name="Column13410" dataDxfId="2970"/>
    <tableColumn id="13415" name="Column13411" dataDxfId="2969"/>
    <tableColumn id="13416" name="Column13412" dataDxfId="2968"/>
    <tableColumn id="13417" name="Column13413" dataDxfId="2967"/>
    <tableColumn id="13418" name="Column13414" dataDxfId="2966"/>
    <tableColumn id="13419" name="Column13415" dataDxfId="2965"/>
    <tableColumn id="13420" name="Column13416" dataDxfId="2964"/>
    <tableColumn id="13421" name="Column13417" dataDxfId="2963"/>
    <tableColumn id="13422" name="Column13418" dataDxfId="2962"/>
    <tableColumn id="13423" name="Column13419" dataDxfId="2961"/>
    <tableColumn id="13424" name="Column13420" dataDxfId="2960"/>
    <tableColumn id="13425" name="Column13421" dataDxfId="2959"/>
    <tableColumn id="13426" name="Column13422" dataDxfId="2958"/>
    <tableColumn id="13427" name="Column13423" dataDxfId="2957"/>
    <tableColumn id="13428" name="Column13424" dataDxfId="2956"/>
    <tableColumn id="13429" name="Column13425" dataDxfId="2955"/>
    <tableColumn id="13430" name="Column13426" dataDxfId="2954"/>
    <tableColumn id="13431" name="Column13427" dataDxfId="2953"/>
    <tableColumn id="13432" name="Column13428" dataDxfId="2952"/>
    <tableColumn id="13433" name="Column13429" dataDxfId="2951"/>
    <tableColumn id="13434" name="Column13430" dataDxfId="2950"/>
    <tableColumn id="13435" name="Column13431" dataDxfId="2949"/>
    <tableColumn id="13436" name="Column13432" dataDxfId="2948"/>
    <tableColumn id="13437" name="Column13433" dataDxfId="2947"/>
    <tableColumn id="13438" name="Column13434" dataDxfId="2946"/>
    <tableColumn id="13439" name="Column13435" dataDxfId="2945"/>
    <tableColumn id="13440" name="Column13436" dataDxfId="2944"/>
    <tableColumn id="13441" name="Column13437" dataDxfId="2943"/>
    <tableColumn id="13442" name="Column13438" dataDxfId="2942"/>
    <tableColumn id="13443" name="Column13439" dataDxfId="2941"/>
    <tableColumn id="13444" name="Column13440" dataDxfId="2940"/>
    <tableColumn id="13445" name="Column13441" dataDxfId="2939"/>
    <tableColumn id="13446" name="Column13442" dataDxfId="2938"/>
    <tableColumn id="13447" name="Column13443" dataDxfId="2937"/>
    <tableColumn id="13448" name="Column13444" dataDxfId="2936"/>
    <tableColumn id="13449" name="Column13445" dataDxfId="2935"/>
    <tableColumn id="13450" name="Column13446" dataDxfId="2934"/>
    <tableColumn id="13451" name="Column13447" dataDxfId="2933"/>
    <tableColumn id="13452" name="Column13448" dataDxfId="2932"/>
    <tableColumn id="13453" name="Column13449" dataDxfId="2931"/>
    <tableColumn id="13454" name="Column13450" dataDxfId="2930"/>
    <tableColumn id="13455" name="Column13451" dataDxfId="2929"/>
    <tableColumn id="13456" name="Column13452" dataDxfId="2928"/>
    <tableColumn id="13457" name="Column13453" dataDxfId="2927"/>
    <tableColumn id="13458" name="Column13454" dataDxfId="2926"/>
    <tableColumn id="13459" name="Column13455" dataDxfId="2925"/>
    <tableColumn id="13460" name="Column13456" dataDxfId="2924"/>
    <tableColumn id="13461" name="Column13457" dataDxfId="2923"/>
    <tableColumn id="13462" name="Column13458" dataDxfId="2922"/>
    <tableColumn id="13463" name="Column13459" dataDxfId="2921"/>
    <tableColumn id="13464" name="Column13460" dataDxfId="2920"/>
    <tableColumn id="13465" name="Column13461" dataDxfId="2919"/>
    <tableColumn id="13466" name="Column13462" dataDxfId="2918"/>
    <tableColumn id="13467" name="Column13463" dataDxfId="2917"/>
    <tableColumn id="13468" name="Column13464" dataDxfId="2916"/>
    <tableColumn id="13469" name="Column13465" dataDxfId="2915"/>
    <tableColumn id="13470" name="Column13466" dataDxfId="2914"/>
    <tableColumn id="13471" name="Column13467" dataDxfId="2913"/>
    <tableColumn id="13472" name="Column13468" dataDxfId="2912"/>
    <tableColumn id="13473" name="Column13469" dataDxfId="2911"/>
    <tableColumn id="13474" name="Column13470" dataDxfId="2910"/>
    <tableColumn id="13475" name="Column13471" dataDxfId="2909"/>
    <tableColumn id="13476" name="Column13472" dataDxfId="2908"/>
    <tableColumn id="13477" name="Column13473" dataDxfId="2907"/>
    <tableColumn id="13478" name="Column13474" dataDxfId="2906"/>
    <tableColumn id="13479" name="Column13475" dataDxfId="2905"/>
    <tableColumn id="13480" name="Column13476" dataDxfId="2904"/>
    <tableColumn id="13481" name="Column13477" dataDxfId="2903"/>
    <tableColumn id="13482" name="Column13478" dataDxfId="2902"/>
    <tableColumn id="13483" name="Column13479" dataDxfId="2901"/>
    <tableColumn id="13484" name="Column13480" dataDxfId="2900"/>
    <tableColumn id="13485" name="Column13481" dataDxfId="2899"/>
    <tableColumn id="13486" name="Column13482" dataDxfId="2898"/>
    <tableColumn id="13487" name="Column13483" dataDxfId="2897"/>
    <tableColumn id="13488" name="Column13484" dataDxfId="2896"/>
    <tableColumn id="13489" name="Column13485" dataDxfId="2895"/>
    <tableColumn id="13490" name="Column13486" dataDxfId="2894"/>
    <tableColumn id="13491" name="Column13487" dataDxfId="2893"/>
    <tableColumn id="13492" name="Column13488" dataDxfId="2892"/>
    <tableColumn id="13493" name="Column13489" dataDxfId="2891"/>
    <tableColumn id="13494" name="Column13490" dataDxfId="2890"/>
    <tableColumn id="13495" name="Column13491" dataDxfId="2889"/>
    <tableColumn id="13496" name="Column13492" dataDxfId="2888"/>
    <tableColumn id="13497" name="Column13493" dataDxfId="2887"/>
    <tableColumn id="13498" name="Column13494" dataDxfId="2886"/>
    <tableColumn id="13499" name="Column13495" dataDxfId="2885"/>
    <tableColumn id="13500" name="Column13496" dataDxfId="2884"/>
    <tableColumn id="13501" name="Column13497" dataDxfId="2883"/>
    <tableColumn id="13502" name="Column13498" dataDxfId="2882"/>
    <tableColumn id="13503" name="Column13499" dataDxfId="2881"/>
    <tableColumn id="13504" name="Column13500" dataDxfId="2880"/>
    <tableColumn id="13505" name="Column13501" dataDxfId="2879"/>
    <tableColumn id="13506" name="Column13502" dataDxfId="2878"/>
    <tableColumn id="13507" name="Column13503" dataDxfId="2877"/>
    <tableColumn id="13508" name="Column13504" dataDxfId="2876"/>
    <tableColumn id="13509" name="Column13505" dataDxfId="2875"/>
    <tableColumn id="13510" name="Column13506" dataDxfId="2874"/>
    <tableColumn id="13511" name="Column13507" dataDxfId="2873"/>
    <tableColumn id="13512" name="Column13508" dataDxfId="2872"/>
    <tableColumn id="13513" name="Column13509" dataDxfId="2871"/>
    <tableColumn id="13514" name="Column13510" dataDxfId="2870"/>
    <tableColumn id="13515" name="Column13511" dataDxfId="2869"/>
    <tableColumn id="13516" name="Column13512" dataDxfId="2868"/>
    <tableColumn id="13517" name="Column13513" dataDxfId="2867"/>
    <tableColumn id="13518" name="Column13514" dataDxfId="2866"/>
    <tableColumn id="13519" name="Column13515" dataDxfId="2865"/>
    <tableColumn id="13520" name="Column13516" dataDxfId="2864"/>
    <tableColumn id="13521" name="Column13517" dataDxfId="2863"/>
    <tableColumn id="13522" name="Column13518" dataDxfId="2862"/>
    <tableColumn id="13523" name="Column13519" dataDxfId="2861"/>
    <tableColumn id="13524" name="Column13520" dataDxfId="2860"/>
    <tableColumn id="13525" name="Column13521" dataDxfId="2859"/>
    <tableColumn id="13526" name="Column13522" dataDxfId="2858"/>
    <tableColumn id="13527" name="Column13523" dataDxfId="2857"/>
    <tableColumn id="13528" name="Column13524" dataDxfId="2856"/>
    <tableColumn id="13529" name="Column13525" dataDxfId="2855"/>
    <tableColumn id="13530" name="Column13526" dataDxfId="2854"/>
    <tableColumn id="13531" name="Column13527" dataDxfId="2853"/>
    <tableColumn id="13532" name="Column13528" dataDxfId="2852"/>
    <tableColumn id="13533" name="Column13529" dataDxfId="2851"/>
    <tableColumn id="13534" name="Column13530" dataDxfId="2850"/>
    <tableColumn id="13535" name="Column13531" dataDxfId="2849"/>
    <tableColumn id="13536" name="Column13532" dataDxfId="2848"/>
    <tableColumn id="13537" name="Column13533" dataDxfId="2847"/>
    <tableColumn id="13538" name="Column13534" dataDxfId="2846"/>
    <tableColumn id="13539" name="Column13535" dataDxfId="2845"/>
    <tableColumn id="13540" name="Column13536" dataDxfId="2844"/>
    <tableColumn id="13541" name="Column13537" dataDxfId="2843"/>
    <tableColumn id="13542" name="Column13538" dataDxfId="2842"/>
    <tableColumn id="13543" name="Column13539" dataDxfId="2841"/>
    <tableColumn id="13544" name="Column13540" dataDxfId="2840"/>
    <tableColumn id="13545" name="Column13541" dataDxfId="2839"/>
    <tableColumn id="13546" name="Column13542" dataDxfId="2838"/>
    <tableColumn id="13547" name="Column13543" dataDxfId="2837"/>
    <tableColumn id="13548" name="Column13544" dataDxfId="2836"/>
    <tableColumn id="13549" name="Column13545" dataDxfId="2835"/>
    <tableColumn id="13550" name="Column13546" dataDxfId="2834"/>
    <tableColumn id="13551" name="Column13547" dataDxfId="2833"/>
    <tableColumn id="13552" name="Column13548" dataDxfId="2832"/>
    <tableColumn id="13553" name="Column13549" dataDxfId="2831"/>
    <tableColumn id="13554" name="Column13550" dataDxfId="2830"/>
    <tableColumn id="13555" name="Column13551" dataDxfId="2829"/>
    <tableColumn id="13556" name="Column13552" dataDxfId="2828"/>
    <tableColumn id="13557" name="Column13553" dataDxfId="2827"/>
    <tableColumn id="13558" name="Column13554" dataDxfId="2826"/>
    <tableColumn id="13559" name="Column13555" dataDxfId="2825"/>
    <tableColumn id="13560" name="Column13556" dataDxfId="2824"/>
    <tableColumn id="13561" name="Column13557" dataDxfId="2823"/>
    <tableColumn id="13562" name="Column13558" dataDxfId="2822"/>
    <tableColumn id="13563" name="Column13559" dataDxfId="2821"/>
    <tableColumn id="13564" name="Column13560" dataDxfId="2820"/>
    <tableColumn id="13565" name="Column13561" dataDxfId="2819"/>
    <tableColumn id="13566" name="Column13562" dataDxfId="2818"/>
    <tableColumn id="13567" name="Column13563" dataDxfId="2817"/>
    <tableColumn id="13568" name="Column13564" dataDxfId="2816"/>
    <tableColumn id="13569" name="Column13565" dataDxfId="2815"/>
    <tableColumn id="13570" name="Column13566" dataDxfId="2814"/>
    <tableColumn id="13571" name="Column13567" dataDxfId="2813"/>
    <tableColumn id="13572" name="Column13568" dataDxfId="2812"/>
    <tableColumn id="13573" name="Column13569" dataDxfId="2811"/>
    <tableColumn id="13574" name="Column13570" dataDxfId="2810"/>
    <tableColumn id="13575" name="Column13571" dataDxfId="2809"/>
    <tableColumn id="13576" name="Column13572" dataDxfId="2808"/>
    <tableColumn id="13577" name="Column13573" dataDxfId="2807"/>
    <tableColumn id="13578" name="Column13574" dataDxfId="2806"/>
    <tableColumn id="13579" name="Column13575" dataDxfId="2805"/>
    <tableColumn id="13580" name="Column13576" dataDxfId="2804"/>
    <tableColumn id="13581" name="Column13577" dataDxfId="2803"/>
    <tableColumn id="13582" name="Column13578" dataDxfId="2802"/>
    <tableColumn id="13583" name="Column13579" dataDxfId="2801"/>
    <tableColumn id="13584" name="Column13580" dataDxfId="2800"/>
    <tableColumn id="13585" name="Column13581" dataDxfId="2799"/>
    <tableColumn id="13586" name="Column13582" dataDxfId="2798"/>
    <tableColumn id="13587" name="Column13583" dataDxfId="2797"/>
    <tableColumn id="13588" name="Column13584" dataDxfId="2796"/>
    <tableColumn id="13589" name="Column13585" dataDxfId="2795"/>
    <tableColumn id="13590" name="Column13586" dataDxfId="2794"/>
    <tableColumn id="13591" name="Column13587" dataDxfId="2793"/>
    <tableColumn id="13592" name="Column13588" dataDxfId="2792"/>
    <tableColumn id="13593" name="Column13589" dataDxfId="2791"/>
    <tableColumn id="13594" name="Column13590" dataDxfId="2790"/>
    <tableColumn id="13595" name="Column13591" dataDxfId="2789"/>
    <tableColumn id="13596" name="Column13592" dataDxfId="2788"/>
    <tableColumn id="13597" name="Column13593" dataDxfId="2787"/>
    <tableColumn id="13598" name="Column13594" dataDxfId="2786"/>
    <tableColumn id="13599" name="Column13595" dataDxfId="2785"/>
    <tableColumn id="13600" name="Column13596" dataDxfId="2784"/>
    <tableColumn id="13601" name="Column13597" dataDxfId="2783"/>
    <tableColumn id="13602" name="Column13598" dataDxfId="2782"/>
    <tableColumn id="13603" name="Column13599" dataDxfId="2781"/>
    <tableColumn id="13604" name="Column13600" dataDxfId="2780"/>
    <tableColumn id="13605" name="Column13601" dataDxfId="2779"/>
    <tableColumn id="13606" name="Column13602" dataDxfId="2778"/>
    <tableColumn id="13607" name="Column13603" dataDxfId="2777"/>
    <tableColumn id="13608" name="Column13604" dataDxfId="2776"/>
    <tableColumn id="13609" name="Column13605" dataDxfId="2775"/>
    <tableColumn id="13610" name="Column13606" dataDxfId="2774"/>
    <tableColumn id="13611" name="Column13607" dataDxfId="2773"/>
    <tableColumn id="13612" name="Column13608" dataDxfId="2772"/>
    <tableColumn id="13613" name="Column13609" dataDxfId="2771"/>
    <tableColumn id="13614" name="Column13610" dataDxfId="2770"/>
    <tableColumn id="13615" name="Column13611" dataDxfId="2769"/>
    <tableColumn id="13616" name="Column13612" dataDxfId="2768"/>
    <tableColumn id="13617" name="Column13613" dataDxfId="2767"/>
    <tableColumn id="13618" name="Column13614" dataDxfId="2766"/>
    <tableColumn id="13619" name="Column13615" dataDxfId="2765"/>
    <tableColumn id="13620" name="Column13616" dataDxfId="2764"/>
    <tableColumn id="13621" name="Column13617" dataDxfId="2763"/>
    <tableColumn id="13622" name="Column13618" dataDxfId="2762"/>
    <tableColumn id="13623" name="Column13619" dataDxfId="2761"/>
    <tableColumn id="13624" name="Column13620" dataDxfId="2760"/>
    <tableColumn id="13625" name="Column13621" dataDxfId="2759"/>
    <tableColumn id="13626" name="Column13622" dataDxfId="2758"/>
    <tableColumn id="13627" name="Column13623" dataDxfId="2757"/>
    <tableColumn id="13628" name="Column13624" dataDxfId="2756"/>
    <tableColumn id="13629" name="Column13625" dataDxfId="2755"/>
    <tableColumn id="13630" name="Column13626" dataDxfId="2754"/>
    <tableColumn id="13631" name="Column13627" dataDxfId="2753"/>
    <tableColumn id="13632" name="Column13628" dataDxfId="2752"/>
    <tableColumn id="13633" name="Column13629" dataDxfId="2751"/>
    <tableColumn id="13634" name="Column13630" dataDxfId="2750"/>
    <tableColumn id="13635" name="Column13631" dataDxfId="2749"/>
    <tableColumn id="13636" name="Column13632" dataDxfId="2748"/>
    <tableColumn id="13637" name="Column13633" dataDxfId="2747"/>
    <tableColumn id="13638" name="Column13634" dataDxfId="2746"/>
    <tableColumn id="13639" name="Column13635" dataDxfId="2745"/>
    <tableColumn id="13640" name="Column13636" dataDxfId="2744"/>
    <tableColumn id="13641" name="Column13637" dataDxfId="2743"/>
    <tableColumn id="13642" name="Column13638" dataDxfId="2742"/>
    <tableColumn id="13643" name="Column13639" dataDxfId="2741"/>
    <tableColumn id="13644" name="Column13640" dataDxfId="2740"/>
    <tableColumn id="13645" name="Column13641" dataDxfId="2739"/>
    <tableColumn id="13646" name="Column13642" dataDxfId="2738"/>
    <tableColumn id="13647" name="Column13643" dataDxfId="2737"/>
    <tableColumn id="13648" name="Column13644" dataDxfId="2736"/>
    <tableColumn id="13649" name="Column13645" dataDxfId="2735"/>
    <tableColumn id="13650" name="Column13646" dataDxfId="2734"/>
    <tableColumn id="13651" name="Column13647" dataDxfId="2733"/>
    <tableColumn id="13652" name="Column13648" dataDxfId="2732"/>
    <tableColumn id="13653" name="Column13649" dataDxfId="2731"/>
    <tableColumn id="13654" name="Column13650" dataDxfId="2730"/>
    <tableColumn id="13655" name="Column13651" dataDxfId="2729"/>
    <tableColumn id="13656" name="Column13652" dataDxfId="2728"/>
    <tableColumn id="13657" name="Column13653" dataDxfId="2727"/>
    <tableColumn id="13658" name="Column13654" dataDxfId="2726"/>
    <tableColumn id="13659" name="Column13655" dataDxfId="2725"/>
    <tableColumn id="13660" name="Column13656" dataDxfId="2724"/>
    <tableColumn id="13661" name="Column13657" dataDxfId="2723"/>
    <tableColumn id="13662" name="Column13658" dataDxfId="2722"/>
    <tableColumn id="13663" name="Column13659" dataDxfId="2721"/>
    <tableColumn id="13664" name="Column13660" dataDxfId="2720"/>
    <tableColumn id="13665" name="Column13661" dataDxfId="2719"/>
    <tableColumn id="13666" name="Column13662" dataDxfId="2718"/>
    <tableColumn id="13667" name="Column13663" dataDxfId="2717"/>
    <tableColumn id="13668" name="Column13664" dataDxfId="2716"/>
    <tableColumn id="13669" name="Column13665" dataDxfId="2715"/>
    <tableColumn id="13670" name="Column13666" dataDxfId="2714"/>
    <tableColumn id="13671" name="Column13667" dataDxfId="2713"/>
    <tableColumn id="13672" name="Column13668" dataDxfId="2712"/>
    <tableColumn id="13673" name="Column13669" dataDxfId="2711"/>
    <tableColumn id="13674" name="Column13670" dataDxfId="2710"/>
    <tableColumn id="13675" name="Column13671" dataDxfId="2709"/>
    <tableColumn id="13676" name="Column13672" dataDxfId="2708"/>
    <tableColumn id="13677" name="Column13673" dataDxfId="2707"/>
    <tableColumn id="13678" name="Column13674" dataDxfId="2706"/>
    <tableColumn id="13679" name="Column13675" dataDxfId="2705"/>
    <tableColumn id="13680" name="Column13676" dataDxfId="2704"/>
    <tableColumn id="13681" name="Column13677" dataDxfId="2703"/>
    <tableColumn id="13682" name="Column13678" dataDxfId="2702"/>
    <tableColumn id="13683" name="Column13679" dataDxfId="2701"/>
    <tableColumn id="13684" name="Column13680" dataDxfId="2700"/>
    <tableColumn id="13685" name="Column13681" dataDxfId="2699"/>
    <tableColumn id="13686" name="Column13682" dataDxfId="2698"/>
    <tableColumn id="13687" name="Column13683" dataDxfId="2697"/>
    <tableColumn id="13688" name="Column13684" dataDxfId="2696"/>
    <tableColumn id="13689" name="Column13685" dataDxfId="2695"/>
    <tableColumn id="13690" name="Column13686" dataDxfId="2694"/>
    <tableColumn id="13691" name="Column13687" dataDxfId="2693"/>
    <tableColumn id="13692" name="Column13688" dataDxfId="2692"/>
    <tableColumn id="13693" name="Column13689" dataDxfId="2691"/>
    <tableColumn id="13694" name="Column13690" dataDxfId="2690"/>
    <tableColumn id="13695" name="Column13691" dataDxfId="2689"/>
    <tableColumn id="13696" name="Column13692" dataDxfId="2688"/>
    <tableColumn id="13697" name="Column13693" dataDxfId="2687"/>
    <tableColumn id="13698" name="Column13694" dataDxfId="2686"/>
    <tableColumn id="13699" name="Column13695" dataDxfId="2685"/>
    <tableColumn id="13700" name="Column13696" dataDxfId="2684"/>
    <tableColumn id="13701" name="Column13697" dataDxfId="2683"/>
    <tableColumn id="13702" name="Column13698" dataDxfId="2682"/>
    <tableColumn id="13703" name="Column13699" dataDxfId="2681"/>
    <tableColumn id="13704" name="Column13700" dataDxfId="2680"/>
    <tableColumn id="13705" name="Column13701" dataDxfId="2679"/>
    <tableColumn id="13706" name="Column13702" dataDxfId="2678"/>
    <tableColumn id="13707" name="Column13703" dataDxfId="2677"/>
    <tableColumn id="13708" name="Column13704" dataDxfId="2676"/>
    <tableColumn id="13709" name="Column13705" dataDxfId="2675"/>
    <tableColumn id="13710" name="Column13706" dataDxfId="2674"/>
    <tableColumn id="13711" name="Column13707" dataDxfId="2673"/>
    <tableColumn id="13712" name="Column13708" dataDxfId="2672"/>
    <tableColumn id="13713" name="Column13709" dataDxfId="2671"/>
    <tableColumn id="13714" name="Column13710" dataDxfId="2670"/>
    <tableColumn id="13715" name="Column13711" dataDxfId="2669"/>
    <tableColumn id="13716" name="Column13712" dataDxfId="2668"/>
    <tableColumn id="13717" name="Column13713" dataDxfId="2667"/>
    <tableColumn id="13718" name="Column13714" dataDxfId="2666"/>
    <tableColumn id="13719" name="Column13715" dataDxfId="2665"/>
    <tableColumn id="13720" name="Column13716" dataDxfId="2664"/>
    <tableColumn id="13721" name="Column13717" dataDxfId="2663"/>
    <tableColumn id="13722" name="Column13718" dataDxfId="2662"/>
    <tableColumn id="13723" name="Column13719" dataDxfId="2661"/>
    <tableColumn id="13724" name="Column13720" dataDxfId="2660"/>
    <tableColumn id="13725" name="Column13721" dataDxfId="2659"/>
    <tableColumn id="13726" name="Column13722" dataDxfId="2658"/>
    <tableColumn id="13727" name="Column13723" dataDxfId="2657"/>
    <tableColumn id="13728" name="Column13724" dataDxfId="2656"/>
    <tableColumn id="13729" name="Column13725" dataDxfId="2655"/>
    <tableColumn id="13730" name="Column13726" dataDxfId="2654"/>
    <tableColumn id="13731" name="Column13727" dataDxfId="2653"/>
    <tableColumn id="13732" name="Column13728" dataDxfId="2652"/>
    <tableColumn id="13733" name="Column13729" dataDxfId="2651"/>
    <tableColumn id="13734" name="Column13730" dataDxfId="2650"/>
    <tableColumn id="13735" name="Column13731" dataDxfId="2649"/>
    <tableColumn id="13736" name="Column13732" dataDxfId="2648"/>
    <tableColumn id="13737" name="Column13733" dataDxfId="2647"/>
    <tableColumn id="13738" name="Column13734" dataDxfId="2646"/>
    <tableColumn id="13739" name="Column13735" dataDxfId="2645"/>
    <tableColumn id="13740" name="Column13736" dataDxfId="2644"/>
    <tableColumn id="13741" name="Column13737" dataDxfId="2643"/>
    <tableColumn id="13742" name="Column13738" dataDxfId="2642"/>
    <tableColumn id="13743" name="Column13739" dataDxfId="2641"/>
    <tableColumn id="13744" name="Column13740" dataDxfId="2640"/>
    <tableColumn id="13745" name="Column13741" dataDxfId="2639"/>
    <tableColumn id="13746" name="Column13742" dataDxfId="2638"/>
    <tableColumn id="13747" name="Column13743" dataDxfId="2637"/>
    <tableColumn id="13748" name="Column13744" dataDxfId="2636"/>
    <tableColumn id="13749" name="Column13745" dataDxfId="2635"/>
    <tableColumn id="13750" name="Column13746" dataDxfId="2634"/>
    <tableColumn id="13751" name="Column13747" dataDxfId="2633"/>
    <tableColumn id="13752" name="Column13748" dataDxfId="2632"/>
    <tableColumn id="13753" name="Column13749" dataDxfId="2631"/>
    <tableColumn id="13754" name="Column13750" dataDxfId="2630"/>
    <tableColumn id="13755" name="Column13751" dataDxfId="2629"/>
    <tableColumn id="13756" name="Column13752" dataDxfId="2628"/>
    <tableColumn id="13757" name="Column13753" dataDxfId="2627"/>
    <tableColumn id="13758" name="Column13754" dataDxfId="2626"/>
    <tableColumn id="13759" name="Column13755" dataDxfId="2625"/>
    <tableColumn id="13760" name="Column13756" dataDxfId="2624"/>
    <tableColumn id="13761" name="Column13757" dataDxfId="2623"/>
    <tableColumn id="13762" name="Column13758" dataDxfId="2622"/>
    <tableColumn id="13763" name="Column13759" dataDxfId="2621"/>
    <tableColumn id="13764" name="Column13760" dataDxfId="2620"/>
    <tableColumn id="13765" name="Column13761" dataDxfId="2619"/>
    <tableColumn id="13766" name="Column13762" dataDxfId="2618"/>
    <tableColumn id="13767" name="Column13763" dataDxfId="2617"/>
    <tableColumn id="13768" name="Column13764" dataDxfId="2616"/>
    <tableColumn id="13769" name="Column13765" dataDxfId="2615"/>
    <tableColumn id="13770" name="Column13766" dataDxfId="2614"/>
    <tableColumn id="13771" name="Column13767" dataDxfId="2613"/>
    <tableColumn id="13772" name="Column13768" dataDxfId="2612"/>
    <tableColumn id="13773" name="Column13769" dataDxfId="2611"/>
    <tableColumn id="13774" name="Column13770" dataDxfId="2610"/>
    <tableColumn id="13775" name="Column13771" dataDxfId="2609"/>
    <tableColumn id="13776" name="Column13772" dataDxfId="2608"/>
    <tableColumn id="13777" name="Column13773" dataDxfId="2607"/>
    <tableColumn id="13778" name="Column13774" dataDxfId="2606"/>
    <tableColumn id="13779" name="Column13775" dataDxfId="2605"/>
    <tableColumn id="13780" name="Column13776" dataDxfId="2604"/>
    <tableColumn id="13781" name="Column13777" dataDxfId="2603"/>
    <tableColumn id="13782" name="Column13778" dataDxfId="2602"/>
    <tableColumn id="13783" name="Column13779" dataDxfId="2601"/>
    <tableColumn id="13784" name="Column13780" dataDxfId="2600"/>
    <tableColumn id="13785" name="Column13781" dataDxfId="2599"/>
    <tableColumn id="13786" name="Column13782" dataDxfId="2598"/>
    <tableColumn id="13787" name="Column13783" dataDxfId="2597"/>
    <tableColumn id="13788" name="Column13784" dataDxfId="2596"/>
    <tableColumn id="13789" name="Column13785" dataDxfId="2595"/>
    <tableColumn id="13790" name="Column13786" dataDxfId="2594"/>
    <tableColumn id="13791" name="Column13787" dataDxfId="2593"/>
    <tableColumn id="13792" name="Column13788" dataDxfId="2592"/>
    <tableColumn id="13793" name="Column13789" dataDxfId="2591"/>
    <tableColumn id="13794" name="Column13790" dataDxfId="2590"/>
    <tableColumn id="13795" name="Column13791" dataDxfId="2589"/>
    <tableColumn id="13796" name="Column13792" dataDxfId="2588"/>
    <tableColumn id="13797" name="Column13793" dataDxfId="2587"/>
    <tableColumn id="13798" name="Column13794" dataDxfId="2586"/>
    <tableColumn id="13799" name="Column13795" dataDxfId="2585"/>
    <tableColumn id="13800" name="Column13796" dataDxfId="2584"/>
    <tableColumn id="13801" name="Column13797" dataDxfId="2583"/>
    <tableColumn id="13802" name="Column13798" dataDxfId="2582"/>
    <tableColumn id="13803" name="Column13799" dataDxfId="2581"/>
    <tableColumn id="13804" name="Column13800" dataDxfId="2580"/>
    <tableColumn id="13805" name="Column13801" dataDxfId="2579"/>
    <tableColumn id="13806" name="Column13802" dataDxfId="2578"/>
    <tableColumn id="13807" name="Column13803" dataDxfId="2577"/>
    <tableColumn id="13808" name="Column13804" dataDxfId="2576"/>
    <tableColumn id="13809" name="Column13805" dataDxfId="2575"/>
    <tableColumn id="13810" name="Column13806" dataDxfId="2574"/>
    <tableColumn id="13811" name="Column13807" dataDxfId="2573"/>
    <tableColumn id="13812" name="Column13808" dataDxfId="2572"/>
    <tableColumn id="13813" name="Column13809" dataDxfId="2571"/>
    <tableColumn id="13814" name="Column13810" dataDxfId="2570"/>
    <tableColumn id="13815" name="Column13811" dataDxfId="2569"/>
    <tableColumn id="13816" name="Column13812" dataDxfId="2568"/>
    <tableColumn id="13817" name="Column13813" dataDxfId="2567"/>
    <tableColumn id="13818" name="Column13814" dataDxfId="2566"/>
    <tableColumn id="13819" name="Column13815" dataDxfId="2565"/>
    <tableColumn id="13820" name="Column13816" dataDxfId="2564"/>
    <tableColumn id="13821" name="Column13817" dataDxfId="2563"/>
    <tableColumn id="13822" name="Column13818" dataDxfId="2562"/>
    <tableColumn id="13823" name="Column13819" dataDxfId="2561"/>
    <tableColumn id="13824" name="Column13820" dataDxfId="2560"/>
    <tableColumn id="13825" name="Column13821" dataDxfId="2559"/>
    <tableColumn id="13826" name="Column13822" dataDxfId="2558"/>
    <tableColumn id="13827" name="Column13823" dataDxfId="2557"/>
    <tableColumn id="13828" name="Column13824" dataDxfId="2556"/>
    <tableColumn id="13829" name="Column13825" dataDxfId="2555"/>
    <tableColumn id="13830" name="Column13826" dataDxfId="2554"/>
    <tableColumn id="13831" name="Column13827" dataDxfId="2553"/>
    <tableColumn id="13832" name="Column13828" dataDxfId="2552"/>
    <tableColumn id="13833" name="Column13829" dataDxfId="2551"/>
    <tableColumn id="13834" name="Column13830" dataDxfId="2550"/>
    <tableColumn id="13835" name="Column13831" dataDxfId="2549"/>
    <tableColumn id="13836" name="Column13832" dataDxfId="2548"/>
    <tableColumn id="13837" name="Column13833" dataDxfId="2547"/>
    <tableColumn id="13838" name="Column13834" dataDxfId="2546"/>
    <tableColumn id="13839" name="Column13835" dataDxfId="2545"/>
    <tableColumn id="13840" name="Column13836" dataDxfId="2544"/>
    <tableColumn id="13841" name="Column13837" dataDxfId="2543"/>
    <tableColumn id="13842" name="Column13838" dataDxfId="2542"/>
    <tableColumn id="13843" name="Column13839" dataDxfId="2541"/>
    <tableColumn id="13844" name="Column13840" dataDxfId="2540"/>
    <tableColumn id="13845" name="Column13841" dataDxfId="2539"/>
    <tableColumn id="13846" name="Column13842" dataDxfId="2538"/>
    <tableColumn id="13847" name="Column13843" dataDxfId="2537"/>
    <tableColumn id="13848" name="Column13844" dataDxfId="2536"/>
    <tableColumn id="13849" name="Column13845" dataDxfId="2535"/>
    <tableColumn id="13850" name="Column13846" dataDxfId="2534"/>
    <tableColumn id="13851" name="Column13847" dataDxfId="2533"/>
    <tableColumn id="13852" name="Column13848" dataDxfId="2532"/>
    <tableColumn id="13853" name="Column13849" dataDxfId="2531"/>
    <tableColumn id="13854" name="Column13850" dataDxfId="2530"/>
    <tableColumn id="13855" name="Column13851" dataDxfId="2529"/>
    <tableColumn id="13856" name="Column13852" dataDxfId="2528"/>
    <tableColumn id="13857" name="Column13853" dataDxfId="2527"/>
    <tableColumn id="13858" name="Column13854" dataDxfId="2526"/>
    <tableColumn id="13859" name="Column13855" dataDxfId="2525"/>
    <tableColumn id="13860" name="Column13856" dataDxfId="2524"/>
    <tableColumn id="13861" name="Column13857" dataDxfId="2523"/>
    <tableColumn id="13862" name="Column13858" dataDxfId="2522"/>
    <tableColumn id="13863" name="Column13859" dataDxfId="2521"/>
    <tableColumn id="13864" name="Column13860" dataDxfId="2520"/>
    <tableColumn id="13865" name="Column13861" dataDxfId="2519"/>
    <tableColumn id="13866" name="Column13862" dataDxfId="2518"/>
    <tableColumn id="13867" name="Column13863" dataDxfId="2517"/>
    <tableColumn id="13868" name="Column13864" dataDxfId="2516"/>
    <tableColumn id="13869" name="Column13865" dataDxfId="2515"/>
    <tableColumn id="13870" name="Column13866" dataDxfId="2514"/>
    <tableColumn id="13871" name="Column13867" dataDxfId="2513"/>
    <tableColumn id="13872" name="Column13868" dataDxfId="2512"/>
    <tableColumn id="13873" name="Column13869" dataDxfId="2511"/>
    <tableColumn id="13874" name="Column13870" dataDxfId="2510"/>
    <tableColumn id="13875" name="Column13871" dataDxfId="2509"/>
    <tableColumn id="13876" name="Column13872" dataDxfId="2508"/>
    <tableColumn id="13877" name="Column13873" dataDxfId="2507"/>
    <tableColumn id="13878" name="Column13874" dataDxfId="2506"/>
    <tableColumn id="13879" name="Column13875" dataDxfId="2505"/>
    <tableColumn id="13880" name="Column13876" dataDxfId="2504"/>
    <tableColumn id="13881" name="Column13877" dataDxfId="2503"/>
    <tableColumn id="13882" name="Column13878" dataDxfId="2502"/>
    <tableColumn id="13883" name="Column13879" dataDxfId="2501"/>
    <tableColumn id="13884" name="Column13880" dataDxfId="2500"/>
    <tableColumn id="13885" name="Column13881" dataDxfId="2499"/>
    <tableColumn id="13886" name="Column13882" dataDxfId="2498"/>
    <tableColumn id="13887" name="Column13883" dataDxfId="2497"/>
    <tableColumn id="13888" name="Column13884" dataDxfId="2496"/>
    <tableColumn id="13889" name="Column13885" dataDxfId="2495"/>
    <tableColumn id="13890" name="Column13886" dataDxfId="2494"/>
    <tableColumn id="13891" name="Column13887" dataDxfId="2493"/>
    <tableColumn id="13892" name="Column13888" dataDxfId="2492"/>
    <tableColumn id="13893" name="Column13889" dataDxfId="2491"/>
    <tableColumn id="13894" name="Column13890" dataDxfId="2490"/>
    <tableColumn id="13895" name="Column13891" dataDxfId="2489"/>
    <tableColumn id="13896" name="Column13892" dataDxfId="2488"/>
    <tableColumn id="13897" name="Column13893" dataDxfId="2487"/>
    <tableColumn id="13898" name="Column13894" dataDxfId="2486"/>
    <tableColumn id="13899" name="Column13895" dataDxfId="2485"/>
    <tableColumn id="13900" name="Column13896" dataDxfId="2484"/>
    <tableColumn id="13901" name="Column13897" dataDxfId="2483"/>
    <tableColumn id="13902" name="Column13898" dataDxfId="2482"/>
    <tableColumn id="13903" name="Column13899" dataDxfId="2481"/>
    <tableColumn id="13904" name="Column13900" dataDxfId="2480"/>
    <tableColumn id="13905" name="Column13901" dataDxfId="2479"/>
    <tableColumn id="13906" name="Column13902" dataDxfId="2478"/>
    <tableColumn id="13907" name="Column13903" dataDxfId="2477"/>
    <tableColumn id="13908" name="Column13904" dataDxfId="2476"/>
    <tableColumn id="13909" name="Column13905" dataDxfId="2475"/>
    <tableColumn id="13910" name="Column13906" dataDxfId="2474"/>
    <tableColumn id="13911" name="Column13907" dataDxfId="2473"/>
    <tableColumn id="13912" name="Column13908" dataDxfId="2472"/>
    <tableColumn id="13913" name="Column13909" dataDxfId="2471"/>
    <tableColumn id="13914" name="Column13910" dataDxfId="2470"/>
    <tableColumn id="13915" name="Column13911" dataDxfId="2469"/>
    <tableColumn id="13916" name="Column13912" dataDxfId="2468"/>
    <tableColumn id="13917" name="Column13913" dataDxfId="2467"/>
    <tableColumn id="13918" name="Column13914" dataDxfId="2466"/>
    <tableColumn id="13919" name="Column13915" dataDxfId="2465"/>
    <tableColumn id="13920" name="Column13916" dataDxfId="2464"/>
    <tableColumn id="13921" name="Column13917" dataDxfId="2463"/>
    <tableColumn id="13922" name="Column13918" dataDxfId="2462"/>
    <tableColumn id="13923" name="Column13919" dataDxfId="2461"/>
    <tableColumn id="13924" name="Column13920" dataDxfId="2460"/>
    <tableColumn id="13925" name="Column13921" dataDxfId="2459"/>
    <tableColumn id="13926" name="Column13922" dataDxfId="2458"/>
    <tableColumn id="13927" name="Column13923" dataDxfId="2457"/>
    <tableColumn id="13928" name="Column13924" dataDxfId="2456"/>
    <tableColumn id="13929" name="Column13925" dataDxfId="2455"/>
    <tableColumn id="13930" name="Column13926" dataDxfId="2454"/>
    <tableColumn id="13931" name="Column13927" dataDxfId="2453"/>
    <tableColumn id="13932" name="Column13928" dataDxfId="2452"/>
    <tableColumn id="13933" name="Column13929" dataDxfId="2451"/>
    <tableColumn id="13934" name="Column13930" dataDxfId="2450"/>
    <tableColumn id="13935" name="Column13931" dataDxfId="2449"/>
    <tableColumn id="13936" name="Column13932" dataDxfId="2448"/>
    <tableColumn id="13937" name="Column13933" dataDxfId="2447"/>
    <tableColumn id="13938" name="Column13934" dataDxfId="2446"/>
    <tableColumn id="13939" name="Column13935" dataDxfId="2445"/>
    <tableColumn id="13940" name="Column13936" dataDxfId="2444"/>
    <tableColumn id="13941" name="Column13937" dataDxfId="2443"/>
    <tableColumn id="13942" name="Column13938" dataDxfId="2442"/>
    <tableColumn id="13943" name="Column13939" dataDxfId="2441"/>
    <tableColumn id="13944" name="Column13940" dataDxfId="2440"/>
    <tableColumn id="13945" name="Column13941" dataDxfId="2439"/>
    <tableColumn id="13946" name="Column13942" dataDxfId="2438"/>
    <tableColumn id="13947" name="Column13943" dataDxfId="2437"/>
    <tableColumn id="13948" name="Column13944" dataDxfId="2436"/>
    <tableColumn id="13949" name="Column13945" dataDxfId="2435"/>
    <tableColumn id="13950" name="Column13946" dataDxfId="2434"/>
    <tableColumn id="13951" name="Column13947" dataDxfId="2433"/>
    <tableColumn id="13952" name="Column13948" dataDxfId="2432"/>
    <tableColumn id="13953" name="Column13949" dataDxfId="2431"/>
    <tableColumn id="13954" name="Column13950" dataDxfId="2430"/>
    <tableColumn id="13955" name="Column13951" dataDxfId="2429"/>
    <tableColumn id="13956" name="Column13952" dataDxfId="2428"/>
    <tableColumn id="13957" name="Column13953" dataDxfId="2427"/>
    <tableColumn id="13958" name="Column13954" dataDxfId="2426"/>
    <tableColumn id="13959" name="Column13955" dataDxfId="2425"/>
    <tableColumn id="13960" name="Column13956" dataDxfId="2424"/>
    <tableColumn id="13961" name="Column13957" dataDxfId="2423"/>
    <tableColumn id="13962" name="Column13958" dataDxfId="2422"/>
    <tableColumn id="13963" name="Column13959" dataDxfId="2421"/>
    <tableColumn id="13964" name="Column13960" dataDxfId="2420"/>
    <tableColumn id="13965" name="Column13961" dataDxfId="2419"/>
    <tableColumn id="13966" name="Column13962" dataDxfId="2418"/>
    <tableColumn id="13967" name="Column13963" dataDxfId="2417"/>
    <tableColumn id="13968" name="Column13964" dataDxfId="2416"/>
    <tableColumn id="13969" name="Column13965" dataDxfId="2415"/>
    <tableColumn id="13970" name="Column13966" dataDxfId="2414"/>
    <tableColumn id="13971" name="Column13967" dataDxfId="2413"/>
    <tableColumn id="13972" name="Column13968" dataDxfId="2412"/>
    <tableColumn id="13973" name="Column13969" dataDxfId="2411"/>
    <tableColumn id="13974" name="Column13970" dataDxfId="2410"/>
    <tableColumn id="13975" name="Column13971" dataDxfId="2409"/>
    <tableColumn id="13976" name="Column13972" dataDxfId="2408"/>
    <tableColumn id="13977" name="Column13973" dataDxfId="2407"/>
    <tableColumn id="13978" name="Column13974" dataDxfId="2406"/>
    <tableColumn id="13979" name="Column13975" dataDxfId="2405"/>
    <tableColumn id="13980" name="Column13976" dataDxfId="2404"/>
    <tableColumn id="13981" name="Column13977" dataDxfId="2403"/>
    <tableColumn id="13982" name="Column13978" dataDxfId="2402"/>
    <tableColumn id="13983" name="Column13979" dataDxfId="2401"/>
    <tableColumn id="13984" name="Column13980" dataDxfId="2400"/>
    <tableColumn id="13985" name="Column13981" dataDxfId="2399"/>
    <tableColumn id="13986" name="Column13982" dataDxfId="2398"/>
    <tableColumn id="13987" name="Column13983" dataDxfId="2397"/>
    <tableColumn id="13988" name="Column13984" dataDxfId="2396"/>
    <tableColumn id="13989" name="Column13985" dataDxfId="2395"/>
    <tableColumn id="13990" name="Column13986" dataDxfId="2394"/>
    <tableColumn id="13991" name="Column13987" dataDxfId="2393"/>
    <tableColumn id="13992" name="Column13988" dataDxfId="2392"/>
    <tableColumn id="13993" name="Column13989" dataDxfId="2391"/>
    <tableColumn id="13994" name="Column13990" dataDxfId="2390"/>
    <tableColumn id="13995" name="Column13991" dataDxfId="2389"/>
    <tableColumn id="13996" name="Column13992" dataDxfId="2388"/>
    <tableColumn id="13997" name="Column13993" dataDxfId="2387"/>
    <tableColumn id="13998" name="Column13994" dataDxfId="2386"/>
    <tableColumn id="13999" name="Column13995" dataDxfId="2385"/>
    <tableColumn id="14000" name="Column13996" dataDxfId="2384"/>
    <tableColumn id="14001" name="Column13997" dataDxfId="2383"/>
    <tableColumn id="14002" name="Column13998" dataDxfId="2382"/>
    <tableColumn id="14003" name="Column13999" dataDxfId="2381"/>
    <tableColumn id="14004" name="Column14000" dataDxfId="2380"/>
    <tableColumn id="14005" name="Column14001" dataDxfId="2379"/>
    <tableColumn id="14006" name="Column14002" dataDxfId="2378"/>
    <tableColumn id="14007" name="Column14003" dataDxfId="2377"/>
    <tableColumn id="14008" name="Column14004" dataDxfId="2376"/>
    <tableColumn id="14009" name="Column14005" dataDxfId="2375"/>
    <tableColumn id="14010" name="Column14006" dataDxfId="2374"/>
    <tableColumn id="14011" name="Column14007" dataDxfId="2373"/>
    <tableColumn id="14012" name="Column14008" dataDxfId="2372"/>
    <tableColumn id="14013" name="Column14009" dataDxfId="2371"/>
    <tableColumn id="14014" name="Column14010" dataDxfId="2370"/>
    <tableColumn id="14015" name="Column14011" dataDxfId="2369"/>
    <tableColumn id="14016" name="Column14012" dataDxfId="2368"/>
    <tableColumn id="14017" name="Column14013" dataDxfId="2367"/>
    <tableColumn id="14018" name="Column14014" dataDxfId="2366"/>
    <tableColumn id="14019" name="Column14015" dataDxfId="2365"/>
    <tableColumn id="14020" name="Column14016" dataDxfId="2364"/>
    <tableColumn id="14021" name="Column14017" dataDxfId="2363"/>
    <tableColumn id="14022" name="Column14018" dataDxfId="2362"/>
    <tableColumn id="14023" name="Column14019" dataDxfId="2361"/>
    <tableColumn id="14024" name="Column14020" dataDxfId="2360"/>
    <tableColumn id="14025" name="Column14021" dataDxfId="2359"/>
    <tableColumn id="14026" name="Column14022" dataDxfId="2358"/>
    <tableColumn id="14027" name="Column14023" dataDxfId="2357"/>
    <tableColumn id="14028" name="Column14024" dataDxfId="2356"/>
    <tableColumn id="14029" name="Column14025" dataDxfId="2355"/>
    <tableColumn id="14030" name="Column14026" dataDxfId="2354"/>
    <tableColumn id="14031" name="Column14027" dataDxfId="2353"/>
    <tableColumn id="14032" name="Column14028" dataDxfId="2352"/>
    <tableColumn id="14033" name="Column14029" dataDxfId="2351"/>
    <tableColumn id="14034" name="Column14030" dataDxfId="2350"/>
    <tableColumn id="14035" name="Column14031" dataDxfId="2349"/>
    <tableColumn id="14036" name="Column14032" dataDxfId="2348"/>
    <tableColumn id="14037" name="Column14033" dataDxfId="2347"/>
    <tableColumn id="14038" name="Column14034" dataDxfId="2346"/>
    <tableColumn id="14039" name="Column14035" dataDxfId="2345"/>
    <tableColumn id="14040" name="Column14036" dataDxfId="2344"/>
    <tableColumn id="14041" name="Column14037" dataDxfId="2343"/>
    <tableColumn id="14042" name="Column14038" dataDxfId="2342"/>
    <tableColumn id="14043" name="Column14039" dataDxfId="2341"/>
    <tableColumn id="14044" name="Column14040" dataDxfId="2340"/>
    <tableColumn id="14045" name="Column14041" dataDxfId="2339"/>
    <tableColumn id="14046" name="Column14042" dataDxfId="2338"/>
    <tableColumn id="14047" name="Column14043" dataDxfId="2337"/>
    <tableColumn id="14048" name="Column14044" dataDxfId="2336"/>
    <tableColumn id="14049" name="Column14045" dataDxfId="2335"/>
    <tableColumn id="14050" name="Column14046" dataDxfId="2334"/>
    <tableColumn id="14051" name="Column14047" dataDxfId="2333"/>
    <tableColumn id="14052" name="Column14048" dataDxfId="2332"/>
    <tableColumn id="14053" name="Column14049" dataDxfId="2331"/>
    <tableColumn id="14054" name="Column14050" dataDxfId="2330"/>
    <tableColumn id="14055" name="Column14051" dataDxfId="2329"/>
    <tableColumn id="14056" name="Column14052" dataDxfId="2328"/>
    <tableColumn id="14057" name="Column14053" dataDxfId="2327"/>
    <tableColumn id="14058" name="Column14054" dataDxfId="2326"/>
    <tableColumn id="14059" name="Column14055" dataDxfId="2325"/>
    <tableColumn id="14060" name="Column14056" dataDxfId="2324"/>
    <tableColumn id="14061" name="Column14057" dataDxfId="2323"/>
    <tableColumn id="14062" name="Column14058" dataDxfId="2322"/>
    <tableColumn id="14063" name="Column14059" dataDxfId="2321"/>
    <tableColumn id="14064" name="Column14060" dataDxfId="2320"/>
    <tableColumn id="14065" name="Column14061" dataDxfId="2319"/>
    <tableColumn id="14066" name="Column14062" dataDxfId="2318"/>
    <tableColumn id="14067" name="Column14063" dataDxfId="2317"/>
    <tableColumn id="14068" name="Column14064" dataDxfId="2316"/>
    <tableColumn id="14069" name="Column14065" dataDxfId="2315"/>
    <tableColumn id="14070" name="Column14066" dataDxfId="2314"/>
    <tableColumn id="14071" name="Column14067" dataDxfId="2313"/>
    <tableColumn id="14072" name="Column14068" dataDxfId="2312"/>
    <tableColumn id="14073" name="Column14069" dataDxfId="2311"/>
    <tableColumn id="14074" name="Column14070" dataDxfId="2310"/>
    <tableColumn id="14075" name="Column14071" dataDxfId="2309"/>
    <tableColumn id="14076" name="Column14072" dataDxfId="2308"/>
    <tableColumn id="14077" name="Column14073" dataDxfId="2307"/>
    <tableColumn id="14078" name="Column14074" dataDxfId="2306"/>
    <tableColumn id="14079" name="Column14075" dataDxfId="2305"/>
    <tableColumn id="14080" name="Column14076" dataDxfId="2304"/>
    <tableColumn id="14081" name="Column14077" dataDxfId="2303"/>
    <tableColumn id="14082" name="Column14078" dataDxfId="2302"/>
    <tableColumn id="14083" name="Column14079" dataDxfId="2301"/>
    <tableColumn id="14084" name="Column14080" dataDxfId="2300"/>
    <tableColumn id="14085" name="Column14081" dataDxfId="2299"/>
    <tableColumn id="14086" name="Column14082" dataDxfId="2298"/>
    <tableColumn id="14087" name="Column14083" dataDxfId="2297"/>
    <tableColumn id="14088" name="Column14084" dataDxfId="2296"/>
    <tableColumn id="14089" name="Column14085" dataDxfId="2295"/>
    <tableColumn id="14090" name="Column14086" dataDxfId="2294"/>
    <tableColumn id="14091" name="Column14087" dataDxfId="2293"/>
    <tableColumn id="14092" name="Column14088" dataDxfId="2292"/>
    <tableColumn id="14093" name="Column14089" dataDxfId="2291"/>
    <tableColumn id="14094" name="Column14090" dataDxfId="2290"/>
    <tableColumn id="14095" name="Column14091" dataDxfId="2289"/>
    <tableColumn id="14096" name="Column14092" dataDxfId="2288"/>
    <tableColumn id="14097" name="Column14093" dataDxfId="2287"/>
    <tableColumn id="14098" name="Column14094" dataDxfId="2286"/>
    <tableColumn id="14099" name="Column14095" dataDxfId="2285"/>
    <tableColumn id="14100" name="Column14096" dataDxfId="2284"/>
    <tableColumn id="14101" name="Column14097" dataDxfId="2283"/>
    <tableColumn id="14102" name="Column14098" dataDxfId="2282"/>
    <tableColumn id="14103" name="Column14099" dataDxfId="2281"/>
    <tableColumn id="14104" name="Column14100" dataDxfId="2280"/>
    <tableColumn id="14105" name="Column14101" dataDxfId="2279"/>
    <tableColumn id="14106" name="Column14102" dataDxfId="2278"/>
    <tableColumn id="14107" name="Column14103" dataDxfId="2277"/>
    <tableColumn id="14108" name="Column14104" dataDxfId="2276"/>
    <tableColumn id="14109" name="Column14105" dataDxfId="2275"/>
    <tableColumn id="14110" name="Column14106" dataDxfId="2274"/>
    <tableColumn id="14111" name="Column14107" dataDxfId="2273"/>
    <tableColumn id="14112" name="Column14108" dataDxfId="2272"/>
    <tableColumn id="14113" name="Column14109" dataDxfId="2271"/>
    <tableColumn id="14114" name="Column14110" dataDxfId="2270"/>
    <tableColumn id="14115" name="Column14111" dataDxfId="2269"/>
    <tableColumn id="14116" name="Column14112" dataDxfId="2268"/>
    <tableColumn id="14117" name="Column14113" dataDxfId="2267"/>
    <tableColumn id="14118" name="Column14114" dataDxfId="2266"/>
    <tableColumn id="14119" name="Column14115" dataDxfId="2265"/>
    <tableColumn id="14120" name="Column14116" dataDxfId="2264"/>
    <tableColumn id="14121" name="Column14117" dataDxfId="2263"/>
    <tableColumn id="14122" name="Column14118" dataDxfId="2262"/>
    <tableColumn id="14123" name="Column14119" dataDxfId="2261"/>
    <tableColumn id="14124" name="Column14120" dataDxfId="2260"/>
    <tableColumn id="14125" name="Column14121" dataDxfId="2259"/>
    <tableColumn id="14126" name="Column14122" dataDxfId="2258"/>
    <tableColumn id="14127" name="Column14123" dataDxfId="2257"/>
    <tableColumn id="14128" name="Column14124" dataDxfId="2256"/>
    <tableColumn id="14129" name="Column14125" dataDxfId="2255"/>
    <tableColumn id="14130" name="Column14126" dataDxfId="2254"/>
    <tableColumn id="14131" name="Column14127" dataDxfId="2253"/>
    <tableColumn id="14132" name="Column14128" dataDxfId="2252"/>
    <tableColumn id="14133" name="Column14129" dataDxfId="2251"/>
    <tableColumn id="14134" name="Column14130" dataDxfId="2250"/>
    <tableColumn id="14135" name="Column14131" dataDxfId="2249"/>
    <tableColumn id="14136" name="Column14132" dataDxfId="2248"/>
    <tableColumn id="14137" name="Column14133" dataDxfId="2247"/>
    <tableColumn id="14138" name="Column14134" dataDxfId="2246"/>
    <tableColumn id="14139" name="Column14135" dataDxfId="2245"/>
    <tableColumn id="14140" name="Column14136" dataDxfId="2244"/>
    <tableColumn id="14141" name="Column14137" dataDxfId="2243"/>
    <tableColumn id="14142" name="Column14138" dataDxfId="2242"/>
    <tableColumn id="14143" name="Column14139" dataDxfId="2241"/>
    <tableColumn id="14144" name="Column14140" dataDxfId="2240"/>
    <tableColumn id="14145" name="Column14141" dataDxfId="2239"/>
    <tableColumn id="14146" name="Column14142" dataDxfId="2238"/>
    <tableColumn id="14147" name="Column14143" dataDxfId="2237"/>
    <tableColumn id="14148" name="Column14144" dataDxfId="2236"/>
    <tableColumn id="14149" name="Column14145" dataDxfId="2235"/>
    <tableColumn id="14150" name="Column14146" dataDxfId="2234"/>
    <tableColumn id="14151" name="Column14147" dataDxfId="2233"/>
    <tableColumn id="14152" name="Column14148" dataDxfId="2232"/>
    <tableColumn id="14153" name="Column14149" dataDxfId="2231"/>
    <tableColumn id="14154" name="Column14150" dataDxfId="2230"/>
    <tableColumn id="14155" name="Column14151" dataDxfId="2229"/>
    <tableColumn id="14156" name="Column14152" dataDxfId="2228"/>
    <tableColumn id="14157" name="Column14153" dataDxfId="2227"/>
    <tableColumn id="14158" name="Column14154" dataDxfId="2226"/>
    <tableColumn id="14159" name="Column14155" dataDxfId="2225"/>
    <tableColumn id="14160" name="Column14156" dataDxfId="2224"/>
    <tableColumn id="14161" name="Column14157" dataDxfId="2223"/>
    <tableColumn id="14162" name="Column14158" dataDxfId="2222"/>
    <tableColumn id="14163" name="Column14159" dataDxfId="2221"/>
    <tableColumn id="14164" name="Column14160" dataDxfId="2220"/>
    <tableColumn id="14165" name="Column14161" dataDxfId="2219"/>
    <tableColumn id="14166" name="Column14162" dataDxfId="2218"/>
    <tableColumn id="14167" name="Column14163" dataDxfId="2217"/>
    <tableColumn id="14168" name="Column14164" dataDxfId="2216"/>
    <tableColumn id="14169" name="Column14165" dataDxfId="2215"/>
    <tableColumn id="14170" name="Column14166" dataDxfId="2214"/>
    <tableColumn id="14171" name="Column14167" dataDxfId="2213"/>
    <tableColumn id="14172" name="Column14168" dataDxfId="2212"/>
    <tableColumn id="14173" name="Column14169" dataDxfId="2211"/>
    <tableColumn id="14174" name="Column14170" dataDxfId="2210"/>
    <tableColumn id="14175" name="Column14171" dataDxfId="2209"/>
    <tableColumn id="14176" name="Column14172" dataDxfId="2208"/>
    <tableColumn id="14177" name="Column14173" dataDxfId="2207"/>
    <tableColumn id="14178" name="Column14174" dataDxfId="2206"/>
    <tableColumn id="14179" name="Column14175" dataDxfId="2205"/>
    <tableColumn id="14180" name="Column14176" dataDxfId="2204"/>
    <tableColumn id="14181" name="Column14177" dataDxfId="2203"/>
    <tableColumn id="14182" name="Column14178" dataDxfId="2202"/>
    <tableColumn id="14183" name="Column14179" dataDxfId="2201"/>
    <tableColumn id="14184" name="Column14180" dataDxfId="2200"/>
    <tableColumn id="14185" name="Column14181" dataDxfId="2199"/>
    <tableColumn id="14186" name="Column14182" dataDxfId="2198"/>
    <tableColumn id="14187" name="Column14183" dataDxfId="2197"/>
    <tableColumn id="14188" name="Column14184" dataDxfId="2196"/>
    <tableColumn id="14189" name="Column14185" dataDxfId="2195"/>
    <tableColumn id="14190" name="Column14186" dataDxfId="2194"/>
    <tableColumn id="14191" name="Column14187" dataDxfId="2193"/>
    <tableColumn id="14192" name="Column14188" dataDxfId="2192"/>
    <tableColumn id="14193" name="Column14189" dataDxfId="2191"/>
    <tableColumn id="14194" name="Column14190" dataDxfId="2190"/>
    <tableColumn id="14195" name="Column14191" dataDxfId="2189"/>
    <tableColumn id="14196" name="Column14192" dataDxfId="2188"/>
    <tableColumn id="14197" name="Column14193" dataDxfId="2187"/>
    <tableColumn id="14198" name="Column14194" dataDxfId="2186"/>
    <tableColumn id="14199" name="Column14195" dataDxfId="2185"/>
    <tableColumn id="14200" name="Column14196" dataDxfId="2184"/>
    <tableColumn id="14201" name="Column14197" dataDxfId="2183"/>
    <tableColumn id="14202" name="Column14198" dataDxfId="2182"/>
    <tableColumn id="14203" name="Column14199" dataDxfId="2181"/>
    <tableColumn id="14204" name="Column14200" dataDxfId="2180"/>
    <tableColumn id="14205" name="Column14201" dataDxfId="2179"/>
    <tableColumn id="14206" name="Column14202" dataDxfId="2178"/>
    <tableColumn id="14207" name="Column14203" dataDxfId="2177"/>
    <tableColumn id="14208" name="Column14204" dataDxfId="2176"/>
    <tableColumn id="14209" name="Column14205" dataDxfId="2175"/>
    <tableColumn id="14210" name="Column14206" dataDxfId="2174"/>
    <tableColumn id="14211" name="Column14207" dataDxfId="2173"/>
    <tableColumn id="14212" name="Column14208" dataDxfId="2172"/>
    <tableColumn id="14213" name="Column14209" dataDxfId="2171"/>
    <tableColumn id="14214" name="Column14210" dataDxfId="2170"/>
    <tableColumn id="14215" name="Column14211" dataDxfId="2169"/>
    <tableColumn id="14216" name="Column14212" dataDxfId="2168"/>
    <tableColumn id="14217" name="Column14213" dataDxfId="2167"/>
    <tableColumn id="14218" name="Column14214" dataDxfId="2166"/>
    <tableColumn id="14219" name="Column14215" dataDxfId="2165"/>
    <tableColumn id="14220" name="Column14216" dataDxfId="2164"/>
    <tableColumn id="14221" name="Column14217" dataDxfId="2163"/>
    <tableColumn id="14222" name="Column14218" dataDxfId="2162"/>
    <tableColumn id="14223" name="Column14219" dataDxfId="2161"/>
    <tableColumn id="14224" name="Column14220" dataDxfId="2160"/>
    <tableColumn id="14225" name="Column14221" dataDxfId="2159"/>
    <tableColumn id="14226" name="Column14222" dataDxfId="2158"/>
    <tableColumn id="14227" name="Column14223" dataDxfId="2157"/>
    <tableColumn id="14228" name="Column14224" dataDxfId="2156"/>
    <tableColumn id="14229" name="Column14225" dataDxfId="2155"/>
    <tableColumn id="14230" name="Column14226" dataDxfId="2154"/>
    <tableColumn id="14231" name="Column14227" dataDxfId="2153"/>
    <tableColumn id="14232" name="Column14228" dataDxfId="2152"/>
    <tableColumn id="14233" name="Column14229" dataDxfId="2151"/>
    <tableColumn id="14234" name="Column14230" dataDxfId="2150"/>
    <tableColumn id="14235" name="Column14231" dataDxfId="2149"/>
    <tableColumn id="14236" name="Column14232" dataDxfId="2148"/>
    <tableColumn id="14237" name="Column14233" dataDxfId="2147"/>
    <tableColumn id="14238" name="Column14234" dataDxfId="2146"/>
    <tableColumn id="14239" name="Column14235" dataDxfId="2145"/>
    <tableColumn id="14240" name="Column14236" dataDxfId="2144"/>
    <tableColumn id="14241" name="Column14237" dataDxfId="2143"/>
    <tableColumn id="14242" name="Column14238" dataDxfId="2142"/>
    <tableColumn id="14243" name="Column14239" dataDxfId="2141"/>
    <tableColumn id="14244" name="Column14240" dataDxfId="2140"/>
    <tableColumn id="14245" name="Column14241" dataDxfId="2139"/>
    <tableColumn id="14246" name="Column14242" dataDxfId="2138"/>
    <tableColumn id="14247" name="Column14243" dataDxfId="2137"/>
    <tableColumn id="14248" name="Column14244" dataDxfId="2136"/>
    <tableColumn id="14249" name="Column14245" dataDxfId="2135"/>
    <tableColumn id="14250" name="Column14246" dataDxfId="2134"/>
    <tableColumn id="14251" name="Column14247" dataDxfId="2133"/>
    <tableColumn id="14252" name="Column14248" dataDxfId="2132"/>
    <tableColumn id="14253" name="Column14249" dataDxfId="2131"/>
    <tableColumn id="14254" name="Column14250" dataDxfId="2130"/>
    <tableColumn id="14255" name="Column14251" dataDxfId="2129"/>
    <tableColumn id="14256" name="Column14252" dataDxfId="2128"/>
    <tableColumn id="14257" name="Column14253" dataDxfId="2127"/>
    <tableColumn id="14258" name="Column14254" dataDxfId="2126"/>
    <tableColumn id="14259" name="Column14255" dataDxfId="2125"/>
    <tableColumn id="14260" name="Column14256" dataDxfId="2124"/>
    <tableColumn id="14261" name="Column14257" dataDxfId="2123"/>
    <tableColumn id="14262" name="Column14258" dataDxfId="2122"/>
    <tableColumn id="14263" name="Column14259" dataDxfId="2121"/>
    <tableColumn id="14264" name="Column14260" dataDxfId="2120"/>
    <tableColumn id="14265" name="Column14261" dataDxfId="2119"/>
    <tableColumn id="14266" name="Column14262" dataDxfId="2118"/>
    <tableColumn id="14267" name="Column14263" dataDxfId="2117"/>
    <tableColumn id="14268" name="Column14264" dataDxfId="2116"/>
    <tableColumn id="14269" name="Column14265" dataDxfId="2115"/>
    <tableColumn id="14270" name="Column14266" dataDxfId="2114"/>
    <tableColumn id="14271" name="Column14267" dataDxfId="2113"/>
    <tableColumn id="14272" name="Column14268" dataDxfId="2112"/>
    <tableColumn id="14273" name="Column14269" dataDxfId="2111"/>
    <tableColumn id="14274" name="Column14270" dataDxfId="2110"/>
    <tableColumn id="14275" name="Column14271" dataDxfId="2109"/>
    <tableColumn id="14276" name="Column14272" dataDxfId="2108"/>
    <tableColumn id="14277" name="Column14273" dataDxfId="2107"/>
    <tableColumn id="14278" name="Column14274" dataDxfId="2106"/>
    <tableColumn id="14279" name="Column14275" dataDxfId="2105"/>
    <tableColumn id="14280" name="Column14276" dataDxfId="2104"/>
    <tableColumn id="14281" name="Column14277" dataDxfId="2103"/>
    <tableColumn id="14282" name="Column14278" dataDxfId="2102"/>
    <tableColumn id="14283" name="Column14279" dataDxfId="2101"/>
    <tableColumn id="14284" name="Column14280" dataDxfId="2100"/>
    <tableColumn id="14285" name="Column14281" dataDxfId="2099"/>
    <tableColumn id="14286" name="Column14282" dataDxfId="2098"/>
    <tableColumn id="14287" name="Column14283" dataDxfId="2097"/>
    <tableColumn id="14288" name="Column14284" dataDxfId="2096"/>
    <tableColumn id="14289" name="Column14285" dataDxfId="2095"/>
    <tableColumn id="14290" name="Column14286" dataDxfId="2094"/>
    <tableColumn id="14291" name="Column14287" dataDxfId="2093"/>
    <tableColumn id="14292" name="Column14288" dataDxfId="2092"/>
    <tableColumn id="14293" name="Column14289" dataDxfId="2091"/>
    <tableColumn id="14294" name="Column14290" dataDxfId="2090"/>
    <tableColumn id="14295" name="Column14291" dataDxfId="2089"/>
    <tableColumn id="14296" name="Column14292" dataDxfId="2088"/>
    <tableColumn id="14297" name="Column14293" dataDxfId="2087"/>
    <tableColumn id="14298" name="Column14294" dataDxfId="2086"/>
    <tableColumn id="14299" name="Column14295" dataDxfId="2085"/>
    <tableColumn id="14300" name="Column14296" dataDxfId="2084"/>
    <tableColumn id="14301" name="Column14297" dataDxfId="2083"/>
    <tableColumn id="14302" name="Column14298" dataDxfId="2082"/>
    <tableColumn id="14303" name="Column14299" dataDxfId="2081"/>
    <tableColumn id="14304" name="Column14300" dataDxfId="2080"/>
    <tableColumn id="14305" name="Column14301" dataDxfId="2079"/>
    <tableColumn id="14306" name="Column14302" dataDxfId="2078"/>
    <tableColumn id="14307" name="Column14303" dataDxfId="2077"/>
    <tableColumn id="14308" name="Column14304" dataDxfId="2076"/>
    <tableColumn id="14309" name="Column14305" dataDxfId="2075"/>
    <tableColumn id="14310" name="Column14306" dataDxfId="2074"/>
    <tableColumn id="14311" name="Column14307" dataDxfId="2073"/>
    <tableColumn id="14312" name="Column14308" dataDxfId="2072"/>
    <tableColumn id="14313" name="Column14309" dataDxfId="2071"/>
    <tableColumn id="14314" name="Column14310" dataDxfId="2070"/>
    <tableColumn id="14315" name="Column14311" dataDxfId="2069"/>
    <tableColumn id="14316" name="Column14312" dataDxfId="2068"/>
    <tableColumn id="14317" name="Column14313" dataDxfId="2067"/>
    <tableColumn id="14318" name="Column14314" dataDxfId="2066"/>
    <tableColumn id="14319" name="Column14315" dataDxfId="2065"/>
    <tableColumn id="14320" name="Column14316" dataDxfId="2064"/>
    <tableColumn id="14321" name="Column14317" dataDxfId="2063"/>
    <tableColumn id="14322" name="Column14318" dataDxfId="2062"/>
    <tableColumn id="14323" name="Column14319" dataDxfId="2061"/>
    <tableColumn id="14324" name="Column14320" dataDxfId="2060"/>
    <tableColumn id="14325" name="Column14321" dataDxfId="2059"/>
    <tableColumn id="14326" name="Column14322" dataDxfId="2058"/>
    <tableColumn id="14327" name="Column14323" dataDxfId="2057"/>
    <tableColumn id="14328" name="Column14324" dataDxfId="2056"/>
    <tableColumn id="14329" name="Column14325" dataDxfId="2055"/>
    <tableColumn id="14330" name="Column14326" dataDxfId="2054"/>
    <tableColumn id="14331" name="Column14327" dataDxfId="2053"/>
    <tableColumn id="14332" name="Column14328" dataDxfId="2052"/>
    <tableColumn id="14333" name="Column14329" dataDxfId="2051"/>
    <tableColumn id="14334" name="Column14330" dataDxfId="2050"/>
    <tableColumn id="14335" name="Column14331" dataDxfId="2049"/>
    <tableColumn id="14336" name="Column14332" dataDxfId="2048"/>
    <tableColumn id="14337" name="Column14333" dataDxfId="2047"/>
    <tableColumn id="14338" name="Column14334" dataDxfId="2046"/>
    <tableColumn id="14339" name="Column14335" dataDxfId="2045"/>
    <tableColumn id="14340" name="Column14336" dataDxfId="2044"/>
    <tableColumn id="14341" name="Column14337" dataDxfId="2043"/>
    <tableColumn id="14342" name="Column14338" dataDxfId="2042"/>
    <tableColumn id="14343" name="Column14339" dataDxfId="2041"/>
    <tableColumn id="14344" name="Column14340" dataDxfId="2040"/>
    <tableColumn id="14345" name="Column14341" dataDxfId="2039"/>
    <tableColumn id="14346" name="Column14342" dataDxfId="2038"/>
    <tableColumn id="14347" name="Column14343" dataDxfId="2037"/>
    <tableColumn id="14348" name="Column14344" dataDxfId="2036"/>
    <tableColumn id="14349" name="Column14345" dataDxfId="2035"/>
    <tableColumn id="14350" name="Column14346" dataDxfId="2034"/>
    <tableColumn id="14351" name="Column14347" dataDxfId="2033"/>
    <tableColumn id="14352" name="Column14348" dataDxfId="2032"/>
    <tableColumn id="14353" name="Column14349" dataDxfId="2031"/>
    <tableColumn id="14354" name="Column14350" dataDxfId="2030"/>
    <tableColumn id="14355" name="Column14351" dataDxfId="2029"/>
    <tableColumn id="14356" name="Column14352" dataDxfId="2028"/>
    <tableColumn id="14357" name="Column14353" dataDxfId="2027"/>
    <tableColumn id="14358" name="Column14354" dataDxfId="2026"/>
    <tableColumn id="14359" name="Column14355" dataDxfId="2025"/>
    <tableColumn id="14360" name="Column14356" dataDxfId="2024"/>
    <tableColumn id="14361" name="Column14357" dataDxfId="2023"/>
    <tableColumn id="14362" name="Column14358" dataDxfId="2022"/>
    <tableColumn id="14363" name="Column14359" dataDxfId="2021"/>
    <tableColumn id="14364" name="Column14360" dataDxfId="2020"/>
    <tableColumn id="14365" name="Column14361" dataDxfId="2019"/>
    <tableColumn id="14366" name="Column14362" dataDxfId="2018"/>
    <tableColumn id="14367" name="Column14363" dataDxfId="2017"/>
    <tableColumn id="14368" name="Column14364" dataDxfId="2016"/>
    <tableColumn id="14369" name="Column14365" dataDxfId="2015"/>
    <tableColumn id="14370" name="Column14366" dataDxfId="2014"/>
    <tableColumn id="14371" name="Column14367" dataDxfId="2013"/>
    <tableColumn id="14372" name="Column14368" dataDxfId="2012"/>
    <tableColumn id="14373" name="Column14369" dataDxfId="2011"/>
    <tableColumn id="14374" name="Column14370" dataDxfId="2010"/>
    <tableColumn id="14375" name="Column14371" dataDxfId="2009"/>
    <tableColumn id="14376" name="Column14372" dataDxfId="2008"/>
    <tableColumn id="14377" name="Column14373" dataDxfId="2007"/>
    <tableColumn id="14378" name="Column14374" dataDxfId="2006"/>
    <tableColumn id="14379" name="Column14375" dataDxfId="2005"/>
    <tableColumn id="14380" name="Column14376" dataDxfId="2004"/>
    <tableColumn id="14381" name="Column14377" dataDxfId="2003"/>
    <tableColumn id="14382" name="Column14378" dataDxfId="2002"/>
    <tableColumn id="14383" name="Column14379" dataDxfId="2001"/>
    <tableColumn id="14384" name="Column14380" dataDxfId="2000"/>
    <tableColumn id="14385" name="Column14381" dataDxfId="1999"/>
    <tableColumn id="14386" name="Column14382" dataDxfId="1998"/>
    <tableColumn id="14387" name="Column14383" dataDxfId="1997"/>
    <tableColumn id="14388" name="Column14384" dataDxfId="1996"/>
    <tableColumn id="14389" name="Column14385" dataDxfId="1995"/>
    <tableColumn id="14390" name="Column14386" dataDxfId="1994"/>
    <tableColumn id="14391" name="Column14387" dataDxfId="1993"/>
    <tableColumn id="14392" name="Column14388" dataDxfId="1992"/>
    <tableColumn id="14393" name="Column14389" dataDxfId="1991"/>
    <tableColumn id="14394" name="Column14390" dataDxfId="1990"/>
    <tableColumn id="14395" name="Column14391" dataDxfId="1989"/>
    <tableColumn id="14396" name="Column14392" dataDxfId="1988"/>
    <tableColumn id="14397" name="Column14393" dataDxfId="1987"/>
    <tableColumn id="14398" name="Column14394" dataDxfId="1986"/>
    <tableColumn id="14399" name="Column14395" dataDxfId="1985"/>
    <tableColumn id="14400" name="Column14396" dataDxfId="1984"/>
    <tableColumn id="14401" name="Column14397" dataDxfId="1983"/>
    <tableColumn id="14402" name="Column14398" dataDxfId="1982"/>
    <tableColumn id="14403" name="Column14399" dataDxfId="1981"/>
    <tableColumn id="14404" name="Column14400" dataDxfId="1980"/>
    <tableColumn id="14405" name="Column14401" dataDxfId="1979"/>
    <tableColumn id="14406" name="Column14402" dataDxfId="1978"/>
    <tableColumn id="14407" name="Column14403" dataDxfId="1977"/>
    <tableColumn id="14408" name="Column14404" dataDxfId="1976"/>
    <tableColumn id="14409" name="Column14405" dataDxfId="1975"/>
    <tableColumn id="14410" name="Column14406" dataDxfId="1974"/>
    <tableColumn id="14411" name="Column14407" dataDxfId="1973"/>
    <tableColumn id="14412" name="Column14408" dataDxfId="1972"/>
    <tableColumn id="14413" name="Column14409" dataDxfId="1971"/>
    <tableColumn id="14414" name="Column14410" dataDxfId="1970"/>
    <tableColumn id="14415" name="Column14411" dataDxfId="1969"/>
    <tableColumn id="14416" name="Column14412" dataDxfId="1968"/>
    <tableColumn id="14417" name="Column14413" dataDxfId="1967"/>
    <tableColumn id="14418" name="Column14414" dataDxfId="1966"/>
    <tableColumn id="14419" name="Column14415" dataDxfId="1965"/>
    <tableColumn id="14420" name="Column14416" dataDxfId="1964"/>
    <tableColumn id="14421" name="Column14417" dataDxfId="1963"/>
    <tableColumn id="14422" name="Column14418" dataDxfId="1962"/>
    <tableColumn id="14423" name="Column14419" dataDxfId="1961"/>
    <tableColumn id="14424" name="Column14420" dataDxfId="1960"/>
    <tableColumn id="14425" name="Column14421" dataDxfId="1959"/>
    <tableColumn id="14426" name="Column14422" dataDxfId="1958"/>
    <tableColumn id="14427" name="Column14423" dataDxfId="1957"/>
    <tableColumn id="14428" name="Column14424" dataDxfId="1956"/>
    <tableColumn id="14429" name="Column14425" dataDxfId="1955"/>
    <tableColumn id="14430" name="Column14426" dataDxfId="1954"/>
    <tableColumn id="14431" name="Column14427" dataDxfId="1953"/>
    <tableColumn id="14432" name="Column14428" dataDxfId="1952"/>
    <tableColumn id="14433" name="Column14429" dataDxfId="1951"/>
    <tableColumn id="14434" name="Column14430" dataDxfId="1950"/>
    <tableColumn id="14435" name="Column14431" dataDxfId="1949"/>
    <tableColumn id="14436" name="Column14432" dataDxfId="1948"/>
    <tableColumn id="14437" name="Column14433" dataDxfId="1947"/>
    <tableColumn id="14438" name="Column14434" dataDxfId="1946"/>
    <tableColumn id="14439" name="Column14435" dataDxfId="1945"/>
    <tableColumn id="14440" name="Column14436" dataDxfId="1944"/>
    <tableColumn id="14441" name="Column14437" dataDxfId="1943"/>
    <tableColumn id="14442" name="Column14438" dataDxfId="1942"/>
    <tableColumn id="14443" name="Column14439" dataDxfId="1941"/>
    <tableColumn id="14444" name="Column14440" dataDxfId="1940"/>
    <tableColumn id="14445" name="Column14441" dataDxfId="1939"/>
    <tableColumn id="14446" name="Column14442" dataDxfId="1938"/>
    <tableColumn id="14447" name="Column14443" dataDxfId="1937"/>
    <tableColumn id="14448" name="Column14444" dataDxfId="1936"/>
    <tableColumn id="14449" name="Column14445" dataDxfId="1935"/>
    <tableColumn id="14450" name="Column14446" dataDxfId="1934"/>
    <tableColumn id="14451" name="Column14447" dataDxfId="1933"/>
    <tableColumn id="14452" name="Column14448" dataDxfId="1932"/>
    <tableColumn id="14453" name="Column14449" dataDxfId="1931"/>
    <tableColumn id="14454" name="Column14450" dataDxfId="1930"/>
    <tableColumn id="14455" name="Column14451" dataDxfId="1929"/>
    <tableColumn id="14456" name="Column14452" dataDxfId="1928"/>
    <tableColumn id="14457" name="Column14453" dataDxfId="1927"/>
    <tableColumn id="14458" name="Column14454" dataDxfId="1926"/>
    <tableColumn id="14459" name="Column14455" dataDxfId="1925"/>
    <tableColumn id="14460" name="Column14456" dataDxfId="1924"/>
    <tableColumn id="14461" name="Column14457" dataDxfId="1923"/>
    <tableColumn id="14462" name="Column14458" dataDxfId="1922"/>
    <tableColumn id="14463" name="Column14459" dataDxfId="1921"/>
    <tableColumn id="14464" name="Column14460" dataDxfId="1920"/>
    <tableColumn id="14465" name="Column14461" dataDxfId="1919"/>
    <tableColumn id="14466" name="Column14462" dataDxfId="1918"/>
    <tableColumn id="14467" name="Column14463" dataDxfId="1917"/>
    <tableColumn id="14468" name="Column14464" dataDxfId="1916"/>
    <tableColumn id="14469" name="Column14465" dataDxfId="1915"/>
    <tableColumn id="14470" name="Column14466" dataDxfId="1914"/>
    <tableColumn id="14471" name="Column14467" dataDxfId="1913"/>
    <tableColumn id="14472" name="Column14468" dataDxfId="1912"/>
    <tableColumn id="14473" name="Column14469" dataDxfId="1911"/>
    <tableColumn id="14474" name="Column14470" dataDxfId="1910"/>
    <tableColumn id="14475" name="Column14471" dataDxfId="1909"/>
    <tableColumn id="14476" name="Column14472" dataDxfId="1908"/>
    <tableColumn id="14477" name="Column14473" dataDxfId="1907"/>
    <tableColumn id="14478" name="Column14474" dataDxfId="1906"/>
    <tableColumn id="14479" name="Column14475" dataDxfId="1905"/>
    <tableColumn id="14480" name="Column14476" dataDxfId="1904"/>
    <tableColumn id="14481" name="Column14477" dataDxfId="1903"/>
    <tableColumn id="14482" name="Column14478" dataDxfId="1902"/>
    <tableColumn id="14483" name="Column14479" dataDxfId="1901"/>
    <tableColumn id="14484" name="Column14480" dataDxfId="1900"/>
    <tableColumn id="14485" name="Column14481" dataDxfId="1899"/>
    <tableColumn id="14486" name="Column14482" dataDxfId="1898"/>
    <tableColumn id="14487" name="Column14483" dataDxfId="1897"/>
    <tableColumn id="14488" name="Column14484" dataDxfId="1896"/>
    <tableColumn id="14489" name="Column14485" dataDxfId="1895"/>
    <tableColumn id="14490" name="Column14486" dataDxfId="1894"/>
    <tableColumn id="14491" name="Column14487" dataDxfId="1893"/>
    <tableColumn id="14492" name="Column14488" dataDxfId="1892"/>
    <tableColumn id="14493" name="Column14489" dataDxfId="1891"/>
    <tableColumn id="14494" name="Column14490" dataDxfId="1890"/>
    <tableColumn id="14495" name="Column14491" dataDxfId="1889"/>
    <tableColumn id="14496" name="Column14492" dataDxfId="1888"/>
    <tableColumn id="14497" name="Column14493" dataDxfId="1887"/>
    <tableColumn id="14498" name="Column14494" dataDxfId="1886"/>
    <tableColumn id="14499" name="Column14495" dataDxfId="1885"/>
    <tableColumn id="14500" name="Column14496" dataDxfId="1884"/>
    <tableColumn id="14501" name="Column14497" dataDxfId="1883"/>
    <tableColumn id="14502" name="Column14498" dataDxfId="1882"/>
    <tableColumn id="14503" name="Column14499" dataDxfId="1881"/>
    <tableColumn id="14504" name="Column14500" dataDxfId="1880"/>
    <tableColumn id="14505" name="Column14501" dataDxfId="1879"/>
    <tableColumn id="14506" name="Column14502" dataDxfId="1878"/>
    <tableColumn id="14507" name="Column14503" dataDxfId="1877"/>
    <tableColumn id="14508" name="Column14504" dataDxfId="1876"/>
    <tableColumn id="14509" name="Column14505" dataDxfId="1875"/>
    <tableColumn id="14510" name="Column14506" dataDxfId="1874"/>
    <tableColumn id="14511" name="Column14507" dataDxfId="1873"/>
    <tableColumn id="14512" name="Column14508" dataDxfId="1872"/>
    <tableColumn id="14513" name="Column14509" dataDxfId="1871"/>
    <tableColumn id="14514" name="Column14510" dataDxfId="1870"/>
    <tableColumn id="14515" name="Column14511" dataDxfId="1869"/>
    <tableColumn id="14516" name="Column14512" dataDxfId="1868"/>
    <tableColumn id="14517" name="Column14513" dataDxfId="1867"/>
    <tableColumn id="14518" name="Column14514" dataDxfId="1866"/>
    <tableColumn id="14519" name="Column14515" dataDxfId="1865"/>
    <tableColumn id="14520" name="Column14516" dataDxfId="1864"/>
    <tableColumn id="14521" name="Column14517" dataDxfId="1863"/>
    <tableColumn id="14522" name="Column14518" dataDxfId="1862"/>
    <tableColumn id="14523" name="Column14519" dataDxfId="1861"/>
    <tableColumn id="14524" name="Column14520" dataDxfId="1860"/>
    <tableColumn id="14525" name="Column14521" dataDxfId="1859"/>
    <tableColumn id="14526" name="Column14522" dataDxfId="1858"/>
    <tableColumn id="14527" name="Column14523" dataDxfId="1857"/>
    <tableColumn id="14528" name="Column14524" dataDxfId="1856"/>
    <tableColumn id="14529" name="Column14525" dataDxfId="1855"/>
    <tableColumn id="14530" name="Column14526" dataDxfId="1854"/>
    <tableColumn id="14531" name="Column14527" dataDxfId="1853"/>
    <tableColumn id="14532" name="Column14528" dataDxfId="1852"/>
    <tableColumn id="14533" name="Column14529" dataDxfId="1851"/>
    <tableColumn id="14534" name="Column14530" dataDxfId="1850"/>
    <tableColumn id="14535" name="Column14531" dataDxfId="1849"/>
    <tableColumn id="14536" name="Column14532" dataDxfId="1848"/>
    <tableColumn id="14537" name="Column14533" dataDxfId="1847"/>
    <tableColumn id="14538" name="Column14534" dataDxfId="1846"/>
    <tableColumn id="14539" name="Column14535" dataDxfId="1845"/>
    <tableColumn id="14540" name="Column14536" dataDxfId="1844"/>
    <tableColumn id="14541" name="Column14537" dataDxfId="1843"/>
    <tableColumn id="14542" name="Column14538" dataDxfId="1842"/>
    <tableColumn id="14543" name="Column14539" dataDxfId="1841"/>
    <tableColumn id="14544" name="Column14540" dataDxfId="1840"/>
    <tableColumn id="14545" name="Column14541" dataDxfId="1839"/>
    <tableColumn id="14546" name="Column14542" dataDxfId="1838"/>
    <tableColumn id="14547" name="Column14543" dataDxfId="1837"/>
    <tableColumn id="14548" name="Column14544" dataDxfId="1836"/>
    <tableColumn id="14549" name="Column14545" dataDxfId="1835"/>
    <tableColumn id="14550" name="Column14546" dataDxfId="1834"/>
    <tableColumn id="14551" name="Column14547" dataDxfId="1833"/>
    <tableColumn id="14552" name="Column14548" dataDxfId="1832"/>
    <tableColumn id="14553" name="Column14549" dataDxfId="1831"/>
    <tableColumn id="14554" name="Column14550" dataDxfId="1830"/>
    <tableColumn id="14555" name="Column14551" dataDxfId="1829"/>
    <tableColumn id="14556" name="Column14552" dataDxfId="1828"/>
    <tableColumn id="14557" name="Column14553" dataDxfId="1827"/>
    <tableColumn id="14558" name="Column14554" dataDxfId="1826"/>
    <tableColumn id="14559" name="Column14555" dataDxfId="1825"/>
    <tableColumn id="14560" name="Column14556" dataDxfId="1824"/>
    <tableColumn id="14561" name="Column14557" dataDxfId="1823"/>
    <tableColumn id="14562" name="Column14558" dataDxfId="1822"/>
    <tableColumn id="14563" name="Column14559" dataDxfId="1821"/>
    <tableColumn id="14564" name="Column14560" dataDxfId="1820"/>
    <tableColumn id="14565" name="Column14561" dataDxfId="1819"/>
    <tableColumn id="14566" name="Column14562" dataDxfId="1818"/>
    <tableColumn id="14567" name="Column14563" dataDxfId="1817"/>
    <tableColumn id="14568" name="Column14564" dataDxfId="1816"/>
    <tableColumn id="14569" name="Column14565" dataDxfId="1815"/>
    <tableColumn id="14570" name="Column14566" dataDxfId="1814"/>
    <tableColumn id="14571" name="Column14567" dataDxfId="1813"/>
    <tableColumn id="14572" name="Column14568" dataDxfId="1812"/>
    <tableColumn id="14573" name="Column14569" dataDxfId="1811"/>
    <tableColumn id="14574" name="Column14570" dataDxfId="1810"/>
    <tableColumn id="14575" name="Column14571" dataDxfId="1809"/>
    <tableColumn id="14576" name="Column14572" dataDxfId="1808"/>
    <tableColumn id="14577" name="Column14573" dataDxfId="1807"/>
    <tableColumn id="14578" name="Column14574" dataDxfId="1806"/>
    <tableColumn id="14579" name="Column14575" dataDxfId="1805"/>
    <tableColumn id="14580" name="Column14576" dataDxfId="1804"/>
    <tableColumn id="14581" name="Column14577" dataDxfId="1803"/>
    <tableColumn id="14582" name="Column14578" dataDxfId="1802"/>
    <tableColumn id="14583" name="Column14579" dataDxfId="1801"/>
    <tableColumn id="14584" name="Column14580" dataDxfId="1800"/>
    <tableColumn id="14585" name="Column14581" dataDxfId="1799"/>
    <tableColumn id="14586" name="Column14582" dataDxfId="1798"/>
    <tableColumn id="14587" name="Column14583" dataDxfId="1797"/>
    <tableColumn id="14588" name="Column14584" dataDxfId="1796"/>
    <tableColumn id="14589" name="Column14585" dataDxfId="1795"/>
    <tableColumn id="14590" name="Column14586" dataDxfId="1794"/>
    <tableColumn id="14591" name="Column14587" dataDxfId="1793"/>
    <tableColumn id="14592" name="Column14588" dataDxfId="1792"/>
    <tableColumn id="14593" name="Column14589" dataDxfId="1791"/>
    <tableColumn id="14594" name="Column14590" dataDxfId="1790"/>
    <tableColumn id="14595" name="Column14591" dataDxfId="1789"/>
    <tableColumn id="14596" name="Column14592" dataDxfId="1788"/>
    <tableColumn id="14597" name="Column14593" dataDxfId="1787"/>
    <tableColumn id="14598" name="Column14594" dataDxfId="1786"/>
    <tableColumn id="14599" name="Column14595" dataDxfId="1785"/>
    <tableColumn id="14600" name="Column14596" dataDxfId="1784"/>
    <tableColumn id="14601" name="Column14597" dataDxfId="1783"/>
    <tableColumn id="14602" name="Column14598" dataDxfId="1782"/>
    <tableColumn id="14603" name="Column14599" dataDxfId="1781"/>
    <tableColumn id="14604" name="Column14600" dataDxfId="1780"/>
    <tableColumn id="14605" name="Column14601" dataDxfId="1779"/>
    <tableColumn id="14606" name="Column14602" dataDxfId="1778"/>
    <tableColumn id="14607" name="Column14603" dataDxfId="1777"/>
    <tableColumn id="14608" name="Column14604" dataDxfId="1776"/>
    <tableColumn id="14609" name="Column14605" dataDxfId="1775"/>
    <tableColumn id="14610" name="Column14606" dataDxfId="1774"/>
    <tableColumn id="14611" name="Column14607" dataDxfId="1773"/>
    <tableColumn id="14612" name="Column14608" dataDxfId="1772"/>
    <tableColumn id="14613" name="Column14609" dataDxfId="1771"/>
    <tableColumn id="14614" name="Column14610" dataDxfId="1770"/>
    <tableColumn id="14615" name="Column14611" dataDxfId="1769"/>
    <tableColumn id="14616" name="Column14612" dataDxfId="1768"/>
    <tableColumn id="14617" name="Column14613" dataDxfId="1767"/>
    <tableColumn id="14618" name="Column14614" dataDxfId="1766"/>
    <tableColumn id="14619" name="Column14615" dataDxfId="1765"/>
    <tableColumn id="14620" name="Column14616" dataDxfId="1764"/>
    <tableColumn id="14621" name="Column14617" dataDxfId="1763"/>
    <tableColumn id="14622" name="Column14618" dataDxfId="1762"/>
    <tableColumn id="14623" name="Column14619" dataDxfId="1761"/>
    <tableColumn id="14624" name="Column14620" dataDxfId="1760"/>
    <tableColumn id="14625" name="Column14621" dataDxfId="1759"/>
    <tableColumn id="14626" name="Column14622" dataDxfId="1758"/>
    <tableColumn id="14627" name="Column14623" dataDxfId="1757"/>
    <tableColumn id="14628" name="Column14624" dataDxfId="1756"/>
    <tableColumn id="14629" name="Column14625" dataDxfId="1755"/>
    <tableColumn id="14630" name="Column14626" dataDxfId="1754"/>
    <tableColumn id="14631" name="Column14627" dataDxfId="1753"/>
    <tableColumn id="14632" name="Column14628" dataDxfId="1752"/>
    <tableColumn id="14633" name="Column14629" dataDxfId="1751"/>
    <tableColumn id="14634" name="Column14630" dataDxfId="1750"/>
    <tableColumn id="14635" name="Column14631" dataDxfId="1749"/>
    <tableColumn id="14636" name="Column14632" dataDxfId="1748"/>
    <tableColumn id="14637" name="Column14633" dataDxfId="1747"/>
    <tableColumn id="14638" name="Column14634" dataDxfId="1746"/>
    <tableColumn id="14639" name="Column14635" dataDxfId="1745"/>
    <tableColumn id="14640" name="Column14636" dataDxfId="1744"/>
    <tableColumn id="14641" name="Column14637" dataDxfId="1743"/>
    <tableColumn id="14642" name="Column14638" dataDxfId="1742"/>
    <tableColumn id="14643" name="Column14639" dataDxfId="1741"/>
    <tableColumn id="14644" name="Column14640" dataDxfId="1740"/>
    <tableColumn id="14645" name="Column14641" dataDxfId="1739"/>
    <tableColumn id="14646" name="Column14642" dataDxfId="1738"/>
    <tableColumn id="14647" name="Column14643" dataDxfId="1737"/>
    <tableColumn id="14648" name="Column14644" dataDxfId="1736"/>
    <tableColumn id="14649" name="Column14645" dataDxfId="1735"/>
    <tableColumn id="14650" name="Column14646" dataDxfId="1734"/>
    <tableColumn id="14651" name="Column14647" dataDxfId="1733"/>
    <tableColumn id="14652" name="Column14648" dataDxfId="1732"/>
    <tableColumn id="14653" name="Column14649" dataDxfId="1731"/>
    <tableColumn id="14654" name="Column14650" dataDxfId="1730"/>
    <tableColumn id="14655" name="Column14651" dataDxfId="1729"/>
    <tableColumn id="14656" name="Column14652" dataDxfId="1728"/>
    <tableColumn id="14657" name="Column14653" dataDxfId="1727"/>
    <tableColumn id="14658" name="Column14654" dataDxfId="1726"/>
    <tableColumn id="14659" name="Column14655" dataDxfId="1725"/>
    <tableColumn id="14660" name="Column14656" dataDxfId="1724"/>
    <tableColumn id="14661" name="Column14657" dataDxfId="1723"/>
    <tableColumn id="14662" name="Column14658" dataDxfId="1722"/>
    <tableColumn id="14663" name="Column14659" dataDxfId="1721"/>
    <tableColumn id="14664" name="Column14660" dataDxfId="1720"/>
    <tableColumn id="14665" name="Column14661" dataDxfId="1719"/>
    <tableColumn id="14666" name="Column14662" dataDxfId="1718"/>
    <tableColumn id="14667" name="Column14663" dataDxfId="1717"/>
    <tableColumn id="14668" name="Column14664" dataDxfId="1716"/>
    <tableColumn id="14669" name="Column14665" dataDxfId="1715"/>
    <tableColumn id="14670" name="Column14666" dataDxfId="1714"/>
    <tableColumn id="14671" name="Column14667" dataDxfId="1713"/>
    <tableColumn id="14672" name="Column14668" dataDxfId="1712"/>
    <tableColumn id="14673" name="Column14669" dataDxfId="1711"/>
    <tableColumn id="14674" name="Column14670" dataDxfId="1710"/>
    <tableColumn id="14675" name="Column14671" dataDxfId="1709"/>
    <tableColumn id="14676" name="Column14672" dataDxfId="1708"/>
    <tableColumn id="14677" name="Column14673" dataDxfId="1707"/>
    <tableColumn id="14678" name="Column14674" dataDxfId="1706"/>
    <tableColumn id="14679" name="Column14675" dataDxfId="1705"/>
    <tableColumn id="14680" name="Column14676" dataDxfId="1704"/>
    <tableColumn id="14681" name="Column14677" dataDxfId="1703"/>
    <tableColumn id="14682" name="Column14678" dataDxfId="1702"/>
    <tableColumn id="14683" name="Column14679" dataDxfId="1701"/>
    <tableColumn id="14684" name="Column14680" dataDxfId="1700"/>
    <tableColumn id="14685" name="Column14681" dataDxfId="1699"/>
    <tableColumn id="14686" name="Column14682" dataDxfId="1698"/>
    <tableColumn id="14687" name="Column14683" dataDxfId="1697"/>
    <tableColumn id="14688" name="Column14684" dataDxfId="1696"/>
    <tableColumn id="14689" name="Column14685" dataDxfId="1695"/>
    <tableColumn id="14690" name="Column14686" dataDxfId="1694"/>
    <tableColumn id="14691" name="Column14687" dataDxfId="1693"/>
    <tableColumn id="14692" name="Column14688" dataDxfId="1692"/>
    <tableColumn id="14693" name="Column14689" dataDxfId="1691"/>
    <tableColumn id="14694" name="Column14690" dataDxfId="1690"/>
    <tableColumn id="14695" name="Column14691" dataDxfId="1689"/>
    <tableColumn id="14696" name="Column14692" dataDxfId="1688"/>
    <tableColumn id="14697" name="Column14693" dataDxfId="1687"/>
    <tableColumn id="14698" name="Column14694" dataDxfId="1686"/>
    <tableColumn id="14699" name="Column14695" dataDxfId="1685"/>
    <tableColumn id="14700" name="Column14696" dataDxfId="1684"/>
    <tableColumn id="14701" name="Column14697" dataDxfId="1683"/>
    <tableColumn id="14702" name="Column14698" dataDxfId="1682"/>
    <tableColumn id="14703" name="Column14699" dataDxfId="1681"/>
    <tableColumn id="14704" name="Column14700" dataDxfId="1680"/>
    <tableColumn id="14705" name="Column14701" dataDxfId="1679"/>
    <tableColumn id="14706" name="Column14702" dataDxfId="1678"/>
    <tableColumn id="14707" name="Column14703" dataDxfId="1677"/>
    <tableColumn id="14708" name="Column14704" dataDxfId="1676"/>
    <tableColumn id="14709" name="Column14705" dataDxfId="1675"/>
    <tableColumn id="14710" name="Column14706" dataDxfId="1674"/>
    <tableColumn id="14711" name="Column14707" dataDxfId="1673"/>
    <tableColumn id="14712" name="Column14708" dataDxfId="1672"/>
    <tableColumn id="14713" name="Column14709" dataDxfId="1671"/>
    <tableColumn id="14714" name="Column14710" dataDxfId="1670"/>
    <tableColumn id="14715" name="Column14711" dataDxfId="1669"/>
    <tableColumn id="14716" name="Column14712" dataDxfId="1668"/>
    <tableColumn id="14717" name="Column14713" dataDxfId="1667"/>
    <tableColumn id="14718" name="Column14714" dataDxfId="1666"/>
    <tableColumn id="14719" name="Column14715" dataDxfId="1665"/>
    <tableColumn id="14720" name="Column14716" dataDxfId="1664"/>
    <tableColumn id="14721" name="Column14717" dataDxfId="1663"/>
    <tableColumn id="14722" name="Column14718" dataDxfId="1662"/>
    <tableColumn id="14723" name="Column14719" dataDxfId="1661"/>
    <tableColumn id="14724" name="Column14720" dataDxfId="1660"/>
    <tableColumn id="14725" name="Column14721" dataDxfId="1659"/>
    <tableColumn id="14726" name="Column14722" dataDxfId="1658"/>
    <tableColumn id="14727" name="Column14723" dataDxfId="1657"/>
    <tableColumn id="14728" name="Column14724" dataDxfId="1656"/>
    <tableColumn id="14729" name="Column14725" dataDxfId="1655"/>
    <tableColumn id="14730" name="Column14726" dataDxfId="1654"/>
    <tableColumn id="14731" name="Column14727" dataDxfId="1653"/>
    <tableColumn id="14732" name="Column14728" dataDxfId="1652"/>
    <tableColumn id="14733" name="Column14729" dataDxfId="1651"/>
    <tableColumn id="14734" name="Column14730" dataDxfId="1650"/>
    <tableColumn id="14735" name="Column14731" dataDxfId="1649"/>
    <tableColumn id="14736" name="Column14732" dataDxfId="1648"/>
    <tableColumn id="14737" name="Column14733" dataDxfId="1647"/>
    <tableColumn id="14738" name="Column14734" dataDxfId="1646"/>
    <tableColumn id="14739" name="Column14735" dataDxfId="1645"/>
    <tableColumn id="14740" name="Column14736" dataDxfId="1644"/>
    <tableColumn id="14741" name="Column14737" dataDxfId="1643"/>
    <tableColumn id="14742" name="Column14738" dataDxfId="1642"/>
    <tableColumn id="14743" name="Column14739" dataDxfId="1641"/>
    <tableColumn id="14744" name="Column14740" dataDxfId="1640"/>
    <tableColumn id="14745" name="Column14741" dataDxfId="1639"/>
    <tableColumn id="14746" name="Column14742" dataDxfId="1638"/>
    <tableColumn id="14747" name="Column14743" dataDxfId="1637"/>
    <tableColumn id="14748" name="Column14744" dataDxfId="1636"/>
    <tableColumn id="14749" name="Column14745" dataDxfId="1635"/>
    <tableColumn id="14750" name="Column14746" dataDxfId="1634"/>
    <tableColumn id="14751" name="Column14747" dataDxfId="1633"/>
    <tableColumn id="14752" name="Column14748" dataDxfId="1632"/>
    <tableColumn id="14753" name="Column14749" dataDxfId="1631"/>
    <tableColumn id="14754" name="Column14750" dataDxfId="1630"/>
    <tableColumn id="14755" name="Column14751" dataDxfId="1629"/>
    <tableColumn id="14756" name="Column14752" dataDxfId="1628"/>
    <tableColumn id="14757" name="Column14753" dataDxfId="1627"/>
    <tableColumn id="14758" name="Column14754" dataDxfId="1626"/>
    <tableColumn id="14759" name="Column14755" dataDxfId="1625"/>
    <tableColumn id="14760" name="Column14756" dataDxfId="1624"/>
    <tableColumn id="14761" name="Column14757" dataDxfId="1623"/>
    <tableColumn id="14762" name="Column14758" dataDxfId="1622"/>
    <tableColumn id="14763" name="Column14759" dataDxfId="1621"/>
    <tableColumn id="14764" name="Column14760" dataDxfId="1620"/>
    <tableColumn id="14765" name="Column14761" dataDxfId="1619"/>
    <tableColumn id="14766" name="Column14762" dataDxfId="1618"/>
    <tableColumn id="14767" name="Column14763" dataDxfId="1617"/>
    <tableColumn id="14768" name="Column14764" dataDxfId="1616"/>
    <tableColumn id="14769" name="Column14765" dataDxfId="1615"/>
    <tableColumn id="14770" name="Column14766" dataDxfId="1614"/>
    <tableColumn id="14771" name="Column14767" dataDxfId="1613"/>
    <tableColumn id="14772" name="Column14768" dataDxfId="1612"/>
    <tableColumn id="14773" name="Column14769" dataDxfId="1611"/>
    <tableColumn id="14774" name="Column14770" dataDxfId="1610"/>
    <tableColumn id="14775" name="Column14771" dataDxfId="1609"/>
    <tableColumn id="14776" name="Column14772" dataDxfId="1608"/>
    <tableColumn id="14777" name="Column14773" dataDxfId="1607"/>
    <tableColumn id="14778" name="Column14774" dataDxfId="1606"/>
    <tableColumn id="14779" name="Column14775" dataDxfId="1605"/>
    <tableColumn id="14780" name="Column14776" dataDxfId="1604"/>
    <tableColumn id="14781" name="Column14777" dataDxfId="1603"/>
    <tableColumn id="14782" name="Column14778" dataDxfId="1602"/>
    <tableColumn id="14783" name="Column14779" dataDxfId="1601"/>
    <tableColumn id="14784" name="Column14780" dataDxfId="1600"/>
    <tableColumn id="14785" name="Column14781" dataDxfId="1599"/>
    <tableColumn id="14786" name="Column14782" dataDxfId="1598"/>
    <tableColumn id="14787" name="Column14783" dataDxfId="1597"/>
    <tableColumn id="14788" name="Column14784" dataDxfId="1596"/>
    <tableColumn id="14789" name="Column14785" dataDxfId="1595"/>
    <tableColumn id="14790" name="Column14786" dataDxfId="1594"/>
    <tableColumn id="14791" name="Column14787" dataDxfId="1593"/>
    <tableColumn id="14792" name="Column14788" dataDxfId="1592"/>
    <tableColumn id="14793" name="Column14789" dataDxfId="1591"/>
    <tableColumn id="14794" name="Column14790" dataDxfId="1590"/>
    <tableColumn id="14795" name="Column14791" dataDxfId="1589"/>
    <tableColumn id="14796" name="Column14792" dataDxfId="1588"/>
    <tableColumn id="14797" name="Column14793" dataDxfId="1587"/>
    <tableColumn id="14798" name="Column14794" dataDxfId="1586"/>
    <tableColumn id="14799" name="Column14795" dataDxfId="1585"/>
    <tableColumn id="14800" name="Column14796" dataDxfId="1584"/>
    <tableColumn id="14801" name="Column14797" dataDxfId="1583"/>
    <tableColumn id="14802" name="Column14798" dataDxfId="1582"/>
    <tableColumn id="14803" name="Column14799" dataDxfId="1581"/>
    <tableColumn id="14804" name="Column14800" dataDxfId="1580"/>
    <tableColumn id="14805" name="Column14801" dataDxfId="1579"/>
    <tableColumn id="14806" name="Column14802" dataDxfId="1578"/>
    <tableColumn id="14807" name="Column14803" dataDxfId="1577"/>
    <tableColumn id="14808" name="Column14804" dataDxfId="1576"/>
    <tableColumn id="14809" name="Column14805" dataDxfId="1575"/>
    <tableColumn id="14810" name="Column14806" dataDxfId="1574"/>
    <tableColumn id="14811" name="Column14807" dataDxfId="1573"/>
    <tableColumn id="14812" name="Column14808" dataDxfId="1572"/>
    <tableColumn id="14813" name="Column14809" dataDxfId="1571"/>
    <tableColumn id="14814" name="Column14810" dataDxfId="1570"/>
    <tableColumn id="14815" name="Column14811" dataDxfId="1569"/>
    <tableColumn id="14816" name="Column14812" dataDxfId="1568"/>
    <tableColumn id="14817" name="Column14813" dataDxfId="1567"/>
    <tableColumn id="14818" name="Column14814" dataDxfId="1566"/>
    <tableColumn id="14819" name="Column14815" dataDxfId="1565"/>
    <tableColumn id="14820" name="Column14816" dataDxfId="1564"/>
    <tableColumn id="14821" name="Column14817" dataDxfId="1563"/>
    <tableColumn id="14822" name="Column14818" dataDxfId="1562"/>
    <tableColumn id="14823" name="Column14819" dataDxfId="1561"/>
    <tableColumn id="14824" name="Column14820" dataDxfId="1560"/>
    <tableColumn id="14825" name="Column14821" dataDxfId="1559"/>
    <tableColumn id="14826" name="Column14822" dataDxfId="1558"/>
    <tableColumn id="14827" name="Column14823" dataDxfId="1557"/>
    <tableColumn id="14828" name="Column14824" dataDxfId="1556"/>
    <tableColumn id="14829" name="Column14825" dataDxfId="1555"/>
    <tableColumn id="14830" name="Column14826" dataDxfId="1554"/>
    <tableColumn id="14831" name="Column14827" dataDxfId="1553"/>
    <tableColumn id="14832" name="Column14828" dataDxfId="1552"/>
    <tableColumn id="14833" name="Column14829" dataDxfId="1551"/>
    <tableColumn id="14834" name="Column14830" dataDxfId="1550"/>
    <tableColumn id="14835" name="Column14831" dataDxfId="1549"/>
    <tableColumn id="14836" name="Column14832" dataDxfId="1548"/>
    <tableColumn id="14837" name="Column14833" dataDxfId="1547"/>
    <tableColumn id="14838" name="Column14834" dataDxfId="1546"/>
    <tableColumn id="14839" name="Column14835" dataDxfId="1545"/>
    <tableColumn id="14840" name="Column14836" dataDxfId="1544"/>
    <tableColumn id="14841" name="Column14837" dataDxfId="1543"/>
    <tableColumn id="14842" name="Column14838" dataDxfId="1542"/>
    <tableColumn id="14843" name="Column14839" dataDxfId="1541"/>
    <tableColumn id="14844" name="Column14840" dataDxfId="1540"/>
    <tableColumn id="14845" name="Column14841" dataDxfId="1539"/>
    <tableColumn id="14846" name="Column14842" dataDxfId="1538"/>
    <tableColumn id="14847" name="Column14843" dataDxfId="1537"/>
    <tableColumn id="14848" name="Column14844" dataDxfId="1536"/>
    <tableColumn id="14849" name="Column14845" dataDxfId="1535"/>
    <tableColumn id="14850" name="Column14846" dataDxfId="1534"/>
    <tableColumn id="14851" name="Column14847" dataDxfId="1533"/>
    <tableColumn id="14852" name="Column14848" dataDxfId="1532"/>
    <tableColumn id="14853" name="Column14849" dataDxfId="1531"/>
    <tableColumn id="14854" name="Column14850" dataDxfId="1530"/>
    <tableColumn id="14855" name="Column14851" dataDxfId="1529"/>
    <tableColumn id="14856" name="Column14852" dataDxfId="1528"/>
    <tableColumn id="14857" name="Column14853" dataDxfId="1527"/>
    <tableColumn id="14858" name="Column14854" dataDxfId="1526"/>
    <tableColumn id="14859" name="Column14855" dataDxfId="1525"/>
    <tableColumn id="14860" name="Column14856" dataDxfId="1524"/>
    <tableColumn id="14861" name="Column14857" dataDxfId="1523"/>
    <tableColumn id="14862" name="Column14858" dataDxfId="1522"/>
    <tableColumn id="14863" name="Column14859" dataDxfId="1521"/>
    <tableColumn id="14864" name="Column14860" dataDxfId="1520"/>
    <tableColumn id="14865" name="Column14861" dataDxfId="1519"/>
    <tableColumn id="14866" name="Column14862" dataDxfId="1518"/>
    <tableColumn id="14867" name="Column14863" dataDxfId="1517"/>
    <tableColumn id="14868" name="Column14864" dataDxfId="1516"/>
    <tableColumn id="14869" name="Column14865" dataDxfId="1515"/>
    <tableColumn id="14870" name="Column14866" dataDxfId="1514"/>
    <tableColumn id="14871" name="Column14867" dataDxfId="1513"/>
    <tableColumn id="14872" name="Column14868" dataDxfId="1512"/>
    <tableColumn id="14873" name="Column14869" dataDxfId="1511"/>
    <tableColumn id="14874" name="Column14870" dataDxfId="1510"/>
    <tableColumn id="14875" name="Column14871" dataDxfId="1509"/>
    <tableColumn id="14876" name="Column14872" dataDxfId="1508"/>
    <tableColumn id="14877" name="Column14873" dataDxfId="1507"/>
    <tableColumn id="14878" name="Column14874" dataDxfId="1506"/>
    <tableColumn id="14879" name="Column14875" dataDxfId="1505"/>
    <tableColumn id="14880" name="Column14876" dataDxfId="1504"/>
    <tableColumn id="14881" name="Column14877" dataDxfId="1503"/>
    <tableColumn id="14882" name="Column14878" dataDxfId="1502"/>
    <tableColumn id="14883" name="Column14879" dataDxfId="1501"/>
    <tableColumn id="14884" name="Column14880" dataDxfId="1500"/>
    <tableColumn id="14885" name="Column14881" dataDxfId="1499"/>
    <tableColumn id="14886" name="Column14882" dataDxfId="1498"/>
    <tableColumn id="14887" name="Column14883" dataDxfId="1497"/>
    <tableColumn id="14888" name="Column14884" dataDxfId="1496"/>
    <tableColumn id="14889" name="Column14885" dataDxfId="1495"/>
    <tableColumn id="14890" name="Column14886" dataDxfId="1494"/>
    <tableColumn id="14891" name="Column14887" dataDxfId="1493"/>
    <tableColumn id="14892" name="Column14888" dataDxfId="1492"/>
    <tableColumn id="14893" name="Column14889" dataDxfId="1491"/>
    <tableColumn id="14894" name="Column14890" dataDxfId="1490"/>
    <tableColumn id="14895" name="Column14891" dataDxfId="1489"/>
    <tableColumn id="14896" name="Column14892" dataDxfId="1488"/>
    <tableColumn id="14897" name="Column14893" dataDxfId="1487"/>
    <tableColumn id="14898" name="Column14894" dataDxfId="1486"/>
    <tableColumn id="14899" name="Column14895" dataDxfId="1485"/>
    <tableColumn id="14900" name="Column14896" dataDxfId="1484"/>
    <tableColumn id="14901" name="Column14897" dataDxfId="1483"/>
    <tableColumn id="14902" name="Column14898" dataDxfId="1482"/>
    <tableColumn id="14903" name="Column14899" dataDxfId="1481"/>
    <tableColumn id="14904" name="Column14900" dataDxfId="1480"/>
    <tableColumn id="14905" name="Column14901" dataDxfId="1479"/>
    <tableColumn id="14906" name="Column14902" dataDxfId="1478"/>
    <tableColumn id="14907" name="Column14903" dataDxfId="1477"/>
    <tableColumn id="14908" name="Column14904" dataDxfId="1476"/>
    <tableColumn id="14909" name="Column14905" dataDxfId="1475"/>
    <tableColumn id="14910" name="Column14906" dataDxfId="1474"/>
    <tableColumn id="14911" name="Column14907" dataDxfId="1473"/>
    <tableColumn id="14912" name="Column14908" dataDxfId="1472"/>
    <tableColumn id="14913" name="Column14909" dataDxfId="1471"/>
    <tableColumn id="14914" name="Column14910" dataDxfId="1470"/>
    <tableColumn id="14915" name="Column14911" dataDxfId="1469"/>
    <tableColumn id="14916" name="Column14912" dataDxfId="1468"/>
    <tableColumn id="14917" name="Column14913" dataDxfId="1467"/>
    <tableColumn id="14918" name="Column14914" dataDxfId="1466"/>
    <tableColumn id="14919" name="Column14915" dataDxfId="1465"/>
    <tableColumn id="14920" name="Column14916" dataDxfId="1464"/>
    <tableColumn id="14921" name="Column14917" dataDxfId="1463"/>
    <tableColumn id="14922" name="Column14918" dataDxfId="1462"/>
    <tableColumn id="14923" name="Column14919" dataDxfId="1461"/>
    <tableColumn id="14924" name="Column14920" dataDxfId="1460"/>
    <tableColumn id="14925" name="Column14921" dataDxfId="1459"/>
    <tableColumn id="14926" name="Column14922" dataDxfId="1458"/>
    <tableColumn id="14927" name="Column14923" dataDxfId="1457"/>
    <tableColumn id="14928" name="Column14924" dataDxfId="1456"/>
    <tableColumn id="14929" name="Column14925" dataDxfId="1455"/>
    <tableColumn id="14930" name="Column14926" dataDxfId="1454"/>
    <tableColumn id="14931" name="Column14927" dataDxfId="1453"/>
    <tableColumn id="14932" name="Column14928" dataDxfId="1452"/>
    <tableColumn id="14933" name="Column14929" dataDxfId="1451"/>
    <tableColumn id="14934" name="Column14930" dataDxfId="1450"/>
    <tableColumn id="14935" name="Column14931" dataDxfId="1449"/>
    <tableColumn id="14936" name="Column14932" dataDxfId="1448"/>
    <tableColumn id="14937" name="Column14933" dataDxfId="1447"/>
    <tableColumn id="14938" name="Column14934" dataDxfId="1446"/>
    <tableColumn id="14939" name="Column14935" dataDxfId="1445"/>
    <tableColumn id="14940" name="Column14936" dataDxfId="1444"/>
    <tableColumn id="14941" name="Column14937" dataDxfId="1443"/>
    <tableColumn id="14942" name="Column14938" dataDxfId="1442"/>
    <tableColumn id="14943" name="Column14939" dataDxfId="1441"/>
    <tableColumn id="14944" name="Column14940" dataDxfId="1440"/>
    <tableColumn id="14945" name="Column14941" dataDxfId="1439"/>
    <tableColumn id="14946" name="Column14942" dataDxfId="1438"/>
    <tableColumn id="14947" name="Column14943" dataDxfId="1437"/>
    <tableColumn id="14948" name="Column14944" dataDxfId="1436"/>
    <tableColumn id="14949" name="Column14945" dataDxfId="1435"/>
    <tableColumn id="14950" name="Column14946" dataDxfId="1434"/>
    <tableColumn id="14951" name="Column14947" dataDxfId="1433"/>
    <tableColumn id="14952" name="Column14948" dataDxfId="1432"/>
    <tableColumn id="14953" name="Column14949" dataDxfId="1431"/>
    <tableColumn id="14954" name="Column14950" dataDxfId="1430"/>
    <tableColumn id="14955" name="Column14951" dataDxfId="1429"/>
    <tableColumn id="14956" name="Column14952" dataDxfId="1428"/>
    <tableColumn id="14957" name="Column14953" dataDxfId="1427"/>
    <tableColumn id="14958" name="Column14954" dataDxfId="1426"/>
    <tableColumn id="14959" name="Column14955" dataDxfId="1425"/>
    <tableColumn id="14960" name="Column14956" dataDxfId="1424"/>
    <tableColumn id="14961" name="Column14957" dataDxfId="1423"/>
    <tableColumn id="14962" name="Column14958" dataDxfId="1422"/>
    <tableColumn id="14963" name="Column14959" dataDxfId="1421"/>
    <tableColumn id="14964" name="Column14960" dataDxfId="1420"/>
    <tableColumn id="14965" name="Column14961" dataDxfId="1419"/>
    <tableColumn id="14966" name="Column14962" dataDxfId="1418"/>
    <tableColumn id="14967" name="Column14963" dataDxfId="1417"/>
    <tableColumn id="14968" name="Column14964" dataDxfId="1416"/>
    <tableColumn id="14969" name="Column14965" dataDxfId="1415"/>
    <tableColumn id="14970" name="Column14966" dataDxfId="1414"/>
    <tableColumn id="14971" name="Column14967" dataDxfId="1413"/>
    <tableColumn id="14972" name="Column14968" dataDxfId="1412"/>
    <tableColumn id="14973" name="Column14969" dataDxfId="1411"/>
    <tableColumn id="14974" name="Column14970" dataDxfId="1410"/>
    <tableColumn id="14975" name="Column14971" dataDxfId="1409"/>
    <tableColumn id="14976" name="Column14972" dataDxfId="1408"/>
    <tableColumn id="14977" name="Column14973" dataDxfId="1407"/>
    <tableColumn id="14978" name="Column14974" dataDxfId="1406"/>
    <tableColumn id="14979" name="Column14975" dataDxfId="1405"/>
    <tableColumn id="14980" name="Column14976" dataDxfId="1404"/>
    <tableColumn id="14981" name="Column14977" dataDxfId="1403"/>
    <tableColumn id="14982" name="Column14978" dataDxfId="1402"/>
    <tableColumn id="14983" name="Column14979" dataDxfId="1401"/>
    <tableColumn id="14984" name="Column14980" dataDxfId="1400"/>
    <tableColumn id="14985" name="Column14981" dataDxfId="1399"/>
    <tableColumn id="14986" name="Column14982" dataDxfId="1398"/>
    <tableColumn id="14987" name="Column14983" dataDxfId="1397"/>
    <tableColumn id="14988" name="Column14984" dataDxfId="1396"/>
    <tableColumn id="14989" name="Column14985" dataDxfId="1395"/>
    <tableColumn id="14990" name="Column14986" dataDxfId="1394"/>
    <tableColumn id="14991" name="Column14987" dataDxfId="1393"/>
    <tableColumn id="14992" name="Column14988" dataDxfId="1392"/>
    <tableColumn id="14993" name="Column14989" dataDxfId="1391"/>
    <tableColumn id="14994" name="Column14990" dataDxfId="1390"/>
    <tableColumn id="14995" name="Column14991" dataDxfId="1389"/>
    <tableColumn id="14996" name="Column14992" dataDxfId="1388"/>
    <tableColumn id="14997" name="Column14993" dataDxfId="1387"/>
    <tableColumn id="14998" name="Column14994" dataDxfId="1386"/>
    <tableColumn id="14999" name="Column14995" dataDxfId="1385"/>
    <tableColumn id="15000" name="Column14996" dataDxfId="1384"/>
    <tableColumn id="15001" name="Column14997" dataDxfId="1383"/>
    <tableColumn id="15002" name="Column14998" dataDxfId="1382"/>
    <tableColumn id="15003" name="Column14999" dataDxfId="1381"/>
    <tableColumn id="15004" name="Column15000" dataDxfId="1380"/>
    <tableColumn id="15005" name="Column15001" dataDxfId="1379"/>
    <tableColumn id="15006" name="Column15002" dataDxfId="1378"/>
    <tableColumn id="15007" name="Column15003" dataDxfId="1377"/>
    <tableColumn id="15008" name="Column15004" dataDxfId="1376"/>
    <tableColumn id="15009" name="Column15005" dataDxfId="1375"/>
    <tableColumn id="15010" name="Column15006" dataDxfId="1374"/>
    <tableColumn id="15011" name="Column15007" dataDxfId="1373"/>
    <tableColumn id="15012" name="Column15008" dataDxfId="1372"/>
    <tableColumn id="15013" name="Column15009" dataDxfId="1371"/>
    <tableColumn id="15014" name="Column15010" dataDxfId="1370"/>
    <tableColumn id="15015" name="Column15011" dataDxfId="1369"/>
    <tableColumn id="15016" name="Column15012" dataDxfId="1368"/>
    <tableColumn id="15017" name="Column15013" dataDxfId="1367"/>
    <tableColumn id="15018" name="Column15014" dataDxfId="1366"/>
    <tableColumn id="15019" name="Column15015" dataDxfId="1365"/>
    <tableColumn id="15020" name="Column15016" dataDxfId="1364"/>
    <tableColumn id="15021" name="Column15017" dataDxfId="1363"/>
    <tableColumn id="15022" name="Column15018" dataDxfId="1362"/>
    <tableColumn id="15023" name="Column15019" dataDxfId="1361"/>
    <tableColumn id="15024" name="Column15020" dataDxfId="1360"/>
    <tableColumn id="15025" name="Column15021" dataDxfId="1359"/>
    <tableColumn id="15026" name="Column15022" dataDxfId="1358"/>
    <tableColumn id="15027" name="Column15023" dataDxfId="1357"/>
    <tableColumn id="15028" name="Column15024" dataDxfId="1356"/>
    <tableColumn id="15029" name="Column15025" dataDxfId="1355"/>
    <tableColumn id="15030" name="Column15026" dataDxfId="1354"/>
    <tableColumn id="15031" name="Column15027" dataDxfId="1353"/>
    <tableColumn id="15032" name="Column15028" dataDxfId="1352"/>
    <tableColumn id="15033" name="Column15029" dataDxfId="1351"/>
    <tableColumn id="15034" name="Column15030" dataDxfId="1350"/>
    <tableColumn id="15035" name="Column15031" dataDxfId="1349"/>
    <tableColumn id="15036" name="Column15032" dataDxfId="1348"/>
    <tableColumn id="15037" name="Column15033" dataDxfId="1347"/>
    <tableColumn id="15038" name="Column15034" dataDxfId="1346"/>
    <tableColumn id="15039" name="Column15035" dataDxfId="1345"/>
    <tableColumn id="15040" name="Column15036" dataDxfId="1344"/>
    <tableColumn id="15041" name="Column15037" dataDxfId="1343"/>
    <tableColumn id="15042" name="Column15038" dataDxfId="1342"/>
    <tableColumn id="15043" name="Column15039" dataDxfId="1341"/>
    <tableColumn id="15044" name="Column15040" dataDxfId="1340"/>
    <tableColumn id="15045" name="Column15041" dataDxfId="1339"/>
    <tableColumn id="15046" name="Column15042" dataDxfId="1338"/>
    <tableColumn id="15047" name="Column15043" dataDxfId="1337"/>
    <tableColumn id="15048" name="Column15044" dataDxfId="1336"/>
    <tableColumn id="15049" name="Column15045" dataDxfId="1335"/>
    <tableColumn id="15050" name="Column15046" dataDxfId="1334"/>
    <tableColumn id="15051" name="Column15047" dataDxfId="1333"/>
    <tableColumn id="15052" name="Column15048" dataDxfId="1332"/>
    <tableColumn id="15053" name="Column15049" dataDxfId="1331"/>
    <tableColumn id="15054" name="Column15050" dataDxfId="1330"/>
    <tableColumn id="15055" name="Column15051" dataDxfId="1329"/>
    <tableColumn id="15056" name="Column15052" dataDxfId="1328"/>
    <tableColumn id="15057" name="Column15053" dataDxfId="1327"/>
    <tableColumn id="15058" name="Column15054" dataDxfId="1326"/>
    <tableColumn id="15059" name="Column15055" dataDxfId="1325"/>
    <tableColumn id="15060" name="Column15056" dataDxfId="1324"/>
    <tableColumn id="15061" name="Column15057" dataDxfId="1323"/>
    <tableColumn id="15062" name="Column15058" dataDxfId="1322"/>
    <tableColumn id="15063" name="Column15059" dataDxfId="1321"/>
    <tableColumn id="15064" name="Column15060" dataDxfId="1320"/>
    <tableColumn id="15065" name="Column15061" dataDxfId="1319"/>
    <tableColumn id="15066" name="Column15062" dataDxfId="1318"/>
    <tableColumn id="15067" name="Column15063" dataDxfId="1317"/>
    <tableColumn id="15068" name="Column15064" dataDxfId="1316"/>
    <tableColumn id="15069" name="Column15065" dataDxfId="1315"/>
    <tableColumn id="15070" name="Column15066" dataDxfId="1314"/>
    <tableColumn id="15071" name="Column15067" dataDxfId="1313"/>
    <tableColumn id="15072" name="Column15068" dataDxfId="1312"/>
    <tableColumn id="15073" name="Column15069" dataDxfId="1311"/>
    <tableColumn id="15074" name="Column15070" dataDxfId="1310"/>
    <tableColumn id="15075" name="Column15071" dataDxfId="1309"/>
    <tableColumn id="15076" name="Column15072" dataDxfId="1308"/>
    <tableColumn id="15077" name="Column15073" dataDxfId="1307"/>
    <tableColumn id="15078" name="Column15074" dataDxfId="1306"/>
    <tableColumn id="15079" name="Column15075" dataDxfId="1305"/>
    <tableColumn id="15080" name="Column15076" dataDxfId="1304"/>
    <tableColumn id="15081" name="Column15077" dataDxfId="1303"/>
    <tableColumn id="15082" name="Column15078" dataDxfId="1302"/>
    <tableColumn id="15083" name="Column15079" dataDxfId="1301"/>
    <tableColumn id="15084" name="Column15080" dataDxfId="1300"/>
    <tableColumn id="15085" name="Column15081" dataDxfId="1299"/>
    <tableColumn id="15086" name="Column15082" dataDxfId="1298"/>
    <tableColumn id="15087" name="Column15083" dataDxfId="1297"/>
    <tableColumn id="15088" name="Column15084" dataDxfId="1296"/>
    <tableColumn id="15089" name="Column15085" dataDxfId="1295"/>
    <tableColumn id="15090" name="Column15086" dataDxfId="1294"/>
    <tableColumn id="15091" name="Column15087" dataDxfId="1293"/>
    <tableColumn id="15092" name="Column15088" dataDxfId="1292"/>
    <tableColumn id="15093" name="Column15089" dataDxfId="1291"/>
    <tableColumn id="15094" name="Column15090" dataDxfId="1290"/>
    <tableColumn id="15095" name="Column15091" dataDxfId="1289"/>
    <tableColumn id="15096" name="Column15092" dataDxfId="1288"/>
    <tableColumn id="15097" name="Column15093" dataDxfId="1287"/>
    <tableColumn id="15098" name="Column15094" dataDxfId="1286"/>
    <tableColumn id="15099" name="Column15095" dataDxfId="1285"/>
    <tableColumn id="15100" name="Column15096" dataDxfId="1284"/>
    <tableColumn id="15101" name="Column15097" dataDxfId="1283"/>
    <tableColumn id="15102" name="Column15098" dataDxfId="1282"/>
    <tableColumn id="15103" name="Column15099" dataDxfId="1281"/>
    <tableColumn id="15104" name="Column15100" dataDxfId="1280"/>
    <tableColumn id="15105" name="Column15101" dataDxfId="1279"/>
    <tableColumn id="15106" name="Column15102" dataDxfId="1278"/>
    <tableColumn id="15107" name="Column15103" dataDxfId="1277"/>
    <tableColumn id="15108" name="Column15104" dataDxfId="1276"/>
    <tableColumn id="15109" name="Column15105" dataDxfId="1275"/>
    <tableColumn id="15110" name="Column15106" dataDxfId="1274"/>
    <tableColumn id="15111" name="Column15107" dataDxfId="1273"/>
    <tableColumn id="15112" name="Column15108" dataDxfId="1272"/>
    <tableColumn id="15113" name="Column15109" dataDxfId="1271"/>
    <tableColumn id="15114" name="Column15110" dataDxfId="1270"/>
    <tableColumn id="15115" name="Column15111" dataDxfId="1269"/>
    <tableColumn id="15116" name="Column15112" dataDxfId="1268"/>
    <tableColumn id="15117" name="Column15113" dataDxfId="1267"/>
    <tableColumn id="15118" name="Column15114" dataDxfId="1266"/>
    <tableColumn id="15119" name="Column15115" dataDxfId="1265"/>
    <tableColumn id="15120" name="Column15116" dataDxfId="1264"/>
    <tableColumn id="15121" name="Column15117" dataDxfId="1263"/>
    <tableColumn id="15122" name="Column15118" dataDxfId="1262"/>
    <tableColumn id="15123" name="Column15119" dataDxfId="1261"/>
    <tableColumn id="15124" name="Column15120" dataDxfId="1260"/>
    <tableColumn id="15125" name="Column15121" dataDxfId="1259"/>
    <tableColumn id="15126" name="Column15122" dataDxfId="1258"/>
    <tableColumn id="15127" name="Column15123" dataDxfId="1257"/>
    <tableColumn id="15128" name="Column15124" dataDxfId="1256"/>
    <tableColumn id="15129" name="Column15125" dataDxfId="1255"/>
    <tableColumn id="15130" name="Column15126" dataDxfId="1254"/>
    <tableColumn id="15131" name="Column15127" dataDxfId="1253"/>
    <tableColumn id="15132" name="Column15128" dataDxfId="1252"/>
    <tableColumn id="15133" name="Column15129" dataDxfId="1251"/>
    <tableColumn id="15134" name="Column15130" dataDxfId="1250"/>
    <tableColumn id="15135" name="Column15131" dataDxfId="1249"/>
    <tableColumn id="15136" name="Column15132" dataDxfId="1248"/>
    <tableColumn id="15137" name="Column15133" dataDxfId="1247"/>
    <tableColumn id="15138" name="Column15134" dataDxfId="1246"/>
    <tableColumn id="15139" name="Column15135" dataDxfId="1245"/>
    <tableColumn id="15140" name="Column15136" dataDxfId="1244"/>
    <tableColumn id="15141" name="Column15137" dataDxfId="1243"/>
    <tableColumn id="15142" name="Column15138" dataDxfId="1242"/>
    <tableColumn id="15143" name="Column15139" dataDxfId="1241"/>
    <tableColumn id="15144" name="Column15140" dataDxfId="1240"/>
    <tableColumn id="15145" name="Column15141" dataDxfId="1239"/>
    <tableColumn id="15146" name="Column15142" dataDxfId="1238"/>
    <tableColumn id="15147" name="Column15143" dataDxfId="1237"/>
    <tableColumn id="15148" name="Column15144" dataDxfId="1236"/>
    <tableColumn id="15149" name="Column15145" dataDxfId="1235"/>
    <tableColumn id="15150" name="Column15146" dataDxfId="1234"/>
    <tableColumn id="15151" name="Column15147" dataDxfId="1233"/>
    <tableColumn id="15152" name="Column15148" dataDxfId="1232"/>
    <tableColumn id="15153" name="Column15149" dataDxfId="1231"/>
    <tableColumn id="15154" name="Column15150" dataDxfId="1230"/>
    <tableColumn id="15155" name="Column15151" dataDxfId="1229"/>
    <tableColumn id="15156" name="Column15152" dataDxfId="1228"/>
    <tableColumn id="15157" name="Column15153" dataDxfId="1227"/>
    <tableColumn id="15158" name="Column15154" dataDxfId="1226"/>
    <tableColumn id="15159" name="Column15155" dataDxfId="1225"/>
    <tableColumn id="15160" name="Column15156" dataDxfId="1224"/>
    <tableColumn id="15161" name="Column15157" dataDxfId="1223"/>
    <tableColumn id="15162" name="Column15158" dataDxfId="1222"/>
    <tableColumn id="15163" name="Column15159" dataDxfId="1221"/>
    <tableColumn id="15164" name="Column15160" dataDxfId="1220"/>
    <tableColumn id="15165" name="Column15161" dataDxfId="1219"/>
    <tableColumn id="15166" name="Column15162" dataDxfId="1218"/>
    <tableColumn id="15167" name="Column15163" dataDxfId="1217"/>
    <tableColumn id="15168" name="Column15164" dataDxfId="1216"/>
    <tableColumn id="15169" name="Column15165" dataDxfId="1215"/>
    <tableColumn id="15170" name="Column15166" dataDxfId="1214"/>
    <tableColumn id="15171" name="Column15167" dataDxfId="1213"/>
    <tableColumn id="15172" name="Column15168" dataDxfId="1212"/>
    <tableColumn id="15173" name="Column15169" dataDxfId="1211"/>
    <tableColumn id="15174" name="Column15170" dataDxfId="1210"/>
    <tableColumn id="15175" name="Column15171" dataDxfId="1209"/>
    <tableColumn id="15176" name="Column15172" dataDxfId="1208"/>
    <tableColumn id="15177" name="Column15173" dataDxfId="1207"/>
    <tableColumn id="15178" name="Column15174" dataDxfId="1206"/>
    <tableColumn id="15179" name="Column15175" dataDxfId="1205"/>
    <tableColumn id="15180" name="Column15176" dataDxfId="1204"/>
    <tableColumn id="15181" name="Column15177" dataDxfId="1203"/>
    <tableColumn id="15182" name="Column15178" dataDxfId="1202"/>
    <tableColumn id="15183" name="Column15179" dataDxfId="1201"/>
    <tableColumn id="15184" name="Column15180" dataDxfId="1200"/>
    <tableColumn id="15185" name="Column15181" dataDxfId="1199"/>
    <tableColumn id="15186" name="Column15182" dataDxfId="1198"/>
    <tableColumn id="15187" name="Column15183" dataDxfId="1197"/>
    <tableColumn id="15188" name="Column15184" dataDxfId="1196"/>
    <tableColumn id="15189" name="Column15185" dataDxfId="1195"/>
    <tableColumn id="15190" name="Column15186" dataDxfId="1194"/>
    <tableColumn id="15191" name="Column15187" dataDxfId="1193"/>
    <tableColumn id="15192" name="Column15188" dataDxfId="1192"/>
    <tableColumn id="15193" name="Column15189" dataDxfId="1191"/>
    <tableColumn id="15194" name="Column15190" dataDxfId="1190"/>
    <tableColumn id="15195" name="Column15191" dataDxfId="1189"/>
    <tableColumn id="15196" name="Column15192" dataDxfId="1188"/>
    <tableColumn id="15197" name="Column15193" dataDxfId="1187"/>
    <tableColumn id="15198" name="Column15194" dataDxfId="1186"/>
    <tableColumn id="15199" name="Column15195" dataDxfId="1185"/>
    <tableColumn id="15200" name="Column15196" dataDxfId="1184"/>
    <tableColumn id="15201" name="Column15197" dataDxfId="1183"/>
    <tableColumn id="15202" name="Column15198" dataDxfId="1182"/>
    <tableColumn id="15203" name="Column15199" dataDxfId="1181"/>
    <tableColumn id="15204" name="Column15200" dataDxfId="1180"/>
    <tableColumn id="15205" name="Column15201" dataDxfId="1179"/>
    <tableColumn id="15206" name="Column15202" dataDxfId="1178"/>
    <tableColumn id="15207" name="Column15203" dataDxfId="1177"/>
    <tableColumn id="15208" name="Column15204" dataDxfId="1176"/>
    <tableColumn id="15209" name="Column15205" dataDxfId="1175"/>
    <tableColumn id="15210" name="Column15206" dataDxfId="1174"/>
    <tableColumn id="15211" name="Column15207" dataDxfId="1173"/>
    <tableColumn id="15212" name="Column15208" dataDxfId="1172"/>
    <tableColumn id="15213" name="Column15209" dataDxfId="1171"/>
    <tableColumn id="15214" name="Column15210" dataDxfId="1170"/>
    <tableColumn id="15215" name="Column15211" dataDxfId="1169"/>
    <tableColumn id="15216" name="Column15212" dataDxfId="1168"/>
    <tableColumn id="15217" name="Column15213" dataDxfId="1167"/>
    <tableColumn id="15218" name="Column15214" dataDxfId="1166"/>
    <tableColumn id="15219" name="Column15215" dataDxfId="1165"/>
    <tableColumn id="15220" name="Column15216" dataDxfId="1164"/>
    <tableColumn id="15221" name="Column15217" dataDxfId="1163"/>
    <tableColumn id="15222" name="Column15218" dataDxfId="1162"/>
    <tableColumn id="15223" name="Column15219" dataDxfId="1161"/>
    <tableColumn id="15224" name="Column15220" dataDxfId="1160"/>
    <tableColumn id="15225" name="Column15221" dataDxfId="1159"/>
    <tableColumn id="15226" name="Column15222" dataDxfId="1158"/>
    <tableColumn id="15227" name="Column15223" dataDxfId="1157"/>
    <tableColumn id="15228" name="Column15224" dataDxfId="1156"/>
    <tableColumn id="15229" name="Column15225" dataDxfId="1155"/>
    <tableColumn id="15230" name="Column15226" dataDxfId="1154"/>
    <tableColumn id="15231" name="Column15227" dataDxfId="1153"/>
    <tableColumn id="15232" name="Column15228" dataDxfId="1152"/>
    <tableColumn id="15233" name="Column15229" dataDxfId="1151"/>
    <tableColumn id="15234" name="Column15230" dataDxfId="1150"/>
    <tableColumn id="15235" name="Column15231" dataDxfId="1149"/>
    <tableColumn id="15236" name="Column15232" dataDxfId="1148"/>
    <tableColumn id="15237" name="Column15233" dataDxfId="1147"/>
    <tableColumn id="15238" name="Column15234" dataDxfId="1146"/>
    <tableColumn id="15239" name="Column15235" dataDxfId="1145"/>
    <tableColumn id="15240" name="Column15236" dataDxfId="1144"/>
    <tableColumn id="15241" name="Column15237" dataDxfId="1143"/>
    <tableColumn id="15242" name="Column15238" dataDxfId="1142"/>
    <tableColumn id="15243" name="Column15239" dataDxfId="1141"/>
    <tableColumn id="15244" name="Column15240" dataDxfId="1140"/>
    <tableColumn id="15245" name="Column15241" dataDxfId="1139"/>
    <tableColumn id="15246" name="Column15242" dataDxfId="1138"/>
    <tableColumn id="15247" name="Column15243" dataDxfId="1137"/>
    <tableColumn id="15248" name="Column15244" dataDxfId="1136"/>
    <tableColumn id="15249" name="Column15245" dataDxfId="1135"/>
    <tableColumn id="15250" name="Column15246" dataDxfId="1134"/>
    <tableColumn id="15251" name="Column15247" dataDxfId="1133"/>
    <tableColumn id="15252" name="Column15248" dataDxfId="1132"/>
    <tableColumn id="15253" name="Column15249" dataDxfId="1131"/>
    <tableColumn id="15254" name="Column15250" dataDxfId="1130"/>
    <tableColumn id="15255" name="Column15251" dataDxfId="1129"/>
    <tableColumn id="15256" name="Column15252" dataDxfId="1128"/>
    <tableColumn id="15257" name="Column15253" dataDxfId="1127"/>
    <tableColumn id="15258" name="Column15254" dataDxfId="1126"/>
    <tableColumn id="15259" name="Column15255" dataDxfId="1125"/>
    <tableColumn id="15260" name="Column15256" dataDxfId="1124"/>
    <tableColumn id="15261" name="Column15257" dataDxfId="1123"/>
    <tableColumn id="15262" name="Column15258" dataDxfId="1122"/>
    <tableColumn id="15263" name="Column15259" dataDxfId="1121"/>
    <tableColumn id="15264" name="Column15260" dataDxfId="1120"/>
    <tableColumn id="15265" name="Column15261" dataDxfId="1119"/>
    <tableColumn id="15266" name="Column15262" dataDxfId="1118"/>
    <tableColumn id="15267" name="Column15263" dataDxfId="1117"/>
    <tableColumn id="15268" name="Column15264" dataDxfId="1116"/>
    <tableColumn id="15269" name="Column15265" dataDxfId="1115"/>
    <tableColumn id="15270" name="Column15266" dataDxfId="1114"/>
    <tableColumn id="15271" name="Column15267" dataDxfId="1113"/>
    <tableColumn id="15272" name="Column15268" dataDxfId="1112"/>
    <tableColumn id="15273" name="Column15269" dataDxfId="1111"/>
    <tableColumn id="15274" name="Column15270" dataDxfId="1110"/>
    <tableColumn id="15275" name="Column15271" dataDxfId="1109"/>
    <tableColumn id="15276" name="Column15272" dataDxfId="1108"/>
    <tableColumn id="15277" name="Column15273" dataDxfId="1107"/>
    <tableColumn id="15278" name="Column15274" dataDxfId="1106"/>
    <tableColumn id="15279" name="Column15275" dataDxfId="1105"/>
    <tableColumn id="15280" name="Column15276" dataDxfId="1104"/>
    <tableColumn id="15281" name="Column15277" dataDxfId="1103"/>
    <tableColumn id="15282" name="Column15278" dataDxfId="1102"/>
    <tableColumn id="15283" name="Column15279" dataDxfId="1101"/>
    <tableColumn id="15284" name="Column15280" dataDxfId="1100"/>
    <tableColumn id="15285" name="Column15281" dataDxfId="1099"/>
    <tableColumn id="15286" name="Column15282" dataDxfId="1098"/>
    <tableColumn id="15287" name="Column15283" dataDxfId="1097"/>
    <tableColumn id="15288" name="Column15284" dataDxfId="1096"/>
    <tableColumn id="15289" name="Column15285" dataDxfId="1095"/>
    <tableColumn id="15290" name="Column15286" dataDxfId="1094"/>
    <tableColumn id="15291" name="Column15287" dataDxfId="1093"/>
    <tableColumn id="15292" name="Column15288" dataDxfId="1092"/>
    <tableColumn id="15293" name="Column15289" dataDxfId="1091"/>
    <tableColumn id="15294" name="Column15290" dataDxfId="1090"/>
    <tableColumn id="15295" name="Column15291" dataDxfId="1089"/>
    <tableColumn id="15296" name="Column15292" dataDxfId="1088"/>
    <tableColumn id="15297" name="Column15293" dataDxfId="1087"/>
    <tableColumn id="15298" name="Column15294" dataDxfId="1086"/>
    <tableColumn id="15299" name="Column15295" dataDxfId="1085"/>
    <tableColumn id="15300" name="Column15296" dataDxfId="1084"/>
    <tableColumn id="15301" name="Column15297" dataDxfId="1083"/>
    <tableColumn id="15302" name="Column15298" dataDxfId="1082"/>
    <tableColumn id="15303" name="Column15299" dataDxfId="1081"/>
    <tableColumn id="15304" name="Column15300" dataDxfId="1080"/>
    <tableColumn id="15305" name="Column15301" dataDxfId="1079"/>
    <tableColumn id="15306" name="Column15302" dataDxfId="1078"/>
    <tableColumn id="15307" name="Column15303" dataDxfId="1077"/>
    <tableColumn id="15308" name="Column15304" dataDxfId="1076"/>
    <tableColumn id="15309" name="Column15305" dataDxfId="1075"/>
    <tableColumn id="15310" name="Column15306" dataDxfId="1074"/>
    <tableColumn id="15311" name="Column15307" dataDxfId="1073"/>
    <tableColumn id="15312" name="Column15308" dataDxfId="1072"/>
    <tableColumn id="15313" name="Column15309" dataDxfId="1071"/>
    <tableColumn id="15314" name="Column15310" dataDxfId="1070"/>
    <tableColumn id="15315" name="Column15311" dataDxfId="1069"/>
    <tableColumn id="15316" name="Column15312" dataDxfId="1068"/>
    <tableColumn id="15317" name="Column15313" dataDxfId="1067"/>
    <tableColumn id="15318" name="Column15314" dataDxfId="1066"/>
    <tableColumn id="15319" name="Column15315" dataDxfId="1065"/>
    <tableColumn id="15320" name="Column15316" dataDxfId="1064"/>
    <tableColumn id="15321" name="Column15317" dataDxfId="1063"/>
    <tableColumn id="15322" name="Column15318" dataDxfId="1062"/>
    <tableColumn id="15323" name="Column15319" dataDxfId="1061"/>
    <tableColumn id="15324" name="Column15320" dataDxfId="1060"/>
    <tableColumn id="15325" name="Column15321" dataDxfId="1059"/>
    <tableColumn id="15326" name="Column15322" dataDxfId="1058"/>
    <tableColumn id="15327" name="Column15323" dataDxfId="1057"/>
    <tableColumn id="15328" name="Column15324" dataDxfId="1056"/>
    <tableColumn id="15329" name="Column15325" dataDxfId="1055"/>
    <tableColumn id="15330" name="Column15326" dataDxfId="1054"/>
    <tableColumn id="15331" name="Column15327" dataDxfId="1053"/>
    <tableColumn id="15332" name="Column15328" dataDxfId="1052"/>
    <tableColumn id="15333" name="Column15329" dataDxfId="1051"/>
    <tableColumn id="15334" name="Column15330" dataDxfId="1050"/>
    <tableColumn id="15335" name="Column15331" dataDxfId="1049"/>
    <tableColumn id="15336" name="Column15332" dataDxfId="1048"/>
    <tableColumn id="15337" name="Column15333" dataDxfId="1047"/>
    <tableColumn id="15338" name="Column15334" dataDxfId="1046"/>
    <tableColumn id="15339" name="Column15335" dataDxfId="1045"/>
    <tableColumn id="15340" name="Column15336" dataDxfId="1044"/>
    <tableColumn id="15341" name="Column15337" dataDxfId="1043"/>
    <tableColumn id="15342" name="Column15338" dataDxfId="1042"/>
    <tableColumn id="15343" name="Column15339" dataDxfId="1041"/>
    <tableColumn id="15344" name="Column15340" dataDxfId="1040"/>
    <tableColumn id="15345" name="Column15341" dataDxfId="1039"/>
    <tableColumn id="15346" name="Column15342" dataDxfId="1038"/>
    <tableColumn id="15347" name="Column15343" dataDxfId="1037"/>
    <tableColumn id="15348" name="Column15344" dataDxfId="1036"/>
    <tableColumn id="15349" name="Column15345" dataDxfId="1035"/>
    <tableColumn id="15350" name="Column15346" dataDxfId="1034"/>
    <tableColumn id="15351" name="Column15347" dataDxfId="1033"/>
    <tableColumn id="15352" name="Column15348" dataDxfId="1032"/>
    <tableColumn id="15353" name="Column15349" dataDxfId="1031"/>
    <tableColumn id="15354" name="Column15350" dataDxfId="1030"/>
    <tableColumn id="15355" name="Column15351" dataDxfId="1029"/>
    <tableColumn id="15356" name="Column15352" dataDxfId="1028"/>
    <tableColumn id="15357" name="Column15353" dataDxfId="1027"/>
    <tableColumn id="15358" name="Column15354" dataDxfId="1026"/>
    <tableColumn id="15359" name="Column15355" dataDxfId="1025"/>
    <tableColumn id="15360" name="Column15356" dataDxfId="1024"/>
    <tableColumn id="15361" name="Column15357" dataDxfId="1023"/>
    <tableColumn id="15362" name="Column15358" dataDxfId="1022"/>
    <tableColumn id="15363" name="Column15359" dataDxfId="1021"/>
    <tableColumn id="15364" name="Column15360" dataDxfId="1020"/>
    <tableColumn id="15365" name="Column15361" dataDxfId="1019"/>
    <tableColumn id="15366" name="Column15362" dataDxfId="1018"/>
    <tableColumn id="15367" name="Column15363" dataDxfId="1017"/>
    <tableColumn id="15368" name="Column15364" dataDxfId="1016"/>
    <tableColumn id="15369" name="Column15365" dataDxfId="1015"/>
    <tableColumn id="15370" name="Column15366" dataDxfId="1014"/>
    <tableColumn id="15371" name="Column15367" dataDxfId="1013"/>
    <tableColumn id="15372" name="Column15368" dataDxfId="1012"/>
    <tableColumn id="15373" name="Column15369" dataDxfId="1011"/>
    <tableColumn id="15374" name="Column15370" dataDxfId="1010"/>
    <tableColumn id="15375" name="Column15371" dataDxfId="1009"/>
    <tableColumn id="15376" name="Column15372" dataDxfId="1008"/>
    <tableColumn id="15377" name="Column15373" dataDxfId="1007"/>
    <tableColumn id="15378" name="Column15374" dataDxfId="1006"/>
    <tableColumn id="15379" name="Column15375" dataDxfId="1005"/>
    <tableColumn id="15380" name="Column15376" dataDxfId="1004"/>
    <tableColumn id="15381" name="Column15377" dataDxfId="1003"/>
    <tableColumn id="15382" name="Column15378" dataDxfId="1002"/>
    <tableColumn id="15383" name="Column15379" dataDxfId="1001"/>
    <tableColumn id="15384" name="Column15380" dataDxfId="1000"/>
    <tableColumn id="15385" name="Column15381" dataDxfId="999"/>
    <tableColumn id="15386" name="Column15382" dataDxfId="998"/>
    <tableColumn id="15387" name="Column15383" dataDxfId="997"/>
    <tableColumn id="15388" name="Column15384" dataDxfId="996"/>
    <tableColumn id="15389" name="Column15385" dataDxfId="995"/>
    <tableColumn id="15390" name="Column15386" dataDxfId="994"/>
    <tableColumn id="15391" name="Column15387" dataDxfId="993"/>
    <tableColumn id="15392" name="Column15388" dataDxfId="992"/>
    <tableColumn id="15393" name="Column15389" dataDxfId="991"/>
    <tableColumn id="15394" name="Column15390" dataDxfId="990"/>
    <tableColumn id="15395" name="Column15391" dataDxfId="989"/>
    <tableColumn id="15396" name="Column15392" dataDxfId="988"/>
    <tableColumn id="15397" name="Column15393" dataDxfId="987"/>
    <tableColumn id="15398" name="Column15394" dataDxfId="986"/>
    <tableColumn id="15399" name="Column15395" dataDxfId="985"/>
    <tableColumn id="15400" name="Column15396" dataDxfId="984"/>
    <tableColumn id="15401" name="Column15397" dataDxfId="983"/>
    <tableColumn id="15402" name="Column15398" dataDxfId="982"/>
    <tableColumn id="15403" name="Column15399" dataDxfId="981"/>
    <tableColumn id="15404" name="Column15400" dataDxfId="980"/>
    <tableColumn id="15405" name="Column15401" dataDxfId="979"/>
    <tableColumn id="15406" name="Column15402" dataDxfId="978"/>
    <tableColumn id="15407" name="Column15403" dataDxfId="977"/>
    <tableColumn id="15408" name="Column15404" dataDxfId="976"/>
    <tableColumn id="15409" name="Column15405" dataDxfId="975"/>
    <tableColumn id="15410" name="Column15406" dataDxfId="974"/>
    <tableColumn id="15411" name="Column15407" dataDxfId="973"/>
    <tableColumn id="15412" name="Column15408" dataDxfId="972"/>
    <tableColumn id="15413" name="Column15409" dataDxfId="971"/>
    <tableColumn id="15414" name="Column15410" dataDxfId="970"/>
    <tableColumn id="15415" name="Column15411" dataDxfId="969"/>
    <tableColumn id="15416" name="Column15412" dataDxfId="968"/>
    <tableColumn id="15417" name="Column15413" dataDxfId="967"/>
    <tableColumn id="15418" name="Column15414" dataDxfId="966"/>
    <tableColumn id="15419" name="Column15415" dataDxfId="965"/>
    <tableColumn id="15420" name="Column15416" dataDxfId="964"/>
    <tableColumn id="15421" name="Column15417" dataDxfId="963"/>
    <tableColumn id="15422" name="Column15418" dataDxfId="962"/>
    <tableColumn id="15423" name="Column15419" dataDxfId="961"/>
    <tableColumn id="15424" name="Column15420" dataDxfId="960"/>
    <tableColumn id="15425" name="Column15421" dataDxfId="959"/>
    <tableColumn id="15426" name="Column15422" dataDxfId="958"/>
    <tableColumn id="15427" name="Column15423" dataDxfId="957"/>
    <tableColumn id="15428" name="Column15424" dataDxfId="956"/>
    <tableColumn id="15429" name="Column15425" dataDxfId="955"/>
    <tableColumn id="15430" name="Column15426" dataDxfId="954"/>
    <tableColumn id="15431" name="Column15427" dataDxfId="953"/>
    <tableColumn id="15432" name="Column15428" dataDxfId="952"/>
    <tableColumn id="15433" name="Column15429" dataDxfId="951"/>
    <tableColumn id="15434" name="Column15430" dataDxfId="950"/>
    <tableColumn id="15435" name="Column15431" dataDxfId="949"/>
    <tableColumn id="15436" name="Column15432" dataDxfId="948"/>
    <tableColumn id="15437" name="Column15433" dataDxfId="947"/>
    <tableColumn id="15438" name="Column15434" dataDxfId="946"/>
    <tableColumn id="15439" name="Column15435" dataDxfId="945"/>
    <tableColumn id="15440" name="Column15436" dataDxfId="944"/>
    <tableColumn id="15441" name="Column15437" dataDxfId="943"/>
    <tableColumn id="15442" name="Column15438" dataDxfId="942"/>
    <tableColumn id="15443" name="Column15439" dataDxfId="941"/>
    <tableColumn id="15444" name="Column15440" dataDxfId="940"/>
    <tableColumn id="15445" name="Column15441" dataDxfId="939"/>
    <tableColumn id="15446" name="Column15442" dataDxfId="938"/>
    <tableColumn id="15447" name="Column15443" dataDxfId="937"/>
    <tableColumn id="15448" name="Column15444" dataDxfId="936"/>
    <tableColumn id="15449" name="Column15445" dataDxfId="935"/>
    <tableColumn id="15450" name="Column15446" dataDxfId="934"/>
    <tableColumn id="15451" name="Column15447" dataDxfId="933"/>
    <tableColumn id="15452" name="Column15448" dataDxfId="932"/>
    <tableColumn id="15453" name="Column15449" dataDxfId="931"/>
    <tableColumn id="15454" name="Column15450" dataDxfId="930"/>
    <tableColumn id="15455" name="Column15451" dataDxfId="929"/>
    <tableColumn id="15456" name="Column15452" dataDxfId="928"/>
    <tableColumn id="15457" name="Column15453" dataDxfId="927"/>
    <tableColumn id="15458" name="Column15454" dataDxfId="926"/>
    <tableColumn id="15459" name="Column15455" dataDxfId="925"/>
    <tableColumn id="15460" name="Column15456" dataDxfId="924"/>
    <tableColumn id="15461" name="Column15457" dataDxfId="923"/>
    <tableColumn id="15462" name="Column15458" dataDxfId="922"/>
    <tableColumn id="15463" name="Column15459" dataDxfId="921"/>
    <tableColumn id="15464" name="Column15460" dataDxfId="920"/>
    <tableColumn id="15465" name="Column15461" dataDxfId="919"/>
    <tableColumn id="15466" name="Column15462" dataDxfId="918"/>
    <tableColumn id="15467" name="Column15463" dataDxfId="917"/>
    <tableColumn id="15468" name="Column15464" dataDxfId="916"/>
    <tableColumn id="15469" name="Column15465" dataDxfId="915"/>
    <tableColumn id="15470" name="Column15466" dataDxfId="914"/>
    <tableColumn id="15471" name="Column15467" dataDxfId="913"/>
    <tableColumn id="15472" name="Column15468" dataDxfId="912"/>
    <tableColumn id="15473" name="Column15469" dataDxfId="911"/>
    <tableColumn id="15474" name="Column15470" dataDxfId="910"/>
    <tableColumn id="15475" name="Column15471" dataDxfId="909"/>
    <tableColumn id="15476" name="Column15472" dataDxfId="908"/>
    <tableColumn id="15477" name="Column15473" dataDxfId="907"/>
    <tableColumn id="15478" name="Column15474" dataDxfId="906"/>
    <tableColumn id="15479" name="Column15475" dataDxfId="905"/>
    <tableColumn id="15480" name="Column15476" dataDxfId="904"/>
    <tableColumn id="15481" name="Column15477" dataDxfId="903"/>
    <tableColumn id="15482" name="Column15478" dataDxfId="902"/>
    <tableColumn id="15483" name="Column15479" dataDxfId="901"/>
    <tableColumn id="15484" name="Column15480" dataDxfId="900"/>
    <tableColumn id="15485" name="Column15481" dataDxfId="899"/>
    <tableColumn id="15486" name="Column15482" dataDxfId="898"/>
    <tableColumn id="15487" name="Column15483" dataDxfId="897"/>
    <tableColumn id="15488" name="Column15484" dataDxfId="896"/>
    <tableColumn id="15489" name="Column15485" dataDxfId="895"/>
    <tableColumn id="15490" name="Column15486" dataDxfId="894"/>
    <tableColumn id="15491" name="Column15487" dataDxfId="893"/>
    <tableColumn id="15492" name="Column15488" dataDxfId="892"/>
    <tableColumn id="15493" name="Column15489" dataDxfId="891"/>
    <tableColumn id="15494" name="Column15490" dataDxfId="890"/>
    <tableColumn id="15495" name="Column15491" dataDxfId="889"/>
    <tableColumn id="15496" name="Column15492" dataDxfId="888"/>
    <tableColumn id="15497" name="Column15493" dataDxfId="887"/>
    <tableColumn id="15498" name="Column15494" dataDxfId="886"/>
    <tableColumn id="15499" name="Column15495" dataDxfId="885"/>
    <tableColumn id="15500" name="Column15496" dataDxfId="884"/>
    <tableColumn id="15501" name="Column15497" dataDxfId="883"/>
    <tableColumn id="15502" name="Column15498" dataDxfId="882"/>
    <tableColumn id="15503" name="Column15499" dataDxfId="881"/>
    <tableColumn id="15504" name="Column15500" dataDxfId="880"/>
    <tableColumn id="15505" name="Column15501" dataDxfId="879"/>
    <tableColumn id="15506" name="Column15502" dataDxfId="878"/>
    <tableColumn id="15507" name="Column15503" dataDxfId="877"/>
    <tableColumn id="15508" name="Column15504" dataDxfId="876"/>
    <tableColumn id="15509" name="Column15505" dataDxfId="875"/>
    <tableColumn id="15510" name="Column15506" dataDxfId="874"/>
    <tableColumn id="15511" name="Column15507" dataDxfId="873"/>
    <tableColumn id="15512" name="Column15508" dataDxfId="872"/>
    <tableColumn id="15513" name="Column15509" dataDxfId="871"/>
    <tableColumn id="15514" name="Column15510" dataDxfId="870"/>
    <tableColumn id="15515" name="Column15511" dataDxfId="869"/>
    <tableColumn id="15516" name="Column15512" dataDxfId="868"/>
    <tableColumn id="15517" name="Column15513" dataDxfId="867"/>
    <tableColumn id="15518" name="Column15514" dataDxfId="866"/>
    <tableColumn id="15519" name="Column15515" dataDxfId="865"/>
    <tableColumn id="15520" name="Column15516" dataDxfId="864"/>
    <tableColumn id="15521" name="Column15517" dataDxfId="863"/>
    <tableColumn id="15522" name="Column15518" dataDxfId="862"/>
    <tableColumn id="15523" name="Column15519" dataDxfId="861"/>
    <tableColumn id="15524" name="Column15520" dataDxfId="860"/>
    <tableColumn id="15525" name="Column15521" dataDxfId="859"/>
    <tableColumn id="15526" name="Column15522" dataDxfId="858"/>
    <tableColumn id="15527" name="Column15523" dataDxfId="857"/>
    <tableColumn id="15528" name="Column15524" dataDxfId="856"/>
    <tableColumn id="15529" name="Column15525" dataDxfId="855"/>
    <tableColumn id="15530" name="Column15526" dataDxfId="854"/>
    <tableColumn id="15531" name="Column15527" dataDxfId="853"/>
    <tableColumn id="15532" name="Column15528" dataDxfId="852"/>
    <tableColumn id="15533" name="Column15529" dataDxfId="851"/>
    <tableColumn id="15534" name="Column15530" dataDxfId="850"/>
    <tableColumn id="15535" name="Column15531" dataDxfId="849"/>
    <tableColumn id="15536" name="Column15532" dataDxfId="848"/>
    <tableColumn id="15537" name="Column15533" dataDxfId="847"/>
    <tableColumn id="15538" name="Column15534" dataDxfId="846"/>
    <tableColumn id="15539" name="Column15535" dataDxfId="845"/>
    <tableColumn id="15540" name="Column15536" dataDxfId="844"/>
    <tableColumn id="15541" name="Column15537" dataDxfId="843"/>
    <tableColumn id="15542" name="Column15538" dataDxfId="842"/>
    <tableColumn id="15543" name="Column15539" dataDxfId="841"/>
    <tableColumn id="15544" name="Column15540" dataDxfId="840"/>
    <tableColumn id="15545" name="Column15541" dataDxfId="839"/>
    <tableColumn id="15546" name="Column15542" dataDxfId="838"/>
    <tableColumn id="15547" name="Column15543" dataDxfId="837"/>
    <tableColumn id="15548" name="Column15544" dataDxfId="836"/>
    <tableColumn id="15549" name="Column15545" dataDxfId="835"/>
    <tableColumn id="15550" name="Column15546" dataDxfId="834"/>
    <tableColumn id="15551" name="Column15547" dataDxfId="833"/>
    <tableColumn id="15552" name="Column15548" dataDxfId="832"/>
    <tableColumn id="15553" name="Column15549" dataDxfId="831"/>
    <tableColumn id="15554" name="Column15550" dataDxfId="830"/>
    <tableColumn id="15555" name="Column15551" dataDxfId="829"/>
    <tableColumn id="15556" name="Column15552" dataDxfId="828"/>
    <tableColumn id="15557" name="Column15553" dataDxfId="827"/>
    <tableColumn id="15558" name="Column15554" dataDxfId="826"/>
    <tableColumn id="15559" name="Column15555" dataDxfId="825"/>
    <tableColumn id="15560" name="Column15556" dataDxfId="824"/>
    <tableColumn id="15561" name="Column15557" dataDxfId="823"/>
    <tableColumn id="15562" name="Column15558" dataDxfId="822"/>
    <tableColumn id="15563" name="Column15559" dataDxfId="821"/>
    <tableColumn id="15564" name="Column15560" dataDxfId="820"/>
    <tableColumn id="15565" name="Column15561" dataDxfId="819"/>
    <tableColumn id="15566" name="Column15562" dataDxfId="818"/>
    <tableColumn id="15567" name="Column15563" dataDxfId="817"/>
    <tableColumn id="15568" name="Column15564" dataDxfId="816"/>
    <tableColumn id="15569" name="Column15565" dataDxfId="815"/>
    <tableColumn id="15570" name="Column15566" dataDxfId="814"/>
    <tableColumn id="15571" name="Column15567" dataDxfId="813"/>
    <tableColumn id="15572" name="Column15568" dataDxfId="812"/>
    <tableColumn id="15573" name="Column15569" dataDxfId="811"/>
    <tableColumn id="15574" name="Column15570" dataDxfId="810"/>
    <tableColumn id="15575" name="Column15571" dataDxfId="809"/>
    <tableColumn id="15576" name="Column15572" dataDxfId="808"/>
    <tableColumn id="15577" name="Column15573" dataDxfId="807"/>
    <tableColumn id="15578" name="Column15574" dataDxfId="806"/>
    <tableColumn id="15579" name="Column15575" dataDxfId="805"/>
    <tableColumn id="15580" name="Column15576" dataDxfId="804"/>
    <tableColumn id="15581" name="Column15577" dataDxfId="803"/>
    <tableColumn id="15582" name="Column15578" dataDxfId="802"/>
    <tableColumn id="15583" name="Column15579" dataDxfId="801"/>
    <tableColumn id="15584" name="Column15580" dataDxfId="800"/>
    <tableColumn id="15585" name="Column15581" dataDxfId="799"/>
    <tableColumn id="15586" name="Column15582" dataDxfId="798"/>
    <tableColumn id="15587" name="Column15583" dataDxfId="797"/>
    <tableColumn id="15588" name="Column15584" dataDxfId="796"/>
    <tableColumn id="15589" name="Column15585" dataDxfId="795"/>
    <tableColumn id="15590" name="Column15586" dataDxfId="794"/>
    <tableColumn id="15591" name="Column15587" dataDxfId="793"/>
    <tableColumn id="15592" name="Column15588" dataDxfId="792"/>
    <tableColumn id="15593" name="Column15589" dataDxfId="791"/>
    <tableColumn id="15594" name="Column15590" dataDxfId="790"/>
    <tableColumn id="15595" name="Column15591" dataDxfId="789"/>
    <tableColumn id="15596" name="Column15592" dataDxfId="788"/>
    <tableColumn id="15597" name="Column15593" dataDxfId="787"/>
    <tableColumn id="15598" name="Column15594" dataDxfId="786"/>
    <tableColumn id="15599" name="Column15595" dataDxfId="785"/>
    <tableColumn id="15600" name="Column15596" dataDxfId="784"/>
    <tableColumn id="15601" name="Column15597" dataDxfId="783"/>
    <tableColumn id="15602" name="Column15598" dataDxfId="782"/>
    <tableColumn id="15603" name="Column15599" dataDxfId="781"/>
    <tableColumn id="15604" name="Column15600" dataDxfId="780"/>
    <tableColumn id="15605" name="Column15601" dataDxfId="779"/>
    <tableColumn id="15606" name="Column15602" dataDxfId="778"/>
    <tableColumn id="15607" name="Column15603" dataDxfId="777"/>
    <tableColumn id="15608" name="Column15604" dataDxfId="776"/>
    <tableColumn id="15609" name="Column15605" dataDxfId="775"/>
    <tableColumn id="15610" name="Column15606" dataDxfId="774"/>
    <tableColumn id="15611" name="Column15607" dataDxfId="773"/>
    <tableColumn id="15612" name="Column15608" dataDxfId="772"/>
    <tableColumn id="15613" name="Column15609" dataDxfId="771"/>
    <tableColumn id="15614" name="Column15610" dataDxfId="770"/>
    <tableColumn id="15615" name="Column15611" dataDxfId="769"/>
    <tableColumn id="15616" name="Column15612" dataDxfId="768"/>
    <tableColumn id="15617" name="Column15613" dataDxfId="767"/>
    <tableColumn id="15618" name="Column15614" dataDxfId="766"/>
    <tableColumn id="15619" name="Column15615" dataDxfId="765"/>
    <tableColumn id="15620" name="Column15616" dataDxfId="764"/>
    <tableColumn id="15621" name="Column15617" dataDxfId="763"/>
    <tableColumn id="15622" name="Column15618" dataDxfId="762"/>
    <tableColumn id="15623" name="Column15619" dataDxfId="761"/>
    <tableColumn id="15624" name="Column15620" dataDxfId="760"/>
    <tableColumn id="15625" name="Column15621" dataDxfId="759"/>
    <tableColumn id="15626" name="Column15622" dataDxfId="758"/>
    <tableColumn id="15627" name="Column15623" dataDxfId="757"/>
    <tableColumn id="15628" name="Column15624" dataDxfId="756"/>
    <tableColumn id="15629" name="Column15625" dataDxfId="755"/>
    <tableColumn id="15630" name="Column15626" dataDxfId="754"/>
    <tableColumn id="15631" name="Column15627" dataDxfId="753"/>
    <tableColumn id="15632" name="Column15628" dataDxfId="752"/>
    <tableColumn id="15633" name="Column15629" dataDxfId="751"/>
    <tableColumn id="15634" name="Column15630" dataDxfId="750"/>
    <tableColumn id="15635" name="Column15631" dataDxfId="749"/>
    <tableColumn id="15636" name="Column15632" dataDxfId="748"/>
    <tableColumn id="15637" name="Column15633" dataDxfId="747"/>
    <tableColumn id="15638" name="Column15634" dataDxfId="746"/>
    <tableColumn id="15639" name="Column15635" dataDxfId="745"/>
    <tableColumn id="15640" name="Column15636" dataDxfId="744"/>
    <tableColumn id="15641" name="Column15637" dataDxfId="743"/>
    <tableColumn id="15642" name="Column15638" dataDxfId="742"/>
    <tableColumn id="15643" name="Column15639" dataDxfId="741"/>
    <tableColumn id="15644" name="Column15640" dataDxfId="740"/>
    <tableColumn id="15645" name="Column15641" dataDxfId="739"/>
    <tableColumn id="15646" name="Column15642" dataDxfId="738"/>
    <tableColumn id="15647" name="Column15643" dataDxfId="737"/>
    <tableColumn id="15648" name="Column15644" dataDxfId="736"/>
    <tableColumn id="15649" name="Column15645" dataDxfId="735"/>
    <tableColumn id="15650" name="Column15646" dataDxfId="734"/>
    <tableColumn id="15651" name="Column15647" dataDxfId="733"/>
    <tableColumn id="15652" name="Column15648" dataDxfId="732"/>
    <tableColumn id="15653" name="Column15649" dataDxfId="731"/>
    <tableColumn id="15654" name="Column15650" dataDxfId="730"/>
    <tableColumn id="15655" name="Column15651" dataDxfId="729"/>
    <tableColumn id="15656" name="Column15652" dataDxfId="728"/>
    <tableColumn id="15657" name="Column15653" dataDxfId="727"/>
    <tableColumn id="15658" name="Column15654" dataDxfId="726"/>
    <tableColumn id="15659" name="Column15655" dataDxfId="725"/>
    <tableColumn id="15660" name="Column15656" dataDxfId="724"/>
    <tableColumn id="15661" name="Column15657" dataDxfId="723"/>
    <tableColumn id="15662" name="Column15658" dataDxfId="722"/>
    <tableColumn id="15663" name="Column15659" dataDxfId="721"/>
    <tableColumn id="15664" name="Column15660" dataDxfId="720"/>
    <tableColumn id="15665" name="Column15661" dataDxfId="719"/>
    <tableColumn id="15666" name="Column15662" dataDxfId="718"/>
    <tableColumn id="15667" name="Column15663" dataDxfId="717"/>
    <tableColumn id="15668" name="Column15664" dataDxfId="716"/>
    <tableColumn id="15669" name="Column15665" dataDxfId="715"/>
    <tableColumn id="15670" name="Column15666" dataDxfId="714"/>
    <tableColumn id="15671" name="Column15667" dataDxfId="713"/>
    <tableColumn id="15672" name="Column15668" dataDxfId="712"/>
    <tableColumn id="15673" name="Column15669" dataDxfId="711"/>
    <tableColumn id="15674" name="Column15670" dataDxfId="710"/>
    <tableColumn id="15675" name="Column15671" dataDxfId="709"/>
    <tableColumn id="15676" name="Column15672" dataDxfId="708"/>
    <tableColumn id="15677" name="Column15673" dataDxfId="707"/>
    <tableColumn id="15678" name="Column15674" dataDxfId="706"/>
    <tableColumn id="15679" name="Column15675" dataDxfId="705"/>
    <tableColumn id="15680" name="Column15676" dataDxfId="704"/>
    <tableColumn id="15681" name="Column15677" dataDxfId="703"/>
    <tableColumn id="15682" name="Column15678" dataDxfId="702"/>
    <tableColumn id="15683" name="Column15679" dataDxfId="701"/>
    <tableColumn id="15684" name="Column15680" dataDxfId="700"/>
    <tableColumn id="15685" name="Column15681" dataDxfId="699"/>
    <tableColumn id="15686" name="Column15682" dataDxfId="698"/>
    <tableColumn id="15687" name="Column15683" dataDxfId="697"/>
    <tableColumn id="15688" name="Column15684" dataDxfId="696"/>
    <tableColumn id="15689" name="Column15685" dataDxfId="695"/>
    <tableColumn id="15690" name="Column15686" dataDxfId="694"/>
    <tableColumn id="15691" name="Column15687" dataDxfId="693"/>
    <tableColumn id="15692" name="Column15688" dataDxfId="692"/>
    <tableColumn id="15693" name="Column15689" dataDxfId="691"/>
    <tableColumn id="15694" name="Column15690" dataDxfId="690"/>
    <tableColumn id="15695" name="Column15691" dataDxfId="689"/>
    <tableColumn id="15696" name="Column15692" dataDxfId="688"/>
    <tableColumn id="15697" name="Column15693" dataDxfId="687"/>
    <tableColumn id="15698" name="Column15694" dataDxfId="686"/>
    <tableColumn id="15699" name="Column15695" dataDxfId="685"/>
    <tableColumn id="15700" name="Column15696" dataDxfId="684"/>
    <tableColumn id="15701" name="Column15697" dataDxfId="683"/>
    <tableColumn id="15702" name="Column15698" dataDxfId="682"/>
    <tableColumn id="15703" name="Column15699" dataDxfId="681"/>
    <tableColumn id="15704" name="Column15700" dataDxfId="680"/>
    <tableColumn id="15705" name="Column15701" dataDxfId="679"/>
    <tableColumn id="15706" name="Column15702" dataDxfId="678"/>
    <tableColumn id="15707" name="Column15703" dataDxfId="677"/>
    <tableColumn id="15708" name="Column15704" dataDxfId="676"/>
    <tableColumn id="15709" name="Column15705" dataDxfId="675"/>
    <tableColumn id="15710" name="Column15706" dataDxfId="674"/>
    <tableColumn id="15711" name="Column15707" dataDxfId="673"/>
    <tableColumn id="15712" name="Column15708" dataDxfId="672"/>
    <tableColumn id="15713" name="Column15709" dataDxfId="671"/>
    <tableColumn id="15714" name="Column15710" dataDxfId="670"/>
    <tableColumn id="15715" name="Column15711" dataDxfId="669"/>
    <tableColumn id="15716" name="Column15712" dataDxfId="668"/>
    <tableColumn id="15717" name="Column15713" dataDxfId="667"/>
    <tableColumn id="15718" name="Column15714" dataDxfId="666"/>
    <tableColumn id="15719" name="Column15715" dataDxfId="665"/>
    <tableColumn id="15720" name="Column15716" dataDxfId="664"/>
    <tableColumn id="15721" name="Column15717" dataDxfId="663"/>
    <tableColumn id="15722" name="Column15718" dataDxfId="662"/>
    <tableColumn id="15723" name="Column15719" dataDxfId="661"/>
    <tableColumn id="15724" name="Column15720" dataDxfId="660"/>
    <tableColumn id="15725" name="Column15721" dataDxfId="659"/>
    <tableColumn id="15726" name="Column15722" dataDxfId="658"/>
    <tableColumn id="15727" name="Column15723" dataDxfId="657"/>
    <tableColumn id="15728" name="Column15724" dataDxfId="656"/>
    <tableColumn id="15729" name="Column15725" dataDxfId="655"/>
    <tableColumn id="15730" name="Column15726" dataDxfId="654"/>
    <tableColumn id="15731" name="Column15727" dataDxfId="653"/>
    <tableColumn id="15732" name="Column15728" dataDxfId="652"/>
    <tableColumn id="15733" name="Column15729" dataDxfId="651"/>
    <tableColumn id="15734" name="Column15730" dataDxfId="650"/>
    <tableColumn id="15735" name="Column15731" dataDxfId="649"/>
    <tableColumn id="15736" name="Column15732" dataDxfId="648"/>
    <tableColumn id="15737" name="Column15733" dataDxfId="647"/>
    <tableColumn id="15738" name="Column15734" dataDxfId="646"/>
    <tableColumn id="15739" name="Column15735" dataDxfId="645"/>
    <tableColumn id="15740" name="Column15736" dataDxfId="644"/>
    <tableColumn id="15741" name="Column15737" dataDxfId="643"/>
    <tableColumn id="15742" name="Column15738" dataDxfId="642"/>
    <tableColumn id="15743" name="Column15739" dataDxfId="641"/>
    <tableColumn id="15744" name="Column15740" dataDxfId="640"/>
    <tableColumn id="15745" name="Column15741" dataDxfId="639"/>
    <tableColumn id="15746" name="Column15742" dataDxfId="638"/>
    <tableColumn id="15747" name="Column15743" dataDxfId="637"/>
    <tableColumn id="15748" name="Column15744" dataDxfId="636"/>
    <tableColumn id="15749" name="Column15745" dataDxfId="635"/>
    <tableColumn id="15750" name="Column15746" dataDxfId="634"/>
    <tableColumn id="15751" name="Column15747" dataDxfId="633"/>
    <tableColumn id="15752" name="Column15748" dataDxfId="632"/>
    <tableColumn id="15753" name="Column15749" dataDxfId="631"/>
    <tableColumn id="15754" name="Column15750" dataDxfId="630"/>
    <tableColumn id="15755" name="Column15751" dataDxfId="629"/>
    <tableColumn id="15756" name="Column15752" dataDxfId="628"/>
    <tableColumn id="15757" name="Column15753" dataDxfId="627"/>
    <tableColumn id="15758" name="Column15754" dataDxfId="626"/>
    <tableColumn id="15759" name="Column15755" dataDxfId="625"/>
    <tableColumn id="15760" name="Column15756" dataDxfId="624"/>
    <tableColumn id="15761" name="Column15757" dataDxfId="623"/>
    <tableColumn id="15762" name="Column15758" dataDxfId="622"/>
    <tableColumn id="15763" name="Column15759" dataDxfId="621"/>
    <tableColumn id="15764" name="Column15760" dataDxfId="620"/>
    <tableColumn id="15765" name="Column15761" dataDxfId="619"/>
    <tableColumn id="15766" name="Column15762" dataDxfId="618"/>
    <tableColumn id="15767" name="Column15763" dataDxfId="617"/>
    <tableColumn id="15768" name="Column15764" dataDxfId="616"/>
    <tableColumn id="15769" name="Column15765" dataDxfId="615"/>
    <tableColumn id="15770" name="Column15766" dataDxfId="614"/>
    <tableColumn id="15771" name="Column15767" dataDxfId="613"/>
    <tableColumn id="15772" name="Column15768" dataDxfId="612"/>
    <tableColumn id="15773" name="Column15769" dataDxfId="611"/>
    <tableColumn id="15774" name="Column15770" dataDxfId="610"/>
    <tableColumn id="15775" name="Column15771" dataDxfId="609"/>
    <tableColumn id="15776" name="Column15772" dataDxfId="608"/>
    <tableColumn id="15777" name="Column15773" dataDxfId="607"/>
    <tableColumn id="15778" name="Column15774" dataDxfId="606"/>
    <tableColumn id="15779" name="Column15775" dataDxfId="605"/>
    <tableColumn id="15780" name="Column15776" dataDxfId="604"/>
    <tableColumn id="15781" name="Column15777" dataDxfId="603"/>
    <tableColumn id="15782" name="Column15778" dataDxfId="602"/>
    <tableColumn id="15783" name="Column15779" dataDxfId="601"/>
    <tableColumn id="15784" name="Column15780" dataDxfId="600"/>
    <tableColumn id="15785" name="Column15781" dataDxfId="599"/>
    <tableColumn id="15786" name="Column15782" dataDxfId="598"/>
    <tableColumn id="15787" name="Column15783" dataDxfId="597"/>
    <tableColumn id="15788" name="Column15784" dataDxfId="596"/>
    <tableColumn id="15789" name="Column15785" dataDxfId="595"/>
    <tableColumn id="15790" name="Column15786" dataDxfId="594"/>
    <tableColumn id="15791" name="Column15787" dataDxfId="593"/>
    <tableColumn id="15792" name="Column15788" dataDxfId="592"/>
    <tableColumn id="15793" name="Column15789" dataDxfId="591"/>
    <tableColumn id="15794" name="Column15790" dataDxfId="590"/>
    <tableColumn id="15795" name="Column15791" dataDxfId="589"/>
    <tableColumn id="15796" name="Column15792" dataDxfId="588"/>
    <tableColumn id="15797" name="Column15793" dataDxfId="587"/>
    <tableColumn id="15798" name="Column15794" dataDxfId="586"/>
    <tableColumn id="15799" name="Column15795" dataDxfId="585"/>
    <tableColumn id="15800" name="Column15796" dataDxfId="584"/>
    <tableColumn id="15801" name="Column15797" dataDxfId="583"/>
    <tableColumn id="15802" name="Column15798" dataDxfId="582"/>
    <tableColumn id="15803" name="Column15799" dataDxfId="581"/>
    <tableColumn id="15804" name="Column15800" dataDxfId="580"/>
    <tableColumn id="15805" name="Column15801" dataDxfId="579"/>
    <tableColumn id="15806" name="Column15802" dataDxfId="578"/>
    <tableColumn id="15807" name="Column15803" dataDxfId="577"/>
    <tableColumn id="15808" name="Column15804" dataDxfId="576"/>
    <tableColumn id="15809" name="Column15805" dataDxfId="575"/>
    <tableColumn id="15810" name="Column15806" dataDxfId="574"/>
    <tableColumn id="15811" name="Column15807" dataDxfId="573"/>
    <tableColumn id="15812" name="Column15808" dataDxfId="572"/>
    <tableColumn id="15813" name="Column15809" dataDxfId="571"/>
    <tableColumn id="15814" name="Column15810" dataDxfId="570"/>
    <tableColumn id="15815" name="Column15811" dataDxfId="569"/>
    <tableColumn id="15816" name="Column15812" dataDxfId="568"/>
    <tableColumn id="15817" name="Column15813" dataDxfId="567"/>
    <tableColumn id="15818" name="Column15814" dataDxfId="566"/>
    <tableColumn id="15819" name="Column15815" dataDxfId="565"/>
    <tableColumn id="15820" name="Column15816" dataDxfId="564"/>
    <tableColumn id="15821" name="Column15817" dataDxfId="563"/>
    <tableColumn id="15822" name="Column15818" dataDxfId="562"/>
    <tableColumn id="15823" name="Column15819" dataDxfId="561"/>
    <tableColumn id="15824" name="Column15820" dataDxfId="560"/>
    <tableColumn id="15825" name="Column15821" dataDxfId="559"/>
    <tableColumn id="15826" name="Column15822" dataDxfId="558"/>
    <tableColumn id="15827" name="Column15823" dataDxfId="557"/>
    <tableColumn id="15828" name="Column15824" dataDxfId="556"/>
    <tableColumn id="15829" name="Column15825" dataDxfId="555"/>
    <tableColumn id="15830" name="Column15826" dataDxfId="554"/>
    <tableColumn id="15831" name="Column15827" dataDxfId="553"/>
    <tableColumn id="15832" name="Column15828" dataDxfId="552"/>
    <tableColumn id="15833" name="Column15829" dataDxfId="551"/>
    <tableColumn id="15834" name="Column15830" dataDxfId="550"/>
    <tableColumn id="15835" name="Column15831" dataDxfId="549"/>
    <tableColumn id="15836" name="Column15832" dataDxfId="548"/>
    <tableColumn id="15837" name="Column15833" dataDxfId="547"/>
    <tableColumn id="15838" name="Column15834" dataDxfId="546"/>
    <tableColumn id="15839" name="Column15835" dataDxfId="545"/>
    <tableColumn id="15840" name="Column15836" dataDxfId="544"/>
    <tableColumn id="15841" name="Column15837" dataDxfId="543"/>
    <tableColumn id="15842" name="Column15838" dataDxfId="542"/>
    <tableColumn id="15843" name="Column15839" dataDxfId="541"/>
    <tableColumn id="15844" name="Column15840" dataDxfId="540"/>
    <tableColumn id="15845" name="Column15841" dataDxfId="539"/>
    <tableColumn id="15846" name="Column15842" dataDxfId="538"/>
    <tableColumn id="15847" name="Column15843" dataDxfId="537"/>
    <tableColumn id="15848" name="Column15844" dataDxfId="536"/>
    <tableColumn id="15849" name="Column15845" dataDxfId="535"/>
    <tableColumn id="15850" name="Column15846" dataDxfId="534"/>
    <tableColumn id="15851" name="Column15847" dataDxfId="533"/>
    <tableColumn id="15852" name="Column15848" dataDxfId="532"/>
    <tableColumn id="15853" name="Column15849" dataDxfId="531"/>
    <tableColumn id="15854" name="Column15850" dataDxfId="530"/>
    <tableColumn id="15855" name="Column15851" dataDxfId="529"/>
    <tableColumn id="15856" name="Column15852" dataDxfId="528"/>
    <tableColumn id="15857" name="Column15853" dataDxfId="527"/>
    <tableColumn id="15858" name="Column15854" dataDxfId="526"/>
    <tableColumn id="15859" name="Column15855" dataDxfId="525"/>
    <tableColumn id="15860" name="Column15856" dataDxfId="524"/>
    <tableColumn id="15861" name="Column15857" dataDxfId="523"/>
    <tableColumn id="15862" name="Column15858" dataDxfId="522"/>
    <tableColumn id="15863" name="Column15859" dataDxfId="521"/>
    <tableColumn id="15864" name="Column15860" dataDxfId="520"/>
    <tableColumn id="15865" name="Column15861" dataDxfId="519"/>
    <tableColumn id="15866" name="Column15862" dataDxfId="518"/>
    <tableColumn id="15867" name="Column15863" dataDxfId="517"/>
    <tableColumn id="15868" name="Column15864" dataDxfId="516"/>
    <tableColumn id="15869" name="Column15865" dataDxfId="515"/>
    <tableColumn id="15870" name="Column15866" dataDxfId="514"/>
    <tableColumn id="15871" name="Column15867" dataDxfId="513"/>
    <tableColumn id="15872" name="Column15868" dataDxfId="512"/>
    <tableColumn id="15873" name="Column15869" dataDxfId="511"/>
    <tableColumn id="15874" name="Column15870" dataDxfId="510"/>
    <tableColumn id="15875" name="Column15871" dataDxfId="509"/>
    <tableColumn id="15876" name="Column15872" dataDxfId="508"/>
    <tableColumn id="15877" name="Column15873" dataDxfId="507"/>
    <tableColumn id="15878" name="Column15874" dataDxfId="506"/>
    <tableColumn id="15879" name="Column15875" dataDxfId="505"/>
    <tableColumn id="15880" name="Column15876" dataDxfId="504"/>
    <tableColumn id="15881" name="Column15877" dataDxfId="503"/>
    <tableColumn id="15882" name="Column15878" dataDxfId="502"/>
    <tableColumn id="15883" name="Column15879" dataDxfId="501"/>
    <tableColumn id="15884" name="Column15880" dataDxfId="500"/>
    <tableColumn id="15885" name="Column15881" dataDxfId="499"/>
    <tableColumn id="15886" name="Column15882" dataDxfId="498"/>
    <tableColumn id="15887" name="Column15883" dataDxfId="497"/>
    <tableColumn id="15888" name="Column15884" dataDxfId="496"/>
    <tableColumn id="15889" name="Column15885" dataDxfId="495"/>
    <tableColumn id="15890" name="Column15886" dataDxfId="494"/>
    <tableColumn id="15891" name="Column15887" dataDxfId="493"/>
    <tableColumn id="15892" name="Column15888" dataDxfId="492"/>
    <tableColumn id="15893" name="Column15889" dataDxfId="491"/>
    <tableColumn id="15894" name="Column15890" dataDxfId="490"/>
    <tableColumn id="15895" name="Column15891" dataDxfId="489"/>
    <tableColumn id="15896" name="Column15892" dataDxfId="488"/>
    <tableColumn id="15897" name="Column15893" dataDxfId="487"/>
    <tableColumn id="15898" name="Column15894" dataDxfId="486"/>
    <tableColumn id="15899" name="Column15895" dataDxfId="485"/>
    <tableColumn id="15900" name="Column15896" dataDxfId="484"/>
    <tableColumn id="15901" name="Column15897" dataDxfId="483"/>
    <tableColumn id="15902" name="Column15898" dataDxfId="482"/>
    <tableColumn id="15903" name="Column15899" dataDxfId="481"/>
    <tableColumn id="15904" name="Column15900" dataDxfId="480"/>
    <tableColumn id="15905" name="Column15901" dataDxfId="479"/>
    <tableColumn id="15906" name="Column15902" dataDxfId="478"/>
    <tableColumn id="15907" name="Column15903" dataDxfId="477"/>
    <tableColumn id="15908" name="Column15904" dataDxfId="476"/>
    <tableColumn id="15909" name="Column15905" dataDxfId="475"/>
    <tableColumn id="15910" name="Column15906" dataDxfId="474"/>
    <tableColumn id="15911" name="Column15907" dataDxfId="473"/>
    <tableColumn id="15912" name="Column15908" dataDxfId="472"/>
    <tableColumn id="15913" name="Column15909" dataDxfId="471"/>
    <tableColumn id="15914" name="Column15910" dataDxfId="470"/>
    <tableColumn id="15915" name="Column15911" dataDxfId="469"/>
    <tableColumn id="15916" name="Column15912" dataDxfId="468"/>
    <tableColumn id="15917" name="Column15913" dataDxfId="467"/>
    <tableColumn id="15918" name="Column15914" dataDxfId="466"/>
    <tableColumn id="15919" name="Column15915" dataDxfId="465"/>
    <tableColumn id="15920" name="Column15916" dataDxfId="464"/>
    <tableColumn id="15921" name="Column15917" dataDxfId="463"/>
    <tableColumn id="15922" name="Column15918" dataDxfId="462"/>
    <tableColumn id="15923" name="Column15919" dataDxfId="461"/>
    <tableColumn id="15924" name="Column15920" dataDxfId="460"/>
    <tableColumn id="15925" name="Column15921" dataDxfId="459"/>
    <tableColumn id="15926" name="Column15922" dataDxfId="458"/>
    <tableColumn id="15927" name="Column15923" dataDxfId="457"/>
    <tableColumn id="15928" name="Column15924" dataDxfId="456"/>
    <tableColumn id="15929" name="Column15925" dataDxfId="455"/>
    <tableColumn id="15930" name="Column15926" dataDxfId="454"/>
    <tableColumn id="15931" name="Column15927" dataDxfId="453"/>
    <tableColumn id="15932" name="Column15928" dataDxfId="452"/>
    <tableColumn id="15933" name="Column15929" dataDxfId="451"/>
    <tableColumn id="15934" name="Column15930" dataDxfId="450"/>
    <tableColumn id="15935" name="Column15931" dataDxfId="449"/>
    <tableColumn id="15936" name="Column15932" dataDxfId="448"/>
    <tableColumn id="15937" name="Column15933" dataDxfId="447"/>
    <tableColumn id="15938" name="Column15934" dataDxfId="446"/>
    <tableColumn id="15939" name="Column15935" dataDxfId="445"/>
    <tableColumn id="15940" name="Column15936" dataDxfId="444"/>
    <tableColumn id="15941" name="Column15937" dataDxfId="443"/>
    <tableColumn id="15942" name="Column15938" dataDxfId="442"/>
    <tableColumn id="15943" name="Column15939" dataDxfId="441"/>
    <tableColumn id="15944" name="Column15940" dataDxfId="440"/>
    <tableColumn id="15945" name="Column15941" dataDxfId="439"/>
    <tableColumn id="15946" name="Column15942" dataDxfId="438"/>
    <tableColumn id="15947" name="Column15943" dataDxfId="437"/>
    <tableColumn id="15948" name="Column15944" dataDxfId="436"/>
    <tableColumn id="15949" name="Column15945" dataDxfId="435"/>
    <tableColumn id="15950" name="Column15946" dataDxfId="434"/>
    <tableColumn id="15951" name="Column15947" dataDxfId="433"/>
    <tableColumn id="15952" name="Column15948" dataDxfId="432"/>
    <tableColumn id="15953" name="Column15949" dataDxfId="431"/>
    <tableColumn id="15954" name="Column15950" dataDxfId="430"/>
    <tableColumn id="15955" name="Column15951" dataDxfId="429"/>
    <tableColumn id="15956" name="Column15952" dataDxfId="428"/>
    <tableColumn id="15957" name="Column15953" dataDxfId="427"/>
    <tableColumn id="15958" name="Column15954" dataDxfId="426"/>
    <tableColumn id="15959" name="Column15955" dataDxfId="425"/>
    <tableColumn id="15960" name="Column15956" dataDxfId="424"/>
    <tableColumn id="15961" name="Column15957" dataDxfId="423"/>
    <tableColumn id="15962" name="Column15958" dataDxfId="422"/>
    <tableColumn id="15963" name="Column15959" dataDxfId="421"/>
    <tableColumn id="15964" name="Column15960" dataDxfId="420"/>
    <tableColumn id="15965" name="Column15961" dataDxfId="419"/>
    <tableColumn id="15966" name="Column15962" dataDxfId="418"/>
    <tableColumn id="15967" name="Column15963" dataDxfId="417"/>
    <tableColumn id="15968" name="Column15964" dataDxfId="416"/>
    <tableColumn id="15969" name="Column15965" dataDxfId="415"/>
    <tableColumn id="15970" name="Column15966" dataDxfId="414"/>
    <tableColumn id="15971" name="Column15967" dataDxfId="413"/>
    <tableColumn id="15972" name="Column15968" dataDxfId="412"/>
    <tableColumn id="15973" name="Column15969" dataDxfId="411"/>
    <tableColumn id="15974" name="Column15970" dataDxfId="410"/>
    <tableColumn id="15975" name="Column15971" dataDxfId="409"/>
    <tableColumn id="15976" name="Column15972" dataDxfId="408"/>
    <tableColumn id="15977" name="Column15973" dataDxfId="407"/>
    <tableColumn id="15978" name="Column15974" dataDxfId="406"/>
    <tableColumn id="15979" name="Column15975" dataDxfId="405"/>
    <tableColumn id="15980" name="Column15976" dataDxfId="404"/>
    <tableColumn id="15981" name="Column15977" dataDxfId="403"/>
    <tableColumn id="15982" name="Column15978" dataDxfId="402"/>
    <tableColumn id="15983" name="Column15979" dataDxfId="401"/>
    <tableColumn id="15984" name="Column15980" dataDxfId="400"/>
    <tableColumn id="15985" name="Column15981" dataDxfId="399"/>
    <tableColumn id="15986" name="Column15982" dataDxfId="398"/>
    <tableColumn id="15987" name="Column15983" dataDxfId="397"/>
    <tableColumn id="15988" name="Column15984" dataDxfId="396"/>
    <tableColumn id="15989" name="Column15985" dataDxfId="395"/>
    <tableColumn id="15990" name="Column15986" dataDxfId="394"/>
    <tableColumn id="15991" name="Column15987" dataDxfId="393"/>
    <tableColumn id="15992" name="Column15988" dataDxfId="392"/>
    <tableColumn id="15993" name="Column15989" dataDxfId="391"/>
    <tableColumn id="15994" name="Column15990" dataDxfId="390"/>
    <tableColumn id="15995" name="Column15991" dataDxfId="389"/>
    <tableColumn id="15996" name="Column15992" dataDxfId="388"/>
    <tableColumn id="15997" name="Column15993" dataDxfId="387"/>
    <tableColumn id="15998" name="Column15994" dataDxfId="386"/>
    <tableColumn id="15999" name="Column15995" dataDxfId="385"/>
    <tableColumn id="16000" name="Column15996" dataDxfId="384"/>
    <tableColumn id="16001" name="Column15997" dataDxfId="383"/>
    <tableColumn id="16002" name="Column15998" dataDxfId="382"/>
    <tableColumn id="16003" name="Column15999" dataDxfId="381"/>
    <tableColumn id="16004" name="Column16000" dataDxfId="380"/>
    <tableColumn id="16005" name="Column16001" dataDxfId="379"/>
    <tableColumn id="16006" name="Column16002" dataDxfId="378"/>
    <tableColumn id="16007" name="Column16003" dataDxfId="377"/>
    <tableColumn id="16008" name="Column16004" dataDxfId="376"/>
    <tableColumn id="16009" name="Column16005" dataDxfId="375"/>
    <tableColumn id="16010" name="Column16006" dataDxfId="374"/>
    <tableColumn id="16011" name="Column16007" dataDxfId="373"/>
    <tableColumn id="16012" name="Column16008" dataDxfId="372"/>
    <tableColumn id="16013" name="Column16009" dataDxfId="371"/>
    <tableColumn id="16014" name="Column16010" dataDxfId="370"/>
    <tableColumn id="16015" name="Column16011" dataDxfId="369"/>
    <tableColumn id="16016" name="Column16012" dataDxfId="368"/>
    <tableColumn id="16017" name="Column16013" dataDxfId="367"/>
    <tableColumn id="16018" name="Column16014" dataDxfId="366"/>
    <tableColumn id="16019" name="Column16015" dataDxfId="365"/>
    <tableColumn id="16020" name="Column16016" dataDxfId="364"/>
    <tableColumn id="16021" name="Column16017" dataDxfId="363"/>
    <tableColumn id="16022" name="Column16018" dataDxfId="362"/>
    <tableColumn id="16023" name="Column16019" dataDxfId="361"/>
    <tableColumn id="16024" name="Column16020" dataDxfId="360"/>
    <tableColumn id="16025" name="Column16021" dataDxfId="359"/>
    <tableColumn id="16026" name="Column16022" dataDxfId="358"/>
    <tableColumn id="16027" name="Column16023" dataDxfId="357"/>
    <tableColumn id="16028" name="Column16024" dataDxfId="356"/>
    <tableColumn id="16029" name="Column16025" dataDxfId="355"/>
    <tableColumn id="16030" name="Column16026" dataDxfId="354"/>
    <tableColumn id="16031" name="Column16027" dataDxfId="353"/>
    <tableColumn id="16032" name="Column16028" dataDxfId="352"/>
    <tableColumn id="16033" name="Column16029" dataDxfId="351"/>
    <tableColumn id="16034" name="Column16030" dataDxfId="350"/>
    <tableColumn id="16035" name="Column16031" dataDxfId="349"/>
    <tableColumn id="16036" name="Column16032" dataDxfId="348"/>
    <tableColumn id="16037" name="Column16033" dataDxfId="347"/>
    <tableColumn id="16038" name="Column16034" dataDxfId="346"/>
    <tableColumn id="16039" name="Column16035" dataDxfId="345"/>
    <tableColumn id="16040" name="Column16036" dataDxfId="344"/>
    <tableColumn id="16041" name="Column16037" dataDxfId="343"/>
    <tableColumn id="16042" name="Column16038" dataDxfId="342"/>
    <tableColumn id="16043" name="Column16039" dataDxfId="341"/>
    <tableColumn id="16044" name="Column16040" dataDxfId="340"/>
    <tableColumn id="16045" name="Column16041" dataDxfId="339"/>
    <tableColumn id="16046" name="Column16042" dataDxfId="338"/>
    <tableColumn id="16047" name="Column16043" dataDxfId="337"/>
    <tableColumn id="16048" name="Column16044" dataDxfId="336"/>
    <tableColumn id="16049" name="Column16045" dataDxfId="335"/>
    <tableColumn id="16050" name="Column16046" dataDxfId="334"/>
    <tableColumn id="16051" name="Column16047" dataDxfId="333"/>
    <tableColumn id="16052" name="Column16048" dataDxfId="332"/>
    <tableColumn id="16053" name="Column16049" dataDxfId="331"/>
    <tableColumn id="16054" name="Column16050" dataDxfId="330"/>
    <tableColumn id="16055" name="Column16051" dataDxfId="329"/>
    <tableColumn id="16056" name="Column16052" dataDxfId="328"/>
    <tableColumn id="16057" name="Column16053" dataDxfId="327"/>
    <tableColumn id="16058" name="Column16054" dataDxfId="326"/>
    <tableColumn id="16059" name="Column16055" dataDxfId="325"/>
    <tableColumn id="16060" name="Column16056" dataDxfId="324"/>
    <tableColumn id="16061" name="Column16057" dataDxfId="323"/>
    <tableColumn id="16062" name="Column16058" dataDxfId="322"/>
    <tableColumn id="16063" name="Column16059" dataDxfId="321"/>
    <tableColumn id="16064" name="Column16060" dataDxfId="320"/>
    <tableColumn id="16065" name="Column16061" dataDxfId="319"/>
    <tableColumn id="16066" name="Column16062" dataDxfId="318"/>
    <tableColumn id="16067" name="Column16063" dataDxfId="317"/>
    <tableColumn id="16068" name="Column16064" dataDxfId="316"/>
    <tableColumn id="16069" name="Column16065" dataDxfId="315"/>
    <tableColumn id="16070" name="Column16066" dataDxfId="314"/>
    <tableColumn id="16071" name="Column16067" dataDxfId="313"/>
    <tableColumn id="16072" name="Column16068" dataDxfId="312"/>
    <tableColumn id="16073" name="Column16069" dataDxfId="311"/>
    <tableColumn id="16074" name="Column16070" dataDxfId="310"/>
    <tableColumn id="16075" name="Column16071" dataDxfId="309"/>
    <tableColumn id="16076" name="Column16072" dataDxfId="308"/>
    <tableColumn id="16077" name="Column16073" dataDxfId="307"/>
    <tableColumn id="16078" name="Column16074" dataDxfId="306"/>
    <tableColumn id="16079" name="Column16075" dataDxfId="305"/>
    <tableColumn id="16080" name="Column16076" dataDxfId="304"/>
    <tableColumn id="16081" name="Column16077" dataDxfId="303"/>
    <tableColumn id="16082" name="Column16078" dataDxfId="302"/>
    <tableColumn id="16083" name="Column16079" dataDxfId="301"/>
    <tableColumn id="16084" name="Column16080" dataDxfId="300"/>
    <tableColumn id="16085" name="Column16081" dataDxfId="299"/>
    <tableColumn id="16086" name="Column16082" dataDxfId="298"/>
    <tableColumn id="16087" name="Column16083" dataDxfId="297"/>
    <tableColumn id="16088" name="Column16084" dataDxfId="296"/>
    <tableColumn id="16089" name="Column16085" dataDxfId="295"/>
    <tableColumn id="16090" name="Column16086" dataDxfId="294"/>
    <tableColumn id="16091" name="Column16087" dataDxfId="293"/>
    <tableColumn id="16092" name="Column16088" dataDxfId="292"/>
    <tableColumn id="16093" name="Column16089" dataDxfId="291"/>
    <tableColumn id="16094" name="Column16090" dataDxfId="290"/>
    <tableColumn id="16095" name="Column16091" dataDxfId="289"/>
    <tableColumn id="16096" name="Column16092" dataDxfId="288"/>
    <tableColumn id="16097" name="Column16093" dataDxfId="287"/>
    <tableColumn id="16098" name="Column16094" dataDxfId="286"/>
    <tableColumn id="16099" name="Column16095" dataDxfId="285"/>
    <tableColumn id="16100" name="Column16096" dataDxfId="284"/>
    <tableColumn id="16101" name="Column16097" dataDxfId="283"/>
    <tableColumn id="16102" name="Column16098" dataDxfId="282"/>
    <tableColumn id="16103" name="Column16099" dataDxfId="281"/>
    <tableColumn id="16104" name="Column16100" dataDxfId="280"/>
    <tableColumn id="16105" name="Column16101" dataDxfId="279"/>
    <tableColumn id="16106" name="Column16102" dataDxfId="278"/>
    <tableColumn id="16107" name="Column16103" dataDxfId="277"/>
    <tableColumn id="16108" name="Column16104" dataDxfId="276"/>
    <tableColumn id="16109" name="Column16105" dataDxfId="275"/>
    <tableColumn id="16110" name="Column16106" dataDxfId="274"/>
    <tableColumn id="16111" name="Column16107" dataDxfId="273"/>
    <tableColumn id="16112" name="Column16108" dataDxfId="272"/>
    <tableColumn id="16113" name="Column16109" dataDxfId="271"/>
    <tableColumn id="16114" name="Column16110" dataDxfId="270"/>
    <tableColumn id="16115" name="Column16111" dataDxfId="269"/>
    <tableColumn id="16116" name="Column16112" dataDxfId="268"/>
    <tableColumn id="16117" name="Column16113" dataDxfId="267"/>
    <tableColumn id="16118" name="Column16114" dataDxfId="266"/>
    <tableColumn id="16119" name="Column16115" dataDxfId="265"/>
    <tableColumn id="16120" name="Column16116" dataDxfId="264"/>
    <tableColumn id="16121" name="Column16117" dataDxfId="263"/>
    <tableColumn id="16122" name="Column16118" dataDxfId="262"/>
    <tableColumn id="16123" name="Column16119" dataDxfId="261"/>
    <tableColumn id="16124" name="Column16120" dataDxfId="260"/>
    <tableColumn id="16125" name="Column16121" dataDxfId="259"/>
    <tableColumn id="16126" name="Column16122" dataDxfId="258"/>
    <tableColumn id="16127" name="Column16123" dataDxfId="257"/>
    <tableColumn id="16128" name="Column16124" dataDxfId="256"/>
    <tableColumn id="16129" name="Column16125" dataDxfId="255"/>
    <tableColumn id="16130" name="Column16126" dataDxfId="254"/>
    <tableColumn id="16131" name="Column16127" dataDxfId="253"/>
    <tableColumn id="16132" name="Column16128" dataDxfId="252"/>
    <tableColumn id="16133" name="Column16129" dataDxfId="251"/>
    <tableColumn id="16134" name="Column16130" dataDxfId="250"/>
    <tableColumn id="16135" name="Column16131" dataDxfId="249"/>
    <tableColumn id="16136" name="Column16132" dataDxfId="248"/>
    <tableColumn id="16137" name="Column16133" dataDxfId="247"/>
    <tableColumn id="16138" name="Column16134" dataDxfId="246"/>
    <tableColumn id="16139" name="Column16135" dataDxfId="245"/>
    <tableColumn id="16140" name="Column16136" dataDxfId="244"/>
    <tableColumn id="16141" name="Column16137" dataDxfId="243"/>
    <tableColumn id="16142" name="Column16138" dataDxfId="242"/>
    <tableColumn id="16143" name="Column16139" dataDxfId="241"/>
    <tableColumn id="16144" name="Column16140" dataDxfId="240"/>
    <tableColumn id="16145" name="Column16141" dataDxfId="239"/>
    <tableColumn id="16146" name="Column16142" dataDxfId="238"/>
    <tableColumn id="16147" name="Column16143" dataDxfId="237"/>
    <tableColumn id="16148" name="Column16144" dataDxfId="236"/>
    <tableColumn id="16149" name="Column16145" dataDxfId="235"/>
    <tableColumn id="16150" name="Column16146" dataDxfId="234"/>
    <tableColumn id="16151" name="Column16147" dataDxfId="233"/>
    <tableColumn id="16152" name="Column16148" dataDxfId="232"/>
    <tableColumn id="16153" name="Column16149" dataDxfId="231"/>
    <tableColumn id="16154" name="Column16150" dataDxfId="230"/>
    <tableColumn id="16155" name="Column16151" dataDxfId="229"/>
    <tableColumn id="16156" name="Column16152" dataDxfId="228"/>
    <tableColumn id="16157" name="Column16153" dataDxfId="227"/>
    <tableColumn id="16158" name="Column16154" dataDxfId="226"/>
    <tableColumn id="16159" name="Column16155" dataDxfId="225"/>
    <tableColumn id="16160" name="Column16156" dataDxfId="224"/>
    <tableColumn id="16161" name="Column16157" dataDxfId="223"/>
    <tableColumn id="16162" name="Column16158" dataDxfId="222"/>
    <tableColumn id="16163" name="Column16159" dataDxfId="221"/>
    <tableColumn id="16164" name="Column16160" dataDxfId="220"/>
    <tableColumn id="16165" name="Column16161" dataDxfId="219"/>
    <tableColumn id="16166" name="Column16162" dataDxfId="218"/>
    <tableColumn id="16167" name="Column16163" dataDxfId="217"/>
    <tableColumn id="16168" name="Column16164" dataDxfId="216"/>
    <tableColumn id="16169" name="Column16165" dataDxfId="215"/>
    <tableColumn id="16170" name="Column16166" dataDxfId="214"/>
    <tableColumn id="16171" name="Column16167" dataDxfId="213"/>
    <tableColumn id="16172" name="Column16168" dataDxfId="212"/>
    <tableColumn id="16173" name="Column16169" dataDxfId="211"/>
    <tableColumn id="16174" name="Column16170" dataDxfId="210"/>
    <tableColumn id="16175" name="Column16171" dataDxfId="209"/>
    <tableColumn id="16176" name="Column16172" dataDxfId="208"/>
    <tableColumn id="16177" name="Column16173" dataDxfId="207"/>
    <tableColumn id="16178" name="Column16174" dataDxfId="206"/>
    <tableColumn id="16179" name="Column16175" dataDxfId="205"/>
    <tableColumn id="16180" name="Column16176" dataDxfId="204"/>
    <tableColumn id="16181" name="Column16177" dataDxfId="203"/>
    <tableColumn id="16182" name="Column16178" dataDxfId="202"/>
    <tableColumn id="16183" name="Column16179" dataDxfId="201"/>
    <tableColumn id="16184" name="Column16180" dataDxfId="200"/>
    <tableColumn id="16185" name="Column16181" dataDxfId="199"/>
    <tableColumn id="16186" name="Column16182" dataDxfId="198"/>
    <tableColumn id="16187" name="Column16183" dataDxfId="197"/>
    <tableColumn id="16188" name="Column16184" dataDxfId="196"/>
    <tableColumn id="16189" name="Column16185" dataDxfId="195"/>
    <tableColumn id="16190" name="Column16186" dataDxfId="194"/>
    <tableColumn id="16191" name="Column16187" dataDxfId="193"/>
    <tableColumn id="16192" name="Column16188" dataDxfId="192"/>
    <tableColumn id="16193" name="Column16189" dataDxfId="191"/>
    <tableColumn id="16194" name="Column16190" dataDxfId="190"/>
    <tableColumn id="16195" name="Column16191" dataDxfId="189"/>
    <tableColumn id="16196" name="Column16192" dataDxfId="188"/>
    <tableColumn id="16197" name="Column16193" dataDxfId="187"/>
    <tableColumn id="16198" name="Column16194" dataDxfId="186"/>
    <tableColumn id="16199" name="Column16195" dataDxfId="185"/>
    <tableColumn id="16200" name="Column16196" dataDxfId="184"/>
    <tableColumn id="16201" name="Column16197" dataDxfId="183"/>
    <tableColumn id="16202" name="Column16198" dataDxfId="182"/>
    <tableColumn id="16203" name="Column16199" dataDxfId="181"/>
    <tableColumn id="16204" name="Column16200" dataDxfId="180"/>
    <tableColumn id="16205" name="Column16201" dataDxfId="179"/>
    <tableColumn id="16206" name="Column16202" dataDxfId="178"/>
    <tableColumn id="16207" name="Column16203" dataDxfId="177"/>
    <tableColumn id="16208" name="Column16204" dataDxfId="176"/>
    <tableColumn id="16209" name="Column16205" dataDxfId="175"/>
    <tableColumn id="16210" name="Column16206" dataDxfId="174"/>
    <tableColumn id="16211" name="Column16207" dataDxfId="173"/>
    <tableColumn id="16212" name="Column16208" dataDxfId="172"/>
    <tableColumn id="16213" name="Column16209" dataDxfId="171"/>
    <tableColumn id="16214" name="Column16210" dataDxfId="170"/>
    <tableColumn id="16215" name="Column16211" dataDxfId="169"/>
    <tableColumn id="16216" name="Column16212" dataDxfId="168"/>
    <tableColumn id="16217" name="Column16213" dataDxfId="167"/>
    <tableColumn id="16218" name="Column16214" dataDxfId="166"/>
    <tableColumn id="16219" name="Column16215" dataDxfId="165"/>
    <tableColumn id="16220" name="Column16216" dataDxfId="164"/>
    <tableColumn id="16221" name="Column16217" dataDxfId="163"/>
    <tableColumn id="16222" name="Column16218" dataDxfId="162"/>
    <tableColumn id="16223" name="Column16219" dataDxfId="161"/>
    <tableColumn id="16224" name="Column16220" dataDxfId="160"/>
    <tableColumn id="16225" name="Column16221" dataDxfId="159"/>
    <tableColumn id="16226" name="Column16222" dataDxfId="158"/>
    <tableColumn id="16227" name="Column16223" dataDxfId="157"/>
    <tableColumn id="16228" name="Column16224" dataDxfId="156"/>
    <tableColumn id="16229" name="Column16225" dataDxfId="155"/>
    <tableColumn id="16230" name="Column16226" dataDxfId="154"/>
    <tableColumn id="16231" name="Column16227" dataDxfId="153"/>
    <tableColumn id="16232" name="Column16228" dataDxfId="152"/>
    <tableColumn id="16233" name="Column16229" dataDxfId="151"/>
    <tableColumn id="16234" name="Column16230" dataDxfId="150"/>
    <tableColumn id="16235" name="Column16231" dataDxfId="149"/>
    <tableColumn id="16236" name="Column16232" dataDxfId="148"/>
    <tableColumn id="16237" name="Column16233" dataDxfId="147"/>
    <tableColumn id="16238" name="Column16234" dataDxfId="146"/>
    <tableColumn id="16239" name="Column16235" dataDxfId="145"/>
    <tableColumn id="16240" name="Column16236" dataDxfId="144"/>
    <tableColumn id="16241" name="Column16237" dataDxfId="143"/>
    <tableColumn id="16242" name="Column16238" dataDxfId="142"/>
    <tableColumn id="16243" name="Column16239" dataDxfId="141"/>
    <tableColumn id="16244" name="Column16240" dataDxfId="140"/>
    <tableColumn id="16245" name="Column16241" dataDxfId="139"/>
    <tableColumn id="16246" name="Column16242" dataDxfId="138"/>
    <tableColumn id="16247" name="Column16243" dataDxfId="137"/>
    <tableColumn id="16248" name="Column16244" dataDxfId="136"/>
    <tableColumn id="16249" name="Column16245" dataDxfId="135"/>
    <tableColumn id="16250" name="Column16246" dataDxfId="134"/>
    <tableColumn id="16251" name="Column16247" dataDxfId="133"/>
    <tableColumn id="16252" name="Column16248" dataDxfId="132"/>
    <tableColumn id="16253" name="Column16249" dataDxfId="131"/>
    <tableColumn id="16254" name="Column16250" dataDxfId="130"/>
    <tableColumn id="16255" name="Column16251" dataDxfId="129"/>
    <tableColumn id="16256" name="Column16252" dataDxfId="128"/>
    <tableColumn id="16257" name="Column16253" dataDxfId="127"/>
    <tableColumn id="16258" name="Column16254" dataDxfId="126"/>
    <tableColumn id="16259" name="Column16255" dataDxfId="125"/>
    <tableColumn id="16260" name="Column16256" dataDxfId="124"/>
    <tableColumn id="16261" name="Column16257" dataDxfId="123"/>
    <tableColumn id="16262" name="Column16258" dataDxfId="122"/>
    <tableColumn id="16263" name="Column16259" dataDxfId="121"/>
    <tableColumn id="16264" name="Column16260" dataDxfId="120"/>
    <tableColumn id="16265" name="Column16261" dataDxfId="119"/>
    <tableColumn id="16266" name="Column16262" dataDxfId="118"/>
    <tableColumn id="16267" name="Column16263" dataDxfId="117"/>
    <tableColumn id="16268" name="Column16264" dataDxfId="116"/>
    <tableColumn id="16269" name="Column16265" dataDxfId="115"/>
    <tableColumn id="16270" name="Column16266" dataDxfId="114"/>
    <tableColumn id="16271" name="Column16267" dataDxfId="113"/>
    <tableColumn id="16272" name="Column16268" dataDxfId="112"/>
    <tableColumn id="16273" name="Column16269" dataDxfId="111"/>
    <tableColumn id="16274" name="Column16270" dataDxfId="110"/>
    <tableColumn id="16275" name="Column16271" dataDxfId="109"/>
    <tableColumn id="16276" name="Column16272" dataDxfId="108"/>
    <tableColumn id="16277" name="Column16273" dataDxfId="107"/>
    <tableColumn id="16278" name="Column16274" dataDxfId="106"/>
    <tableColumn id="16279" name="Column16275" dataDxfId="105"/>
    <tableColumn id="16280" name="Column16276" dataDxfId="104"/>
    <tableColumn id="16281" name="Column16277" dataDxfId="103"/>
    <tableColumn id="16282" name="Column16278" dataDxfId="102"/>
    <tableColumn id="16283" name="Column16279" dataDxfId="101"/>
    <tableColumn id="16284" name="Column16280" dataDxfId="100"/>
    <tableColumn id="16285" name="Column16281" dataDxfId="99"/>
    <tableColumn id="16286" name="Column16282" dataDxfId="98"/>
    <tableColumn id="16287" name="Column16283" dataDxfId="97"/>
    <tableColumn id="16288" name="Column16284" dataDxfId="96"/>
    <tableColumn id="16289" name="Column16285" dataDxfId="95"/>
    <tableColumn id="16290" name="Column16286" dataDxfId="94"/>
    <tableColumn id="16291" name="Column16287" dataDxfId="93"/>
    <tableColumn id="16292" name="Column16288" dataDxfId="92"/>
    <tableColumn id="16293" name="Column16289" dataDxfId="91"/>
    <tableColumn id="16294" name="Column16290" dataDxfId="90"/>
    <tableColumn id="16295" name="Column16291" dataDxfId="89"/>
    <tableColumn id="16296" name="Column16292" dataDxfId="88"/>
    <tableColumn id="16297" name="Column16293" dataDxfId="87"/>
    <tableColumn id="16298" name="Column16294" dataDxfId="86"/>
    <tableColumn id="16299" name="Column16295" dataDxfId="85"/>
    <tableColumn id="16300" name="Column16296" dataDxfId="84"/>
    <tableColumn id="16301" name="Column16297" dataDxfId="83"/>
    <tableColumn id="16302" name="Column16298" dataDxfId="82"/>
    <tableColumn id="16303" name="Column16299" dataDxfId="81"/>
    <tableColumn id="16304" name="Column16300" dataDxfId="80"/>
    <tableColumn id="16305" name="Column16301" dataDxfId="79"/>
    <tableColumn id="16306" name="Column16302" dataDxfId="78"/>
    <tableColumn id="16307" name="Column16303" dataDxfId="77"/>
    <tableColumn id="16308" name="Column16304" dataDxfId="76"/>
    <tableColumn id="16309" name="Column16305" dataDxfId="75"/>
    <tableColumn id="16310" name="Column16306" dataDxfId="74"/>
    <tableColumn id="16311" name="Column16307" dataDxfId="73"/>
    <tableColumn id="16312" name="Column16308" dataDxfId="72"/>
    <tableColumn id="16313" name="Column16309" dataDxfId="71"/>
    <tableColumn id="16314" name="Column16310" dataDxfId="70"/>
    <tableColumn id="16315" name="Column16311" dataDxfId="69"/>
    <tableColumn id="16316" name="Column16312" dataDxfId="68"/>
    <tableColumn id="16317" name="Column16313" dataDxfId="67"/>
    <tableColumn id="16318" name="Column16314" dataDxfId="66"/>
    <tableColumn id="16319" name="Column16315" dataDxfId="65"/>
    <tableColumn id="16320" name="Column16316" dataDxfId="64"/>
    <tableColumn id="16321" name="Column16317" dataDxfId="63"/>
    <tableColumn id="16322" name="Column16318" dataDxfId="62"/>
    <tableColumn id="16323" name="Column16319" dataDxfId="61"/>
    <tableColumn id="16324" name="Column16320" dataDxfId="60"/>
    <tableColumn id="16325" name="Column16321" dataDxfId="59"/>
    <tableColumn id="16326" name="Column16322" dataDxfId="58"/>
    <tableColumn id="16327" name="Column16323" dataDxfId="57"/>
    <tableColumn id="16328" name="Column16324" dataDxfId="56"/>
    <tableColumn id="16329" name="Column16325" dataDxfId="55"/>
    <tableColumn id="16330" name="Column16326" dataDxfId="54"/>
    <tableColumn id="16331" name="Column16327" dataDxfId="53"/>
    <tableColumn id="16332" name="Column16328" dataDxfId="52"/>
    <tableColumn id="16333" name="Column16329" dataDxfId="51"/>
    <tableColumn id="16334" name="Column16330" dataDxfId="50"/>
    <tableColumn id="16335" name="Column16331" dataDxfId="49"/>
    <tableColumn id="16336" name="Column16332" dataDxfId="48"/>
    <tableColumn id="16337" name="Column16333" dataDxfId="47"/>
    <tableColumn id="16338" name="Column16334" dataDxfId="46"/>
    <tableColumn id="16339" name="Column16335" dataDxfId="45"/>
    <tableColumn id="16340" name="Column16336" dataDxfId="44"/>
    <tableColumn id="16341" name="Column16337" dataDxfId="43"/>
    <tableColumn id="16342" name="Column16338" dataDxfId="42"/>
    <tableColumn id="16343" name="Column16339" dataDxfId="41"/>
    <tableColumn id="16344" name="Column16340" dataDxfId="40"/>
    <tableColumn id="16345" name="Column16341" dataDxfId="39"/>
    <tableColumn id="16346" name="Column16342" dataDxfId="38"/>
    <tableColumn id="16347" name="Column16343" dataDxfId="37"/>
    <tableColumn id="16348" name="Column16344" dataDxfId="36"/>
    <tableColumn id="16349" name="Column16345" dataDxfId="35"/>
    <tableColumn id="16350" name="Column16346" dataDxfId="34"/>
    <tableColumn id="16351" name="Column16347" dataDxfId="33"/>
    <tableColumn id="16352" name="Column16348" dataDxfId="32"/>
    <tableColumn id="16353" name="Column16349" dataDxfId="31"/>
    <tableColumn id="16354" name="Column16350" dataDxfId="30"/>
    <tableColumn id="16355" name="Column16351" dataDxfId="29"/>
    <tableColumn id="16356" name="Column16352" dataDxfId="28"/>
    <tableColumn id="16357" name="Column16353" dataDxfId="27"/>
    <tableColumn id="16358" name="Column16354" dataDxfId="26"/>
    <tableColumn id="16359" name="Column16355" dataDxfId="25"/>
    <tableColumn id="16360" name="Column16356" dataDxfId="24"/>
    <tableColumn id="16361" name="Column16357" dataDxfId="23"/>
    <tableColumn id="16362" name="Column16358" dataDxfId="22"/>
    <tableColumn id="16363" name="Column16359" dataDxfId="21"/>
    <tableColumn id="16364" name="Column16360" dataDxfId="20"/>
    <tableColumn id="16365" name="Column16361" dataDxfId="19"/>
    <tableColumn id="16366" name="Column16362" dataDxfId="18"/>
    <tableColumn id="16367" name="Column16363" dataDxfId="17"/>
    <tableColumn id="16368" name="Column16364" dataDxfId="16"/>
    <tableColumn id="16369" name="Column16365" dataDxfId="15"/>
    <tableColumn id="16370" name="Column16366" dataDxfId="14"/>
    <tableColumn id="16371" name="Column16367" dataDxfId="13"/>
    <tableColumn id="16372" name="Column16368" dataDxfId="12"/>
    <tableColumn id="16373" name="Column16369" dataDxfId="11"/>
    <tableColumn id="16374" name="Column16370" dataDxfId="10"/>
    <tableColumn id="16375" name="Column16371" dataDxfId="9"/>
    <tableColumn id="16376" name="Column16372" dataDxfId="8"/>
    <tableColumn id="16377" name="Column16373" dataDxfId="7"/>
    <tableColumn id="16378" name="Column16374" dataDxfId="6"/>
    <tableColumn id="16379" name="Column16375" dataDxfId="5"/>
    <tableColumn id="16380" name="Column16376" dataDxfId="4"/>
    <tableColumn id="16381" name="Column16377" dataDxfId="3"/>
    <tableColumn id="16382" name="Column16378" dataDxfId="2"/>
    <tableColumn id="16383" name="Column16379" dataDxfId="1"/>
    <tableColumn id="16384" name="Column1638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LALIT107@GMAIL.COM" TargetMode="External"/><Relationship Id="rId18" Type="http://schemas.openxmlformats.org/officeDocument/2006/relationships/hyperlink" Target="mailto:LALIT822@GMAIL.COM" TargetMode="External"/><Relationship Id="rId26" Type="http://schemas.openxmlformats.org/officeDocument/2006/relationships/hyperlink" Target="mailto:travelhelp@flipkart.com" TargetMode="External"/><Relationship Id="rId39" Type="http://schemas.openxmlformats.org/officeDocument/2006/relationships/hyperlink" Target="mailto:lalit822@gmail.com" TargetMode="External"/><Relationship Id="rId21" Type="http://schemas.openxmlformats.org/officeDocument/2006/relationships/hyperlink" Target="mailto:GAYATRITRAVELMGT@GMAIL.COM" TargetMode="External"/><Relationship Id="rId34" Type="http://schemas.openxmlformats.org/officeDocument/2006/relationships/hyperlink" Target="mailto:GAYATRITRAVELMGT@GMAIL.COM" TargetMode="External"/><Relationship Id="rId42" Type="http://schemas.openxmlformats.org/officeDocument/2006/relationships/hyperlink" Target="mailto:gaytritravelmgt@gmail.com" TargetMode="External"/><Relationship Id="rId47" Type="http://schemas.openxmlformats.org/officeDocument/2006/relationships/hyperlink" Target="mailto:reservations@customer.goindigo.in" TargetMode="External"/><Relationship Id="rId50" Type="http://schemas.openxmlformats.org/officeDocument/2006/relationships/hyperlink" Target="mailto:reservations@customer.goindigo.in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mailto:LALIT107@GMAIL.COM" TargetMode="External"/><Relationship Id="rId2" Type="http://schemas.openxmlformats.org/officeDocument/2006/relationships/hyperlink" Target="mailto:LALIT822@GMAIL.COM" TargetMode="External"/><Relationship Id="rId16" Type="http://schemas.openxmlformats.org/officeDocument/2006/relationships/hyperlink" Target="mailto:LALIT107@GMAIL.COM" TargetMode="External"/><Relationship Id="rId29" Type="http://schemas.openxmlformats.org/officeDocument/2006/relationships/hyperlink" Target="mailto:LALIT822@GMAIL.COM" TargetMode="External"/><Relationship Id="rId11" Type="http://schemas.openxmlformats.org/officeDocument/2006/relationships/hyperlink" Target="mailto:J98752133467@GMAIL.COM" TargetMode="External"/><Relationship Id="rId24" Type="http://schemas.openxmlformats.org/officeDocument/2006/relationships/hyperlink" Target="mailto:travelhelp@flipkart.com" TargetMode="External"/><Relationship Id="rId32" Type="http://schemas.openxmlformats.org/officeDocument/2006/relationships/hyperlink" Target="mailto:LALIT822@GMAIL.COM" TargetMode="External"/><Relationship Id="rId37" Type="http://schemas.openxmlformats.org/officeDocument/2006/relationships/hyperlink" Target="mailto:gaytritravelmgt@gmail.com" TargetMode="External"/><Relationship Id="rId40" Type="http://schemas.openxmlformats.org/officeDocument/2006/relationships/hyperlink" Target="mailto:gaytritravelmgt@gmail.com" TargetMode="External"/><Relationship Id="rId45" Type="http://schemas.openxmlformats.org/officeDocument/2006/relationships/hyperlink" Target="mailto:reservations@customer.goindigo.in" TargetMode="External"/><Relationship Id="rId53" Type="http://schemas.openxmlformats.org/officeDocument/2006/relationships/hyperlink" Target="mailto:webbooking@omanair.com" TargetMode="External"/><Relationship Id="rId5" Type="http://schemas.openxmlformats.org/officeDocument/2006/relationships/hyperlink" Target="mailto:LALIT822@GMAIL.COM" TargetMode="External"/><Relationship Id="rId10" Type="http://schemas.openxmlformats.org/officeDocument/2006/relationships/hyperlink" Target="mailto:GAYATRI96568@GMAIL.COM" TargetMode="External"/><Relationship Id="rId19" Type="http://schemas.openxmlformats.org/officeDocument/2006/relationships/hyperlink" Target="mailto:LALIT822@GMAIL.COM" TargetMode="External"/><Relationship Id="rId31" Type="http://schemas.openxmlformats.org/officeDocument/2006/relationships/hyperlink" Target="mailto:LALIT822@GMAIL.COM" TargetMode="External"/><Relationship Id="rId44" Type="http://schemas.openxmlformats.org/officeDocument/2006/relationships/hyperlink" Target="mailto:LALIT822@GMAIL.COM" TargetMode="External"/><Relationship Id="rId52" Type="http://schemas.openxmlformats.org/officeDocument/2006/relationships/hyperlink" Target="mailto:no-reply@flipkart.com" TargetMode="External"/><Relationship Id="rId4" Type="http://schemas.openxmlformats.org/officeDocument/2006/relationships/hyperlink" Target="mailto:LALIT822@GMAIL.COM" TargetMode="External"/><Relationship Id="rId9" Type="http://schemas.openxmlformats.org/officeDocument/2006/relationships/hyperlink" Target="mailto:GAYATRI96568@GMAIL.COM" TargetMode="External"/><Relationship Id="rId14" Type="http://schemas.openxmlformats.org/officeDocument/2006/relationships/hyperlink" Target="mailto:LALIT822@GMAIL.COM" TargetMode="External"/><Relationship Id="rId22" Type="http://schemas.openxmlformats.org/officeDocument/2006/relationships/hyperlink" Target="http://l.flipkart.com/t/click/lSto0r589iEAS5gj2aBQRRFCtnfPFrDDNXYVb_wicdS-nFSTyVKwU1rUrGlnnFgorGLV1l1v3Vaf4M958Rm0QyZCIZxAL8xsgvCmZR65S6yPXHn42B-PNGK7Q7oF60INaIl_b-FdWJiBuIpjeQ75qCCPRl5uw7vWVThKAgOqrwEPb4xbMuNf9ovcLdcGgaPXw8HvI4xhrekDh69oF8nrzECOkKS5MILtjnhMJ8_9VOl6wQ2zBG76c-wSdI3H0VN6ZUG9Lcu0EI6gSefVxLwGjNh_r2GMD-Y3ibTL-NjXdzeZljduLVXMd2GZL1zCyj_NDIzib0yJ9LwlqoN83c9CXvPVG1fyZS8d99EVUtfZaEJEsg1ULyIty00aW-j48wemZ672FHp46DEIiu-6USnSzpCBbZY99sL2DLQjPLPfnm0=?e=true" TargetMode="External"/><Relationship Id="rId27" Type="http://schemas.openxmlformats.org/officeDocument/2006/relationships/hyperlink" Target="http://l.flipkart.com/t/click/lSto0r589iEAS5gj2aBQRRFCtnfPFrDDNXYVb_wicdS-nFSTyVKwU1rUrGlnnFgorGLV1l1v3Vaf4M958Rm0QyZCIZxAL8xsgvCmZR65S6yPXHn42B-PNGK7Q7oF60INaIl_b-FdWJiBuIpjeQ75qCCPRl5uw7vWVThKAgOqrwEPb4xbMuNf9ovcLdcGgaPXw8HvI4xhrekDh69oF8nrzECOkKS5MILtjnhMJ8_9VOl6wQ2zBG76c-wSdI3H0VN6ZUG9Lcu0EI6gSefVxLwGjNh_r2GMD-Y3ibTL-NjXdzeZljduLVXMd2GZL1zCyj_NDIzib0yJ9LwlqoN83c9CXvPVG1fyZS8d99EVUtfZaEJEsg1ULyIty00aW-j48wemZ672FHp46DEIiu-6USnSzpCBbZY99sL2DLQjPLPfnm0=?e=true" TargetMode="External"/><Relationship Id="rId30" Type="http://schemas.openxmlformats.org/officeDocument/2006/relationships/hyperlink" Target="mailto:LALIT822@GMAIL.COM" TargetMode="External"/><Relationship Id="rId35" Type="http://schemas.openxmlformats.org/officeDocument/2006/relationships/hyperlink" Target="mailto:GAYATRITRAVELMGT@GMAIL.COM" TargetMode="External"/><Relationship Id="rId43" Type="http://schemas.openxmlformats.org/officeDocument/2006/relationships/hyperlink" Target="mailto:skstravelmanagement@gmail.com" TargetMode="External"/><Relationship Id="rId48" Type="http://schemas.openxmlformats.org/officeDocument/2006/relationships/hyperlink" Target="mailto:reservations@customer.goindigo.in" TargetMode="External"/><Relationship Id="rId8" Type="http://schemas.openxmlformats.org/officeDocument/2006/relationships/hyperlink" Target="mailto:GAYATRITRAVELMGT@GMAIL.COM" TargetMode="External"/><Relationship Id="rId51" Type="http://schemas.openxmlformats.org/officeDocument/2006/relationships/hyperlink" Target="mailto:no-reply@flipkart.com" TargetMode="External"/><Relationship Id="rId3" Type="http://schemas.openxmlformats.org/officeDocument/2006/relationships/hyperlink" Target="mailto:LALIT822@GMAIL.COM" TargetMode="External"/><Relationship Id="rId12" Type="http://schemas.openxmlformats.org/officeDocument/2006/relationships/hyperlink" Target="mailto:J98752133467@GMAIL.COM" TargetMode="External"/><Relationship Id="rId17" Type="http://schemas.openxmlformats.org/officeDocument/2006/relationships/hyperlink" Target="mailto:LALIT822@GMAIL.COM" TargetMode="External"/><Relationship Id="rId25" Type="http://schemas.openxmlformats.org/officeDocument/2006/relationships/hyperlink" Target="mailto:travelhelp@flipkart.com" TargetMode="External"/><Relationship Id="rId33" Type="http://schemas.openxmlformats.org/officeDocument/2006/relationships/hyperlink" Target="mailto:LALIT822@GMAIL.COM" TargetMode="External"/><Relationship Id="rId38" Type="http://schemas.openxmlformats.org/officeDocument/2006/relationships/hyperlink" Target="mailto:gaytritravelmgt@gmail.com" TargetMode="External"/><Relationship Id="rId46" Type="http://schemas.openxmlformats.org/officeDocument/2006/relationships/hyperlink" Target="mailto:reservations@customer.goindigo.in" TargetMode="External"/><Relationship Id="rId20" Type="http://schemas.openxmlformats.org/officeDocument/2006/relationships/hyperlink" Target="mailto:GAYATRITRAVELMGT@GMAIL.COM" TargetMode="External"/><Relationship Id="rId41" Type="http://schemas.openxmlformats.org/officeDocument/2006/relationships/hyperlink" Target="mailto:gaytritravelmgt@gmail.com" TargetMode="External"/><Relationship Id="rId54" Type="http://schemas.openxmlformats.org/officeDocument/2006/relationships/hyperlink" Target="mailto:GAYATRI96568@GMAIL.COM" TargetMode="External"/><Relationship Id="rId1" Type="http://schemas.openxmlformats.org/officeDocument/2006/relationships/hyperlink" Target="mailto:LALIT822@GMAIL.COM" TargetMode="External"/><Relationship Id="rId6" Type="http://schemas.openxmlformats.org/officeDocument/2006/relationships/hyperlink" Target="mailto:GAYATRITRAVELMGT@GMAIL.COM" TargetMode="External"/><Relationship Id="rId15" Type="http://schemas.openxmlformats.org/officeDocument/2006/relationships/hyperlink" Target="mailto:LALIT107@GMAIL.COM" TargetMode="External"/><Relationship Id="rId23" Type="http://schemas.openxmlformats.org/officeDocument/2006/relationships/hyperlink" Target="http://l.flipkart.com/t/click/lSto0r589iEAS5gj2aBQRQ7qQ3XLNiEp2cMSH84yguzZdg-Cv2WrCCDGeG5SVYDWgBV8TiqCji161FIy05jdgGfV_Te0DywT7fKuGvZn1kqpi3UfmyR760zOd6X6FvVLQe9__vOfDbUH3cPXg4kWMNmKCf1_Ef7oalwH7YgDv1t4bHPTkbPcDRsiVKOqWg3dY3BEjvYslddpgQLFVvAuIfFQN80mSQFK-EADHl8Yq0ViDMysHuZtgqIA-BeyXSwRF91HS48LszNSz4bHULeOlqh3Ss7T9f8uNieKyoXSJtYeh_rS52rs-xI-KIWM3qOSFXG0u9rj3jFo20qvmLWfcBnCWbivs1CQExHSUbcO9jLv1IsIeCktCes15_6vufh3cAYtMzDjS1ULfdYwArRvvQuumtBxpQu7gvT-jun0oeo=?e=true" TargetMode="External"/><Relationship Id="rId28" Type="http://schemas.openxmlformats.org/officeDocument/2006/relationships/hyperlink" Target="mailto:LALIT822@GMAIL.COM" TargetMode="External"/><Relationship Id="rId36" Type="http://schemas.openxmlformats.org/officeDocument/2006/relationships/hyperlink" Target="mailto:LALIT822@GMAIL.COM" TargetMode="External"/><Relationship Id="rId49" Type="http://schemas.openxmlformats.org/officeDocument/2006/relationships/hyperlink" Target="mailto:kanchanboranaayansh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XFC85"/>
  <sheetViews>
    <sheetView topLeftCell="A65" zoomScaleNormal="100" workbookViewId="0">
      <selection activeCell="A300" sqref="A76:XFD300"/>
    </sheetView>
  </sheetViews>
  <sheetFormatPr defaultRowHeight="14.5"/>
  <cols>
    <col min="1" max="1" width="28" customWidth="1"/>
    <col min="2" max="2" width="11.81640625" customWidth="1"/>
    <col min="3" max="3" width="11.453125" customWidth="1"/>
    <col min="4" max="4" width="19.54296875" customWidth="1"/>
    <col min="5" max="5" width="16.81640625" customWidth="1"/>
    <col min="6" max="6" width="23.7265625" customWidth="1"/>
    <col min="7" max="7" width="54.1796875" bestFit="1" customWidth="1"/>
    <col min="8" max="8" width="15.81640625" customWidth="1"/>
    <col min="9" max="9" width="48.453125" customWidth="1"/>
    <col min="10" max="10" width="32.26953125" customWidth="1"/>
    <col min="11" max="11" width="14.453125" customWidth="1"/>
    <col min="12" max="12" width="37.1796875" customWidth="1"/>
    <col min="13" max="13" width="34.7265625" customWidth="1"/>
    <col min="14" max="14" width="15.7265625" customWidth="1"/>
    <col min="19" max="19" width="9.81640625" bestFit="1" customWidth="1"/>
    <col min="22" max="22" width="24.7265625" bestFit="1" customWidth="1"/>
  </cols>
  <sheetData>
    <row r="1" spans="1:26">
      <c r="A1" s="38" t="s">
        <v>0</v>
      </c>
      <c r="B1" s="38" t="s">
        <v>51</v>
      </c>
      <c r="C1" s="38" t="s">
        <v>52</v>
      </c>
      <c r="D1" s="39" t="s">
        <v>53</v>
      </c>
      <c r="E1" s="62" t="s">
        <v>54</v>
      </c>
      <c r="F1" s="38" t="s">
        <v>55</v>
      </c>
      <c r="G1" s="38" t="s">
        <v>56</v>
      </c>
      <c r="H1" s="38" t="s">
        <v>58</v>
      </c>
      <c r="I1" s="39" t="s">
        <v>59</v>
      </c>
      <c r="J1" s="38" t="s">
        <v>60</v>
      </c>
      <c r="K1" s="38" t="s">
        <v>61</v>
      </c>
      <c r="L1" s="38" t="s">
        <v>62</v>
      </c>
      <c r="M1" s="38" t="s">
        <v>63</v>
      </c>
      <c r="N1" s="61" t="s">
        <v>64</v>
      </c>
      <c r="O1" s="38" t="s">
        <v>57</v>
      </c>
      <c r="P1" s="38" t="s">
        <v>251</v>
      </c>
      <c r="Q1" s="63" t="s">
        <v>235</v>
      </c>
      <c r="R1" s="38" t="s">
        <v>66</v>
      </c>
      <c r="S1" s="38" t="s">
        <v>262</v>
      </c>
      <c r="T1" s="38" t="s">
        <v>264</v>
      </c>
      <c r="U1" s="38" t="s">
        <v>269</v>
      </c>
      <c r="V1" s="59" t="s">
        <v>282</v>
      </c>
      <c r="W1" s="59" t="s">
        <v>283</v>
      </c>
      <c r="X1" s="59" t="s">
        <v>284</v>
      </c>
      <c r="Y1" s="59" t="s">
        <v>285</v>
      </c>
    </row>
    <row r="2" spans="1:26">
      <c r="A2" s="65" t="s">
        <v>1</v>
      </c>
      <c r="B2" s="65" t="s">
        <v>68</v>
      </c>
      <c r="C2" s="65" t="s">
        <v>69</v>
      </c>
      <c r="D2" s="66" t="s">
        <v>70</v>
      </c>
      <c r="E2" s="4" t="s">
        <v>71</v>
      </c>
      <c r="F2" s="3" t="s">
        <v>72</v>
      </c>
      <c r="G2" s="2" t="s">
        <v>73</v>
      </c>
      <c r="H2" s="5"/>
      <c r="I2" s="3">
        <v>0</v>
      </c>
      <c r="J2" s="6" t="s">
        <v>74</v>
      </c>
      <c r="K2" s="2">
        <v>9660660777</v>
      </c>
      <c r="L2" s="2" t="s">
        <v>253</v>
      </c>
      <c r="M2" s="6" t="s">
        <v>75</v>
      </c>
      <c r="N2" s="6" t="s">
        <v>76</v>
      </c>
      <c r="O2" s="65">
        <v>10700</v>
      </c>
      <c r="P2" s="67">
        <v>3043535</v>
      </c>
      <c r="Q2" s="2"/>
      <c r="R2" s="2">
        <v>229</v>
      </c>
      <c r="S2" s="2"/>
      <c r="T2" s="2"/>
      <c r="U2" s="2" t="s">
        <v>274</v>
      </c>
    </row>
    <row r="3" spans="1:26">
      <c r="A3" s="2" t="s">
        <v>2</v>
      </c>
      <c r="B3" s="2" t="s">
        <v>77</v>
      </c>
      <c r="C3" s="2" t="s">
        <v>78</v>
      </c>
      <c r="D3" s="3" t="s">
        <v>79</v>
      </c>
      <c r="E3" s="4" t="s">
        <v>71</v>
      </c>
      <c r="F3" s="3" t="s">
        <v>80</v>
      </c>
      <c r="G3" s="2" t="s">
        <v>81</v>
      </c>
      <c r="H3" s="5"/>
      <c r="I3" s="3" t="s">
        <v>82</v>
      </c>
      <c r="J3" s="6" t="s">
        <v>74</v>
      </c>
      <c r="K3" s="2">
        <v>9660660777</v>
      </c>
      <c r="L3" s="2" t="s">
        <v>253</v>
      </c>
      <c r="M3" s="6" t="s">
        <v>75</v>
      </c>
      <c r="N3" s="6" t="s">
        <v>76</v>
      </c>
      <c r="O3" s="2">
        <v>7400</v>
      </c>
      <c r="P3" s="33">
        <v>486528</v>
      </c>
      <c r="Q3" s="2"/>
      <c r="R3" s="2">
        <v>230</v>
      </c>
      <c r="S3" s="2"/>
      <c r="T3" s="2"/>
      <c r="U3" s="2" t="s">
        <v>274</v>
      </c>
    </row>
    <row r="4" spans="1:26">
      <c r="A4" s="2" t="s">
        <v>3</v>
      </c>
      <c r="B4" s="2" t="s">
        <v>83</v>
      </c>
      <c r="C4" s="2" t="s">
        <v>84</v>
      </c>
      <c r="D4" s="3" t="s">
        <v>85</v>
      </c>
      <c r="E4" s="4" t="s">
        <v>71</v>
      </c>
      <c r="F4" s="3" t="s">
        <v>86</v>
      </c>
      <c r="G4" s="2" t="s">
        <v>81</v>
      </c>
      <c r="H4" s="5"/>
      <c r="I4" s="3">
        <v>0</v>
      </c>
      <c r="J4" s="6" t="s">
        <v>74</v>
      </c>
      <c r="K4" s="2">
        <v>9660660777</v>
      </c>
      <c r="L4" s="2" t="s">
        <v>253</v>
      </c>
      <c r="M4" s="40" t="s">
        <v>237</v>
      </c>
      <c r="N4" s="2" t="s">
        <v>87</v>
      </c>
      <c r="O4" s="2">
        <v>4700</v>
      </c>
      <c r="P4" s="33"/>
      <c r="Q4" s="2"/>
      <c r="R4" s="2">
        <v>229</v>
      </c>
      <c r="S4" s="2"/>
      <c r="T4" s="2"/>
      <c r="U4" s="2" t="s">
        <v>272</v>
      </c>
    </row>
    <row r="5" spans="1:26">
      <c r="A5" s="2" t="s">
        <v>4</v>
      </c>
      <c r="B5" s="2" t="s">
        <v>77</v>
      </c>
      <c r="C5" s="2" t="s">
        <v>78</v>
      </c>
      <c r="D5" s="3" t="s">
        <v>88</v>
      </c>
      <c r="E5" s="4" t="s">
        <v>71</v>
      </c>
      <c r="F5" s="3" t="s">
        <v>89</v>
      </c>
      <c r="G5" s="2" t="s">
        <v>81</v>
      </c>
      <c r="H5" s="5"/>
      <c r="I5" s="3" t="s">
        <v>82</v>
      </c>
      <c r="J5" s="6" t="s">
        <v>74</v>
      </c>
      <c r="K5" s="2">
        <v>9660660777</v>
      </c>
      <c r="L5" s="2" t="s">
        <v>253</v>
      </c>
      <c r="M5" s="6" t="s">
        <v>90</v>
      </c>
      <c r="N5" s="6" t="s">
        <v>76</v>
      </c>
      <c r="O5" s="2">
        <v>7900</v>
      </c>
      <c r="P5" s="33"/>
      <c r="Q5" s="2"/>
      <c r="R5" s="2">
        <v>229</v>
      </c>
      <c r="S5" s="2"/>
      <c r="T5" s="2"/>
      <c r="U5" s="2" t="s">
        <v>274</v>
      </c>
    </row>
    <row r="6" spans="1:26">
      <c r="A6" s="2" t="s">
        <v>4</v>
      </c>
      <c r="B6" s="2" t="s">
        <v>78</v>
      </c>
      <c r="C6" s="2" t="s">
        <v>91</v>
      </c>
      <c r="D6" s="3" t="s">
        <v>85</v>
      </c>
      <c r="E6" s="4" t="s">
        <v>71</v>
      </c>
      <c r="F6" s="3" t="s">
        <v>92</v>
      </c>
      <c r="G6" s="2" t="s">
        <v>81</v>
      </c>
      <c r="H6" s="5"/>
      <c r="I6" s="3">
        <v>0</v>
      </c>
      <c r="J6" s="6" t="s">
        <v>74</v>
      </c>
      <c r="K6" s="2">
        <v>9660660777</v>
      </c>
      <c r="L6" s="2" t="s">
        <v>253</v>
      </c>
      <c r="M6" s="6" t="s">
        <v>93</v>
      </c>
      <c r="N6" s="41" t="s">
        <v>94</v>
      </c>
      <c r="O6" s="2">
        <v>2300</v>
      </c>
      <c r="P6" s="33"/>
      <c r="Q6" s="2"/>
      <c r="R6" s="2">
        <v>236</v>
      </c>
      <c r="S6" s="2"/>
      <c r="T6" s="2" t="s">
        <v>343</v>
      </c>
      <c r="U6" s="2" t="s">
        <v>274</v>
      </c>
      <c r="Z6" t="s">
        <v>349</v>
      </c>
    </row>
    <row r="7" spans="1:26">
      <c r="A7" s="2" t="s">
        <v>5</v>
      </c>
      <c r="B7" s="2" t="s">
        <v>77</v>
      </c>
      <c r="C7" s="2" t="s">
        <v>95</v>
      </c>
      <c r="D7" s="3" t="s">
        <v>96</v>
      </c>
      <c r="E7" s="4" t="s">
        <v>85</v>
      </c>
      <c r="F7" s="3" t="s">
        <v>97</v>
      </c>
      <c r="G7" s="2" t="s">
        <v>98</v>
      </c>
      <c r="H7" s="5"/>
      <c r="I7" s="3"/>
      <c r="J7" s="2" t="s">
        <v>99</v>
      </c>
      <c r="K7" s="2"/>
      <c r="L7" s="2" t="s">
        <v>253</v>
      </c>
      <c r="M7" s="6" t="s">
        <v>147</v>
      </c>
      <c r="N7" s="2">
        <v>7023482599</v>
      </c>
      <c r="O7" s="2">
        <v>12400</v>
      </c>
      <c r="P7" s="24"/>
      <c r="Q7" s="2"/>
      <c r="R7" s="2">
        <v>236</v>
      </c>
      <c r="S7" s="2"/>
      <c r="T7" s="2" t="s">
        <v>343</v>
      </c>
      <c r="U7" s="2"/>
      <c r="Z7" t="s">
        <v>349</v>
      </c>
    </row>
    <row r="8" spans="1:26">
      <c r="A8" s="2" t="s">
        <v>6</v>
      </c>
      <c r="B8" s="2" t="s">
        <v>77</v>
      </c>
      <c r="C8" s="2" t="s">
        <v>100</v>
      </c>
      <c r="D8" s="3" t="s">
        <v>101</v>
      </c>
      <c r="E8" s="4" t="s">
        <v>85</v>
      </c>
      <c r="F8" s="3" t="s">
        <v>102</v>
      </c>
      <c r="G8" s="2" t="s">
        <v>73</v>
      </c>
      <c r="H8" s="5"/>
      <c r="I8" s="3"/>
      <c r="J8" s="2" t="s">
        <v>99</v>
      </c>
      <c r="K8" s="2"/>
      <c r="L8" s="2" t="s">
        <v>253</v>
      </c>
      <c r="M8" s="2" t="s">
        <v>147</v>
      </c>
      <c r="N8" s="2">
        <v>7023482599</v>
      </c>
      <c r="O8" s="2">
        <v>7000</v>
      </c>
      <c r="P8" s="33"/>
      <c r="Q8" s="2"/>
      <c r="R8" s="2">
        <v>236</v>
      </c>
      <c r="S8" s="2"/>
      <c r="T8" s="2" t="s">
        <v>343</v>
      </c>
      <c r="U8" s="2"/>
      <c r="Z8" t="s">
        <v>349</v>
      </c>
    </row>
    <row r="9" spans="1:26">
      <c r="A9" s="2" t="s">
        <v>7</v>
      </c>
      <c r="B9" s="2" t="s">
        <v>103</v>
      </c>
      <c r="C9" s="2" t="s">
        <v>69</v>
      </c>
      <c r="D9" s="3" t="s">
        <v>104</v>
      </c>
      <c r="E9" s="4" t="s">
        <v>85</v>
      </c>
      <c r="F9" s="3" t="s">
        <v>105</v>
      </c>
      <c r="G9" s="2" t="s">
        <v>73</v>
      </c>
      <c r="H9" s="5"/>
      <c r="I9" s="3"/>
      <c r="J9" s="2" t="s">
        <v>99</v>
      </c>
      <c r="K9" s="2"/>
      <c r="L9" s="2" t="s">
        <v>253</v>
      </c>
      <c r="M9" s="6" t="s">
        <v>270</v>
      </c>
      <c r="N9" s="2">
        <v>8890486862</v>
      </c>
      <c r="O9" s="2"/>
      <c r="P9" s="24"/>
      <c r="Q9" s="2"/>
      <c r="R9" s="2">
        <v>230</v>
      </c>
      <c r="S9" s="2"/>
      <c r="T9" s="2"/>
      <c r="U9" s="2"/>
    </row>
    <row r="10" spans="1:26">
      <c r="A10" s="2" t="s">
        <v>7</v>
      </c>
      <c r="B10" s="2" t="s">
        <v>69</v>
      </c>
      <c r="C10" s="2" t="s">
        <v>103</v>
      </c>
      <c r="D10" s="8">
        <v>44965</v>
      </c>
      <c r="E10" s="4" t="s">
        <v>85</v>
      </c>
      <c r="F10" s="3" t="s">
        <v>106</v>
      </c>
      <c r="G10" s="2" t="s">
        <v>73</v>
      </c>
      <c r="H10" s="5"/>
      <c r="I10" s="3"/>
      <c r="J10" s="2" t="s">
        <v>99</v>
      </c>
      <c r="K10" s="2"/>
      <c r="L10" s="2" t="s">
        <v>253</v>
      </c>
      <c r="M10" s="6" t="s">
        <v>270</v>
      </c>
      <c r="N10" s="2">
        <v>8890486862</v>
      </c>
      <c r="O10" s="2">
        <v>20700</v>
      </c>
      <c r="P10" s="26"/>
      <c r="Q10" s="2"/>
      <c r="R10" s="2">
        <v>230</v>
      </c>
      <c r="S10" s="2"/>
      <c r="T10" s="2"/>
      <c r="U10" s="2"/>
    </row>
    <row r="11" spans="1:26">
      <c r="A11" s="2" t="s">
        <v>8</v>
      </c>
      <c r="B11" s="2" t="s">
        <v>77</v>
      </c>
      <c r="C11" s="2" t="s">
        <v>107</v>
      </c>
      <c r="D11" s="3" t="s">
        <v>70</v>
      </c>
      <c r="E11" s="4" t="s">
        <v>108</v>
      </c>
      <c r="F11" s="3" t="s">
        <v>109</v>
      </c>
      <c r="G11" s="2" t="s">
        <v>73</v>
      </c>
      <c r="H11" s="5"/>
      <c r="I11" s="3"/>
      <c r="J11" s="2" t="s">
        <v>99</v>
      </c>
      <c r="K11" s="2"/>
      <c r="L11" s="2" t="s">
        <v>253</v>
      </c>
      <c r="M11" s="17"/>
      <c r="N11" s="17"/>
      <c r="O11" s="2">
        <v>10500</v>
      </c>
      <c r="P11" s="24"/>
      <c r="Q11" s="2"/>
      <c r="R11" s="2">
        <v>236</v>
      </c>
      <c r="S11" s="2"/>
      <c r="T11" s="2" t="s">
        <v>343</v>
      </c>
      <c r="U11" s="2"/>
      <c r="Z11" t="s">
        <v>349</v>
      </c>
    </row>
    <row r="12" spans="1:26">
      <c r="A12" s="2" t="s">
        <v>9</v>
      </c>
      <c r="B12" s="2" t="s">
        <v>68</v>
      </c>
      <c r="C12" s="2" t="s">
        <v>110</v>
      </c>
      <c r="D12" s="4" t="s">
        <v>111</v>
      </c>
      <c r="E12" s="4" t="s">
        <v>85</v>
      </c>
      <c r="F12" s="3" t="s">
        <v>112</v>
      </c>
      <c r="G12" s="2" t="s">
        <v>113</v>
      </c>
      <c r="H12" s="5"/>
      <c r="I12" s="3">
        <v>0</v>
      </c>
      <c r="J12" s="6" t="s">
        <v>114</v>
      </c>
      <c r="K12" s="2"/>
      <c r="L12" s="2" t="s">
        <v>115</v>
      </c>
      <c r="M12" s="40" t="s">
        <v>238</v>
      </c>
      <c r="N12" s="2"/>
      <c r="O12" s="2"/>
      <c r="P12" s="26"/>
      <c r="Q12" s="2"/>
      <c r="R12" s="2" t="s">
        <v>195</v>
      </c>
      <c r="S12" s="2"/>
      <c r="T12" s="2"/>
      <c r="U12" s="2"/>
    </row>
    <row r="13" spans="1:26">
      <c r="A13" s="2" t="s">
        <v>10</v>
      </c>
      <c r="B13" s="2" t="s">
        <v>68</v>
      </c>
      <c r="C13" s="2" t="s">
        <v>110</v>
      </c>
      <c r="D13" s="4" t="s">
        <v>111</v>
      </c>
      <c r="E13" s="4" t="s">
        <v>85</v>
      </c>
      <c r="F13" s="3" t="s">
        <v>112</v>
      </c>
      <c r="G13" s="2" t="s">
        <v>113</v>
      </c>
      <c r="H13" s="5"/>
      <c r="I13" s="3">
        <v>0</v>
      </c>
      <c r="J13" s="6" t="s">
        <v>114</v>
      </c>
      <c r="K13" s="2"/>
      <c r="L13" s="2" t="s">
        <v>115</v>
      </c>
      <c r="M13" s="40" t="s">
        <v>238</v>
      </c>
      <c r="N13" s="2"/>
      <c r="O13" s="2">
        <v>73600</v>
      </c>
      <c r="P13" s="43"/>
      <c r="Q13" s="2"/>
      <c r="R13" s="2" t="s">
        <v>195</v>
      </c>
      <c r="S13" s="2"/>
      <c r="T13" s="2"/>
      <c r="U13" s="2"/>
    </row>
    <row r="14" spans="1:26">
      <c r="A14" s="2" t="s">
        <v>11</v>
      </c>
      <c r="B14" s="2" t="s">
        <v>116</v>
      </c>
      <c r="C14" s="2" t="s">
        <v>84</v>
      </c>
      <c r="D14" s="4" t="s">
        <v>96</v>
      </c>
      <c r="E14" s="4" t="s">
        <v>96</v>
      </c>
      <c r="F14" s="3" t="s">
        <v>117</v>
      </c>
      <c r="G14" s="2" t="s">
        <v>73</v>
      </c>
      <c r="H14" s="5"/>
      <c r="I14" s="3">
        <v>0</v>
      </c>
      <c r="J14" s="6" t="s">
        <v>118</v>
      </c>
      <c r="K14" s="2">
        <v>9928111474</v>
      </c>
      <c r="L14" s="2" t="s">
        <v>11</v>
      </c>
      <c r="M14" s="6" t="s">
        <v>93</v>
      </c>
      <c r="N14" s="41" t="s">
        <v>119</v>
      </c>
      <c r="O14" s="2">
        <v>4000</v>
      </c>
      <c r="P14" s="44">
        <v>559800</v>
      </c>
      <c r="Q14" s="2"/>
      <c r="R14" s="2"/>
      <c r="S14" s="2"/>
      <c r="T14" s="2"/>
      <c r="U14" s="2"/>
    </row>
    <row r="15" spans="1:26">
      <c r="A15" s="2" t="s">
        <v>12</v>
      </c>
      <c r="B15" s="2" t="s">
        <v>84</v>
      </c>
      <c r="C15" s="2" t="s">
        <v>120</v>
      </c>
      <c r="D15" s="4" t="s">
        <v>121</v>
      </c>
      <c r="E15" s="4" t="s">
        <v>122</v>
      </c>
      <c r="F15" s="3" t="s">
        <v>123</v>
      </c>
      <c r="G15" s="2" t="s">
        <v>73</v>
      </c>
      <c r="H15" s="5"/>
      <c r="I15" s="3"/>
      <c r="J15" s="2"/>
      <c r="K15" s="2">
        <v>8952067454</v>
      </c>
      <c r="L15" s="2" t="s">
        <v>124</v>
      </c>
      <c r="M15" s="6" t="s">
        <v>125</v>
      </c>
      <c r="N15" s="2">
        <v>9875133467</v>
      </c>
      <c r="O15" s="2">
        <v>51500</v>
      </c>
      <c r="P15" s="33">
        <v>150000</v>
      </c>
      <c r="Q15" s="2">
        <v>24000</v>
      </c>
      <c r="R15" s="2"/>
      <c r="S15" s="2"/>
      <c r="T15" s="2" t="s">
        <v>16730</v>
      </c>
      <c r="U15" s="2" t="s">
        <v>276</v>
      </c>
    </row>
    <row r="16" spans="1:26">
      <c r="A16" s="2" t="s">
        <v>13</v>
      </c>
      <c r="B16" s="2" t="s">
        <v>78</v>
      </c>
      <c r="C16" s="2" t="s">
        <v>120</v>
      </c>
      <c r="D16" s="4" t="s">
        <v>126</v>
      </c>
      <c r="E16" s="4" t="s">
        <v>122</v>
      </c>
      <c r="F16" s="3" t="s">
        <v>127</v>
      </c>
      <c r="G16" s="2" t="s">
        <v>73</v>
      </c>
      <c r="H16" s="5"/>
      <c r="I16" s="3"/>
      <c r="J16" s="2"/>
      <c r="K16" s="2">
        <v>8952067454</v>
      </c>
      <c r="L16" s="2" t="s">
        <v>124</v>
      </c>
      <c r="M16" s="6" t="s">
        <v>125</v>
      </c>
      <c r="N16" s="2">
        <v>9875133467</v>
      </c>
      <c r="O16" s="2">
        <v>25200</v>
      </c>
      <c r="P16" s="26"/>
      <c r="Q16" s="2"/>
      <c r="R16" s="2"/>
      <c r="S16" s="2"/>
      <c r="T16" s="2"/>
      <c r="U16" s="2" t="s">
        <v>276</v>
      </c>
    </row>
    <row r="17" spans="1:25">
      <c r="A17" s="2" t="s">
        <v>13</v>
      </c>
      <c r="B17" s="2" t="s">
        <v>110</v>
      </c>
      <c r="C17" s="2" t="s">
        <v>78</v>
      </c>
      <c r="D17" s="4" t="s">
        <v>128</v>
      </c>
      <c r="E17" s="4" t="s">
        <v>122</v>
      </c>
      <c r="F17" s="3" t="s">
        <v>129</v>
      </c>
      <c r="G17" s="2" t="s">
        <v>98</v>
      </c>
      <c r="H17" s="5"/>
      <c r="I17" s="3"/>
      <c r="K17" s="2">
        <v>8952067454</v>
      </c>
      <c r="L17" s="2" t="s">
        <v>124</v>
      </c>
      <c r="M17" s="6" t="s">
        <v>130</v>
      </c>
      <c r="N17" s="2">
        <v>8952067454</v>
      </c>
      <c r="O17" s="2">
        <v>16500</v>
      </c>
      <c r="P17" s="2"/>
      <c r="Q17" s="2"/>
      <c r="R17" s="2"/>
      <c r="S17" s="2"/>
      <c r="T17" s="2"/>
      <c r="U17" s="2" t="s">
        <v>271</v>
      </c>
      <c r="V17" t="s">
        <v>278</v>
      </c>
    </row>
    <row r="18" spans="1:25">
      <c r="A18" s="2" t="s">
        <v>12</v>
      </c>
      <c r="B18" s="2" t="s">
        <v>110</v>
      </c>
      <c r="C18" s="2" t="s">
        <v>84</v>
      </c>
      <c r="D18" s="3" t="s">
        <v>128</v>
      </c>
      <c r="E18" s="4" t="s">
        <v>122</v>
      </c>
      <c r="F18" s="3" t="s">
        <v>131</v>
      </c>
      <c r="G18" s="2" t="s">
        <v>98</v>
      </c>
      <c r="H18" s="5"/>
      <c r="I18" s="3"/>
      <c r="J18" s="6" t="s">
        <v>130</v>
      </c>
      <c r="L18" s="2" t="s">
        <v>124</v>
      </c>
      <c r="M18" s="6" t="s">
        <v>130</v>
      </c>
      <c r="N18" s="2">
        <v>8952067454</v>
      </c>
      <c r="O18" s="2">
        <v>33300</v>
      </c>
      <c r="P18" s="2"/>
      <c r="Q18" s="2"/>
      <c r="R18" s="2"/>
      <c r="S18" s="2"/>
      <c r="T18" s="2"/>
      <c r="U18" s="2" t="s">
        <v>271</v>
      </c>
      <c r="V18" t="s">
        <v>278</v>
      </c>
    </row>
    <row r="19" spans="1:25">
      <c r="A19" s="2" t="s">
        <v>14</v>
      </c>
      <c r="B19" s="2" t="s">
        <v>120</v>
      </c>
      <c r="C19" s="2" t="s">
        <v>110</v>
      </c>
      <c r="D19" s="4">
        <v>45178</v>
      </c>
      <c r="E19" s="4" t="s">
        <v>79</v>
      </c>
      <c r="F19" s="3" t="s">
        <v>132</v>
      </c>
      <c r="G19" s="2" t="s">
        <v>133</v>
      </c>
      <c r="H19" s="5"/>
      <c r="I19" s="3">
        <v>0</v>
      </c>
      <c r="J19" s="6" t="s">
        <v>118</v>
      </c>
      <c r="K19" s="2">
        <v>9928111474</v>
      </c>
      <c r="L19" s="2" t="s">
        <v>124</v>
      </c>
      <c r="M19" s="40" t="s">
        <v>239</v>
      </c>
      <c r="N19" s="2"/>
      <c r="O19" s="2">
        <v>58800</v>
      </c>
      <c r="P19" s="2"/>
      <c r="Q19" s="2"/>
      <c r="R19" s="2"/>
      <c r="S19" s="2"/>
      <c r="T19" s="2"/>
      <c r="U19" s="2" t="s">
        <v>271</v>
      </c>
    </row>
    <row r="20" spans="1:25" ht="15" customHeight="1">
      <c r="A20" s="2" t="s">
        <v>15</v>
      </c>
      <c r="B20" s="2" t="s">
        <v>78</v>
      </c>
      <c r="C20" s="2" t="s">
        <v>134</v>
      </c>
      <c r="D20" s="4">
        <v>45137</v>
      </c>
      <c r="E20" s="4">
        <v>45134</v>
      </c>
      <c r="F20" s="3" t="s">
        <v>135</v>
      </c>
      <c r="G20" s="28" t="s">
        <v>273</v>
      </c>
      <c r="H20" s="5"/>
      <c r="I20" s="3">
        <v>0</v>
      </c>
      <c r="J20" s="6" t="s">
        <v>74</v>
      </c>
      <c r="K20" s="2">
        <v>9660660777</v>
      </c>
      <c r="L20" s="2" t="s">
        <v>253</v>
      </c>
      <c r="M20" s="40" t="s">
        <v>240</v>
      </c>
      <c r="N20" s="45"/>
      <c r="O20" s="2">
        <v>4500</v>
      </c>
      <c r="P20" s="2"/>
      <c r="Q20" s="2"/>
      <c r="R20" s="2">
        <v>230</v>
      </c>
      <c r="S20" s="2"/>
      <c r="T20" s="2"/>
      <c r="U20" s="2" t="s">
        <v>136</v>
      </c>
    </row>
    <row r="21" spans="1:25" ht="15" customHeight="1">
      <c r="A21" s="2" t="s">
        <v>16</v>
      </c>
      <c r="B21" s="2" t="s">
        <v>137</v>
      </c>
      <c r="C21" s="2" t="s">
        <v>83</v>
      </c>
      <c r="D21" s="8" t="s">
        <v>138</v>
      </c>
      <c r="E21" s="4">
        <v>45134</v>
      </c>
      <c r="F21" s="3" t="s">
        <v>139</v>
      </c>
      <c r="G21" s="2" t="s">
        <v>140</v>
      </c>
      <c r="H21" s="5"/>
      <c r="I21" s="3">
        <v>0</v>
      </c>
      <c r="J21" s="6" t="s">
        <v>118</v>
      </c>
      <c r="K21" s="2">
        <v>9928111474</v>
      </c>
      <c r="L21" s="2" t="s">
        <v>141</v>
      </c>
      <c r="M21" s="40" t="s">
        <v>241</v>
      </c>
      <c r="N21" s="45"/>
      <c r="O21" s="2">
        <f>4000*9</f>
        <v>36000</v>
      </c>
      <c r="P21" s="2"/>
      <c r="Q21" s="2"/>
      <c r="R21" s="2"/>
      <c r="S21" s="2"/>
      <c r="T21" s="2"/>
      <c r="U21" s="2"/>
    </row>
    <row r="22" spans="1:25">
      <c r="A22" s="2" t="s">
        <v>17</v>
      </c>
      <c r="B22" s="2" t="s">
        <v>137</v>
      </c>
      <c r="C22" s="2" t="s">
        <v>83</v>
      </c>
      <c r="D22" s="8" t="s">
        <v>138</v>
      </c>
      <c r="E22" s="4">
        <v>45134</v>
      </c>
      <c r="F22" s="3" t="s">
        <v>142</v>
      </c>
      <c r="G22" s="2" t="s">
        <v>140</v>
      </c>
      <c r="H22" s="5"/>
      <c r="I22" s="3">
        <v>0</v>
      </c>
      <c r="J22" s="6" t="s">
        <v>118</v>
      </c>
      <c r="K22" s="2">
        <v>9928111474</v>
      </c>
      <c r="L22" s="2" t="s">
        <v>141</v>
      </c>
      <c r="M22" s="40" t="s">
        <v>241</v>
      </c>
      <c r="N22" s="2"/>
      <c r="O22" s="2">
        <f>4000*8</f>
        <v>32000</v>
      </c>
      <c r="P22" s="2"/>
      <c r="Q22" s="2"/>
      <c r="R22" s="2"/>
      <c r="S22" s="2"/>
      <c r="T22" s="2"/>
      <c r="U22" s="2"/>
    </row>
    <row r="23" spans="1:25">
      <c r="A23" s="2" t="s">
        <v>18</v>
      </c>
      <c r="B23" s="9" t="s">
        <v>143</v>
      </c>
      <c r="C23" s="10"/>
      <c r="D23" s="11"/>
      <c r="E23" s="4">
        <v>45134</v>
      </c>
      <c r="F23" s="3"/>
      <c r="G23" s="2"/>
      <c r="H23" s="5"/>
      <c r="I23" s="3"/>
      <c r="J23" s="2" t="s">
        <v>99</v>
      </c>
      <c r="K23" s="2"/>
      <c r="L23" s="2" t="s">
        <v>144</v>
      </c>
      <c r="M23" s="7"/>
      <c r="N23" s="2"/>
      <c r="O23" s="2">
        <f>7800*2</f>
        <v>15600</v>
      </c>
      <c r="P23" s="2"/>
      <c r="Q23" s="2"/>
      <c r="R23" s="2" t="s">
        <v>195</v>
      </c>
      <c r="S23" s="2"/>
      <c r="T23" s="2"/>
      <c r="U23" s="2"/>
    </row>
    <row r="24" spans="1:25">
      <c r="A24" s="2" t="s">
        <v>233</v>
      </c>
      <c r="B24" s="2" t="s">
        <v>84</v>
      </c>
      <c r="C24" s="2" t="s">
        <v>137</v>
      </c>
      <c r="D24" s="4">
        <v>45162</v>
      </c>
      <c r="E24" s="4">
        <v>45138</v>
      </c>
      <c r="F24" s="3" t="s">
        <v>232</v>
      </c>
      <c r="G24" s="2" t="s">
        <v>73</v>
      </c>
      <c r="H24" s="5"/>
      <c r="I24" s="3">
        <v>0</v>
      </c>
      <c r="J24" s="2"/>
      <c r="K24" s="2"/>
      <c r="L24" s="2" t="s">
        <v>249</v>
      </c>
      <c r="M24" s="2" t="s">
        <v>147</v>
      </c>
      <c r="N24" s="2">
        <v>7023482599</v>
      </c>
      <c r="O24" s="15"/>
      <c r="P24" s="31">
        <v>51500</v>
      </c>
      <c r="Q24" s="2"/>
      <c r="R24" s="2"/>
      <c r="S24" s="2"/>
      <c r="T24" s="2"/>
      <c r="U24" s="2"/>
    </row>
    <row r="25" spans="1:25">
      <c r="A25" s="2"/>
      <c r="B25" s="2" t="s">
        <v>137</v>
      </c>
      <c r="C25" s="2" t="s">
        <v>84</v>
      </c>
      <c r="D25" s="4">
        <v>45166</v>
      </c>
      <c r="E25" s="4">
        <v>45138</v>
      </c>
      <c r="F25" s="2" t="s">
        <v>234</v>
      </c>
      <c r="G25" s="2" t="s">
        <v>73</v>
      </c>
      <c r="H25" s="5"/>
      <c r="I25" s="3">
        <v>0</v>
      </c>
      <c r="J25" s="2"/>
      <c r="K25" s="2"/>
      <c r="L25" s="2" t="s">
        <v>249</v>
      </c>
      <c r="M25" s="2" t="s">
        <v>147</v>
      </c>
      <c r="N25" s="2">
        <v>7023482599</v>
      </c>
      <c r="O25" s="15">
        <v>40000</v>
      </c>
      <c r="P25" s="32"/>
      <c r="Q25" s="2"/>
      <c r="R25" s="2"/>
      <c r="S25" s="2"/>
      <c r="T25" s="2"/>
      <c r="U25" s="2"/>
    </row>
    <row r="26" spans="1:25">
      <c r="A26" s="2" t="s">
        <v>1</v>
      </c>
      <c r="B26" s="2" t="s">
        <v>69</v>
      </c>
      <c r="C26" s="2" t="s">
        <v>116</v>
      </c>
      <c r="D26" s="4">
        <v>45143</v>
      </c>
      <c r="E26" s="4">
        <v>45138</v>
      </c>
      <c r="F26" s="3" t="s">
        <v>145</v>
      </c>
      <c r="G26" s="2" t="s">
        <v>73</v>
      </c>
      <c r="H26" s="5"/>
      <c r="I26" s="3"/>
      <c r="J26" s="2" t="s">
        <v>99</v>
      </c>
      <c r="K26" s="2"/>
      <c r="L26" s="2" t="s">
        <v>253</v>
      </c>
      <c r="M26" s="2" t="s">
        <v>147</v>
      </c>
      <c r="N26" s="2">
        <v>7023482599</v>
      </c>
      <c r="O26" s="2">
        <v>10700</v>
      </c>
      <c r="P26" s="31"/>
      <c r="Q26" s="2"/>
      <c r="R26" s="87">
        <v>247</v>
      </c>
      <c r="S26" s="2"/>
      <c r="T26" s="2"/>
      <c r="U26" s="2"/>
    </row>
    <row r="27" spans="1:25">
      <c r="A27" s="2" t="s">
        <v>19</v>
      </c>
      <c r="B27" s="2" t="s">
        <v>77</v>
      </c>
      <c r="C27" s="2" t="s">
        <v>148</v>
      </c>
      <c r="D27" s="4">
        <v>45142</v>
      </c>
      <c r="E27" s="4">
        <v>45138</v>
      </c>
      <c r="F27" s="2" t="s">
        <v>149</v>
      </c>
      <c r="G27" s="2" t="s">
        <v>73</v>
      </c>
      <c r="H27" s="5"/>
      <c r="I27" s="3"/>
      <c r="J27" s="2" t="s">
        <v>99</v>
      </c>
      <c r="K27" s="2"/>
      <c r="L27" s="2" t="s">
        <v>253</v>
      </c>
      <c r="M27" s="2" t="s">
        <v>147</v>
      </c>
      <c r="N27" s="2">
        <v>7023482599</v>
      </c>
      <c r="O27" s="2">
        <v>5900</v>
      </c>
      <c r="P27" s="31"/>
      <c r="Q27" s="2"/>
      <c r="R27" s="37">
        <v>246</v>
      </c>
      <c r="S27" s="2"/>
      <c r="T27" s="2" t="s">
        <v>343</v>
      </c>
      <c r="U27" s="2"/>
      <c r="Y27" t="s">
        <v>349</v>
      </c>
    </row>
    <row r="28" spans="1:25">
      <c r="A28" s="2" t="s">
        <v>20</v>
      </c>
      <c r="B28" s="2" t="s">
        <v>116</v>
      </c>
      <c r="C28" s="2" t="s">
        <v>150</v>
      </c>
      <c r="D28" s="4">
        <v>45177</v>
      </c>
      <c r="E28" s="4">
        <v>45139</v>
      </c>
      <c r="F28" s="3" t="s">
        <v>151</v>
      </c>
      <c r="G28" s="2" t="s">
        <v>152</v>
      </c>
      <c r="H28" s="5"/>
      <c r="I28" s="3"/>
      <c r="J28" s="2" t="s">
        <v>99</v>
      </c>
      <c r="K28" s="2"/>
      <c r="L28" s="2" t="s">
        <v>261</v>
      </c>
      <c r="M28" s="2" t="s">
        <v>153</v>
      </c>
      <c r="N28" s="2">
        <v>7976798175</v>
      </c>
      <c r="O28" s="2"/>
      <c r="P28" s="24">
        <v>72904</v>
      </c>
      <c r="Q28" s="2"/>
      <c r="R28" s="2"/>
      <c r="S28" s="14">
        <v>45163</v>
      </c>
      <c r="T28" s="2">
        <v>244</v>
      </c>
      <c r="U28" s="2" t="s">
        <v>276</v>
      </c>
    </row>
    <row r="29" spans="1:25">
      <c r="A29" s="2" t="s">
        <v>20</v>
      </c>
      <c r="B29" s="2" t="s">
        <v>150</v>
      </c>
      <c r="C29" s="2" t="s">
        <v>116</v>
      </c>
      <c r="D29" s="4">
        <v>45203</v>
      </c>
      <c r="E29" s="4">
        <v>45139</v>
      </c>
      <c r="F29" s="3" t="s">
        <v>154</v>
      </c>
      <c r="G29" s="2" t="s">
        <v>155</v>
      </c>
      <c r="H29" s="5"/>
      <c r="I29" s="3"/>
      <c r="J29" s="2" t="s">
        <v>99</v>
      </c>
      <c r="K29" s="2"/>
      <c r="L29" s="2" t="s">
        <v>261</v>
      </c>
      <c r="M29" s="2" t="s">
        <v>153</v>
      </c>
      <c r="N29" s="2">
        <v>7976798175</v>
      </c>
      <c r="O29" s="2">
        <v>264000</v>
      </c>
      <c r="P29" s="2">
        <v>492648</v>
      </c>
      <c r="Q29" s="2"/>
      <c r="R29" s="2"/>
      <c r="S29" s="14">
        <v>45165</v>
      </c>
      <c r="T29" s="35">
        <v>244</v>
      </c>
      <c r="U29" s="2" t="s">
        <v>276</v>
      </c>
    </row>
    <row r="30" spans="1:25">
      <c r="A30" s="2" t="s">
        <v>21</v>
      </c>
      <c r="B30" s="2" t="s">
        <v>116</v>
      </c>
      <c r="C30" s="2" t="s">
        <v>69</v>
      </c>
      <c r="D30" s="4">
        <v>45158</v>
      </c>
      <c r="E30" s="4">
        <v>45139</v>
      </c>
      <c r="F30" s="3" t="s">
        <v>156</v>
      </c>
      <c r="G30" s="2" t="s">
        <v>157</v>
      </c>
      <c r="H30" s="5"/>
      <c r="I30" s="3"/>
      <c r="J30" s="2" t="s">
        <v>99</v>
      </c>
      <c r="K30" s="2"/>
      <c r="L30" s="2" t="s">
        <v>253</v>
      </c>
      <c r="M30" s="2" t="s">
        <v>153</v>
      </c>
      <c r="N30" s="2">
        <v>7976798175</v>
      </c>
      <c r="O30" s="2">
        <v>7700</v>
      </c>
      <c r="P30" s="2"/>
      <c r="Q30" s="2"/>
      <c r="R30" s="2">
        <v>274</v>
      </c>
      <c r="S30" s="2"/>
      <c r="T30" s="2"/>
      <c r="U30" s="2"/>
    </row>
    <row r="31" spans="1:25">
      <c r="A31" s="2" t="s">
        <v>22</v>
      </c>
      <c r="B31" s="2" t="s">
        <v>158</v>
      </c>
      <c r="C31" s="2" t="s">
        <v>77</v>
      </c>
      <c r="D31" s="4">
        <v>45142</v>
      </c>
      <c r="E31" s="4">
        <v>45139</v>
      </c>
      <c r="F31" s="3" t="s">
        <v>159</v>
      </c>
      <c r="G31" s="2" t="s">
        <v>73</v>
      </c>
      <c r="H31" s="5"/>
      <c r="I31" s="3"/>
      <c r="J31" s="2" t="s">
        <v>99</v>
      </c>
      <c r="K31" s="2"/>
      <c r="L31" s="2" t="s">
        <v>253</v>
      </c>
      <c r="M31" s="2"/>
      <c r="N31" s="2"/>
      <c r="O31" s="2">
        <v>7900</v>
      </c>
      <c r="P31" s="2"/>
      <c r="Q31" s="2"/>
      <c r="R31" s="2">
        <v>246</v>
      </c>
      <c r="S31" s="2"/>
      <c r="T31" s="2" t="s">
        <v>343</v>
      </c>
      <c r="U31" s="2"/>
      <c r="Y31" t="s">
        <v>349</v>
      </c>
    </row>
    <row r="32" spans="1:25">
      <c r="A32" s="2" t="s">
        <v>22</v>
      </c>
      <c r="B32" s="2" t="s">
        <v>69</v>
      </c>
      <c r="C32" s="2" t="s">
        <v>78</v>
      </c>
      <c r="D32" s="4">
        <v>45142</v>
      </c>
      <c r="E32" s="4">
        <v>45139</v>
      </c>
      <c r="F32" s="3" t="s">
        <v>160</v>
      </c>
      <c r="G32" s="2" t="s">
        <v>73</v>
      </c>
      <c r="H32" s="5"/>
      <c r="I32" s="3"/>
      <c r="J32" s="2" t="s">
        <v>99</v>
      </c>
      <c r="K32" s="2"/>
      <c r="L32" s="2" t="s">
        <v>253</v>
      </c>
      <c r="M32" s="2"/>
      <c r="N32" s="2"/>
      <c r="O32" s="2">
        <v>2100</v>
      </c>
      <c r="P32" s="2"/>
      <c r="Q32" s="2"/>
      <c r="R32" s="2">
        <v>246</v>
      </c>
      <c r="S32" s="2"/>
      <c r="T32" s="2" t="s">
        <v>343</v>
      </c>
      <c r="U32" s="2"/>
      <c r="Y32" t="s">
        <v>349</v>
      </c>
    </row>
    <row r="33" spans="1:25">
      <c r="A33" s="2" t="s">
        <v>23</v>
      </c>
      <c r="B33" s="2" t="s">
        <v>110</v>
      </c>
      <c r="C33" s="2" t="s">
        <v>84</v>
      </c>
      <c r="D33" s="4">
        <v>45147</v>
      </c>
      <c r="E33" s="4">
        <v>45139</v>
      </c>
      <c r="F33" s="3" t="s">
        <v>161</v>
      </c>
      <c r="G33" s="2" t="s">
        <v>73</v>
      </c>
      <c r="H33" s="5"/>
      <c r="I33" s="3"/>
      <c r="J33" s="2" t="s">
        <v>99</v>
      </c>
      <c r="K33" s="2"/>
      <c r="L33" s="2" t="s">
        <v>144</v>
      </c>
      <c r="M33" s="2" t="s">
        <v>153</v>
      </c>
      <c r="N33" s="2">
        <v>7976798175</v>
      </c>
      <c r="O33" s="2">
        <f>11600*2</f>
        <v>23200</v>
      </c>
      <c r="P33" s="2"/>
      <c r="Q33" s="2"/>
      <c r="R33" s="2" t="s">
        <v>195</v>
      </c>
      <c r="S33" s="2"/>
      <c r="T33" s="2"/>
      <c r="U33" s="2"/>
    </row>
    <row r="34" spans="1:25">
      <c r="A34" s="2" t="s">
        <v>24</v>
      </c>
      <c r="B34" s="2" t="s">
        <v>148</v>
      </c>
      <c r="C34" s="2" t="s">
        <v>69</v>
      </c>
      <c r="D34" s="4">
        <v>45149</v>
      </c>
      <c r="E34" s="4">
        <v>45142</v>
      </c>
      <c r="F34" s="3" t="s">
        <v>162</v>
      </c>
      <c r="G34" s="2" t="s">
        <v>73</v>
      </c>
      <c r="H34" s="5"/>
      <c r="I34" s="3">
        <v>0</v>
      </c>
      <c r="J34" s="6" t="s">
        <v>74</v>
      </c>
      <c r="K34" s="2">
        <v>9660660777</v>
      </c>
      <c r="L34" s="2" t="s">
        <v>253</v>
      </c>
      <c r="M34" s="6" t="s">
        <v>236</v>
      </c>
      <c r="N34" s="2"/>
      <c r="O34" s="2">
        <v>12300</v>
      </c>
      <c r="P34" s="2"/>
      <c r="Q34" s="2"/>
      <c r="R34" s="2">
        <v>247</v>
      </c>
      <c r="S34" s="2"/>
      <c r="T34" s="2"/>
      <c r="U34" s="2"/>
    </row>
    <row r="35" spans="1:25">
      <c r="A35" s="2" t="s">
        <v>25</v>
      </c>
      <c r="B35" s="2" t="s">
        <v>163</v>
      </c>
      <c r="C35" s="2" t="s">
        <v>77</v>
      </c>
      <c r="D35" s="4">
        <v>45145</v>
      </c>
      <c r="E35" s="4">
        <v>45142</v>
      </c>
      <c r="F35" s="3" t="s">
        <v>164</v>
      </c>
      <c r="G35" s="2" t="s">
        <v>73</v>
      </c>
      <c r="H35" s="5"/>
      <c r="I35" s="3" t="s">
        <v>116</v>
      </c>
      <c r="J35" s="6" t="s">
        <v>74</v>
      </c>
      <c r="K35" s="2">
        <v>9660660777</v>
      </c>
      <c r="L35" s="2" t="s">
        <v>253</v>
      </c>
      <c r="M35" s="6" t="s">
        <v>93</v>
      </c>
      <c r="N35" s="2"/>
      <c r="O35" s="2">
        <v>6500</v>
      </c>
      <c r="P35" s="2"/>
      <c r="Q35" s="2"/>
      <c r="R35" s="2">
        <v>246</v>
      </c>
      <c r="S35" s="2"/>
      <c r="T35" s="2" t="s">
        <v>343</v>
      </c>
      <c r="U35" s="2"/>
      <c r="Y35" t="s">
        <v>349</v>
      </c>
    </row>
    <row r="36" spans="1:25">
      <c r="A36" s="2" t="s">
        <v>26</v>
      </c>
      <c r="B36" s="2" t="s">
        <v>69</v>
      </c>
      <c r="C36" s="2" t="s">
        <v>116</v>
      </c>
      <c r="D36" s="4">
        <v>45148</v>
      </c>
      <c r="E36" s="4">
        <v>45142</v>
      </c>
      <c r="F36" s="3" t="s">
        <v>165</v>
      </c>
      <c r="G36" s="2" t="s">
        <v>73</v>
      </c>
      <c r="H36" s="5"/>
      <c r="I36" s="3">
        <v>0</v>
      </c>
      <c r="J36" s="6" t="s">
        <v>74</v>
      </c>
      <c r="K36" s="2">
        <v>9660660777</v>
      </c>
      <c r="L36" s="2" t="s">
        <v>253</v>
      </c>
      <c r="M36" s="6" t="s">
        <v>236</v>
      </c>
      <c r="N36" s="2"/>
      <c r="O36" s="2">
        <v>8300</v>
      </c>
      <c r="P36" s="2"/>
      <c r="Q36" s="2"/>
      <c r="R36" s="2">
        <v>246</v>
      </c>
      <c r="S36" s="2"/>
      <c r="T36" s="2" t="s">
        <v>343</v>
      </c>
      <c r="U36" s="2"/>
      <c r="Y36" t="s">
        <v>349</v>
      </c>
    </row>
    <row r="37" spans="1:25">
      <c r="A37" s="2" t="s">
        <v>26</v>
      </c>
      <c r="B37" s="2" t="s">
        <v>68</v>
      </c>
      <c r="C37" s="2" t="s">
        <v>77</v>
      </c>
      <c r="D37" s="12">
        <v>45150</v>
      </c>
      <c r="E37" s="4">
        <v>45142</v>
      </c>
      <c r="F37" s="3" t="s">
        <v>166</v>
      </c>
      <c r="G37" s="2" t="s">
        <v>73</v>
      </c>
      <c r="H37" s="5"/>
      <c r="I37" s="3">
        <v>0</v>
      </c>
      <c r="J37" s="6" t="s">
        <v>114</v>
      </c>
      <c r="K37" s="2"/>
      <c r="L37" s="2" t="s">
        <v>253</v>
      </c>
      <c r="M37" s="6" t="s">
        <v>93</v>
      </c>
      <c r="N37" s="2"/>
      <c r="O37" s="2">
        <v>4300</v>
      </c>
      <c r="P37" s="2"/>
      <c r="Q37" s="2"/>
      <c r="R37" s="2">
        <v>246</v>
      </c>
      <c r="S37" s="2"/>
      <c r="T37" s="2" t="s">
        <v>343</v>
      </c>
      <c r="U37" s="2"/>
      <c r="Y37" t="s">
        <v>349</v>
      </c>
    </row>
    <row r="38" spans="1:25" ht="15" customHeight="1">
      <c r="A38" s="2" t="s">
        <v>27</v>
      </c>
      <c r="B38" s="2" t="s">
        <v>77</v>
      </c>
      <c r="C38" s="2" t="s">
        <v>116</v>
      </c>
      <c r="D38" s="4" t="s">
        <v>167</v>
      </c>
      <c r="E38" s="4">
        <v>45143</v>
      </c>
      <c r="F38" s="3" t="s">
        <v>168</v>
      </c>
      <c r="G38" s="2" t="s">
        <v>16747</v>
      </c>
      <c r="H38" s="5"/>
      <c r="I38" s="3">
        <v>0</v>
      </c>
      <c r="J38" s="6" t="s">
        <v>114</v>
      </c>
      <c r="K38" s="2"/>
      <c r="L38" s="2" t="s">
        <v>256</v>
      </c>
      <c r="M38" s="2" t="s">
        <v>242</v>
      </c>
      <c r="N38" s="2"/>
      <c r="O38" s="2">
        <v>5000</v>
      </c>
      <c r="P38" s="34">
        <v>117400</v>
      </c>
      <c r="Q38" s="2"/>
      <c r="R38" s="2" t="s">
        <v>195</v>
      </c>
      <c r="S38" s="2"/>
      <c r="T38" s="2"/>
      <c r="U38" s="2"/>
    </row>
    <row r="39" spans="1:25" ht="15" customHeight="1">
      <c r="A39" s="2" t="s">
        <v>28</v>
      </c>
      <c r="B39" s="2" t="s">
        <v>116</v>
      </c>
      <c r="C39" s="2" t="s">
        <v>169</v>
      </c>
      <c r="D39" s="4">
        <v>45150</v>
      </c>
      <c r="E39" s="4">
        <v>45142</v>
      </c>
      <c r="F39" s="3" t="s">
        <v>170</v>
      </c>
      <c r="G39" s="2" t="s">
        <v>73</v>
      </c>
      <c r="H39" s="5"/>
      <c r="I39" s="3"/>
      <c r="J39" s="2" t="s">
        <v>99</v>
      </c>
      <c r="K39" s="2"/>
      <c r="L39" s="2" t="s">
        <v>253</v>
      </c>
      <c r="M39" s="2"/>
      <c r="N39" s="2"/>
      <c r="O39" s="2">
        <v>7000</v>
      </c>
      <c r="P39" s="26"/>
      <c r="Q39" s="2"/>
      <c r="R39" s="2">
        <v>246</v>
      </c>
      <c r="S39" s="2"/>
      <c r="T39" s="2" t="s">
        <v>343</v>
      </c>
      <c r="U39" s="2"/>
      <c r="Y39" t="s">
        <v>349</v>
      </c>
    </row>
    <row r="40" spans="1:25">
      <c r="A40" s="2" t="s">
        <v>28</v>
      </c>
      <c r="B40" s="2" t="s">
        <v>171</v>
      </c>
      <c r="C40" s="2" t="s">
        <v>116</v>
      </c>
      <c r="D40" s="4">
        <v>45150</v>
      </c>
      <c r="E40" s="4">
        <v>45142</v>
      </c>
      <c r="F40" s="3" t="s">
        <v>172</v>
      </c>
      <c r="G40" s="2" t="s">
        <v>73</v>
      </c>
      <c r="H40" s="5"/>
      <c r="I40" s="3"/>
      <c r="J40" s="2" t="s">
        <v>99</v>
      </c>
      <c r="K40" s="2"/>
      <c r="L40" s="2" t="s">
        <v>253</v>
      </c>
      <c r="M40" s="2"/>
      <c r="N40" s="2"/>
      <c r="O40" s="2">
        <v>6700</v>
      </c>
      <c r="P40" s="34"/>
      <c r="Q40" s="2"/>
      <c r="R40" s="2">
        <v>246</v>
      </c>
      <c r="S40" s="2"/>
      <c r="T40" s="2" t="s">
        <v>343</v>
      </c>
      <c r="U40" s="2"/>
      <c r="Y40" t="s">
        <v>349</v>
      </c>
    </row>
    <row r="41" spans="1:25">
      <c r="A41" s="2" t="s">
        <v>29</v>
      </c>
      <c r="B41" s="2" t="s">
        <v>173</v>
      </c>
      <c r="C41" s="2" t="s">
        <v>77</v>
      </c>
      <c r="D41" s="4">
        <v>45149</v>
      </c>
      <c r="E41" s="4">
        <v>45146</v>
      </c>
      <c r="F41" s="3" t="s">
        <v>174</v>
      </c>
      <c r="G41" s="2" t="s">
        <v>73</v>
      </c>
      <c r="H41" s="5"/>
      <c r="I41" s="3">
        <v>0</v>
      </c>
      <c r="J41" s="2" t="s">
        <v>99</v>
      </c>
      <c r="K41" s="2"/>
      <c r="L41" s="2" t="s">
        <v>253</v>
      </c>
      <c r="M41" s="2"/>
      <c r="N41" s="2"/>
      <c r="O41" s="2">
        <v>7900</v>
      </c>
      <c r="P41" s="26"/>
      <c r="Q41" s="2"/>
      <c r="R41" s="2">
        <v>246</v>
      </c>
      <c r="S41" s="2"/>
      <c r="T41" s="2" t="s">
        <v>343</v>
      </c>
      <c r="U41" s="2"/>
      <c r="Y41" t="s">
        <v>349</v>
      </c>
    </row>
    <row r="42" spans="1:25">
      <c r="A42" s="2" t="s">
        <v>30</v>
      </c>
      <c r="B42" s="2" t="s">
        <v>91</v>
      </c>
      <c r="C42" s="2" t="s">
        <v>77</v>
      </c>
      <c r="D42" s="4">
        <v>45157</v>
      </c>
      <c r="E42" s="4">
        <v>45146</v>
      </c>
      <c r="F42" s="3" t="s">
        <v>175</v>
      </c>
      <c r="G42" s="2" t="s">
        <v>73</v>
      </c>
      <c r="H42" s="5"/>
      <c r="I42" s="3" t="s">
        <v>176</v>
      </c>
      <c r="J42" s="13" t="s">
        <v>177</v>
      </c>
      <c r="K42" s="2"/>
      <c r="L42" s="2" t="s">
        <v>253</v>
      </c>
      <c r="M42" s="2" t="s">
        <v>178</v>
      </c>
      <c r="N42" s="2">
        <v>9875133467</v>
      </c>
      <c r="O42" s="2">
        <v>4800</v>
      </c>
      <c r="P42" s="26"/>
      <c r="Q42" s="2"/>
      <c r="R42" s="2">
        <v>246</v>
      </c>
      <c r="S42" s="2"/>
      <c r="T42" s="2" t="s">
        <v>343</v>
      </c>
      <c r="U42" s="2" t="s">
        <v>275</v>
      </c>
      <c r="Y42" t="s">
        <v>349</v>
      </c>
    </row>
    <row r="43" spans="1:25">
      <c r="A43" s="2" t="s">
        <v>25</v>
      </c>
      <c r="B43" s="2" t="s">
        <v>77</v>
      </c>
      <c r="C43" s="2" t="s">
        <v>179</v>
      </c>
      <c r="D43" s="4">
        <v>45147</v>
      </c>
      <c r="E43" s="4">
        <v>45146</v>
      </c>
      <c r="F43" s="3" t="s">
        <v>180</v>
      </c>
      <c r="G43" s="2" t="s">
        <v>73</v>
      </c>
      <c r="H43" s="5"/>
      <c r="I43" s="3" t="s">
        <v>116</v>
      </c>
      <c r="J43" s="2" t="s">
        <v>99</v>
      </c>
      <c r="K43" s="2"/>
      <c r="L43" s="2" t="s">
        <v>253</v>
      </c>
      <c r="M43" s="6" t="s">
        <v>270</v>
      </c>
      <c r="N43" s="46">
        <v>8890486862</v>
      </c>
      <c r="O43" s="2">
        <v>7400</v>
      </c>
      <c r="P43" s="26"/>
      <c r="Q43" s="2"/>
      <c r="R43" s="2">
        <v>246</v>
      </c>
      <c r="S43" s="2"/>
      <c r="T43" s="2" t="s">
        <v>343</v>
      </c>
      <c r="U43" s="2"/>
      <c r="Y43" t="s">
        <v>349</v>
      </c>
    </row>
    <row r="44" spans="1:25">
      <c r="A44" s="2" t="s">
        <v>31</v>
      </c>
      <c r="B44" s="2" t="s">
        <v>77</v>
      </c>
      <c r="C44" s="2" t="s">
        <v>181</v>
      </c>
      <c r="D44" s="4">
        <v>45147</v>
      </c>
      <c r="E44" s="4">
        <v>45146</v>
      </c>
      <c r="F44" s="3" t="s">
        <v>182</v>
      </c>
      <c r="G44" s="2" t="s">
        <v>81</v>
      </c>
      <c r="H44" s="5"/>
      <c r="I44" s="3">
        <v>0</v>
      </c>
      <c r="J44" s="2" t="s">
        <v>99</v>
      </c>
      <c r="K44" s="2"/>
      <c r="L44" s="2" t="s">
        <v>253</v>
      </c>
      <c r="M44" s="6" t="s">
        <v>270</v>
      </c>
      <c r="N44" s="46">
        <v>8890486862</v>
      </c>
      <c r="O44" s="2">
        <v>7100</v>
      </c>
      <c r="P44" s="2"/>
      <c r="Q44" s="2"/>
      <c r="R44" s="2">
        <v>246</v>
      </c>
      <c r="S44" s="2"/>
      <c r="T44" s="2" t="s">
        <v>343</v>
      </c>
      <c r="U44" s="2"/>
      <c r="Y44" t="s">
        <v>349</v>
      </c>
    </row>
    <row r="45" spans="1:25">
      <c r="A45" s="2" t="s">
        <v>32</v>
      </c>
      <c r="B45" s="2" t="s">
        <v>84</v>
      </c>
      <c r="C45" s="2" t="s">
        <v>116</v>
      </c>
      <c r="D45" s="4">
        <v>45151</v>
      </c>
      <c r="E45" s="4">
        <v>45146</v>
      </c>
      <c r="F45" s="3" t="s">
        <v>183</v>
      </c>
      <c r="G45" s="2" t="s">
        <v>98</v>
      </c>
      <c r="H45" s="5"/>
      <c r="I45" s="3"/>
      <c r="J45" s="2" t="s">
        <v>99</v>
      </c>
      <c r="K45" s="2"/>
      <c r="L45" s="2" t="s">
        <v>115</v>
      </c>
      <c r="M45" s="46" t="s">
        <v>147</v>
      </c>
      <c r="N45" s="46">
        <v>7023482599</v>
      </c>
      <c r="O45" s="2">
        <f>4400*4</f>
        <v>17600</v>
      </c>
      <c r="P45" s="2"/>
      <c r="Q45" s="2"/>
      <c r="R45" s="2"/>
      <c r="S45" s="2"/>
      <c r="T45" s="2"/>
      <c r="U45" s="2"/>
    </row>
    <row r="46" spans="1:25">
      <c r="A46" s="2" t="s">
        <v>1</v>
      </c>
      <c r="B46" s="2" t="s">
        <v>103</v>
      </c>
      <c r="C46" s="2" t="s">
        <v>184</v>
      </c>
      <c r="D46" s="4">
        <v>45155</v>
      </c>
      <c r="E46" s="4">
        <v>45147</v>
      </c>
      <c r="F46" s="3" t="s">
        <v>185</v>
      </c>
      <c r="G46" s="2" t="s">
        <v>73</v>
      </c>
      <c r="H46" s="5"/>
      <c r="I46" s="3"/>
      <c r="J46" s="2"/>
      <c r="K46" s="2"/>
      <c r="L46" s="2" t="s">
        <v>253</v>
      </c>
      <c r="M46" s="46" t="s">
        <v>147</v>
      </c>
      <c r="N46" s="46">
        <v>7023482599</v>
      </c>
      <c r="O46" s="2">
        <v>6100</v>
      </c>
      <c r="P46" s="2"/>
      <c r="Q46" s="2"/>
      <c r="R46" s="2">
        <v>246</v>
      </c>
      <c r="S46" s="2"/>
      <c r="T46" s="2" t="s">
        <v>343</v>
      </c>
      <c r="U46" s="2"/>
      <c r="Y46" t="s">
        <v>349</v>
      </c>
    </row>
    <row r="47" spans="1:25" ht="15" customHeight="1">
      <c r="A47" s="2" t="s">
        <v>33</v>
      </c>
      <c r="B47" s="2" t="s">
        <v>186</v>
      </c>
      <c r="C47" s="2" t="s">
        <v>187</v>
      </c>
      <c r="D47" s="4">
        <v>45149</v>
      </c>
      <c r="E47" s="4">
        <v>45147</v>
      </c>
      <c r="F47" s="3">
        <v>609237225</v>
      </c>
      <c r="G47" s="2" t="s">
        <v>188</v>
      </c>
      <c r="H47" s="5"/>
      <c r="I47" s="3">
        <v>0</v>
      </c>
      <c r="J47" s="6" t="s">
        <v>74</v>
      </c>
      <c r="K47" s="2">
        <v>9660660777</v>
      </c>
      <c r="L47" s="2" t="s">
        <v>189</v>
      </c>
      <c r="M47" s="46" t="s">
        <v>243</v>
      </c>
      <c r="N47" s="46"/>
      <c r="O47" s="2"/>
      <c r="P47" s="2">
        <v>476000</v>
      </c>
      <c r="Q47" s="2"/>
      <c r="R47" s="2"/>
      <c r="S47" s="2"/>
      <c r="T47" s="2"/>
      <c r="U47" s="2"/>
    </row>
    <row r="48" spans="1:25">
      <c r="A48" s="2" t="s">
        <v>33</v>
      </c>
      <c r="B48" s="2" t="s">
        <v>187</v>
      </c>
      <c r="C48" s="2" t="s">
        <v>95</v>
      </c>
      <c r="D48" s="4">
        <v>45155</v>
      </c>
      <c r="E48" s="4">
        <v>45147</v>
      </c>
      <c r="F48" s="3">
        <v>609237225</v>
      </c>
      <c r="G48" s="2" t="s">
        <v>188</v>
      </c>
      <c r="H48" s="5"/>
      <c r="I48" s="3">
        <v>0</v>
      </c>
      <c r="J48" s="6" t="s">
        <v>74</v>
      </c>
      <c r="K48" s="2">
        <v>9660660777</v>
      </c>
      <c r="L48" s="2" t="s">
        <v>189</v>
      </c>
      <c r="M48" s="46" t="s">
        <v>243</v>
      </c>
      <c r="N48" s="47"/>
      <c r="O48" s="2">
        <v>40000</v>
      </c>
      <c r="P48" s="2"/>
      <c r="Q48" s="2"/>
      <c r="R48" s="2"/>
      <c r="S48" s="2"/>
      <c r="T48" s="2"/>
      <c r="U48" s="2"/>
    </row>
    <row r="49" spans="1:25">
      <c r="A49" s="2" t="s">
        <v>34</v>
      </c>
      <c r="B49" s="2" t="s">
        <v>186</v>
      </c>
      <c r="C49" s="2" t="s">
        <v>187</v>
      </c>
      <c r="D49" s="4">
        <v>45149</v>
      </c>
      <c r="E49" s="4">
        <v>45147</v>
      </c>
      <c r="F49" s="3">
        <v>609237225</v>
      </c>
      <c r="G49" s="2" t="s">
        <v>188</v>
      </c>
      <c r="H49" s="5"/>
      <c r="I49" s="3">
        <v>0</v>
      </c>
      <c r="J49" s="6" t="s">
        <v>74</v>
      </c>
      <c r="K49" s="2">
        <v>9660660777</v>
      </c>
      <c r="L49" s="2" t="s">
        <v>189</v>
      </c>
      <c r="M49" s="46" t="s">
        <v>243</v>
      </c>
      <c r="N49" s="2"/>
      <c r="O49" s="2"/>
      <c r="P49" s="2"/>
      <c r="Q49" s="2"/>
      <c r="R49" s="2"/>
      <c r="S49" s="2"/>
      <c r="T49" s="2"/>
      <c r="U49" s="2"/>
    </row>
    <row r="50" spans="1:25">
      <c r="A50" s="2" t="s">
        <v>34</v>
      </c>
      <c r="B50" s="2" t="s">
        <v>187</v>
      </c>
      <c r="C50" s="2" t="s">
        <v>95</v>
      </c>
      <c r="D50" s="4">
        <v>45155</v>
      </c>
      <c r="E50" s="4">
        <v>45147</v>
      </c>
      <c r="F50" s="3">
        <v>609237225</v>
      </c>
      <c r="G50" s="2" t="s">
        <v>188</v>
      </c>
      <c r="H50" s="5"/>
      <c r="I50" s="3">
        <v>0</v>
      </c>
      <c r="J50" s="6" t="s">
        <v>74</v>
      </c>
      <c r="K50" s="2">
        <v>9660660777</v>
      </c>
      <c r="L50" s="2" t="s">
        <v>189</v>
      </c>
      <c r="M50" s="46" t="s">
        <v>243</v>
      </c>
      <c r="N50" s="2"/>
      <c r="O50" s="2">
        <v>40000</v>
      </c>
      <c r="P50" s="2"/>
      <c r="Q50" s="2"/>
      <c r="R50" s="2"/>
      <c r="S50" s="2"/>
      <c r="T50" s="2"/>
      <c r="U50" s="2"/>
    </row>
    <row r="51" spans="1:25">
      <c r="A51" s="2" t="s">
        <v>35</v>
      </c>
      <c r="B51" s="2" t="s">
        <v>186</v>
      </c>
      <c r="C51" s="2" t="s">
        <v>187</v>
      </c>
      <c r="D51" s="4">
        <v>45149</v>
      </c>
      <c r="E51" s="4">
        <v>45147</v>
      </c>
      <c r="F51" s="3">
        <v>609237380</v>
      </c>
      <c r="G51" s="2" t="s">
        <v>188</v>
      </c>
      <c r="H51" s="5"/>
      <c r="I51" s="3">
        <v>0</v>
      </c>
      <c r="J51" s="6" t="s">
        <v>74</v>
      </c>
      <c r="K51" s="2">
        <v>9660660777</v>
      </c>
      <c r="L51" s="2" t="s">
        <v>189</v>
      </c>
      <c r="M51" s="46" t="s">
        <v>243</v>
      </c>
      <c r="N51" s="2"/>
      <c r="O51" s="2"/>
      <c r="P51" s="2"/>
      <c r="Q51" s="2"/>
      <c r="R51" s="2"/>
      <c r="S51" s="2"/>
      <c r="T51" s="2"/>
      <c r="U51" s="2"/>
    </row>
    <row r="52" spans="1:25">
      <c r="A52" s="2" t="s">
        <v>35</v>
      </c>
      <c r="B52" s="2" t="s">
        <v>187</v>
      </c>
      <c r="C52" s="2" t="s">
        <v>95</v>
      </c>
      <c r="D52" s="4">
        <v>45155</v>
      </c>
      <c r="E52" s="4">
        <v>45147</v>
      </c>
      <c r="F52" s="3">
        <v>609237380</v>
      </c>
      <c r="G52" s="2" t="s">
        <v>188</v>
      </c>
      <c r="H52" s="5"/>
      <c r="I52" s="3">
        <v>0</v>
      </c>
      <c r="J52" s="6" t="s">
        <v>74</v>
      </c>
      <c r="K52" s="2">
        <v>9660660777</v>
      </c>
      <c r="L52" s="2" t="s">
        <v>189</v>
      </c>
      <c r="M52" s="46" t="s">
        <v>243</v>
      </c>
      <c r="N52" s="2"/>
      <c r="O52" s="2">
        <v>37000</v>
      </c>
      <c r="P52" s="2"/>
      <c r="Q52" s="2"/>
      <c r="R52" s="2"/>
      <c r="S52" s="2"/>
      <c r="T52" s="2"/>
      <c r="U52" s="2"/>
    </row>
    <row r="53" spans="1:25">
      <c r="A53" s="2" t="s">
        <v>36</v>
      </c>
      <c r="B53" s="2" t="s">
        <v>184</v>
      </c>
      <c r="C53" s="2" t="s">
        <v>77</v>
      </c>
      <c r="D53" s="4">
        <v>45149</v>
      </c>
      <c r="E53" s="4">
        <v>45148</v>
      </c>
      <c r="F53" s="2" t="s">
        <v>190</v>
      </c>
      <c r="G53" s="2" t="s">
        <v>73</v>
      </c>
      <c r="H53" s="5"/>
      <c r="I53" s="3">
        <v>0</v>
      </c>
      <c r="J53" s="2" t="s">
        <v>99</v>
      </c>
      <c r="K53" s="2"/>
      <c r="L53" s="2" t="s">
        <v>253</v>
      </c>
      <c r="M53" s="2" t="s">
        <v>191</v>
      </c>
      <c r="N53" s="46">
        <v>8104938928</v>
      </c>
      <c r="O53" s="2">
        <v>6900</v>
      </c>
      <c r="P53" s="2"/>
      <c r="Q53" s="2"/>
      <c r="R53" s="2">
        <v>246</v>
      </c>
      <c r="S53" s="2"/>
      <c r="T53" s="2" t="s">
        <v>343</v>
      </c>
      <c r="U53" s="2" t="s">
        <v>272</v>
      </c>
      <c r="Y53" t="s">
        <v>349</v>
      </c>
    </row>
    <row r="54" spans="1:25">
      <c r="A54" s="2" t="s">
        <v>37</v>
      </c>
      <c r="B54" s="2" t="s">
        <v>116</v>
      </c>
      <c r="C54" s="2" t="s">
        <v>110</v>
      </c>
      <c r="D54" s="4">
        <v>45286</v>
      </c>
      <c r="E54" s="4">
        <v>45148</v>
      </c>
      <c r="F54" s="2" t="s">
        <v>192</v>
      </c>
      <c r="G54" s="2" t="s">
        <v>113</v>
      </c>
      <c r="H54" s="5"/>
      <c r="I54" s="3"/>
      <c r="J54" s="6" t="s">
        <v>114</v>
      </c>
      <c r="K54" s="2"/>
      <c r="L54" s="2" t="s">
        <v>247</v>
      </c>
      <c r="M54" s="2" t="s">
        <v>191</v>
      </c>
      <c r="N54" s="46">
        <v>8104938928</v>
      </c>
      <c r="O54" s="2"/>
      <c r="P54" s="2"/>
      <c r="Q54" s="2"/>
      <c r="R54" s="2"/>
      <c r="S54" s="2"/>
      <c r="T54" s="2"/>
      <c r="U54" s="2" t="s">
        <v>271</v>
      </c>
    </row>
    <row r="55" spans="1:25">
      <c r="A55" s="2" t="s">
        <v>37</v>
      </c>
      <c r="B55" s="2" t="s">
        <v>110</v>
      </c>
      <c r="C55" s="2" t="s">
        <v>116</v>
      </c>
      <c r="D55" s="4">
        <v>45295</v>
      </c>
      <c r="E55" s="4">
        <v>45148</v>
      </c>
      <c r="F55" s="2" t="s">
        <v>192</v>
      </c>
      <c r="G55" s="2" t="s">
        <v>113</v>
      </c>
      <c r="H55" s="5"/>
      <c r="I55" s="3"/>
      <c r="J55" s="6" t="s">
        <v>114</v>
      </c>
      <c r="K55" s="2"/>
      <c r="L55" s="2" t="s">
        <v>247</v>
      </c>
      <c r="M55" s="2" t="s">
        <v>191</v>
      </c>
      <c r="N55" s="46">
        <v>8104938928</v>
      </c>
      <c r="O55" s="2">
        <f>44000*2</f>
        <v>88000</v>
      </c>
      <c r="P55" s="2"/>
      <c r="Q55" s="2"/>
      <c r="R55" s="2"/>
      <c r="S55" s="2"/>
      <c r="T55" s="2"/>
      <c r="U55" s="2" t="s">
        <v>271</v>
      </c>
    </row>
    <row r="56" spans="1:25">
      <c r="A56" s="2" t="s">
        <v>38</v>
      </c>
      <c r="B56" s="2" t="s">
        <v>120</v>
      </c>
      <c r="C56" s="2" t="s">
        <v>110</v>
      </c>
      <c r="D56" s="4">
        <v>45178</v>
      </c>
      <c r="E56" s="4">
        <v>45150</v>
      </c>
      <c r="F56" s="3" t="s">
        <v>193</v>
      </c>
      <c r="G56" s="2" t="s">
        <v>194</v>
      </c>
      <c r="H56" s="5"/>
      <c r="I56" s="3">
        <v>0</v>
      </c>
      <c r="J56" s="6" t="s">
        <v>74</v>
      </c>
      <c r="K56" s="2">
        <v>9660660777</v>
      </c>
      <c r="L56" s="13" t="s">
        <v>124</v>
      </c>
      <c r="M56" s="6" t="s">
        <v>244</v>
      </c>
      <c r="N56" s="2"/>
      <c r="O56" s="2">
        <v>65000</v>
      </c>
      <c r="P56" s="2">
        <v>65000</v>
      </c>
      <c r="Q56" s="2"/>
      <c r="R56" s="2"/>
      <c r="S56" s="2"/>
      <c r="T56" s="2"/>
      <c r="U56" s="2"/>
    </row>
    <row r="57" spans="1:25">
      <c r="A57" s="2" t="s">
        <v>39</v>
      </c>
      <c r="B57" s="2" t="s">
        <v>196</v>
      </c>
      <c r="C57" s="2" t="s">
        <v>77</v>
      </c>
      <c r="D57" s="4">
        <v>45518</v>
      </c>
      <c r="E57" s="4">
        <v>45149</v>
      </c>
      <c r="F57" s="3" t="s">
        <v>197</v>
      </c>
      <c r="G57" s="2" t="s">
        <v>73</v>
      </c>
      <c r="H57" s="5"/>
      <c r="I57" s="3" t="s">
        <v>148</v>
      </c>
      <c r="J57" s="2" t="s">
        <v>99</v>
      </c>
      <c r="K57" s="2"/>
      <c r="L57" s="2" t="s">
        <v>253</v>
      </c>
      <c r="M57" s="2" t="s">
        <v>191</v>
      </c>
      <c r="N57" s="46">
        <v>8104938928</v>
      </c>
      <c r="O57" s="2">
        <v>12900</v>
      </c>
      <c r="P57" s="2"/>
      <c r="Q57" s="2"/>
      <c r="R57" s="2">
        <v>246</v>
      </c>
      <c r="S57" s="2"/>
      <c r="T57" s="2" t="s">
        <v>343</v>
      </c>
      <c r="U57" s="2" t="s">
        <v>275</v>
      </c>
      <c r="Y57" t="s">
        <v>349</v>
      </c>
    </row>
    <row r="58" spans="1:25">
      <c r="A58" s="2" t="s">
        <v>40</v>
      </c>
      <c r="B58" s="2" t="s">
        <v>77</v>
      </c>
      <c r="C58" s="2" t="s">
        <v>68</v>
      </c>
      <c r="D58" s="4">
        <v>45156</v>
      </c>
      <c r="E58" s="4">
        <v>45149</v>
      </c>
      <c r="F58" s="3" t="s">
        <v>198</v>
      </c>
      <c r="G58" s="2" t="s">
        <v>81</v>
      </c>
      <c r="H58" s="5"/>
      <c r="I58" s="3"/>
      <c r="J58" s="2" t="s">
        <v>99</v>
      </c>
      <c r="K58" s="2"/>
      <c r="L58" s="2" t="s">
        <v>253</v>
      </c>
      <c r="M58" s="2" t="s">
        <v>191</v>
      </c>
      <c r="N58" s="46">
        <v>8104938928</v>
      </c>
      <c r="O58" s="2">
        <v>5200</v>
      </c>
      <c r="P58" s="2"/>
      <c r="Q58" s="2"/>
      <c r="R58" s="2">
        <v>246</v>
      </c>
      <c r="S58" s="2"/>
      <c r="T58" s="2" t="s">
        <v>343</v>
      </c>
      <c r="U58" s="2" t="s">
        <v>136</v>
      </c>
      <c r="Y58" t="s">
        <v>349</v>
      </c>
    </row>
    <row r="59" spans="1:25">
      <c r="A59" s="2" t="s">
        <v>31</v>
      </c>
      <c r="B59" s="2" t="s">
        <v>181</v>
      </c>
      <c r="C59" s="2" t="s">
        <v>77</v>
      </c>
      <c r="D59" s="4">
        <v>45151</v>
      </c>
      <c r="E59" s="4">
        <v>45149</v>
      </c>
      <c r="F59" s="3" t="s">
        <v>199</v>
      </c>
      <c r="G59" s="2" t="s">
        <v>81</v>
      </c>
      <c r="H59" s="5"/>
      <c r="I59" s="3"/>
      <c r="J59" s="2" t="s">
        <v>99</v>
      </c>
      <c r="K59" s="2"/>
      <c r="L59" s="2" t="s">
        <v>253</v>
      </c>
      <c r="M59" s="2" t="s">
        <v>191</v>
      </c>
      <c r="N59" s="46">
        <v>8104938928</v>
      </c>
      <c r="O59" s="2">
        <v>7900</v>
      </c>
      <c r="P59" s="2"/>
      <c r="Q59" s="2"/>
      <c r="R59" s="2">
        <v>246</v>
      </c>
      <c r="S59" s="2"/>
      <c r="T59" s="2" t="s">
        <v>343</v>
      </c>
      <c r="U59" s="2" t="s">
        <v>271</v>
      </c>
      <c r="Y59" t="s">
        <v>349</v>
      </c>
    </row>
    <row r="60" spans="1:25">
      <c r="A60" s="2" t="s">
        <v>41</v>
      </c>
      <c r="B60" s="2" t="s">
        <v>77</v>
      </c>
      <c r="C60" s="2" t="s">
        <v>116</v>
      </c>
      <c r="D60" s="4">
        <v>45154</v>
      </c>
      <c r="E60" s="4">
        <v>45151</v>
      </c>
      <c r="F60" s="3" t="s">
        <v>200</v>
      </c>
      <c r="G60" s="2" t="s">
        <v>73</v>
      </c>
      <c r="H60" s="5"/>
      <c r="I60" s="3"/>
      <c r="J60" s="2" t="s">
        <v>99</v>
      </c>
      <c r="K60" s="2"/>
      <c r="L60" s="2" t="s">
        <v>253</v>
      </c>
      <c r="M60" s="2" t="s">
        <v>191</v>
      </c>
      <c r="N60" s="46">
        <v>8104938928</v>
      </c>
      <c r="O60" s="2">
        <v>4600</v>
      </c>
      <c r="P60" s="2"/>
      <c r="Q60" s="2"/>
      <c r="R60" s="2">
        <v>246</v>
      </c>
      <c r="S60" s="2"/>
      <c r="T60" s="2" t="s">
        <v>343</v>
      </c>
      <c r="U60" s="2" t="s">
        <v>271</v>
      </c>
      <c r="Y60" t="s">
        <v>349</v>
      </c>
    </row>
    <row r="61" spans="1:25">
      <c r="A61" s="2" t="s">
        <v>41</v>
      </c>
      <c r="B61" s="2" t="s">
        <v>116</v>
      </c>
      <c r="C61" s="2" t="s">
        <v>107</v>
      </c>
      <c r="D61" s="4">
        <v>45154</v>
      </c>
      <c r="E61" s="4">
        <v>45151</v>
      </c>
      <c r="F61" s="3" t="s">
        <v>201</v>
      </c>
      <c r="G61" s="2" t="s">
        <v>73</v>
      </c>
      <c r="H61" s="5"/>
      <c r="I61" s="3"/>
      <c r="J61" s="2" t="s">
        <v>99</v>
      </c>
      <c r="K61" s="2"/>
      <c r="L61" s="2" t="s">
        <v>253</v>
      </c>
      <c r="M61" s="2" t="s">
        <v>191</v>
      </c>
      <c r="N61" s="46">
        <v>8104938928</v>
      </c>
      <c r="O61" s="2">
        <v>5500</v>
      </c>
      <c r="P61" s="2"/>
      <c r="Q61" s="2"/>
      <c r="R61" s="2">
        <v>246</v>
      </c>
      <c r="S61" s="2"/>
      <c r="T61" s="2" t="s">
        <v>343</v>
      </c>
      <c r="U61" s="2" t="s">
        <v>276</v>
      </c>
      <c r="Y61" t="s">
        <v>349</v>
      </c>
    </row>
    <row r="62" spans="1:25">
      <c r="A62" s="2" t="s">
        <v>42</v>
      </c>
      <c r="B62" s="2" t="s">
        <v>77</v>
      </c>
      <c r="C62" s="2" t="s">
        <v>179</v>
      </c>
      <c r="D62" s="4">
        <v>45152</v>
      </c>
      <c r="E62" s="4">
        <v>45151</v>
      </c>
      <c r="F62" s="3" t="s">
        <v>202</v>
      </c>
      <c r="G62" s="2" t="s">
        <v>73</v>
      </c>
      <c r="H62" s="5"/>
      <c r="I62" s="3" t="s">
        <v>116</v>
      </c>
      <c r="J62" s="2" t="s">
        <v>99</v>
      </c>
      <c r="K62" s="2"/>
      <c r="L62" s="2" t="s">
        <v>253</v>
      </c>
      <c r="M62" s="2" t="s">
        <v>191</v>
      </c>
      <c r="N62" s="46">
        <v>8104938928</v>
      </c>
      <c r="O62" s="2">
        <v>6700</v>
      </c>
      <c r="P62" s="2"/>
      <c r="Q62" s="2"/>
      <c r="R62" s="2">
        <v>246</v>
      </c>
      <c r="S62" s="2"/>
      <c r="T62" s="2" t="s">
        <v>343</v>
      </c>
      <c r="U62" s="2" t="s">
        <v>275</v>
      </c>
      <c r="Y62" t="s">
        <v>349</v>
      </c>
    </row>
    <row r="63" spans="1:25">
      <c r="A63" s="2" t="s">
        <v>1</v>
      </c>
      <c r="B63" s="2" t="s">
        <v>184</v>
      </c>
      <c r="C63" s="2" t="s">
        <v>116</v>
      </c>
      <c r="D63" s="4">
        <v>45156</v>
      </c>
      <c r="E63" s="4">
        <v>45152</v>
      </c>
      <c r="F63" s="3" t="s">
        <v>203</v>
      </c>
      <c r="G63" s="2" t="s">
        <v>73</v>
      </c>
      <c r="H63" s="5"/>
      <c r="I63" s="3"/>
      <c r="J63" s="6" t="s">
        <v>74</v>
      </c>
      <c r="K63" s="2">
        <v>9660660777</v>
      </c>
      <c r="L63" s="2" t="s">
        <v>253</v>
      </c>
      <c r="M63" s="6" t="s">
        <v>93</v>
      </c>
      <c r="N63" s="2"/>
      <c r="O63" s="2">
        <v>3000</v>
      </c>
      <c r="P63" s="2"/>
      <c r="Q63" s="2"/>
      <c r="R63" s="2">
        <v>246</v>
      </c>
      <c r="S63" s="2"/>
      <c r="T63" s="2" t="s">
        <v>343</v>
      </c>
      <c r="U63" s="2"/>
      <c r="Y63" t="s">
        <v>349</v>
      </c>
    </row>
    <row r="64" spans="1:25">
      <c r="A64" s="48" t="s">
        <v>43</v>
      </c>
      <c r="B64" s="49" t="s">
        <v>101</v>
      </c>
      <c r="C64" s="49" t="s">
        <v>96</v>
      </c>
      <c r="D64" s="3" t="s">
        <v>204</v>
      </c>
      <c r="E64" s="50" t="s">
        <v>71</v>
      </c>
      <c r="F64" s="50">
        <v>5802429</v>
      </c>
      <c r="G64" s="48" t="s">
        <v>205</v>
      </c>
      <c r="H64" s="49">
        <v>4</v>
      </c>
      <c r="I64" s="48" t="s">
        <v>206</v>
      </c>
      <c r="J64" s="51" t="s">
        <v>207</v>
      </c>
      <c r="K64" s="48"/>
      <c r="L64" s="48" t="s">
        <v>208</v>
      </c>
      <c r="M64" s="52" t="s">
        <v>209</v>
      </c>
      <c r="N64" s="2"/>
      <c r="O64" s="48">
        <v>42000</v>
      </c>
      <c r="P64" s="2"/>
      <c r="Q64" s="2"/>
      <c r="R64" s="2"/>
      <c r="S64" s="2"/>
      <c r="U64" s="2"/>
    </row>
    <row r="65" spans="1:16383" s="23" customFormat="1">
      <c r="A65" s="17" t="s">
        <v>44</v>
      </c>
      <c r="B65" s="22" t="s">
        <v>88</v>
      </c>
      <c r="C65" s="22" t="s">
        <v>70</v>
      </c>
      <c r="D65" s="16" t="s">
        <v>204</v>
      </c>
      <c r="E65" s="16" t="s">
        <v>71</v>
      </c>
      <c r="F65" s="16">
        <v>376884247</v>
      </c>
      <c r="G65" s="17" t="s">
        <v>210</v>
      </c>
      <c r="H65" s="22">
        <v>2</v>
      </c>
      <c r="I65" s="17" t="s">
        <v>211</v>
      </c>
      <c r="J65" s="94" t="s">
        <v>207</v>
      </c>
      <c r="K65" s="17"/>
      <c r="L65" s="17" t="s">
        <v>261</v>
      </c>
      <c r="M65" s="95" t="s">
        <v>242</v>
      </c>
      <c r="N65" s="17"/>
      <c r="O65" s="17">
        <v>189800</v>
      </c>
      <c r="P65" s="17">
        <v>187472</v>
      </c>
      <c r="Q65" s="17"/>
      <c r="R65" s="17"/>
      <c r="S65" s="21">
        <v>45166</v>
      </c>
      <c r="T65" s="17">
        <v>244</v>
      </c>
      <c r="U65" s="17"/>
    </row>
    <row r="66" spans="1:16383" ht="15" customHeight="1">
      <c r="A66" s="2" t="s">
        <v>45</v>
      </c>
      <c r="B66" s="5" t="s">
        <v>104</v>
      </c>
      <c r="C66" s="54">
        <v>44934</v>
      </c>
      <c r="D66" s="3" t="s">
        <v>204</v>
      </c>
      <c r="E66" s="3" t="s">
        <v>88</v>
      </c>
      <c r="F66" s="3">
        <v>1011474653</v>
      </c>
      <c r="G66" s="2" t="s">
        <v>213</v>
      </c>
      <c r="H66" s="5">
        <v>1</v>
      </c>
      <c r="I66" s="55" t="s">
        <v>214</v>
      </c>
      <c r="J66" s="53" t="s">
        <v>215</v>
      </c>
      <c r="K66" s="2">
        <v>9660660777</v>
      </c>
      <c r="L66" s="2" t="s">
        <v>45</v>
      </c>
      <c r="M66" s="42" t="s">
        <v>245</v>
      </c>
      <c r="N66" s="2"/>
      <c r="O66" s="2">
        <v>6200</v>
      </c>
      <c r="P66" s="2"/>
      <c r="Q66" s="2"/>
      <c r="R66" s="2"/>
      <c r="S66" s="2"/>
      <c r="T66" s="2"/>
      <c r="U66" s="2"/>
    </row>
    <row r="67" spans="1:16383">
      <c r="A67" s="2" t="s">
        <v>46</v>
      </c>
      <c r="B67" s="56">
        <v>45147</v>
      </c>
      <c r="C67" s="56">
        <v>45150</v>
      </c>
      <c r="D67" s="3" t="s">
        <v>204</v>
      </c>
      <c r="E67" s="4">
        <v>45133</v>
      </c>
      <c r="F67" s="3" t="s">
        <v>216</v>
      </c>
      <c r="G67" s="2" t="s">
        <v>217</v>
      </c>
      <c r="H67" s="5">
        <v>1</v>
      </c>
      <c r="I67" s="2" t="s">
        <v>218</v>
      </c>
      <c r="J67" s="53" t="s">
        <v>207</v>
      </c>
      <c r="K67" s="2"/>
      <c r="L67" s="15" t="s">
        <v>277</v>
      </c>
      <c r="M67" s="42" t="s">
        <v>219</v>
      </c>
      <c r="N67" s="2"/>
      <c r="O67" s="2">
        <v>38700</v>
      </c>
      <c r="P67" s="2"/>
      <c r="Q67" s="2"/>
      <c r="R67" s="2"/>
      <c r="S67" s="2"/>
      <c r="T67" s="2"/>
      <c r="U67" s="2"/>
    </row>
    <row r="68" spans="1:16383">
      <c r="A68" s="2" t="s">
        <v>47</v>
      </c>
      <c r="B68" s="56">
        <v>45141</v>
      </c>
      <c r="C68" s="56">
        <v>45144</v>
      </c>
      <c r="D68" s="3" t="s">
        <v>204</v>
      </c>
      <c r="E68" s="4">
        <v>45140</v>
      </c>
      <c r="F68" s="3" t="s">
        <v>220</v>
      </c>
      <c r="G68" s="2" t="s">
        <v>221</v>
      </c>
      <c r="H68" s="5">
        <v>1</v>
      </c>
      <c r="I68" s="2" t="s">
        <v>222</v>
      </c>
      <c r="J68" s="2" t="s">
        <v>99</v>
      </c>
      <c r="K68" s="2"/>
      <c r="L68" s="2" t="s">
        <v>261</v>
      </c>
      <c r="M68" s="2"/>
      <c r="N68" s="2"/>
      <c r="O68" s="2">
        <v>59000</v>
      </c>
      <c r="P68" s="2"/>
      <c r="Q68" s="2"/>
      <c r="R68" s="2"/>
      <c r="S68" s="2"/>
      <c r="T68" s="2">
        <v>243</v>
      </c>
      <c r="U68" s="2"/>
    </row>
    <row r="69" spans="1:16383">
      <c r="A69" s="26" t="s">
        <v>258</v>
      </c>
      <c r="B69" s="26" t="s">
        <v>259</v>
      </c>
      <c r="C69" s="26" t="s">
        <v>84</v>
      </c>
      <c r="D69" s="25">
        <v>45145</v>
      </c>
      <c r="E69" s="26"/>
      <c r="F69" s="26"/>
      <c r="G69" s="26"/>
      <c r="H69" s="26"/>
      <c r="I69" s="26"/>
      <c r="J69" s="26"/>
      <c r="K69" s="26"/>
      <c r="L69" s="2" t="s">
        <v>48</v>
      </c>
      <c r="M69" s="26"/>
      <c r="N69" s="26"/>
      <c r="O69" s="26">
        <v>20100</v>
      </c>
      <c r="P69" s="26"/>
      <c r="Q69" s="26"/>
      <c r="R69" s="26" t="s">
        <v>195</v>
      </c>
      <c r="S69" s="26"/>
      <c r="T69" s="26"/>
      <c r="U69" s="26"/>
      <c r="V69" s="3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6"/>
      <c r="EY69" s="26"/>
      <c r="EZ69" s="26"/>
      <c r="FA69" s="26"/>
      <c r="FB69" s="26"/>
      <c r="FC69" s="26"/>
      <c r="FD69" s="26"/>
      <c r="FE69" s="26"/>
      <c r="FF69" s="26"/>
      <c r="FG69" s="26"/>
      <c r="FH69" s="26"/>
      <c r="FI69" s="26"/>
      <c r="FJ69" s="26"/>
      <c r="FK69" s="26"/>
      <c r="FL69" s="26"/>
      <c r="FM69" s="26"/>
      <c r="FN69" s="26"/>
      <c r="FO69" s="26"/>
      <c r="FP69" s="26"/>
      <c r="FQ69" s="26"/>
      <c r="FR69" s="26"/>
      <c r="FS69" s="26"/>
      <c r="FT69" s="26"/>
      <c r="FU69" s="26"/>
      <c r="FV69" s="26"/>
      <c r="FW69" s="26"/>
      <c r="FX69" s="26"/>
      <c r="FY69" s="26"/>
      <c r="FZ69" s="26"/>
      <c r="GA69" s="26"/>
      <c r="GB69" s="26"/>
      <c r="GC69" s="26"/>
      <c r="GD69" s="26"/>
      <c r="GE69" s="26"/>
      <c r="GF69" s="26"/>
      <c r="GG69" s="26"/>
      <c r="GH69" s="26"/>
      <c r="GI69" s="26"/>
      <c r="GJ69" s="26"/>
      <c r="GK69" s="26"/>
      <c r="GL69" s="26"/>
      <c r="GM69" s="26"/>
      <c r="GN69" s="26"/>
      <c r="GO69" s="26"/>
      <c r="GP69" s="26"/>
      <c r="GQ69" s="26"/>
      <c r="GR69" s="26"/>
      <c r="GS69" s="26"/>
      <c r="GT69" s="26"/>
      <c r="GU69" s="26"/>
      <c r="GV69" s="26"/>
      <c r="GW69" s="26"/>
      <c r="GX69" s="26"/>
      <c r="GY69" s="26"/>
      <c r="GZ69" s="26"/>
      <c r="HA69" s="26"/>
      <c r="HB69" s="26"/>
      <c r="HC69" s="26"/>
      <c r="HD69" s="26"/>
      <c r="HE69" s="26"/>
      <c r="HF69" s="26"/>
      <c r="HG69" s="26"/>
      <c r="HH69" s="26"/>
      <c r="HI69" s="26"/>
      <c r="HJ69" s="26"/>
      <c r="HK69" s="26"/>
      <c r="HL69" s="26"/>
      <c r="HM69" s="26"/>
      <c r="HN69" s="26"/>
      <c r="HO69" s="26"/>
      <c r="HP69" s="26"/>
      <c r="HQ69" s="26"/>
      <c r="HR69" s="26"/>
      <c r="HS69" s="26"/>
      <c r="HT69" s="26"/>
      <c r="HU69" s="26"/>
      <c r="HV69" s="26"/>
      <c r="HW69" s="26"/>
      <c r="HX69" s="26"/>
      <c r="HY69" s="26"/>
      <c r="HZ69" s="26"/>
      <c r="IA69" s="26"/>
      <c r="IB69" s="26"/>
      <c r="IC69" s="26"/>
      <c r="ID69" s="26"/>
      <c r="IE69" s="26"/>
      <c r="IF69" s="26"/>
      <c r="IG69" s="26"/>
      <c r="IH69" s="26"/>
      <c r="II69" s="26"/>
      <c r="IJ69" s="26"/>
      <c r="IK69" s="26"/>
      <c r="IL69" s="26"/>
      <c r="IM69" s="26"/>
      <c r="IN69" s="26"/>
      <c r="IO69" s="26"/>
      <c r="IP69" s="26"/>
      <c r="IQ69" s="26"/>
      <c r="IR69" s="26"/>
      <c r="IS69" s="26"/>
      <c r="IT69" s="26"/>
      <c r="IU69" s="26"/>
      <c r="IV69" s="26"/>
      <c r="IW69" s="26"/>
      <c r="IX69" s="26"/>
      <c r="IY69" s="26"/>
      <c r="IZ69" s="26"/>
      <c r="JA69" s="26"/>
      <c r="JB69" s="26"/>
      <c r="JC69" s="26"/>
      <c r="JD69" s="26"/>
      <c r="JE69" s="26"/>
      <c r="JF69" s="26"/>
      <c r="JG69" s="26"/>
      <c r="JH69" s="26"/>
      <c r="JI69" s="26"/>
      <c r="JJ69" s="26"/>
      <c r="JK69" s="26"/>
      <c r="JL69" s="26"/>
      <c r="JM69" s="26"/>
      <c r="JN69" s="26"/>
      <c r="JO69" s="26"/>
      <c r="JP69" s="26"/>
      <c r="JQ69" s="26"/>
      <c r="JR69" s="26"/>
      <c r="JS69" s="26"/>
      <c r="JT69" s="26"/>
      <c r="JU69" s="26"/>
      <c r="JV69" s="26"/>
      <c r="JW69" s="26"/>
      <c r="JX69" s="26"/>
      <c r="JY69" s="26"/>
      <c r="JZ69" s="26"/>
      <c r="KA69" s="26"/>
      <c r="KB69" s="26"/>
      <c r="KC69" s="26"/>
      <c r="KD69" s="26"/>
      <c r="KE69" s="26"/>
      <c r="KF69" s="26"/>
      <c r="KG69" s="26"/>
      <c r="KH69" s="26"/>
      <c r="KI69" s="26"/>
      <c r="KJ69" s="26"/>
      <c r="KK69" s="26"/>
      <c r="KL69" s="26"/>
      <c r="KM69" s="26"/>
      <c r="KN69" s="26"/>
      <c r="KO69" s="26"/>
      <c r="KP69" s="26"/>
      <c r="KQ69" s="26"/>
      <c r="KR69" s="26"/>
      <c r="KS69" s="26"/>
      <c r="KT69" s="26"/>
      <c r="KU69" s="26"/>
      <c r="KV69" s="26"/>
      <c r="KW69" s="26"/>
      <c r="KX69" s="26"/>
      <c r="KY69" s="26"/>
      <c r="KZ69" s="26"/>
      <c r="LA69" s="26"/>
      <c r="LB69" s="26"/>
      <c r="LC69" s="26"/>
      <c r="LD69" s="26"/>
      <c r="LE69" s="26"/>
      <c r="LF69" s="26"/>
      <c r="LG69" s="26"/>
      <c r="LH69" s="26"/>
      <c r="LI69" s="26"/>
      <c r="LJ69" s="26"/>
      <c r="LK69" s="26"/>
      <c r="LL69" s="26"/>
      <c r="LM69" s="26"/>
      <c r="LN69" s="26"/>
      <c r="LO69" s="26"/>
      <c r="LP69" s="26"/>
      <c r="LQ69" s="26"/>
      <c r="LR69" s="26"/>
      <c r="LS69" s="26"/>
      <c r="LT69" s="26"/>
      <c r="LU69" s="26"/>
      <c r="LV69" s="26"/>
      <c r="LW69" s="26"/>
      <c r="LX69" s="26"/>
      <c r="LY69" s="26"/>
      <c r="LZ69" s="26"/>
      <c r="MA69" s="26"/>
      <c r="MB69" s="26"/>
      <c r="MC69" s="26"/>
      <c r="MD69" s="26"/>
      <c r="ME69" s="26"/>
      <c r="MF69" s="26"/>
      <c r="MG69" s="26"/>
      <c r="MH69" s="26"/>
      <c r="MI69" s="26"/>
      <c r="MJ69" s="26"/>
      <c r="MK69" s="26"/>
      <c r="ML69" s="26"/>
      <c r="MM69" s="26"/>
      <c r="MN69" s="26"/>
      <c r="MO69" s="26"/>
      <c r="MP69" s="26"/>
      <c r="MQ69" s="26"/>
      <c r="MR69" s="26"/>
      <c r="MS69" s="26"/>
      <c r="MT69" s="26"/>
      <c r="MU69" s="26"/>
      <c r="MV69" s="26"/>
      <c r="MW69" s="26"/>
      <c r="MX69" s="26"/>
      <c r="MY69" s="26"/>
      <c r="MZ69" s="26"/>
      <c r="NA69" s="26"/>
      <c r="NB69" s="26"/>
      <c r="NC69" s="26"/>
      <c r="ND69" s="26"/>
      <c r="NE69" s="26"/>
      <c r="NF69" s="26"/>
      <c r="NG69" s="26"/>
      <c r="NH69" s="26"/>
      <c r="NI69" s="26"/>
      <c r="NJ69" s="26"/>
      <c r="NK69" s="26"/>
      <c r="NL69" s="26"/>
      <c r="NM69" s="26"/>
      <c r="NN69" s="26"/>
      <c r="NO69" s="26"/>
      <c r="NP69" s="26"/>
      <c r="NQ69" s="26"/>
      <c r="NR69" s="26"/>
      <c r="NS69" s="26"/>
      <c r="NT69" s="26"/>
      <c r="NU69" s="26"/>
      <c r="NV69" s="26"/>
      <c r="NW69" s="26"/>
      <c r="NX69" s="26"/>
      <c r="NY69" s="26"/>
      <c r="NZ69" s="26"/>
      <c r="OA69" s="26"/>
      <c r="OB69" s="26"/>
      <c r="OC69" s="26"/>
      <c r="OD69" s="26"/>
      <c r="OE69" s="26"/>
      <c r="OF69" s="26"/>
      <c r="OG69" s="26"/>
      <c r="OH69" s="26"/>
      <c r="OI69" s="26"/>
      <c r="OJ69" s="26"/>
      <c r="OK69" s="26"/>
      <c r="OL69" s="26"/>
      <c r="OM69" s="26"/>
      <c r="ON69" s="26"/>
      <c r="OO69" s="26"/>
      <c r="OP69" s="26"/>
      <c r="OQ69" s="26"/>
      <c r="OR69" s="26"/>
      <c r="OS69" s="26"/>
      <c r="OT69" s="26"/>
      <c r="OU69" s="26"/>
      <c r="OV69" s="26"/>
      <c r="OW69" s="26"/>
      <c r="OX69" s="26"/>
      <c r="OY69" s="26"/>
      <c r="OZ69" s="26"/>
      <c r="PA69" s="26"/>
      <c r="PB69" s="26"/>
      <c r="PC69" s="26"/>
      <c r="PD69" s="26"/>
      <c r="PE69" s="26"/>
      <c r="PF69" s="26"/>
      <c r="PG69" s="26"/>
      <c r="PH69" s="26"/>
      <c r="PI69" s="26"/>
      <c r="PJ69" s="26"/>
      <c r="PK69" s="26"/>
      <c r="PL69" s="26"/>
      <c r="PM69" s="26"/>
      <c r="PN69" s="26"/>
      <c r="PO69" s="26"/>
      <c r="PP69" s="26"/>
      <c r="PQ69" s="26"/>
      <c r="PR69" s="26"/>
      <c r="PS69" s="26"/>
      <c r="PT69" s="26"/>
      <c r="PU69" s="26"/>
      <c r="PV69" s="26"/>
      <c r="PW69" s="26"/>
      <c r="PX69" s="26"/>
      <c r="PY69" s="26"/>
      <c r="PZ69" s="26"/>
      <c r="QA69" s="26"/>
      <c r="QB69" s="26"/>
      <c r="QC69" s="26"/>
      <c r="QD69" s="26"/>
      <c r="QE69" s="26"/>
      <c r="QF69" s="26"/>
      <c r="QG69" s="26"/>
      <c r="QH69" s="26"/>
      <c r="QI69" s="26"/>
      <c r="QJ69" s="26"/>
      <c r="QK69" s="26"/>
      <c r="QL69" s="26"/>
      <c r="QM69" s="26"/>
      <c r="QN69" s="26"/>
      <c r="QO69" s="26"/>
      <c r="QP69" s="26"/>
      <c r="QQ69" s="26"/>
      <c r="QR69" s="26"/>
      <c r="QS69" s="26"/>
      <c r="QT69" s="26"/>
      <c r="QU69" s="26"/>
      <c r="QV69" s="26"/>
      <c r="QW69" s="26"/>
      <c r="QX69" s="26"/>
      <c r="QY69" s="26"/>
      <c r="QZ69" s="26"/>
      <c r="RA69" s="26"/>
      <c r="RB69" s="26"/>
      <c r="RC69" s="26"/>
      <c r="RD69" s="26"/>
      <c r="RE69" s="26"/>
      <c r="RF69" s="26"/>
      <c r="RG69" s="26"/>
      <c r="RH69" s="26"/>
      <c r="RI69" s="26"/>
      <c r="RJ69" s="26"/>
      <c r="RK69" s="26"/>
      <c r="RL69" s="26"/>
      <c r="RM69" s="26"/>
      <c r="RN69" s="26"/>
      <c r="RO69" s="26"/>
      <c r="RP69" s="26"/>
      <c r="RQ69" s="26"/>
      <c r="RR69" s="26"/>
      <c r="RS69" s="26"/>
      <c r="RT69" s="26"/>
      <c r="RU69" s="26"/>
      <c r="RV69" s="26"/>
      <c r="RW69" s="26"/>
      <c r="RX69" s="26"/>
      <c r="RY69" s="26"/>
      <c r="RZ69" s="26"/>
      <c r="SA69" s="26"/>
      <c r="SB69" s="26"/>
      <c r="SC69" s="26"/>
      <c r="SD69" s="26"/>
      <c r="SE69" s="26"/>
      <c r="SF69" s="26"/>
      <c r="SG69" s="26"/>
      <c r="SH69" s="26"/>
      <c r="SI69" s="26"/>
      <c r="SJ69" s="26"/>
      <c r="SK69" s="26"/>
      <c r="SL69" s="26"/>
      <c r="SM69" s="26"/>
      <c r="SN69" s="26"/>
      <c r="SO69" s="26"/>
      <c r="SP69" s="26"/>
      <c r="SQ69" s="26"/>
      <c r="SR69" s="26"/>
      <c r="SS69" s="26"/>
      <c r="ST69" s="26"/>
      <c r="SU69" s="26"/>
      <c r="SV69" s="26"/>
      <c r="SW69" s="26"/>
      <c r="SX69" s="26"/>
      <c r="SY69" s="26"/>
      <c r="SZ69" s="26"/>
      <c r="TA69" s="26"/>
      <c r="TB69" s="26"/>
      <c r="TC69" s="26"/>
      <c r="TD69" s="26"/>
      <c r="TE69" s="26"/>
      <c r="TF69" s="26"/>
      <c r="TG69" s="26"/>
      <c r="TH69" s="26"/>
      <c r="TI69" s="26"/>
      <c r="TJ69" s="26"/>
      <c r="TK69" s="26"/>
      <c r="TL69" s="26"/>
      <c r="TM69" s="26"/>
      <c r="TN69" s="26"/>
      <c r="TO69" s="26"/>
      <c r="TP69" s="26"/>
      <c r="TQ69" s="26"/>
      <c r="TR69" s="26"/>
      <c r="TS69" s="26"/>
      <c r="TT69" s="26"/>
      <c r="TU69" s="26"/>
      <c r="TV69" s="26"/>
      <c r="TW69" s="26"/>
      <c r="TX69" s="26"/>
      <c r="TY69" s="26"/>
      <c r="TZ69" s="26"/>
      <c r="UA69" s="26"/>
      <c r="UB69" s="26"/>
      <c r="UC69" s="26"/>
      <c r="UD69" s="26"/>
      <c r="UE69" s="26"/>
      <c r="UF69" s="26"/>
      <c r="UG69" s="26"/>
      <c r="UH69" s="26"/>
      <c r="UI69" s="26"/>
      <c r="UJ69" s="26"/>
      <c r="UK69" s="26"/>
      <c r="UL69" s="26"/>
      <c r="UM69" s="26"/>
      <c r="UN69" s="26"/>
      <c r="UO69" s="26"/>
      <c r="UP69" s="26"/>
      <c r="UQ69" s="26"/>
      <c r="UR69" s="26"/>
      <c r="US69" s="26"/>
      <c r="UT69" s="26"/>
      <c r="UU69" s="26"/>
      <c r="UV69" s="26"/>
      <c r="UW69" s="26"/>
      <c r="UX69" s="26"/>
      <c r="UY69" s="26"/>
      <c r="UZ69" s="26"/>
      <c r="VA69" s="26"/>
      <c r="VB69" s="26"/>
      <c r="VC69" s="26"/>
      <c r="VD69" s="26"/>
      <c r="VE69" s="26"/>
      <c r="VF69" s="26"/>
      <c r="VG69" s="26"/>
      <c r="VH69" s="26"/>
      <c r="VI69" s="26"/>
      <c r="VJ69" s="26"/>
      <c r="VK69" s="26"/>
      <c r="VL69" s="26"/>
      <c r="VM69" s="26"/>
      <c r="VN69" s="26"/>
      <c r="VO69" s="26"/>
      <c r="VP69" s="26"/>
      <c r="VQ69" s="26"/>
      <c r="VR69" s="26"/>
      <c r="VS69" s="26"/>
      <c r="VT69" s="26"/>
      <c r="VU69" s="26"/>
      <c r="VV69" s="26"/>
      <c r="VW69" s="26"/>
      <c r="VX69" s="26"/>
      <c r="VY69" s="26"/>
      <c r="VZ69" s="26"/>
      <c r="WA69" s="26"/>
      <c r="WB69" s="26"/>
      <c r="WC69" s="26"/>
      <c r="WD69" s="26"/>
      <c r="WE69" s="26"/>
      <c r="WF69" s="26"/>
      <c r="WG69" s="26"/>
      <c r="WH69" s="26"/>
      <c r="WI69" s="26"/>
      <c r="WJ69" s="26"/>
      <c r="WK69" s="26"/>
      <c r="WL69" s="26"/>
      <c r="WM69" s="26"/>
      <c r="WN69" s="26"/>
      <c r="WO69" s="26"/>
      <c r="WP69" s="26"/>
      <c r="WQ69" s="26"/>
      <c r="WR69" s="26"/>
      <c r="WS69" s="26"/>
      <c r="WT69" s="26"/>
      <c r="WU69" s="26"/>
      <c r="WV69" s="26"/>
      <c r="WW69" s="26"/>
      <c r="WX69" s="26"/>
      <c r="WY69" s="26"/>
      <c r="WZ69" s="26"/>
      <c r="XA69" s="26"/>
      <c r="XB69" s="26"/>
      <c r="XC69" s="26"/>
      <c r="XD69" s="26"/>
      <c r="XE69" s="26"/>
      <c r="XF69" s="26"/>
      <c r="XG69" s="26"/>
      <c r="XH69" s="26"/>
      <c r="XI69" s="26"/>
      <c r="XJ69" s="26"/>
      <c r="XK69" s="26"/>
      <c r="XL69" s="26"/>
      <c r="XM69" s="26"/>
      <c r="XN69" s="26"/>
      <c r="XO69" s="26"/>
      <c r="XP69" s="26"/>
      <c r="XQ69" s="26"/>
      <c r="XR69" s="26"/>
      <c r="XS69" s="26"/>
      <c r="XT69" s="26"/>
      <c r="XU69" s="26"/>
      <c r="XV69" s="26"/>
      <c r="XW69" s="26"/>
      <c r="XX69" s="26"/>
      <c r="XY69" s="26"/>
      <c r="XZ69" s="26"/>
      <c r="YA69" s="26"/>
      <c r="YB69" s="26"/>
      <c r="YC69" s="26"/>
      <c r="YD69" s="26"/>
      <c r="YE69" s="26"/>
      <c r="YF69" s="26"/>
      <c r="YG69" s="26"/>
      <c r="YH69" s="26"/>
      <c r="YI69" s="26"/>
      <c r="YJ69" s="26"/>
      <c r="YK69" s="26"/>
      <c r="YL69" s="26"/>
      <c r="YM69" s="26"/>
      <c r="YN69" s="26"/>
      <c r="YO69" s="26"/>
      <c r="YP69" s="26"/>
      <c r="YQ69" s="26"/>
      <c r="YR69" s="26"/>
      <c r="YS69" s="26"/>
      <c r="YT69" s="26"/>
      <c r="YU69" s="26"/>
      <c r="YV69" s="26"/>
      <c r="YW69" s="26"/>
      <c r="YX69" s="26"/>
      <c r="YY69" s="26"/>
      <c r="YZ69" s="26"/>
      <c r="ZA69" s="26"/>
      <c r="ZB69" s="26"/>
      <c r="ZC69" s="26"/>
      <c r="ZD69" s="26"/>
      <c r="ZE69" s="26"/>
      <c r="ZF69" s="26"/>
      <c r="ZG69" s="26"/>
      <c r="ZH69" s="26"/>
      <c r="ZI69" s="26"/>
      <c r="ZJ69" s="26"/>
      <c r="ZK69" s="26"/>
      <c r="ZL69" s="26"/>
      <c r="ZM69" s="26"/>
      <c r="ZN69" s="26"/>
      <c r="ZO69" s="26"/>
      <c r="ZP69" s="26"/>
      <c r="ZQ69" s="26"/>
      <c r="ZR69" s="26"/>
      <c r="ZS69" s="26"/>
      <c r="ZT69" s="26"/>
      <c r="ZU69" s="26"/>
      <c r="ZV69" s="26"/>
      <c r="ZW69" s="26"/>
      <c r="ZX69" s="26"/>
      <c r="ZY69" s="26"/>
      <c r="ZZ69" s="26"/>
      <c r="AAA69" s="26"/>
      <c r="AAB69" s="26"/>
      <c r="AAC69" s="26"/>
      <c r="AAD69" s="26"/>
      <c r="AAE69" s="26"/>
      <c r="AAF69" s="26"/>
      <c r="AAG69" s="26"/>
      <c r="AAH69" s="26"/>
      <c r="AAI69" s="26"/>
      <c r="AAJ69" s="26"/>
      <c r="AAK69" s="26"/>
      <c r="AAL69" s="26"/>
      <c r="AAM69" s="26"/>
      <c r="AAN69" s="26"/>
      <c r="AAO69" s="26"/>
      <c r="AAP69" s="26"/>
      <c r="AAQ69" s="26"/>
      <c r="AAR69" s="26"/>
      <c r="AAS69" s="26"/>
      <c r="AAT69" s="26"/>
      <c r="AAU69" s="26"/>
      <c r="AAV69" s="26"/>
      <c r="AAW69" s="26"/>
      <c r="AAX69" s="26"/>
      <c r="AAY69" s="26"/>
      <c r="AAZ69" s="26"/>
      <c r="ABA69" s="26"/>
      <c r="ABB69" s="26"/>
      <c r="ABC69" s="26"/>
      <c r="ABD69" s="26"/>
      <c r="ABE69" s="26"/>
      <c r="ABF69" s="26"/>
      <c r="ABG69" s="26"/>
      <c r="ABH69" s="26"/>
      <c r="ABI69" s="26"/>
      <c r="ABJ69" s="26"/>
      <c r="ABK69" s="26"/>
      <c r="ABL69" s="26"/>
      <c r="ABM69" s="26"/>
      <c r="ABN69" s="26"/>
      <c r="ABO69" s="26"/>
      <c r="ABP69" s="26"/>
      <c r="ABQ69" s="26"/>
      <c r="ABR69" s="26"/>
      <c r="ABS69" s="26"/>
      <c r="ABT69" s="26"/>
      <c r="ABU69" s="26"/>
      <c r="ABV69" s="26"/>
      <c r="ABW69" s="26"/>
      <c r="ABX69" s="26"/>
      <c r="ABY69" s="26"/>
      <c r="ABZ69" s="26"/>
      <c r="ACA69" s="26"/>
      <c r="ACB69" s="26"/>
      <c r="ACC69" s="26"/>
      <c r="ACD69" s="26"/>
      <c r="ACE69" s="26"/>
      <c r="ACF69" s="26"/>
      <c r="ACG69" s="26"/>
      <c r="ACH69" s="26"/>
      <c r="ACI69" s="26"/>
      <c r="ACJ69" s="26"/>
      <c r="ACK69" s="26"/>
      <c r="ACL69" s="26"/>
      <c r="ACM69" s="26"/>
      <c r="ACN69" s="26"/>
      <c r="ACO69" s="26"/>
      <c r="ACP69" s="26"/>
      <c r="ACQ69" s="26"/>
      <c r="ACR69" s="26"/>
      <c r="ACS69" s="26"/>
      <c r="ACT69" s="26"/>
      <c r="ACU69" s="26"/>
      <c r="ACV69" s="26"/>
      <c r="ACW69" s="26"/>
      <c r="ACX69" s="26"/>
      <c r="ACY69" s="26"/>
      <c r="ACZ69" s="26"/>
      <c r="ADA69" s="26"/>
      <c r="ADB69" s="26"/>
      <c r="ADC69" s="26"/>
      <c r="ADD69" s="26"/>
      <c r="ADE69" s="26"/>
      <c r="ADF69" s="26"/>
      <c r="ADG69" s="26"/>
      <c r="ADH69" s="26"/>
      <c r="ADI69" s="26"/>
      <c r="ADJ69" s="26"/>
      <c r="ADK69" s="26"/>
      <c r="ADL69" s="26"/>
      <c r="ADM69" s="26"/>
      <c r="ADN69" s="26"/>
      <c r="ADO69" s="26"/>
      <c r="ADP69" s="26"/>
      <c r="ADQ69" s="26"/>
      <c r="ADR69" s="26"/>
      <c r="ADS69" s="26"/>
      <c r="ADT69" s="26"/>
      <c r="ADU69" s="26"/>
      <c r="ADV69" s="26"/>
      <c r="ADW69" s="26"/>
      <c r="ADX69" s="26"/>
      <c r="ADY69" s="26"/>
      <c r="ADZ69" s="26"/>
      <c r="AEA69" s="26"/>
      <c r="AEB69" s="26"/>
      <c r="AEC69" s="26"/>
      <c r="AED69" s="26"/>
      <c r="AEE69" s="26"/>
      <c r="AEF69" s="26"/>
      <c r="AEG69" s="26"/>
      <c r="AEH69" s="26"/>
      <c r="AEI69" s="26"/>
      <c r="AEJ69" s="26"/>
      <c r="AEK69" s="26"/>
      <c r="AEL69" s="26"/>
      <c r="AEM69" s="26"/>
      <c r="AEN69" s="26"/>
      <c r="AEO69" s="26"/>
      <c r="AEP69" s="26"/>
      <c r="AEQ69" s="26"/>
      <c r="AER69" s="26"/>
      <c r="AES69" s="26"/>
      <c r="AET69" s="26"/>
      <c r="AEU69" s="26"/>
      <c r="AEV69" s="26"/>
      <c r="AEW69" s="26"/>
      <c r="AEX69" s="26"/>
      <c r="AEY69" s="26"/>
      <c r="AEZ69" s="26"/>
      <c r="AFA69" s="26"/>
      <c r="AFB69" s="26"/>
      <c r="AFC69" s="26"/>
      <c r="AFD69" s="26"/>
      <c r="AFE69" s="26"/>
      <c r="AFF69" s="26"/>
      <c r="AFG69" s="26"/>
      <c r="AFH69" s="26"/>
      <c r="AFI69" s="26"/>
      <c r="AFJ69" s="26"/>
      <c r="AFK69" s="26"/>
      <c r="AFL69" s="26"/>
      <c r="AFM69" s="26"/>
      <c r="AFN69" s="26"/>
      <c r="AFO69" s="26"/>
      <c r="AFP69" s="26"/>
      <c r="AFQ69" s="26"/>
      <c r="AFR69" s="26"/>
      <c r="AFS69" s="26"/>
      <c r="AFT69" s="26"/>
      <c r="AFU69" s="26"/>
      <c r="AFV69" s="26"/>
      <c r="AFW69" s="26"/>
      <c r="AFX69" s="26"/>
      <c r="AFY69" s="26"/>
      <c r="AFZ69" s="26"/>
      <c r="AGA69" s="26"/>
      <c r="AGB69" s="26"/>
      <c r="AGC69" s="26"/>
      <c r="AGD69" s="26"/>
      <c r="AGE69" s="26"/>
      <c r="AGF69" s="26"/>
      <c r="AGG69" s="26"/>
      <c r="AGH69" s="26"/>
      <c r="AGI69" s="26"/>
      <c r="AGJ69" s="26"/>
      <c r="AGK69" s="26"/>
      <c r="AGL69" s="26"/>
      <c r="AGM69" s="26"/>
      <c r="AGN69" s="26"/>
      <c r="AGO69" s="26"/>
      <c r="AGP69" s="26"/>
      <c r="AGQ69" s="26"/>
      <c r="AGR69" s="26"/>
      <c r="AGS69" s="26"/>
      <c r="AGT69" s="26"/>
      <c r="AGU69" s="26"/>
      <c r="AGV69" s="26"/>
      <c r="AGW69" s="26"/>
      <c r="AGX69" s="26"/>
      <c r="AGY69" s="26"/>
      <c r="AGZ69" s="26"/>
      <c r="AHA69" s="26"/>
      <c r="AHB69" s="26"/>
      <c r="AHC69" s="26"/>
      <c r="AHD69" s="26"/>
      <c r="AHE69" s="26"/>
      <c r="AHF69" s="26"/>
      <c r="AHG69" s="26"/>
      <c r="AHH69" s="26"/>
      <c r="AHI69" s="26"/>
      <c r="AHJ69" s="26"/>
      <c r="AHK69" s="26"/>
      <c r="AHL69" s="26"/>
      <c r="AHM69" s="26"/>
      <c r="AHN69" s="26"/>
      <c r="AHO69" s="26"/>
      <c r="AHP69" s="26"/>
      <c r="AHQ69" s="26"/>
      <c r="AHR69" s="26"/>
      <c r="AHS69" s="26"/>
      <c r="AHT69" s="26"/>
      <c r="AHU69" s="26"/>
      <c r="AHV69" s="26"/>
      <c r="AHW69" s="26"/>
      <c r="AHX69" s="26"/>
      <c r="AHY69" s="26"/>
      <c r="AHZ69" s="26"/>
      <c r="AIA69" s="26"/>
      <c r="AIB69" s="26"/>
      <c r="AIC69" s="26"/>
      <c r="AID69" s="26"/>
      <c r="AIE69" s="26"/>
      <c r="AIF69" s="26"/>
      <c r="AIG69" s="26"/>
      <c r="AIH69" s="26"/>
      <c r="AII69" s="26"/>
      <c r="AIJ69" s="26"/>
      <c r="AIK69" s="26"/>
      <c r="AIL69" s="26"/>
      <c r="AIM69" s="26"/>
      <c r="AIN69" s="26"/>
      <c r="AIO69" s="26"/>
      <c r="AIP69" s="26"/>
      <c r="AIQ69" s="26"/>
      <c r="AIR69" s="26"/>
      <c r="AIS69" s="26"/>
      <c r="AIT69" s="26"/>
      <c r="AIU69" s="26"/>
      <c r="AIV69" s="26"/>
      <c r="AIW69" s="26"/>
      <c r="AIX69" s="26"/>
      <c r="AIY69" s="26"/>
      <c r="AIZ69" s="26"/>
      <c r="AJA69" s="26"/>
      <c r="AJB69" s="26"/>
      <c r="AJC69" s="26"/>
      <c r="AJD69" s="26"/>
      <c r="AJE69" s="26"/>
      <c r="AJF69" s="26"/>
      <c r="AJG69" s="26"/>
      <c r="AJH69" s="26"/>
      <c r="AJI69" s="26"/>
      <c r="AJJ69" s="26"/>
      <c r="AJK69" s="26"/>
      <c r="AJL69" s="26"/>
      <c r="AJM69" s="26"/>
      <c r="AJN69" s="26"/>
      <c r="AJO69" s="26"/>
      <c r="AJP69" s="26"/>
      <c r="AJQ69" s="26"/>
      <c r="AJR69" s="26"/>
      <c r="AJS69" s="26"/>
      <c r="AJT69" s="26"/>
      <c r="AJU69" s="26"/>
      <c r="AJV69" s="26"/>
      <c r="AJW69" s="26"/>
      <c r="AJX69" s="26"/>
      <c r="AJY69" s="26"/>
      <c r="AJZ69" s="26"/>
      <c r="AKA69" s="26"/>
      <c r="AKB69" s="26"/>
      <c r="AKC69" s="26"/>
      <c r="AKD69" s="26"/>
      <c r="AKE69" s="26"/>
      <c r="AKF69" s="26"/>
      <c r="AKG69" s="26"/>
      <c r="AKH69" s="26"/>
      <c r="AKI69" s="26"/>
      <c r="AKJ69" s="26"/>
      <c r="AKK69" s="26"/>
      <c r="AKL69" s="26"/>
      <c r="AKM69" s="26"/>
      <c r="AKN69" s="26"/>
      <c r="AKO69" s="26"/>
      <c r="AKP69" s="26"/>
      <c r="AKQ69" s="26"/>
      <c r="AKR69" s="26"/>
      <c r="AKS69" s="26"/>
      <c r="AKT69" s="26"/>
      <c r="AKU69" s="26"/>
      <c r="AKV69" s="26"/>
      <c r="AKW69" s="26"/>
      <c r="AKX69" s="26"/>
      <c r="AKY69" s="26"/>
      <c r="AKZ69" s="26"/>
      <c r="ALA69" s="26"/>
      <c r="ALB69" s="26"/>
      <c r="ALC69" s="26"/>
      <c r="ALD69" s="26"/>
      <c r="ALE69" s="26"/>
      <c r="ALF69" s="26"/>
      <c r="ALG69" s="26"/>
      <c r="ALH69" s="26"/>
      <c r="ALI69" s="26"/>
      <c r="ALJ69" s="26"/>
      <c r="ALK69" s="26"/>
      <c r="ALL69" s="26"/>
      <c r="ALM69" s="26"/>
      <c r="ALN69" s="26"/>
      <c r="ALO69" s="26"/>
      <c r="ALP69" s="26"/>
      <c r="ALQ69" s="26"/>
      <c r="ALR69" s="26"/>
      <c r="ALS69" s="26"/>
      <c r="ALT69" s="26"/>
      <c r="ALU69" s="26"/>
      <c r="ALV69" s="26"/>
      <c r="ALW69" s="26"/>
      <c r="ALX69" s="26"/>
      <c r="ALY69" s="26"/>
      <c r="ALZ69" s="26"/>
      <c r="AMA69" s="26"/>
      <c r="AMB69" s="26"/>
      <c r="AMC69" s="26"/>
      <c r="AMD69" s="26"/>
      <c r="AME69" s="26"/>
      <c r="AMF69" s="26"/>
      <c r="AMG69" s="26"/>
      <c r="AMH69" s="26"/>
      <c r="AMI69" s="26"/>
      <c r="AMJ69" s="26"/>
      <c r="AMK69" s="26"/>
      <c r="AML69" s="26"/>
      <c r="AMM69" s="26"/>
      <c r="AMN69" s="26"/>
      <c r="AMO69" s="26"/>
      <c r="AMP69" s="26"/>
      <c r="AMQ69" s="26"/>
      <c r="AMR69" s="26"/>
      <c r="AMS69" s="26"/>
      <c r="AMT69" s="26"/>
      <c r="AMU69" s="26"/>
      <c r="AMV69" s="26"/>
      <c r="AMW69" s="26"/>
      <c r="AMX69" s="26"/>
      <c r="AMY69" s="26"/>
      <c r="AMZ69" s="26"/>
      <c r="ANA69" s="26"/>
      <c r="ANB69" s="26"/>
      <c r="ANC69" s="26"/>
      <c r="AND69" s="26"/>
      <c r="ANE69" s="26"/>
      <c r="ANF69" s="26"/>
      <c r="ANG69" s="26"/>
      <c r="ANH69" s="26"/>
      <c r="ANI69" s="26"/>
      <c r="ANJ69" s="26"/>
      <c r="ANK69" s="26"/>
      <c r="ANL69" s="26"/>
      <c r="ANM69" s="26"/>
      <c r="ANN69" s="26"/>
      <c r="ANO69" s="26"/>
      <c r="ANP69" s="26"/>
      <c r="ANQ69" s="26"/>
      <c r="ANR69" s="26"/>
      <c r="ANS69" s="26"/>
      <c r="ANT69" s="26"/>
      <c r="ANU69" s="26"/>
      <c r="ANV69" s="26"/>
      <c r="ANW69" s="26"/>
      <c r="ANX69" s="26"/>
      <c r="ANY69" s="26"/>
      <c r="ANZ69" s="26"/>
      <c r="AOA69" s="26"/>
      <c r="AOB69" s="26"/>
      <c r="AOC69" s="26"/>
      <c r="AOD69" s="26"/>
      <c r="AOE69" s="26"/>
      <c r="AOF69" s="26"/>
      <c r="AOG69" s="26"/>
      <c r="AOH69" s="26"/>
      <c r="AOI69" s="26"/>
      <c r="AOJ69" s="26"/>
      <c r="AOK69" s="26"/>
      <c r="AOL69" s="26"/>
      <c r="AOM69" s="26"/>
      <c r="AON69" s="26"/>
      <c r="AOO69" s="26"/>
      <c r="AOP69" s="26"/>
      <c r="AOQ69" s="26"/>
      <c r="AOR69" s="26"/>
      <c r="AOS69" s="26"/>
      <c r="AOT69" s="26"/>
      <c r="AOU69" s="26"/>
      <c r="AOV69" s="26"/>
      <c r="AOW69" s="26"/>
      <c r="AOX69" s="26"/>
      <c r="AOY69" s="26"/>
      <c r="AOZ69" s="26"/>
      <c r="APA69" s="26"/>
      <c r="APB69" s="26"/>
      <c r="APC69" s="26"/>
      <c r="APD69" s="26"/>
      <c r="APE69" s="26"/>
      <c r="APF69" s="26"/>
      <c r="APG69" s="26"/>
      <c r="APH69" s="26"/>
      <c r="API69" s="26"/>
      <c r="APJ69" s="26"/>
      <c r="APK69" s="26"/>
      <c r="APL69" s="26"/>
      <c r="APM69" s="26"/>
      <c r="APN69" s="26"/>
      <c r="APO69" s="26"/>
      <c r="APP69" s="26"/>
      <c r="APQ69" s="26"/>
      <c r="APR69" s="26"/>
      <c r="APS69" s="26"/>
      <c r="APT69" s="26"/>
      <c r="APU69" s="26"/>
      <c r="APV69" s="26"/>
      <c r="APW69" s="26"/>
      <c r="APX69" s="26"/>
      <c r="APY69" s="26"/>
      <c r="APZ69" s="26"/>
      <c r="AQA69" s="26"/>
      <c r="AQB69" s="26"/>
      <c r="AQC69" s="26"/>
      <c r="AQD69" s="26"/>
      <c r="AQE69" s="26"/>
      <c r="AQF69" s="26"/>
      <c r="AQG69" s="26"/>
      <c r="AQH69" s="26"/>
      <c r="AQI69" s="26"/>
      <c r="AQJ69" s="26"/>
      <c r="AQK69" s="26"/>
      <c r="AQL69" s="26"/>
      <c r="AQM69" s="26"/>
      <c r="AQN69" s="26"/>
      <c r="AQO69" s="26"/>
      <c r="AQP69" s="26"/>
      <c r="AQQ69" s="26"/>
      <c r="AQR69" s="26"/>
      <c r="AQS69" s="26"/>
      <c r="AQT69" s="26"/>
      <c r="AQU69" s="26"/>
      <c r="AQV69" s="26"/>
      <c r="AQW69" s="26"/>
      <c r="AQX69" s="26"/>
      <c r="AQY69" s="26"/>
      <c r="AQZ69" s="26"/>
      <c r="ARA69" s="26"/>
      <c r="ARB69" s="26"/>
      <c r="ARC69" s="26"/>
      <c r="ARD69" s="26"/>
      <c r="ARE69" s="26"/>
      <c r="ARF69" s="26"/>
      <c r="ARG69" s="26"/>
      <c r="ARH69" s="26"/>
      <c r="ARI69" s="26"/>
      <c r="ARJ69" s="26"/>
      <c r="ARK69" s="26"/>
      <c r="ARL69" s="26"/>
      <c r="ARM69" s="26"/>
      <c r="ARN69" s="26"/>
      <c r="ARO69" s="26"/>
      <c r="ARP69" s="26"/>
      <c r="ARQ69" s="26"/>
      <c r="ARR69" s="26"/>
      <c r="ARS69" s="26"/>
      <c r="ART69" s="26"/>
      <c r="ARU69" s="26"/>
      <c r="ARV69" s="26"/>
      <c r="ARW69" s="26"/>
      <c r="ARX69" s="26"/>
      <c r="ARY69" s="26"/>
      <c r="ARZ69" s="26"/>
      <c r="ASA69" s="26"/>
      <c r="ASB69" s="26"/>
      <c r="ASC69" s="26"/>
      <c r="ASD69" s="26"/>
      <c r="ASE69" s="26"/>
      <c r="ASF69" s="26"/>
      <c r="ASG69" s="26"/>
      <c r="ASH69" s="26"/>
      <c r="ASI69" s="26"/>
      <c r="ASJ69" s="26"/>
      <c r="ASK69" s="26"/>
      <c r="ASL69" s="26"/>
      <c r="ASM69" s="26"/>
      <c r="ASN69" s="26"/>
      <c r="ASO69" s="26"/>
      <c r="ASP69" s="26"/>
      <c r="ASQ69" s="26"/>
      <c r="ASR69" s="26"/>
      <c r="ASS69" s="26"/>
      <c r="AST69" s="26"/>
      <c r="ASU69" s="26"/>
      <c r="ASV69" s="26"/>
      <c r="ASW69" s="26"/>
      <c r="ASX69" s="26"/>
      <c r="ASY69" s="26"/>
      <c r="ASZ69" s="26"/>
      <c r="ATA69" s="26"/>
      <c r="ATB69" s="26"/>
      <c r="ATC69" s="26"/>
      <c r="ATD69" s="26"/>
      <c r="ATE69" s="26"/>
      <c r="ATF69" s="26"/>
      <c r="ATG69" s="26"/>
      <c r="ATH69" s="26"/>
      <c r="ATI69" s="26"/>
      <c r="ATJ69" s="26"/>
      <c r="ATK69" s="26"/>
      <c r="ATL69" s="26"/>
      <c r="ATM69" s="26"/>
      <c r="ATN69" s="26"/>
      <c r="ATO69" s="26"/>
      <c r="ATP69" s="26"/>
      <c r="ATQ69" s="26"/>
      <c r="ATR69" s="26"/>
      <c r="ATS69" s="26"/>
      <c r="ATT69" s="26"/>
      <c r="ATU69" s="26"/>
      <c r="ATV69" s="26"/>
      <c r="ATW69" s="26"/>
      <c r="ATX69" s="26"/>
      <c r="ATY69" s="26"/>
      <c r="ATZ69" s="26"/>
      <c r="AUA69" s="26"/>
      <c r="AUB69" s="26"/>
      <c r="AUC69" s="26"/>
      <c r="AUD69" s="26"/>
      <c r="AUE69" s="26"/>
      <c r="AUF69" s="26"/>
      <c r="AUG69" s="26"/>
      <c r="AUH69" s="26"/>
      <c r="AUI69" s="26"/>
      <c r="AUJ69" s="26"/>
      <c r="AUK69" s="26"/>
      <c r="AUL69" s="26"/>
      <c r="AUM69" s="26"/>
      <c r="AUN69" s="26"/>
      <c r="AUO69" s="26"/>
      <c r="AUP69" s="26"/>
      <c r="AUQ69" s="26"/>
      <c r="AUR69" s="26"/>
      <c r="AUS69" s="26"/>
      <c r="AUT69" s="26"/>
      <c r="AUU69" s="26"/>
      <c r="AUV69" s="26"/>
      <c r="AUW69" s="26"/>
      <c r="AUX69" s="26"/>
      <c r="AUY69" s="26"/>
      <c r="AUZ69" s="26"/>
      <c r="AVA69" s="26"/>
      <c r="AVB69" s="26"/>
      <c r="AVC69" s="26"/>
      <c r="AVD69" s="26"/>
      <c r="AVE69" s="26"/>
      <c r="AVF69" s="26"/>
      <c r="AVG69" s="26"/>
      <c r="AVH69" s="26"/>
      <c r="AVI69" s="26"/>
      <c r="AVJ69" s="26"/>
      <c r="AVK69" s="26"/>
      <c r="AVL69" s="26"/>
      <c r="AVM69" s="26"/>
      <c r="AVN69" s="26"/>
      <c r="AVO69" s="26"/>
      <c r="AVP69" s="26"/>
      <c r="AVQ69" s="26"/>
      <c r="AVR69" s="26"/>
      <c r="AVS69" s="26"/>
      <c r="AVT69" s="26"/>
      <c r="AVU69" s="26"/>
      <c r="AVV69" s="26"/>
      <c r="AVW69" s="26"/>
      <c r="AVX69" s="26"/>
      <c r="AVY69" s="26"/>
      <c r="AVZ69" s="26"/>
      <c r="AWA69" s="26"/>
      <c r="AWB69" s="26"/>
      <c r="AWC69" s="26"/>
      <c r="AWD69" s="26"/>
      <c r="AWE69" s="26"/>
      <c r="AWF69" s="26"/>
      <c r="AWG69" s="26"/>
      <c r="AWH69" s="26"/>
      <c r="AWI69" s="26"/>
      <c r="AWJ69" s="26"/>
      <c r="AWK69" s="26"/>
      <c r="AWL69" s="26"/>
      <c r="AWM69" s="26"/>
      <c r="AWN69" s="26"/>
      <c r="AWO69" s="26"/>
      <c r="AWP69" s="26"/>
      <c r="AWQ69" s="26"/>
      <c r="AWR69" s="26"/>
      <c r="AWS69" s="26"/>
      <c r="AWT69" s="26"/>
      <c r="AWU69" s="26"/>
      <c r="AWV69" s="26"/>
      <c r="AWW69" s="26"/>
      <c r="AWX69" s="26"/>
      <c r="AWY69" s="26"/>
      <c r="AWZ69" s="26"/>
      <c r="AXA69" s="26"/>
      <c r="AXB69" s="26"/>
      <c r="AXC69" s="26"/>
      <c r="AXD69" s="26"/>
      <c r="AXE69" s="26"/>
      <c r="AXF69" s="26"/>
      <c r="AXG69" s="26"/>
      <c r="AXH69" s="26"/>
      <c r="AXI69" s="26"/>
      <c r="AXJ69" s="26"/>
      <c r="AXK69" s="26"/>
      <c r="AXL69" s="26"/>
      <c r="AXM69" s="26"/>
      <c r="AXN69" s="26"/>
      <c r="AXO69" s="26"/>
      <c r="AXP69" s="26"/>
      <c r="AXQ69" s="26"/>
      <c r="AXR69" s="26"/>
      <c r="AXS69" s="26"/>
      <c r="AXT69" s="26"/>
      <c r="AXU69" s="26"/>
      <c r="AXV69" s="26"/>
      <c r="AXW69" s="26"/>
      <c r="AXX69" s="26"/>
      <c r="AXY69" s="26"/>
      <c r="AXZ69" s="26"/>
      <c r="AYA69" s="26"/>
      <c r="AYB69" s="26"/>
      <c r="AYC69" s="26"/>
      <c r="AYD69" s="26"/>
      <c r="AYE69" s="26"/>
      <c r="AYF69" s="26"/>
      <c r="AYG69" s="26"/>
      <c r="AYH69" s="26"/>
      <c r="AYI69" s="26"/>
      <c r="AYJ69" s="26"/>
      <c r="AYK69" s="26"/>
      <c r="AYL69" s="26"/>
      <c r="AYM69" s="26"/>
      <c r="AYN69" s="26"/>
      <c r="AYO69" s="26"/>
      <c r="AYP69" s="26"/>
      <c r="AYQ69" s="26"/>
      <c r="AYR69" s="26"/>
      <c r="AYS69" s="26"/>
      <c r="AYT69" s="26"/>
      <c r="AYU69" s="26"/>
      <c r="AYV69" s="26"/>
      <c r="AYW69" s="26"/>
      <c r="AYX69" s="26"/>
      <c r="AYY69" s="26"/>
      <c r="AYZ69" s="26"/>
      <c r="AZA69" s="26"/>
      <c r="AZB69" s="26"/>
      <c r="AZC69" s="26"/>
      <c r="AZD69" s="26"/>
      <c r="AZE69" s="26"/>
      <c r="AZF69" s="26"/>
      <c r="AZG69" s="26"/>
      <c r="AZH69" s="26"/>
      <c r="AZI69" s="26"/>
      <c r="AZJ69" s="26"/>
      <c r="AZK69" s="26"/>
      <c r="AZL69" s="26"/>
      <c r="AZM69" s="26"/>
      <c r="AZN69" s="26"/>
      <c r="AZO69" s="26"/>
      <c r="AZP69" s="26"/>
      <c r="AZQ69" s="26"/>
      <c r="AZR69" s="26"/>
      <c r="AZS69" s="26"/>
      <c r="AZT69" s="26"/>
      <c r="AZU69" s="26"/>
      <c r="AZV69" s="26"/>
      <c r="AZW69" s="26"/>
      <c r="AZX69" s="26"/>
      <c r="AZY69" s="26"/>
      <c r="AZZ69" s="26"/>
      <c r="BAA69" s="26"/>
      <c r="BAB69" s="26"/>
      <c r="BAC69" s="26"/>
      <c r="BAD69" s="26"/>
      <c r="BAE69" s="26"/>
      <c r="BAF69" s="26"/>
      <c r="BAG69" s="26"/>
      <c r="BAH69" s="26"/>
      <c r="BAI69" s="26"/>
      <c r="BAJ69" s="26"/>
      <c r="BAK69" s="26"/>
      <c r="BAL69" s="26"/>
      <c r="BAM69" s="26"/>
      <c r="BAN69" s="26"/>
      <c r="BAO69" s="26"/>
      <c r="BAP69" s="26"/>
      <c r="BAQ69" s="26"/>
      <c r="BAR69" s="26"/>
      <c r="BAS69" s="26"/>
      <c r="BAT69" s="26"/>
      <c r="BAU69" s="26"/>
      <c r="BAV69" s="26"/>
      <c r="BAW69" s="26"/>
      <c r="BAX69" s="26"/>
      <c r="BAY69" s="26"/>
      <c r="BAZ69" s="26"/>
      <c r="BBA69" s="26"/>
      <c r="BBB69" s="26"/>
      <c r="BBC69" s="26"/>
      <c r="BBD69" s="26"/>
      <c r="BBE69" s="26"/>
      <c r="BBF69" s="26"/>
      <c r="BBG69" s="26"/>
      <c r="BBH69" s="26"/>
      <c r="BBI69" s="26"/>
      <c r="BBJ69" s="26"/>
      <c r="BBK69" s="26"/>
      <c r="BBL69" s="26"/>
      <c r="BBM69" s="26"/>
      <c r="BBN69" s="26"/>
      <c r="BBO69" s="26"/>
      <c r="BBP69" s="26"/>
      <c r="BBQ69" s="26"/>
      <c r="BBR69" s="26"/>
      <c r="BBS69" s="26"/>
      <c r="BBT69" s="26"/>
      <c r="BBU69" s="26"/>
      <c r="BBV69" s="26"/>
      <c r="BBW69" s="26"/>
      <c r="BBX69" s="26"/>
      <c r="BBY69" s="26"/>
      <c r="BBZ69" s="26"/>
      <c r="BCA69" s="26"/>
      <c r="BCB69" s="26"/>
      <c r="BCC69" s="26"/>
      <c r="BCD69" s="26"/>
      <c r="BCE69" s="26"/>
      <c r="BCF69" s="26"/>
      <c r="BCG69" s="26"/>
      <c r="BCH69" s="26"/>
      <c r="BCI69" s="26"/>
      <c r="BCJ69" s="26"/>
      <c r="BCK69" s="26"/>
      <c r="BCL69" s="26"/>
      <c r="BCM69" s="26"/>
      <c r="BCN69" s="26"/>
      <c r="BCO69" s="26"/>
      <c r="BCP69" s="26"/>
      <c r="BCQ69" s="26"/>
      <c r="BCR69" s="26"/>
      <c r="BCS69" s="26"/>
      <c r="BCT69" s="26"/>
      <c r="BCU69" s="26"/>
      <c r="BCV69" s="26"/>
      <c r="BCW69" s="26"/>
      <c r="BCX69" s="26"/>
      <c r="BCY69" s="26"/>
      <c r="BCZ69" s="26"/>
      <c r="BDA69" s="26"/>
      <c r="BDB69" s="26"/>
      <c r="BDC69" s="26"/>
      <c r="BDD69" s="26"/>
      <c r="BDE69" s="26"/>
      <c r="BDF69" s="26"/>
      <c r="BDG69" s="26"/>
      <c r="BDH69" s="26"/>
      <c r="BDI69" s="26"/>
      <c r="BDJ69" s="26"/>
      <c r="BDK69" s="26"/>
      <c r="BDL69" s="26"/>
      <c r="BDM69" s="26"/>
      <c r="BDN69" s="26"/>
      <c r="BDO69" s="26"/>
      <c r="BDP69" s="26"/>
      <c r="BDQ69" s="26"/>
      <c r="BDR69" s="26"/>
      <c r="BDS69" s="26"/>
      <c r="BDT69" s="26"/>
      <c r="BDU69" s="26"/>
      <c r="BDV69" s="26"/>
      <c r="BDW69" s="26"/>
      <c r="BDX69" s="26"/>
      <c r="BDY69" s="26"/>
      <c r="BDZ69" s="26"/>
      <c r="BEA69" s="26"/>
      <c r="BEB69" s="26"/>
      <c r="BEC69" s="26"/>
      <c r="BED69" s="26"/>
      <c r="BEE69" s="26"/>
      <c r="BEF69" s="26"/>
      <c r="BEG69" s="26"/>
      <c r="BEH69" s="26"/>
      <c r="BEI69" s="26"/>
      <c r="BEJ69" s="26"/>
      <c r="BEK69" s="26"/>
      <c r="BEL69" s="26"/>
      <c r="BEM69" s="26"/>
      <c r="BEN69" s="26"/>
      <c r="BEO69" s="26"/>
      <c r="BEP69" s="26"/>
      <c r="BEQ69" s="26"/>
      <c r="BER69" s="26"/>
      <c r="BES69" s="26"/>
      <c r="BET69" s="26"/>
      <c r="BEU69" s="26"/>
      <c r="BEV69" s="26"/>
      <c r="BEW69" s="26"/>
      <c r="BEX69" s="26"/>
      <c r="BEY69" s="26"/>
      <c r="BEZ69" s="26"/>
      <c r="BFA69" s="26"/>
      <c r="BFB69" s="26"/>
      <c r="BFC69" s="26"/>
      <c r="BFD69" s="26"/>
      <c r="BFE69" s="26"/>
      <c r="BFF69" s="26"/>
      <c r="BFG69" s="26"/>
      <c r="BFH69" s="26"/>
      <c r="BFI69" s="26"/>
      <c r="BFJ69" s="26"/>
      <c r="BFK69" s="26"/>
      <c r="BFL69" s="26"/>
      <c r="BFM69" s="26"/>
      <c r="BFN69" s="26"/>
      <c r="BFO69" s="26"/>
      <c r="BFP69" s="26"/>
      <c r="BFQ69" s="26"/>
      <c r="BFR69" s="26"/>
      <c r="BFS69" s="26"/>
      <c r="BFT69" s="26"/>
      <c r="BFU69" s="26"/>
      <c r="BFV69" s="26"/>
      <c r="BFW69" s="26"/>
      <c r="BFX69" s="26"/>
      <c r="BFY69" s="26"/>
      <c r="BFZ69" s="26"/>
      <c r="BGA69" s="26"/>
      <c r="BGB69" s="26"/>
      <c r="BGC69" s="26"/>
      <c r="BGD69" s="26"/>
      <c r="BGE69" s="26"/>
      <c r="BGF69" s="26"/>
      <c r="BGG69" s="26"/>
      <c r="BGH69" s="26"/>
      <c r="BGI69" s="26"/>
      <c r="BGJ69" s="26"/>
      <c r="BGK69" s="26"/>
      <c r="BGL69" s="26"/>
      <c r="BGM69" s="26"/>
      <c r="BGN69" s="26"/>
      <c r="BGO69" s="26"/>
      <c r="BGP69" s="26"/>
      <c r="BGQ69" s="26"/>
      <c r="BGR69" s="26"/>
      <c r="BGS69" s="26"/>
      <c r="BGT69" s="26"/>
      <c r="BGU69" s="26"/>
      <c r="BGV69" s="26"/>
      <c r="BGW69" s="26"/>
      <c r="BGX69" s="26"/>
      <c r="BGY69" s="26"/>
      <c r="BGZ69" s="26"/>
      <c r="BHA69" s="26"/>
      <c r="BHB69" s="26"/>
      <c r="BHC69" s="26"/>
      <c r="BHD69" s="26"/>
      <c r="BHE69" s="26"/>
      <c r="BHF69" s="26"/>
      <c r="BHG69" s="26"/>
      <c r="BHH69" s="26"/>
      <c r="BHI69" s="26"/>
      <c r="BHJ69" s="26"/>
      <c r="BHK69" s="26"/>
      <c r="BHL69" s="26"/>
      <c r="BHM69" s="26"/>
      <c r="BHN69" s="26"/>
      <c r="BHO69" s="26"/>
      <c r="BHP69" s="26"/>
      <c r="BHQ69" s="26"/>
      <c r="BHR69" s="26"/>
      <c r="BHS69" s="26"/>
      <c r="BHT69" s="26"/>
      <c r="BHU69" s="26"/>
      <c r="BHV69" s="26"/>
      <c r="BHW69" s="26"/>
      <c r="BHX69" s="26"/>
      <c r="BHY69" s="26"/>
      <c r="BHZ69" s="26"/>
      <c r="BIA69" s="26"/>
      <c r="BIB69" s="26"/>
      <c r="BIC69" s="26"/>
      <c r="BID69" s="26"/>
      <c r="BIE69" s="26"/>
      <c r="BIF69" s="26"/>
      <c r="BIG69" s="26"/>
      <c r="BIH69" s="26"/>
      <c r="BII69" s="26"/>
      <c r="BIJ69" s="26"/>
      <c r="BIK69" s="26"/>
      <c r="BIL69" s="26"/>
      <c r="BIM69" s="26"/>
      <c r="BIN69" s="26"/>
      <c r="BIO69" s="26"/>
      <c r="BIP69" s="26"/>
      <c r="BIQ69" s="26"/>
      <c r="BIR69" s="26"/>
      <c r="BIS69" s="26"/>
      <c r="BIT69" s="26"/>
      <c r="BIU69" s="26"/>
      <c r="BIV69" s="26"/>
      <c r="BIW69" s="26"/>
      <c r="BIX69" s="26"/>
      <c r="BIY69" s="26"/>
      <c r="BIZ69" s="26"/>
      <c r="BJA69" s="26"/>
      <c r="BJB69" s="26"/>
      <c r="BJC69" s="26"/>
      <c r="BJD69" s="26"/>
      <c r="BJE69" s="26"/>
      <c r="BJF69" s="26"/>
      <c r="BJG69" s="26"/>
      <c r="BJH69" s="26"/>
      <c r="BJI69" s="26"/>
      <c r="BJJ69" s="26"/>
      <c r="BJK69" s="26"/>
      <c r="BJL69" s="26"/>
      <c r="BJM69" s="26"/>
      <c r="BJN69" s="26"/>
      <c r="BJO69" s="26"/>
      <c r="BJP69" s="26"/>
      <c r="BJQ69" s="26"/>
      <c r="BJR69" s="26"/>
      <c r="BJS69" s="26"/>
      <c r="BJT69" s="26"/>
      <c r="BJU69" s="26"/>
      <c r="BJV69" s="26"/>
      <c r="BJW69" s="26"/>
      <c r="BJX69" s="26"/>
      <c r="BJY69" s="26"/>
      <c r="BJZ69" s="26"/>
      <c r="BKA69" s="26"/>
      <c r="BKB69" s="26"/>
      <c r="BKC69" s="26"/>
      <c r="BKD69" s="26"/>
      <c r="BKE69" s="26"/>
      <c r="BKF69" s="26"/>
      <c r="BKG69" s="26"/>
      <c r="BKH69" s="26"/>
      <c r="BKI69" s="26"/>
      <c r="BKJ69" s="26"/>
      <c r="BKK69" s="26"/>
      <c r="BKL69" s="26"/>
      <c r="BKM69" s="26"/>
      <c r="BKN69" s="26"/>
      <c r="BKO69" s="26"/>
      <c r="BKP69" s="26"/>
      <c r="BKQ69" s="26"/>
      <c r="BKR69" s="26"/>
      <c r="BKS69" s="26"/>
      <c r="BKT69" s="26"/>
      <c r="BKU69" s="26"/>
      <c r="BKV69" s="26"/>
      <c r="BKW69" s="26"/>
      <c r="BKX69" s="26"/>
      <c r="BKY69" s="26"/>
      <c r="BKZ69" s="26"/>
      <c r="BLA69" s="26"/>
      <c r="BLB69" s="26"/>
      <c r="BLC69" s="26"/>
      <c r="BLD69" s="26"/>
      <c r="BLE69" s="26"/>
      <c r="BLF69" s="26"/>
      <c r="BLG69" s="26"/>
      <c r="BLH69" s="26"/>
      <c r="BLI69" s="26"/>
      <c r="BLJ69" s="26"/>
      <c r="BLK69" s="26"/>
      <c r="BLL69" s="26"/>
      <c r="BLM69" s="26"/>
      <c r="BLN69" s="26"/>
      <c r="BLO69" s="26"/>
      <c r="BLP69" s="26"/>
      <c r="BLQ69" s="26"/>
      <c r="BLR69" s="26"/>
      <c r="BLS69" s="26"/>
      <c r="BLT69" s="26"/>
      <c r="BLU69" s="26"/>
      <c r="BLV69" s="26"/>
      <c r="BLW69" s="26"/>
      <c r="BLX69" s="26"/>
      <c r="BLY69" s="26"/>
      <c r="BLZ69" s="26"/>
      <c r="BMA69" s="26"/>
      <c r="BMB69" s="26"/>
      <c r="BMC69" s="26"/>
      <c r="BMD69" s="26"/>
      <c r="BME69" s="26"/>
      <c r="BMF69" s="26"/>
      <c r="BMG69" s="26"/>
      <c r="BMH69" s="26"/>
      <c r="BMI69" s="26"/>
      <c r="BMJ69" s="26"/>
      <c r="BMK69" s="26"/>
      <c r="BML69" s="26"/>
      <c r="BMM69" s="26"/>
      <c r="BMN69" s="26"/>
      <c r="BMO69" s="26"/>
      <c r="BMP69" s="26"/>
      <c r="BMQ69" s="26"/>
      <c r="BMR69" s="26"/>
      <c r="BMS69" s="26"/>
      <c r="BMT69" s="26"/>
      <c r="BMU69" s="26"/>
      <c r="BMV69" s="26"/>
      <c r="BMW69" s="26"/>
      <c r="BMX69" s="26"/>
      <c r="BMY69" s="26"/>
      <c r="BMZ69" s="26"/>
      <c r="BNA69" s="26"/>
      <c r="BNB69" s="26"/>
      <c r="BNC69" s="26"/>
      <c r="BND69" s="26"/>
      <c r="BNE69" s="26"/>
      <c r="BNF69" s="26"/>
      <c r="BNG69" s="26"/>
      <c r="BNH69" s="26"/>
      <c r="BNI69" s="26"/>
      <c r="BNJ69" s="26"/>
      <c r="BNK69" s="26"/>
      <c r="BNL69" s="26"/>
      <c r="BNM69" s="26"/>
      <c r="BNN69" s="26"/>
      <c r="BNO69" s="26"/>
      <c r="BNP69" s="26"/>
      <c r="BNQ69" s="26"/>
      <c r="BNR69" s="26"/>
      <c r="BNS69" s="26"/>
      <c r="BNT69" s="26"/>
      <c r="BNU69" s="26"/>
      <c r="BNV69" s="26"/>
      <c r="BNW69" s="26"/>
      <c r="BNX69" s="26"/>
      <c r="BNY69" s="26"/>
      <c r="BNZ69" s="26"/>
      <c r="BOA69" s="26"/>
      <c r="BOB69" s="26"/>
      <c r="BOC69" s="26"/>
      <c r="BOD69" s="26"/>
      <c r="BOE69" s="26"/>
      <c r="BOF69" s="26"/>
      <c r="BOG69" s="26"/>
      <c r="BOH69" s="26"/>
      <c r="BOI69" s="26"/>
      <c r="BOJ69" s="26"/>
      <c r="BOK69" s="26"/>
      <c r="BOL69" s="26"/>
      <c r="BOM69" s="26"/>
      <c r="BON69" s="26"/>
      <c r="BOO69" s="26"/>
      <c r="BOP69" s="26"/>
      <c r="BOQ69" s="26"/>
      <c r="BOR69" s="26"/>
      <c r="BOS69" s="26"/>
      <c r="BOT69" s="26"/>
      <c r="BOU69" s="26"/>
      <c r="BOV69" s="26"/>
      <c r="BOW69" s="26"/>
      <c r="BOX69" s="26"/>
      <c r="BOY69" s="26"/>
      <c r="BOZ69" s="26"/>
      <c r="BPA69" s="26"/>
      <c r="BPB69" s="26"/>
      <c r="BPC69" s="26"/>
      <c r="BPD69" s="26"/>
      <c r="BPE69" s="26"/>
      <c r="BPF69" s="26"/>
      <c r="BPG69" s="26"/>
      <c r="BPH69" s="26"/>
      <c r="BPI69" s="26"/>
      <c r="BPJ69" s="26"/>
      <c r="BPK69" s="26"/>
      <c r="BPL69" s="26"/>
      <c r="BPM69" s="26"/>
      <c r="BPN69" s="26"/>
      <c r="BPO69" s="26"/>
      <c r="BPP69" s="26"/>
      <c r="BPQ69" s="26"/>
      <c r="BPR69" s="26"/>
      <c r="BPS69" s="26"/>
      <c r="BPT69" s="26"/>
      <c r="BPU69" s="26"/>
      <c r="BPV69" s="26"/>
      <c r="BPW69" s="26"/>
      <c r="BPX69" s="26"/>
      <c r="BPY69" s="26"/>
      <c r="BPZ69" s="26"/>
      <c r="BQA69" s="26"/>
      <c r="BQB69" s="26"/>
      <c r="BQC69" s="26"/>
      <c r="BQD69" s="26"/>
      <c r="BQE69" s="26"/>
      <c r="BQF69" s="26"/>
      <c r="BQG69" s="26"/>
      <c r="BQH69" s="26"/>
      <c r="BQI69" s="26"/>
      <c r="BQJ69" s="26"/>
      <c r="BQK69" s="26"/>
      <c r="BQL69" s="26"/>
      <c r="BQM69" s="26"/>
      <c r="BQN69" s="26"/>
      <c r="BQO69" s="26"/>
      <c r="BQP69" s="26"/>
      <c r="BQQ69" s="26"/>
      <c r="BQR69" s="26"/>
      <c r="BQS69" s="26"/>
      <c r="BQT69" s="26"/>
      <c r="BQU69" s="26"/>
      <c r="BQV69" s="26"/>
      <c r="BQW69" s="26"/>
      <c r="BQX69" s="26"/>
      <c r="BQY69" s="26"/>
      <c r="BQZ69" s="26"/>
      <c r="BRA69" s="26"/>
      <c r="BRB69" s="26"/>
      <c r="BRC69" s="26"/>
      <c r="BRD69" s="26"/>
      <c r="BRE69" s="26"/>
      <c r="BRF69" s="26"/>
      <c r="BRG69" s="26"/>
      <c r="BRH69" s="26"/>
      <c r="BRI69" s="26"/>
      <c r="BRJ69" s="26"/>
      <c r="BRK69" s="26"/>
      <c r="BRL69" s="26"/>
      <c r="BRM69" s="26"/>
      <c r="BRN69" s="26"/>
      <c r="BRO69" s="26"/>
      <c r="BRP69" s="26"/>
      <c r="BRQ69" s="26"/>
      <c r="BRR69" s="26"/>
      <c r="BRS69" s="26"/>
      <c r="BRT69" s="26"/>
      <c r="BRU69" s="26"/>
      <c r="BRV69" s="26"/>
      <c r="BRW69" s="26"/>
      <c r="BRX69" s="26"/>
      <c r="BRY69" s="26"/>
      <c r="BRZ69" s="26"/>
      <c r="BSA69" s="26"/>
      <c r="BSB69" s="26"/>
      <c r="BSC69" s="26"/>
      <c r="BSD69" s="26"/>
      <c r="BSE69" s="26"/>
      <c r="BSF69" s="26"/>
      <c r="BSG69" s="26"/>
      <c r="BSH69" s="26"/>
      <c r="BSI69" s="26"/>
      <c r="BSJ69" s="26"/>
      <c r="BSK69" s="26"/>
      <c r="BSL69" s="26"/>
      <c r="BSM69" s="26"/>
      <c r="BSN69" s="26"/>
      <c r="BSO69" s="26"/>
      <c r="BSP69" s="26"/>
      <c r="BSQ69" s="26"/>
      <c r="BSR69" s="26"/>
      <c r="BSS69" s="26"/>
      <c r="BST69" s="26"/>
      <c r="BSU69" s="26"/>
      <c r="BSV69" s="26"/>
      <c r="BSW69" s="26"/>
      <c r="BSX69" s="26"/>
      <c r="BSY69" s="26"/>
      <c r="BSZ69" s="26"/>
      <c r="BTA69" s="26"/>
      <c r="BTB69" s="26"/>
      <c r="BTC69" s="26"/>
      <c r="BTD69" s="26"/>
      <c r="BTE69" s="26"/>
      <c r="BTF69" s="26"/>
      <c r="BTG69" s="26"/>
      <c r="BTH69" s="26"/>
      <c r="BTI69" s="26"/>
      <c r="BTJ69" s="26"/>
      <c r="BTK69" s="26"/>
      <c r="BTL69" s="26"/>
      <c r="BTM69" s="26"/>
      <c r="BTN69" s="26"/>
      <c r="BTO69" s="26"/>
      <c r="BTP69" s="26"/>
      <c r="BTQ69" s="26"/>
      <c r="BTR69" s="26"/>
      <c r="BTS69" s="26"/>
      <c r="BTT69" s="26"/>
      <c r="BTU69" s="26"/>
      <c r="BTV69" s="26"/>
      <c r="BTW69" s="26"/>
      <c r="BTX69" s="26"/>
      <c r="BTY69" s="26"/>
      <c r="BTZ69" s="26"/>
      <c r="BUA69" s="26"/>
      <c r="BUB69" s="26"/>
      <c r="BUC69" s="26"/>
      <c r="BUD69" s="26"/>
      <c r="BUE69" s="26"/>
      <c r="BUF69" s="26"/>
      <c r="BUG69" s="26"/>
      <c r="BUH69" s="26"/>
      <c r="BUI69" s="26"/>
      <c r="BUJ69" s="26"/>
      <c r="BUK69" s="26"/>
      <c r="BUL69" s="26"/>
      <c r="BUM69" s="26"/>
      <c r="BUN69" s="26"/>
      <c r="BUO69" s="26"/>
      <c r="BUP69" s="26"/>
      <c r="BUQ69" s="26"/>
      <c r="BUR69" s="26"/>
      <c r="BUS69" s="26"/>
      <c r="BUT69" s="26"/>
      <c r="BUU69" s="26"/>
      <c r="BUV69" s="26"/>
      <c r="BUW69" s="26"/>
      <c r="BUX69" s="26"/>
      <c r="BUY69" s="26"/>
      <c r="BUZ69" s="26"/>
      <c r="BVA69" s="26"/>
      <c r="BVB69" s="26"/>
      <c r="BVC69" s="26"/>
      <c r="BVD69" s="26"/>
      <c r="BVE69" s="26"/>
      <c r="BVF69" s="26"/>
      <c r="BVG69" s="26"/>
      <c r="BVH69" s="26"/>
      <c r="BVI69" s="26"/>
      <c r="BVJ69" s="26"/>
      <c r="BVK69" s="26"/>
      <c r="BVL69" s="26"/>
      <c r="BVM69" s="26"/>
      <c r="BVN69" s="26"/>
      <c r="BVO69" s="26"/>
      <c r="BVP69" s="26"/>
      <c r="BVQ69" s="26"/>
      <c r="BVR69" s="26"/>
      <c r="BVS69" s="26"/>
      <c r="BVT69" s="26"/>
      <c r="BVU69" s="26"/>
      <c r="BVV69" s="26"/>
      <c r="BVW69" s="26"/>
      <c r="BVX69" s="26"/>
      <c r="BVY69" s="26"/>
      <c r="BVZ69" s="26"/>
      <c r="BWA69" s="26"/>
      <c r="BWB69" s="26"/>
      <c r="BWC69" s="26"/>
      <c r="BWD69" s="26"/>
      <c r="BWE69" s="26"/>
      <c r="BWF69" s="26"/>
      <c r="BWG69" s="26"/>
      <c r="BWH69" s="26"/>
      <c r="BWI69" s="26"/>
      <c r="BWJ69" s="26"/>
      <c r="BWK69" s="26"/>
      <c r="BWL69" s="26"/>
      <c r="BWM69" s="26"/>
      <c r="BWN69" s="26"/>
      <c r="BWO69" s="26"/>
      <c r="BWP69" s="26"/>
      <c r="BWQ69" s="26"/>
      <c r="BWR69" s="26"/>
      <c r="BWS69" s="26"/>
      <c r="BWT69" s="26"/>
      <c r="BWU69" s="26"/>
      <c r="BWV69" s="26"/>
      <c r="BWW69" s="26"/>
      <c r="BWX69" s="26"/>
      <c r="BWY69" s="26"/>
      <c r="BWZ69" s="26"/>
      <c r="BXA69" s="26"/>
      <c r="BXB69" s="26"/>
      <c r="BXC69" s="26"/>
      <c r="BXD69" s="26"/>
      <c r="BXE69" s="26"/>
      <c r="BXF69" s="26"/>
      <c r="BXG69" s="26"/>
      <c r="BXH69" s="26"/>
      <c r="BXI69" s="26"/>
      <c r="BXJ69" s="26"/>
      <c r="BXK69" s="26"/>
      <c r="BXL69" s="26"/>
      <c r="BXM69" s="26"/>
      <c r="BXN69" s="26"/>
      <c r="BXO69" s="26"/>
      <c r="BXP69" s="26"/>
      <c r="BXQ69" s="26"/>
      <c r="BXR69" s="26"/>
      <c r="BXS69" s="26"/>
      <c r="BXT69" s="26"/>
      <c r="BXU69" s="26"/>
      <c r="BXV69" s="26"/>
      <c r="BXW69" s="26"/>
      <c r="BXX69" s="26"/>
      <c r="BXY69" s="26"/>
      <c r="BXZ69" s="26"/>
      <c r="BYA69" s="26"/>
      <c r="BYB69" s="26"/>
      <c r="BYC69" s="26"/>
      <c r="BYD69" s="26"/>
      <c r="BYE69" s="26"/>
      <c r="BYF69" s="26"/>
      <c r="BYG69" s="26"/>
      <c r="BYH69" s="26"/>
      <c r="BYI69" s="26"/>
      <c r="BYJ69" s="26"/>
      <c r="BYK69" s="26"/>
      <c r="BYL69" s="26"/>
      <c r="BYM69" s="26"/>
      <c r="BYN69" s="26"/>
      <c r="BYO69" s="26"/>
      <c r="BYP69" s="26"/>
      <c r="BYQ69" s="26"/>
      <c r="BYR69" s="26"/>
      <c r="BYS69" s="26"/>
      <c r="BYT69" s="26"/>
      <c r="BYU69" s="26"/>
      <c r="BYV69" s="26"/>
      <c r="BYW69" s="26"/>
      <c r="BYX69" s="26"/>
      <c r="BYY69" s="26"/>
      <c r="BYZ69" s="26"/>
      <c r="BZA69" s="26"/>
      <c r="BZB69" s="26"/>
      <c r="BZC69" s="26"/>
      <c r="BZD69" s="26"/>
      <c r="BZE69" s="26"/>
      <c r="BZF69" s="26"/>
      <c r="BZG69" s="26"/>
      <c r="BZH69" s="26"/>
      <c r="BZI69" s="26"/>
      <c r="BZJ69" s="26"/>
      <c r="BZK69" s="26"/>
      <c r="BZL69" s="26"/>
      <c r="BZM69" s="26"/>
      <c r="BZN69" s="26"/>
      <c r="BZO69" s="26"/>
      <c r="BZP69" s="26"/>
      <c r="BZQ69" s="26"/>
      <c r="BZR69" s="26"/>
      <c r="BZS69" s="26"/>
      <c r="BZT69" s="26"/>
      <c r="BZU69" s="26"/>
      <c r="BZV69" s="26"/>
      <c r="BZW69" s="26"/>
      <c r="BZX69" s="26"/>
      <c r="BZY69" s="26"/>
      <c r="BZZ69" s="26"/>
      <c r="CAA69" s="26"/>
      <c r="CAB69" s="26"/>
      <c r="CAC69" s="26"/>
      <c r="CAD69" s="26"/>
      <c r="CAE69" s="26"/>
      <c r="CAF69" s="26"/>
      <c r="CAG69" s="26"/>
      <c r="CAH69" s="26"/>
      <c r="CAI69" s="26"/>
      <c r="CAJ69" s="26"/>
      <c r="CAK69" s="26"/>
      <c r="CAL69" s="26"/>
      <c r="CAM69" s="26"/>
      <c r="CAN69" s="26"/>
      <c r="CAO69" s="26"/>
      <c r="CAP69" s="26"/>
      <c r="CAQ69" s="26"/>
      <c r="CAR69" s="26"/>
      <c r="CAS69" s="26"/>
      <c r="CAT69" s="26"/>
      <c r="CAU69" s="26"/>
      <c r="CAV69" s="26"/>
      <c r="CAW69" s="26"/>
      <c r="CAX69" s="26"/>
      <c r="CAY69" s="26"/>
      <c r="CAZ69" s="26"/>
      <c r="CBA69" s="26"/>
      <c r="CBB69" s="26"/>
      <c r="CBC69" s="26"/>
      <c r="CBD69" s="26"/>
      <c r="CBE69" s="26"/>
      <c r="CBF69" s="26"/>
      <c r="CBG69" s="26"/>
      <c r="CBH69" s="26"/>
      <c r="CBI69" s="26"/>
      <c r="CBJ69" s="26"/>
      <c r="CBK69" s="26"/>
      <c r="CBL69" s="26"/>
      <c r="CBM69" s="26"/>
      <c r="CBN69" s="26"/>
      <c r="CBO69" s="26"/>
      <c r="CBP69" s="26"/>
      <c r="CBQ69" s="26"/>
      <c r="CBR69" s="26"/>
      <c r="CBS69" s="26"/>
      <c r="CBT69" s="26"/>
      <c r="CBU69" s="26"/>
      <c r="CBV69" s="26"/>
      <c r="CBW69" s="26"/>
      <c r="CBX69" s="26"/>
      <c r="CBY69" s="26"/>
      <c r="CBZ69" s="26"/>
      <c r="CCA69" s="26"/>
      <c r="CCB69" s="26"/>
      <c r="CCC69" s="26"/>
      <c r="CCD69" s="26"/>
      <c r="CCE69" s="26"/>
      <c r="CCF69" s="26"/>
      <c r="CCG69" s="26"/>
      <c r="CCH69" s="26"/>
      <c r="CCI69" s="26"/>
      <c r="CCJ69" s="26"/>
      <c r="CCK69" s="26"/>
      <c r="CCL69" s="26"/>
      <c r="CCM69" s="26"/>
      <c r="CCN69" s="26"/>
      <c r="CCO69" s="26"/>
      <c r="CCP69" s="26"/>
      <c r="CCQ69" s="26"/>
      <c r="CCR69" s="26"/>
      <c r="CCS69" s="26"/>
      <c r="CCT69" s="26"/>
      <c r="CCU69" s="26"/>
      <c r="CCV69" s="26"/>
      <c r="CCW69" s="26"/>
      <c r="CCX69" s="26"/>
      <c r="CCY69" s="26"/>
      <c r="CCZ69" s="26"/>
      <c r="CDA69" s="26"/>
      <c r="CDB69" s="26"/>
      <c r="CDC69" s="26"/>
      <c r="CDD69" s="26"/>
      <c r="CDE69" s="26"/>
      <c r="CDF69" s="26"/>
      <c r="CDG69" s="26"/>
      <c r="CDH69" s="26"/>
      <c r="CDI69" s="26"/>
      <c r="CDJ69" s="26"/>
      <c r="CDK69" s="26"/>
      <c r="CDL69" s="26"/>
      <c r="CDM69" s="26"/>
      <c r="CDN69" s="26"/>
      <c r="CDO69" s="26"/>
      <c r="CDP69" s="26"/>
      <c r="CDQ69" s="26"/>
      <c r="CDR69" s="26"/>
      <c r="CDS69" s="26"/>
      <c r="CDT69" s="26"/>
      <c r="CDU69" s="26"/>
      <c r="CDV69" s="26"/>
      <c r="CDW69" s="26"/>
      <c r="CDX69" s="26"/>
      <c r="CDY69" s="26"/>
      <c r="CDZ69" s="26"/>
      <c r="CEA69" s="26"/>
      <c r="CEB69" s="26"/>
      <c r="CEC69" s="26"/>
      <c r="CED69" s="26"/>
      <c r="CEE69" s="26"/>
      <c r="CEF69" s="26"/>
      <c r="CEG69" s="26"/>
      <c r="CEH69" s="26"/>
      <c r="CEI69" s="26"/>
      <c r="CEJ69" s="26"/>
      <c r="CEK69" s="26"/>
      <c r="CEL69" s="26"/>
      <c r="CEM69" s="26"/>
      <c r="CEN69" s="26"/>
      <c r="CEO69" s="26"/>
      <c r="CEP69" s="26"/>
      <c r="CEQ69" s="26"/>
      <c r="CER69" s="26"/>
      <c r="CES69" s="26"/>
      <c r="CET69" s="26"/>
      <c r="CEU69" s="26"/>
      <c r="CEV69" s="26"/>
      <c r="CEW69" s="26"/>
      <c r="CEX69" s="26"/>
      <c r="CEY69" s="26"/>
      <c r="CEZ69" s="26"/>
      <c r="CFA69" s="26"/>
      <c r="CFB69" s="26"/>
      <c r="CFC69" s="26"/>
      <c r="CFD69" s="26"/>
      <c r="CFE69" s="26"/>
      <c r="CFF69" s="26"/>
      <c r="CFG69" s="26"/>
      <c r="CFH69" s="26"/>
      <c r="CFI69" s="26"/>
      <c r="CFJ69" s="26"/>
      <c r="CFK69" s="26"/>
      <c r="CFL69" s="26"/>
      <c r="CFM69" s="26"/>
      <c r="CFN69" s="26"/>
      <c r="CFO69" s="26"/>
      <c r="CFP69" s="26"/>
      <c r="CFQ69" s="26"/>
      <c r="CFR69" s="26"/>
      <c r="CFS69" s="26"/>
      <c r="CFT69" s="26"/>
      <c r="CFU69" s="26"/>
      <c r="CFV69" s="26"/>
      <c r="CFW69" s="26"/>
      <c r="CFX69" s="26"/>
      <c r="CFY69" s="26"/>
      <c r="CFZ69" s="26"/>
      <c r="CGA69" s="26"/>
      <c r="CGB69" s="26"/>
      <c r="CGC69" s="26"/>
      <c r="CGD69" s="26"/>
      <c r="CGE69" s="26"/>
      <c r="CGF69" s="26"/>
      <c r="CGG69" s="26"/>
      <c r="CGH69" s="26"/>
      <c r="CGI69" s="26"/>
      <c r="CGJ69" s="26"/>
      <c r="CGK69" s="26"/>
      <c r="CGL69" s="26"/>
      <c r="CGM69" s="26"/>
      <c r="CGN69" s="26"/>
      <c r="CGO69" s="26"/>
      <c r="CGP69" s="26"/>
      <c r="CGQ69" s="26"/>
      <c r="CGR69" s="26"/>
      <c r="CGS69" s="26"/>
      <c r="CGT69" s="26"/>
      <c r="CGU69" s="26"/>
      <c r="CGV69" s="26"/>
      <c r="CGW69" s="26"/>
      <c r="CGX69" s="26"/>
      <c r="CGY69" s="26"/>
      <c r="CGZ69" s="26"/>
      <c r="CHA69" s="26"/>
      <c r="CHB69" s="26"/>
      <c r="CHC69" s="26"/>
      <c r="CHD69" s="26"/>
      <c r="CHE69" s="26"/>
      <c r="CHF69" s="26"/>
      <c r="CHG69" s="26"/>
      <c r="CHH69" s="26"/>
      <c r="CHI69" s="26"/>
      <c r="CHJ69" s="26"/>
      <c r="CHK69" s="26"/>
      <c r="CHL69" s="26"/>
      <c r="CHM69" s="26"/>
      <c r="CHN69" s="26"/>
      <c r="CHO69" s="26"/>
      <c r="CHP69" s="26"/>
      <c r="CHQ69" s="26"/>
      <c r="CHR69" s="26"/>
      <c r="CHS69" s="26"/>
      <c r="CHT69" s="26"/>
      <c r="CHU69" s="26"/>
      <c r="CHV69" s="26"/>
      <c r="CHW69" s="26"/>
      <c r="CHX69" s="26"/>
      <c r="CHY69" s="26"/>
      <c r="CHZ69" s="26"/>
      <c r="CIA69" s="26"/>
      <c r="CIB69" s="26"/>
      <c r="CIC69" s="26"/>
      <c r="CID69" s="26"/>
      <c r="CIE69" s="26"/>
      <c r="CIF69" s="26"/>
      <c r="CIG69" s="26"/>
      <c r="CIH69" s="26"/>
      <c r="CII69" s="26"/>
      <c r="CIJ69" s="26"/>
      <c r="CIK69" s="26"/>
      <c r="CIL69" s="26"/>
      <c r="CIM69" s="26"/>
      <c r="CIN69" s="26"/>
      <c r="CIO69" s="26"/>
      <c r="CIP69" s="26"/>
      <c r="CIQ69" s="26"/>
      <c r="CIR69" s="26"/>
      <c r="CIS69" s="26"/>
      <c r="CIT69" s="26"/>
      <c r="CIU69" s="26"/>
      <c r="CIV69" s="26"/>
      <c r="CIW69" s="26"/>
      <c r="CIX69" s="26"/>
      <c r="CIY69" s="26"/>
      <c r="CIZ69" s="26"/>
      <c r="CJA69" s="26"/>
      <c r="CJB69" s="26"/>
      <c r="CJC69" s="26"/>
      <c r="CJD69" s="26"/>
      <c r="CJE69" s="26"/>
      <c r="CJF69" s="26"/>
      <c r="CJG69" s="26"/>
      <c r="CJH69" s="26"/>
      <c r="CJI69" s="26"/>
      <c r="CJJ69" s="26"/>
      <c r="CJK69" s="26"/>
      <c r="CJL69" s="26"/>
      <c r="CJM69" s="26"/>
      <c r="CJN69" s="26"/>
      <c r="CJO69" s="26"/>
      <c r="CJP69" s="26"/>
      <c r="CJQ69" s="26"/>
      <c r="CJR69" s="26"/>
      <c r="CJS69" s="26"/>
      <c r="CJT69" s="26"/>
      <c r="CJU69" s="26"/>
      <c r="CJV69" s="26"/>
      <c r="CJW69" s="26"/>
      <c r="CJX69" s="26"/>
      <c r="CJY69" s="26"/>
      <c r="CJZ69" s="26"/>
      <c r="CKA69" s="26"/>
      <c r="CKB69" s="26"/>
      <c r="CKC69" s="26"/>
      <c r="CKD69" s="26"/>
      <c r="CKE69" s="26"/>
      <c r="CKF69" s="26"/>
      <c r="CKG69" s="26"/>
      <c r="CKH69" s="26"/>
      <c r="CKI69" s="26"/>
      <c r="CKJ69" s="26"/>
      <c r="CKK69" s="26"/>
      <c r="CKL69" s="26"/>
      <c r="CKM69" s="26"/>
      <c r="CKN69" s="26"/>
      <c r="CKO69" s="26"/>
      <c r="CKP69" s="26"/>
      <c r="CKQ69" s="26"/>
      <c r="CKR69" s="26"/>
      <c r="CKS69" s="26"/>
      <c r="CKT69" s="26"/>
      <c r="CKU69" s="26"/>
      <c r="CKV69" s="26"/>
      <c r="CKW69" s="26"/>
      <c r="CKX69" s="26"/>
      <c r="CKY69" s="26"/>
      <c r="CKZ69" s="26"/>
      <c r="CLA69" s="26"/>
      <c r="CLB69" s="26"/>
      <c r="CLC69" s="26"/>
      <c r="CLD69" s="26"/>
      <c r="CLE69" s="26"/>
      <c r="CLF69" s="26"/>
      <c r="CLG69" s="26"/>
      <c r="CLH69" s="26"/>
      <c r="CLI69" s="26"/>
      <c r="CLJ69" s="26"/>
      <c r="CLK69" s="26"/>
      <c r="CLL69" s="26"/>
      <c r="CLM69" s="26"/>
      <c r="CLN69" s="26"/>
      <c r="CLO69" s="26"/>
      <c r="CLP69" s="26"/>
      <c r="CLQ69" s="26"/>
      <c r="CLR69" s="26"/>
      <c r="CLS69" s="26"/>
      <c r="CLT69" s="26"/>
      <c r="CLU69" s="26"/>
      <c r="CLV69" s="26"/>
      <c r="CLW69" s="26"/>
      <c r="CLX69" s="26"/>
      <c r="CLY69" s="26"/>
      <c r="CLZ69" s="26"/>
      <c r="CMA69" s="26"/>
      <c r="CMB69" s="26"/>
      <c r="CMC69" s="26"/>
      <c r="CMD69" s="26"/>
      <c r="CME69" s="26"/>
      <c r="CMF69" s="26"/>
      <c r="CMG69" s="26"/>
      <c r="CMH69" s="26"/>
      <c r="CMI69" s="26"/>
      <c r="CMJ69" s="26"/>
      <c r="CMK69" s="26"/>
      <c r="CML69" s="26"/>
      <c r="CMM69" s="26"/>
      <c r="CMN69" s="26"/>
      <c r="CMO69" s="26"/>
      <c r="CMP69" s="26"/>
      <c r="CMQ69" s="26"/>
      <c r="CMR69" s="26"/>
      <c r="CMS69" s="26"/>
      <c r="CMT69" s="26"/>
      <c r="CMU69" s="26"/>
      <c r="CMV69" s="26"/>
      <c r="CMW69" s="26"/>
      <c r="CMX69" s="26"/>
      <c r="CMY69" s="26"/>
      <c r="CMZ69" s="26"/>
      <c r="CNA69" s="26"/>
      <c r="CNB69" s="26"/>
      <c r="CNC69" s="26"/>
      <c r="CND69" s="26"/>
      <c r="CNE69" s="26"/>
      <c r="CNF69" s="26"/>
      <c r="CNG69" s="26"/>
      <c r="CNH69" s="26"/>
      <c r="CNI69" s="26"/>
      <c r="CNJ69" s="26"/>
      <c r="CNK69" s="26"/>
      <c r="CNL69" s="26"/>
      <c r="CNM69" s="26"/>
      <c r="CNN69" s="26"/>
      <c r="CNO69" s="26"/>
      <c r="CNP69" s="26"/>
      <c r="CNQ69" s="26"/>
      <c r="CNR69" s="26"/>
      <c r="CNS69" s="26"/>
      <c r="CNT69" s="26"/>
      <c r="CNU69" s="26"/>
      <c r="CNV69" s="26"/>
      <c r="CNW69" s="26"/>
      <c r="CNX69" s="26"/>
      <c r="CNY69" s="26"/>
      <c r="CNZ69" s="26"/>
      <c r="COA69" s="26"/>
      <c r="COB69" s="26"/>
      <c r="COC69" s="26"/>
      <c r="COD69" s="26"/>
      <c r="COE69" s="26"/>
      <c r="COF69" s="26"/>
      <c r="COG69" s="26"/>
      <c r="COH69" s="26"/>
      <c r="COI69" s="26"/>
      <c r="COJ69" s="26"/>
      <c r="COK69" s="26"/>
      <c r="COL69" s="26"/>
      <c r="COM69" s="26"/>
      <c r="CON69" s="26"/>
      <c r="COO69" s="26"/>
      <c r="COP69" s="26"/>
      <c r="COQ69" s="26"/>
      <c r="COR69" s="26"/>
      <c r="COS69" s="26"/>
      <c r="COT69" s="26"/>
      <c r="COU69" s="26"/>
      <c r="COV69" s="26"/>
      <c r="COW69" s="26"/>
      <c r="COX69" s="26"/>
      <c r="COY69" s="26"/>
      <c r="COZ69" s="26"/>
      <c r="CPA69" s="26"/>
      <c r="CPB69" s="26"/>
      <c r="CPC69" s="26"/>
      <c r="CPD69" s="26"/>
      <c r="CPE69" s="26"/>
      <c r="CPF69" s="26"/>
      <c r="CPG69" s="26"/>
      <c r="CPH69" s="26"/>
      <c r="CPI69" s="26"/>
      <c r="CPJ69" s="26"/>
      <c r="CPK69" s="26"/>
      <c r="CPL69" s="26"/>
      <c r="CPM69" s="26"/>
      <c r="CPN69" s="26"/>
      <c r="CPO69" s="26"/>
      <c r="CPP69" s="26"/>
      <c r="CPQ69" s="26"/>
      <c r="CPR69" s="26"/>
      <c r="CPS69" s="26"/>
      <c r="CPT69" s="26"/>
      <c r="CPU69" s="26"/>
      <c r="CPV69" s="26"/>
      <c r="CPW69" s="26"/>
      <c r="CPX69" s="26"/>
      <c r="CPY69" s="26"/>
      <c r="CPZ69" s="26"/>
      <c r="CQA69" s="26"/>
      <c r="CQB69" s="26"/>
      <c r="CQC69" s="26"/>
      <c r="CQD69" s="26"/>
      <c r="CQE69" s="26"/>
      <c r="CQF69" s="26"/>
      <c r="CQG69" s="26"/>
      <c r="CQH69" s="26"/>
      <c r="CQI69" s="26"/>
      <c r="CQJ69" s="26"/>
      <c r="CQK69" s="26"/>
      <c r="CQL69" s="26"/>
      <c r="CQM69" s="26"/>
      <c r="CQN69" s="26"/>
      <c r="CQO69" s="26"/>
      <c r="CQP69" s="26"/>
      <c r="CQQ69" s="26"/>
      <c r="CQR69" s="26"/>
      <c r="CQS69" s="26"/>
      <c r="CQT69" s="26"/>
      <c r="CQU69" s="26"/>
      <c r="CQV69" s="26"/>
      <c r="CQW69" s="26"/>
      <c r="CQX69" s="26"/>
      <c r="CQY69" s="26"/>
      <c r="CQZ69" s="26"/>
      <c r="CRA69" s="26"/>
      <c r="CRB69" s="26"/>
      <c r="CRC69" s="26"/>
      <c r="CRD69" s="26"/>
      <c r="CRE69" s="26"/>
      <c r="CRF69" s="26"/>
      <c r="CRG69" s="26"/>
      <c r="CRH69" s="26"/>
      <c r="CRI69" s="26"/>
      <c r="CRJ69" s="26"/>
      <c r="CRK69" s="26"/>
      <c r="CRL69" s="26"/>
      <c r="CRM69" s="26"/>
      <c r="CRN69" s="26"/>
      <c r="CRO69" s="26"/>
      <c r="CRP69" s="26"/>
      <c r="CRQ69" s="26"/>
      <c r="CRR69" s="26"/>
      <c r="CRS69" s="26"/>
      <c r="CRT69" s="26"/>
      <c r="CRU69" s="26"/>
      <c r="CRV69" s="26"/>
      <c r="CRW69" s="26"/>
      <c r="CRX69" s="26"/>
      <c r="CRY69" s="26"/>
      <c r="CRZ69" s="26"/>
      <c r="CSA69" s="26"/>
      <c r="CSB69" s="26"/>
      <c r="CSC69" s="26"/>
      <c r="CSD69" s="26"/>
      <c r="CSE69" s="26"/>
      <c r="CSF69" s="26"/>
      <c r="CSG69" s="26"/>
      <c r="CSH69" s="26"/>
      <c r="CSI69" s="26"/>
      <c r="CSJ69" s="26"/>
      <c r="CSK69" s="26"/>
      <c r="CSL69" s="26"/>
      <c r="CSM69" s="26"/>
      <c r="CSN69" s="26"/>
      <c r="CSO69" s="26"/>
      <c r="CSP69" s="26"/>
      <c r="CSQ69" s="26"/>
      <c r="CSR69" s="26"/>
      <c r="CSS69" s="26"/>
      <c r="CST69" s="26"/>
      <c r="CSU69" s="26"/>
      <c r="CSV69" s="26"/>
      <c r="CSW69" s="26"/>
      <c r="CSX69" s="26"/>
      <c r="CSY69" s="26"/>
      <c r="CSZ69" s="26"/>
      <c r="CTA69" s="26"/>
      <c r="CTB69" s="26"/>
      <c r="CTC69" s="26"/>
      <c r="CTD69" s="26"/>
      <c r="CTE69" s="26"/>
      <c r="CTF69" s="26"/>
      <c r="CTG69" s="26"/>
      <c r="CTH69" s="26"/>
      <c r="CTI69" s="26"/>
      <c r="CTJ69" s="26"/>
      <c r="CTK69" s="26"/>
      <c r="CTL69" s="26"/>
      <c r="CTM69" s="26"/>
      <c r="CTN69" s="26"/>
      <c r="CTO69" s="26"/>
      <c r="CTP69" s="26"/>
      <c r="CTQ69" s="26"/>
      <c r="CTR69" s="26"/>
      <c r="CTS69" s="26"/>
      <c r="CTT69" s="26"/>
      <c r="CTU69" s="26"/>
      <c r="CTV69" s="26"/>
      <c r="CTW69" s="26"/>
      <c r="CTX69" s="26"/>
      <c r="CTY69" s="26"/>
      <c r="CTZ69" s="26"/>
      <c r="CUA69" s="26"/>
      <c r="CUB69" s="26"/>
      <c r="CUC69" s="26"/>
      <c r="CUD69" s="26"/>
      <c r="CUE69" s="26"/>
      <c r="CUF69" s="26"/>
      <c r="CUG69" s="26"/>
      <c r="CUH69" s="26"/>
      <c r="CUI69" s="26"/>
      <c r="CUJ69" s="26"/>
      <c r="CUK69" s="26"/>
      <c r="CUL69" s="26"/>
      <c r="CUM69" s="26"/>
      <c r="CUN69" s="26"/>
      <c r="CUO69" s="26"/>
      <c r="CUP69" s="26"/>
      <c r="CUQ69" s="26"/>
      <c r="CUR69" s="26"/>
      <c r="CUS69" s="26"/>
      <c r="CUT69" s="26"/>
      <c r="CUU69" s="26"/>
      <c r="CUV69" s="26"/>
      <c r="CUW69" s="26"/>
      <c r="CUX69" s="26"/>
      <c r="CUY69" s="26"/>
      <c r="CUZ69" s="26"/>
      <c r="CVA69" s="26"/>
      <c r="CVB69" s="26"/>
      <c r="CVC69" s="26"/>
      <c r="CVD69" s="26"/>
      <c r="CVE69" s="26"/>
      <c r="CVF69" s="26"/>
      <c r="CVG69" s="26"/>
      <c r="CVH69" s="26"/>
      <c r="CVI69" s="26"/>
      <c r="CVJ69" s="26"/>
      <c r="CVK69" s="26"/>
      <c r="CVL69" s="26"/>
      <c r="CVM69" s="26"/>
      <c r="CVN69" s="26"/>
      <c r="CVO69" s="26"/>
      <c r="CVP69" s="26"/>
      <c r="CVQ69" s="26"/>
      <c r="CVR69" s="26"/>
      <c r="CVS69" s="26"/>
      <c r="CVT69" s="26"/>
      <c r="CVU69" s="26"/>
      <c r="CVV69" s="26"/>
      <c r="CVW69" s="26"/>
      <c r="CVX69" s="26"/>
      <c r="CVY69" s="26"/>
      <c r="CVZ69" s="26"/>
      <c r="CWA69" s="26"/>
      <c r="CWB69" s="26"/>
      <c r="CWC69" s="26"/>
      <c r="CWD69" s="26"/>
      <c r="CWE69" s="26"/>
      <c r="CWF69" s="26"/>
      <c r="CWG69" s="26"/>
      <c r="CWH69" s="26"/>
      <c r="CWI69" s="26"/>
      <c r="CWJ69" s="26"/>
      <c r="CWK69" s="26"/>
      <c r="CWL69" s="26"/>
      <c r="CWM69" s="26"/>
      <c r="CWN69" s="26"/>
      <c r="CWO69" s="26"/>
      <c r="CWP69" s="26"/>
      <c r="CWQ69" s="26"/>
      <c r="CWR69" s="26"/>
      <c r="CWS69" s="26"/>
      <c r="CWT69" s="26"/>
      <c r="CWU69" s="26"/>
      <c r="CWV69" s="26"/>
      <c r="CWW69" s="26"/>
      <c r="CWX69" s="26"/>
      <c r="CWY69" s="26"/>
      <c r="CWZ69" s="26"/>
      <c r="CXA69" s="26"/>
      <c r="CXB69" s="26"/>
      <c r="CXC69" s="26"/>
      <c r="CXD69" s="26"/>
      <c r="CXE69" s="26"/>
      <c r="CXF69" s="26"/>
      <c r="CXG69" s="26"/>
      <c r="CXH69" s="26"/>
      <c r="CXI69" s="26"/>
      <c r="CXJ69" s="26"/>
      <c r="CXK69" s="26"/>
      <c r="CXL69" s="26"/>
      <c r="CXM69" s="26"/>
      <c r="CXN69" s="26"/>
      <c r="CXO69" s="26"/>
      <c r="CXP69" s="26"/>
      <c r="CXQ69" s="26"/>
      <c r="CXR69" s="26"/>
      <c r="CXS69" s="26"/>
      <c r="CXT69" s="26"/>
      <c r="CXU69" s="26"/>
      <c r="CXV69" s="26"/>
      <c r="CXW69" s="26"/>
      <c r="CXX69" s="26"/>
      <c r="CXY69" s="26"/>
      <c r="CXZ69" s="26"/>
      <c r="CYA69" s="26"/>
      <c r="CYB69" s="26"/>
      <c r="CYC69" s="26"/>
      <c r="CYD69" s="26"/>
      <c r="CYE69" s="26"/>
      <c r="CYF69" s="26"/>
      <c r="CYG69" s="26"/>
      <c r="CYH69" s="26"/>
      <c r="CYI69" s="26"/>
      <c r="CYJ69" s="26"/>
      <c r="CYK69" s="26"/>
      <c r="CYL69" s="26"/>
      <c r="CYM69" s="26"/>
      <c r="CYN69" s="26"/>
      <c r="CYO69" s="26"/>
      <c r="CYP69" s="26"/>
      <c r="CYQ69" s="26"/>
      <c r="CYR69" s="26"/>
      <c r="CYS69" s="26"/>
      <c r="CYT69" s="26"/>
      <c r="CYU69" s="26"/>
      <c r="CYV69" s="26"/>
      <c r="CYW69" s="26"/>
      <c r="CYX69" s="26"/>
      <c r="CYY69" s="26"/>
      <c r="CYZ69" s="26"/>
      <c r="CZA69" s="26"/>
      <c r="CZB69" s="26"/>
      <c r="CZC69" s="26"/>
      <c r="CZD69" s="26"/>
      <c r="CZE69" s="26"/>
      <c r="CZF69" s="26"/>
      <c r="CZG69" s="26"/>
      <c r="CZH69" s="26"/>
      <c r="CZI69" s="26"/>
      <c r="CZJ69" s="26"/>
      <c r="CZK69" s="26"/>
      <c r="CZL69" s="26"/>
      <c r="CZM69" s="26"/>
      <c r="CZN69" s="26"/>
      <c r="CZO69" s="26"/>
      <c r="CZP69" s="26"/>
      <c r="CZQ69" s="26"/>
      <c r="CZR69" s="26"/>
      <c r="CZS69" s="26"/>
      <c r="CZT69" s="26"/>
      <c r="CZU69" s="26"/>
      <c r="CZV69" s="26"/>
      <c r="CZW69" s="26"/>
      <c r="CZX69" s="26"/>
      <c r="CZY69" s="26"/>
      <c r="CZZ69" s="26"/>
      <c r="DAA69" s="26"/>
      <c r="DAB69" s="26"/>
      <c r="DAC69" s="26"/>
      <c r="DAD69" s="26"/>
      <c r="DAE69" s="26"/>
      <c r="DAF69" s="26"/>
      <c r="DAG69" s="26"/>
      <c r="DAH69" s="26"/>
      <c r="DAI69" s="26"/>
      <c r="DAJ69" s="26"/>
      <c r="DAK69" s="26"/>
      <c r="DAL69" s="26"/>
      <c r="DAM69" s="26"/>
      <c r="DAN69" s="26"/>
      <c r="DAO69" s="26"/>
      <c r="DAP69" s="26"/>
      <c r="DAQ69" s="26"/>
      <c r="DAR69" s="26"/>
      <c r="DAS69" s="26"/>
      <c r="DAT69" s="26"/>
      <c r="DAU69" s="26"/>
      <c r="DAV69" s="26"/>
      <c r="DAW69" s="26"/>
      <c r="DAX69" s="26"/>
      <c r="DAY69" s="26"/>
      <c r="DAZ69" s="26"/>
      <c r="DBA69" s="26"/>
      <c r="DBB69" s="26"/>
      <c r="DBC69" s="26"/>
      <c r="DBD69" s="26"/>
      <c r="DBE69" s="26"/>
      <c r="DBF69" s="26"/>
      <c r="DBG69" s="26"/>
      <c r="DBH69" s="26"/>
      <c r="DBI69" s="26"/>
      <c r="DBJ69" s="26"/>
      <c r="DBK69" s="26"/>
      <c r="DBL69" s="26"/>
      <c r="DBM69" s="26"/>
      <c r="DBN69" s="26"/>
      <c r="DBO69" s="26"/>
      <c r="DBP69" s="26"/>
      <c r="DBQ69" s="26"/>
      <c r="DBR69" s="26"/>
      <c r="DBS69" s="26"/>
      <c r="DBT69" s="26"/>
      <c r="DBU69" s="26"/>
      <c r="DBV69" s="26"/>
      <c r="DBW69" s="26"/>
      <c r="DBX69" s="26"/>
      <c r="DBY69" s="26"/>
      <c r="DBZ69" s="26"/>
      <c r="DCA69" s="26"/>
      <c r="DCB69" s="26"/>
      <c r="DCC69" s="26"/>
      <c r="DCD69" s="26"/>
      <c r="DCE69" s="26"/>
      <c r="DCF69" s="26"/>
      <c r="DCG69" s="26"/>
      <c r="DCH69" s="26"/>
      <c r="DCI69" s="26"/>
      <c r="DCJ69" s="26"/>
      <c r="DCK69" s="26"/>
      <c r="DCL69" s="26"/>
      <c r="DCM69" s="26"/>
      <c r="DCN69" s="26"/>
      <c r="DCO69" s="26"/>
      <c r="DCP69" s="26"/>
      <c r="DCQ69" s="26"/>
      <c r="DCR69" s="26"/>
      <c r="DCS69" s="26"/>
      <c r="DCT69" s="26"/>
      <c r="DCU69" s="26"/>
      <c r="DCV69" s="26"/>
      <c r="DCW69" s="26"/>
      <c r="DCX69" s="26"/>
      <c r="DCY69" s="26"/>
      <c r="DCZ69" s="26"/>
      <c r="DDA69" s="26"/>
      <c r="DDB69" s="26"/>
      <c r="DDC69" s="26"/>
      <c r="DDD69" s="26"/>
      <c r="DDE69" s="26"/>
      <c r="DDF69" s="26"/>
      <c r="DDG69" s="26"/>
      <c r="DDH69" s="26"/>
      <c r="DDI69" s="26"/>
      <c r="DDJ69" s="26"/>
      <c r="DDK69" s="26"/>
      <c r="DDL69" s="26"/>
      <c r="DDM69" s="26"/>
      <c r="DDN69" s="26"/>
      <c r="DDO69" s="26"/>
      <c r="DDP69" s="26"/>
      <c r="DDQ69" s="26"/>
      <c r="DDR69" s="26"/>
      <c r="DDS69" s="26"/>
      <c r="DDT69" s="26"/>
      <c r="DDU69" s="26"/>
      <c r="DDV69" s="26"/>
      <c r="DDW69" s="26"/>
      <c r="DDX69" s="26"/>
      <c r="DDY69" s="26"/>
      <c r="DDZ69" s="26"/>
      <c r="DEA69" s="26"/>
      <c r="DEB69" s="26"/>
      <c r="DEC69" s="26"/>
      <c r="DED69" s="26"/>
      <c r="DEE69" s="26"/>
      <c r="DEF69" s="26"/>
      <c r="DEG69" s="26"/>
      <c r="DEH69" s="26"/>
      <c r="DEI69" s="26"/>
      <c r="DEJ69" s="26"/>
      <c r="DEK69" s="26"/>
      <c r="DEL69" s="26"/>
      <c r="DEM69" s="26"/>
      <c r="DEN69" s="26"/>
      <c r="DEO69" s="26"/>
      <c r="DEP69" s="26"/>
      <c r="DEQ69" s="26"/>
      <c r="DER69" s="26"/>
      <c r="DES69" s="26"/>
      <c r="DET69" s="26"/>
      <c r="DEU69" s="26"/>
      <c r="DEV69" s="26"/>
      <c r="DEW69" s="26"/>
      <c r="DEX69" s="26"/>
      <c r="DEY69" s="26"/>
      <c r="DEZ69" s="26"/>
      <c r="DFA69" s="26"/>
      <c r="DFB69" s="26"/>
      <c r="DFC69" s="26"/>
      <c r="DFD69" s="26"/>
      <c r="DFE69" s="26"/>
      <c r="DFF69" s="26"/>
      <c r="DFG69" s="26"/>
      <c r="DFH69" s="26"/>
      <c r="DFI69" s="26"/>
      <c r="DFJ69" s="26"/>
      <c r="DFK69" s="26"/>
      <c r="DFL69" s="26"/>
      <c r="DFM69" s="26"/>
      <c r="DFN69" s="26"/>
      <c r="DFO69" s="26"/>
      <c r="DFP69" s="26"/>
      <c r="DFQ69" s="26"/>
      <c r="DFR69" s="26"/>
      <c r="DFS69" s="26"/>
      <c r="DFT69" s="26"/>
      <c r="DFU69" s="26"/>
      <c r="DFV69" s="26"/>
      <c r="DFW69" s="26"/>
      <c r="DFX69" s="26"/>
      <c r="DFY69" s="26"/>
      <c r="DFZ69" s="26"/>
      <c r="DGA69" s="26"/>
      <c r="DGB69" s="26"/>
      <c r="DGC69" s="26"/>
      <c r="DGD69" s="26"/>
      <c r="DGE69" s="26"/>
      <c r="DGF69" s="26"/>
      <c r="DGG69" s="26"/>
      <c r="DGH69" s="26"/>
      <c r="DGI69" s="26"/>
      <c r="DGJ69" s="26"/>
      <c r="DGK69" s="26"/>
      <c r="DGL69" s="26"/>
      <c r="DGM69" s="26"/>
      <c r="DGN69" s="26"/>
      <c r="DGO69" s="26"/>
      <c r="DGP69" s="26"/>
      <c r="DGQ69" s="26"/>
      <c r="DGR69" s="26"/>
      <c r="DGS69" s="26"/>
      <c r="DGT69" s="26"/>
      <c r="DGU69" s="26"/>
      <c r="DGV69" s="26"/>
      <c r="DGW69" s="26"/>
      <c r="DGX69" s="26"/>
      <c r="DGY69" s="26"/>
      <c r="DGZ69" s="26"/>
      <c r="DHA69" s="26"/>
      <c r="DHB69" s="26"/>
      <c r="DHC69" s="26"/>
      <c r="DHD69" s="26"/>
      <c r="DHE69" s="26"/>
      <c r="DHF69" s="26"/>
      <c r="DHG69" s="26"/>
      <c r="DHH69" s="26"/>
      <c r="DHI69" s="26"/>
      <c r="DHJ69" s="26"/>
      <c r="DHK69" s="26"/>
      <c r="DHL69" s="26"/>
      <c r="DHM69" s="26"/>
      <c r="DHN69" s="26"/>
      <c r="DHO69" s="26"/>
      <c r="DHP69" s="26"/>
      <c r="DHQ69" s="26"/>
      <c r="DHR69" s="26"/>
      <c r="DHS69" s="26"/>
      <c r="DHT69" s="26"/>
      <c r="DHU69" s="26"/>
      <c r="DHV69" s="26"/>
      <c r="DHW69" s="26"/>
      <c r="DHX69" s="26"/>
      <c r="DHY69" s="26"/>
      <c r="DHZ69" s="26"/>
      <c r="DIA69" s="26"/>
      <c r="DIB69" s="26"/>
      <c r="DIC69" s="26"/>
      <c r="DID69" s="26"/>
      <c r="DIE69" s="26"/>
      <c r="DIF69" s="26"/>
      <c r="DIG69" s="26"/>
      <c r="DIH69" s="26"/>
      <c r="DII69" s="26"/>
      <c r="DIJ69" s="26"/>
      <c r="DIK69" s="26"/>
      <c r="DIL69" s="26"/>
      <c r="DIM69" s="26"/>
      <c r="DIN69" s="26"/>
      <c r="DIO69" s="26"/>
      <c r="DIP69" s="26"/>
      <c r="DIQ69" s="26"/>
      <c r="DIR69" s="26"/>
      <c r="DIS69" s="26"/>
      <c r="DIT69" s="26"/>
      <c r="DIU69" s="26"/>
      <c r="DIV69" s="26"/>
      <c r="DIW69" s="26"/>
      <c r="DIX69" s="26"/>
      <c r="DIY69" s="26"/>
      <c r="DIZ69" s="26"/>
      <c r="DJA69" s="26"/>
      <c r="DJB69" s="26"/>
      <c r="DJC69" s="26"/>
      <c r="DJD69" s="26"/>
      <c r="DJE69" s="26"/>
      <c r="DJF69" s="26"/>
      <c r="DJG69" s="26"/>
      <c r="DJH69" s="26"/>
      <c r="DJI69" s="26"/>
      <c r="DJJ69" s="26"/>
      <c r="DJK69" s="26"/>
      <c r="DJL69" s="26"/>
      <c r="DJM69" s="26"/>
      <c r="DJN69" s="26"/>
      <c r="DJO69" s="26"/>
      <c r="DJP69" s="26"/>
      <c r="DJQ69" s="26"/>
      <c r="DJR69" s="26"/>
      <c r="DJS69" s="26"/>
      <c r="DJT69" s="26"/>
      <c r="DJU69" s="26"/>
      <c r="DJV69" s="26"/>
      <c r="DJW69" s="26"/>
      <c r="DJX69" s="26"/>
      <c r="DJY69" s="26"/>
      <c r="DJZ69" s="26"/>
      <c r="DKA69" s="26"/>
      <c r="DKB69" s="26"/>
      <c r="DKC69" s="26"/>
      <c r="DKD69" s="26"/>
      <c r="DKE69" s="26"/>
      <c r="DKF69" s="26"/>
      <c r="DKG69" s="26"/>
      <c r="DKH69" s="26"/>
      <c r="DKI69" s="26"/>
      <c r="DKJ69" s="26"/>
      <c r="DKK69" s="26"/>
      <c r="DKL69" s="26"/>
      <c r="DKM69" s="26"/>
      <c r="DKN69" s="26"/>
      <c r="DKO69" s="26"/>
      <c r="DKP69" s="26"/>
      <c r="DKQ69" s="26"/>
      <c r="DKR69" s="26"/>
      <c r="DKS69" s="26"/>
      <c r="DKT69" s="26"/>
      <c r="DKU69" s="26"/>
      <c r="DKV69" s="26"/>
      <c r="DKW69" s="26"/>
      <c r="DKX69" s="26"/>
      <c r="DKY69" s="26"/>
      <c r="DKZ69" s="26"/>
      <c r="DLA69" s="26"/>
      <c r="DLB69" s="26"/>
      <c r="DLC69" s="26"/>
      <c r="DLD69" s="26"/>
      <c r="DLE69" s="26"/>
      <c r="DLF69" s="26"/>
      <c r="DLG69" s="26"/>
      <c r="DLH69" s="26"/>
      <c r="DLI69" s="26"/>
      <c r="DLJ69" s="26"/>
      <c r="DLK69" s="26"/>
      <c r="DLL69" s="26"/>
      <c r="DLM69" s="26"/>
      <c r="DLN69" s="26"/>
      <c r="DLO69" s="26"/>
      <c r="DLP69" s="26"/>
      <c r="DLQ69" s="26"/>
      <c r="DLR69" s="26"/>
      <c r="DLS69" s="26"/>
      <c r="DLT69" s="26"/>
      <c r="DLU69" s="26"/>
      <c r="DLV69" s="26"/>
      <c r="DLW69" s="26"/>
      <c r="DLX69" s="26"/>
      <c r="DLY69" s="26"/>
      <c r="DLZ69" s="26"/>
      <c r="DMA69" s="26"/>
      <c r="DMB69" s="26"/>
      <c r="DMC69" s="26"/>
      <c r="DMD69" s="26"/>
      <c r="DME69" s="26"/>
      <c r="DMF69" s="26"/>
      <c r="DMG69" s="26"/>
      <c r="DMH69" s="26"/>
      <c r="DMI69" s="26"/>
      <c r="DMJ69" s="26"/>
      <c r="DMK69" s="26"/>
      <c r="DML69" s="26"/>
      <c r="DMM69" s="26"/>
      <c r="DMN69" s="26"/>
      <c r="DMO69" s="26"/>
      <c r="DMP69" s="26"/>
      <c r="DMQ69" s="26"/>
      <c r="DMR69" s="26"/>
      <c r="DMS69" s="26"/>
      <c r="DMT69" s="26"/>
      <c r="DMU69" s="26"/>
      <c r="DMV69" s="26"/>
      <c r="DMW69" s="26"/>
      <c r="DMX69" s="26"/>
      <c r="DMY69" s="26"/>
      <c r="DMZ69" s="26"/>
      <c r="DNA69" s="26"/>
      <c r="DNB69" s="26"/>
      <c r="DNC69" s="26"/>
      <c r="DND69" s="26"/>
      <c r="DNE69" s="26"/>
      <c r="DNF69" s="26"/>
      <c r="DNG69" s="26"/>
      <c r="DNH69" s="26"/>
      <c r="DNI69" s="26"/>
      <c r="DNJ69" s="26"/>
      <c r="DNK69" s="26"/>
      <c r="DNL69" s="26"/>
      <c r="DNM69" s="26"/>
      <c r="DNN69" s="26"/>
      <c r="DNO69" s="26"/>
      <c r="DNP69" s="26"/>
      <c r="DNQ69" s="26"/>
      <c r="DNR69" s="26"/>
      <c r="DNS69" s="26"/>
      <c r="DNT69" s="26"/>
      <c r="DNU69" s="26"/>
      <c r="DNV69" s="26"/>
      <c r="DNW69" s="26"/>
      <c r="DNX69" s="26"/>
      <c r="DNY69" s="26"/>
      <c r="DNZ69" s="26"/>
      <c r="DOA69" s="26"/>
      <c r="DOB69" s="26"/>
      <c r="DOC69" s="26"/>
      <c r="DOD69" s="26"/>
      <c r="DOE69" s="26"/>
      <c r="DOF69" s="26"/>
      <c r="DOG69" s="26"/>
      <c r="DOH69" s="26"/>
      <c r="DOI69" s="26"/>
      <c r="DOJ69" s="26"/>
      <c r="DOK69" s="26"/>
      <c r="DOL69" s="26"/>
      <c r="DOM69" s="26"/>
      <c r="DON69" s="26"/>
      <c r="DOO69" s="26"/>
      <c r="DOP69" s="26"/>
      <c r="DOQ69" s="26"/>
      <c r="DOR69" s="26"/>
      <c r="DOS69" s="26"/>
      <c r="DOT69" s="26"/>
      <c r="DOU69" s="26"/>
      <c r="DOV69" s="26"/>
      <c r="DOW69" s="26"/>
      <c r="DOX69" s="26"/>
      <c r="DOY69" s="26"/>
      <c r="DOZ69" s="26"/>
      <c r="DPA69" s="26"/>
      <c r="DPB69" s="26"/>
      <c r="DPC69" s="26"/>
      <c r="DPD69" s="26"/>
      <c r="DPE69" s="26"/>
      <c r="DPF69" s="26"/>
      <c r="DPG69" s="26"/>
      <c r="DPH69" s="26"/>
      <c r="DPI69" s="26"/>
      <c r="DPJ69" s="26"/>
      <c r="DPK69" s="26"/>
      <c r="DPL69" s="26"/>
      <c r="DPM69" s="26"/>
      <c r="DPN69" s="26"/>
      <c r="DPO69" s="26"/>
      <c r="DPP69" s="26"/>
      <c r="DPQ69" s="26"/>
      <c r="DPR69" s="26"/>
      <c r="DPS69" s="26"/>
      <c r="DPT69" s="26"/>
      <c r="DPU69" s="26"/>
      <c r="DPV69" s="26"/>
      <c r="DPW69" s="26"/>
      <c r="DPX69" s="26"/>
      <c r="DPY69" s="26"/>
      <c r="DPZ69" s="26"/>
      <c r="DQA69" s="26"/>
      <c r="DQB69" s="26"/>
      <c r="DQC69" s="26"/>
      <c r="DQD69" s="26"/>
      <c r="DQE69" s="26"/>
      <c r="DQF69" s="26"/>
      <c r="DQG69" s="26"/>
      <c r="DQH69" s="26"/>
      <c r="DQI69" s="26"/>
      <c r="DQJ69" s="26"/>
      <c r="DQK69" s="26"/>
      <c r="DQL69" s="26"/>
      <c r="DQM69" s="26"/>
      <c r="DQN69" s="26"/>
      <c r="DQO69" s="26"/>
      <c r="DQP69" s="26"/>
      <c r="DQQ69" s="26"/>
      <c r="DQR69" s="26"/>
      <c r="DQS69" s="26"/>
      <c r="DQT69" s="26"/>
      <c r="DQU69" s="26"/>
      <c r="DQV69" s="26"/>
      <c r="DQW69" s="26"/>
      <c r="DQX69" s="26"/>
      <c r="DQY69" s="26"/>
      <c r="DQZ69" s="26"/>
      <c r="DRA69" s="26"/>
      <c r="DRB69" s="26"/>
      <c r="DRC69" s="26"/>
      <c r="DRD69" s="26"/>
      <c r="DRE69" s="26"/>
      <c r="DRF69" s="26"/>
      <c r="DRG69" s="26"/>
      <c r="DRH69" s="26"/>
      <c r="DRI69" s="26"/>
      <c r="DRJ69" s="26"/>
      <c r="DRK69" s="26"/>
      <c r="DRL69" s="26"/>
      <c r="DRM69" s="26"/>
      <c r="DRN69" s="26"/>
      <c r="DRO69" s="26"/>
      <c r="DRP69" s="26"/>
      <c r="DRQ69" s="26"/>
      <c r="DRR69" s="26"/>
      <c r="DRS69" s="26"/>
      <c r="DRT69" s="26"/>
      <c r="DRU69" s="26"/>
      <c r="DRV69" s="26"/>
      <c r="DRW69" s="26"/>
      <c r="DRX69" s="26"/>
      <c r="DRY69" s="26"/>
      <c r="DRZ69" s="26"/>
      <c r="DSA69" s="26"/>
      <c r="DSB69" s="26"/>
      <c r="DSC69" s="26"/>
      <c r="DSD69" s="26"/>
      <c r="DSE69" s="26"/>
      <c r="DSF69" s="26"/>
      <c r="DSG69" s="26"/>
      <c r="DSH69" s="26"/>
      <c r="DSI69" s="26"/>
      <c r="DSJ69" s="26"/>
      <c r="DSK69" s="26"/>
      <c r="DSL69" s="26"/>
      <c r="DSM69" s="26"/>
      <c r="DSN69" s="26"/>
      <c r="DSO69" s="26"/>
      <c r="DSP69" s="26"/>
      <c r="DSQ69" s="26"/>
      <c r="DSR69" s="26"/>
      <c r="DSS69" s="26"/>
      <c r="DST69" s="26"/>
      <c r="DSU69" s="26"/>
      <c r="DSV69" s="26"/>
      <c r="DSW69" s="26"/>
      <c r="DSX69" s="26"/>
      <c r="DSY69" s="26"/>
      <c r="DSZ69" s="26"/>
      <c r="DTA69" s="26"/>
      <c r="DTB69" s="26"/>
      <c r="DTC69" s="26"/>
      <c r="DTD69" s="26"/>
      <c r="DTE69" s="26"/>
      <c r="DTF69" s="26"/>
      <c r="DTG69" s="26"/>
      <c r="DTH69" s="26"/>
      <c r="DTI69" s="26"/>
      <c r="DTJ69" s="26"/>
      <c r="DTK69" s="26"/>
      <c r="DTL69" s="26"/>
      <c r="DTM69" s="26"/>
      <c r="DTN69" s="26"/>
      <c r="DTO69" s="26"/>
      <c r="DTP69" s="26"/>
      <c r="DTQ69" s="26"/>
      <c r="DTR69" s="26"/>
      <c r="DTS69" s="26"/>
      <c r="DTT69" s="26"/>
      <c r="DTU69" s="26"/>
      <c r="DTV69" s="26"/>
      <c r="DTW69" s="26"/>
      <c r="DTX69" s="26"/>
      <c r="DTY69" s="26"/>
      <c r="DTZ69" s="26"/>
      <c r="DUA69" s="26"/>
      <c r="DUB69" s="26"/>
      <c r="DUC69" s="26"/>
      <c r="DUD69" s="26"/>
      <c r="DUE69" s="26"/>
      <c r="DUF69" s="26"/>
      <c r="DUG69" s="26"/>
      <c r="DUH69" s="26"/>
      <c r="DUI69" s="26"/>
      <c r="DUJ69" s="26"/>
      <c r="DUK69" s="26"/>
      <c r="DUL69" s="26"/>
      <c r="DUM69" s="26"/>
      <c r="DUN69" s="26"/>
      <c r="DUO69" s="26"/>
      <c r="DUP69" s="26"/>
      <c r="DUQ69" s="26"/>
      <c r="DUR69" s="26"/>
      <c r="DUS69" s="26"/>
      <c r="DUT69" s="26"/>
      <c r="DUU69" s="26"/>
      <c r="DUV69" s="26"/>
      <c r="DUW69" s="26"/>
      <c r="DUX69" s="26"/>
      <c r="DUY69" s="26"/>
      <c r="DUZ69" s="26"/>
      <c r="DVA69" s="26"/>
      <c r="DVB69" s="26"/>
      <c r="DVC69" s="26"/>
      <c r="DVD69" s="26"/>
      <c r="DVE69" s="26"/>
      <c r="DVF69" s="26"/>
      <c r="DVG69" s="26"/>
      <c r="DVH69" s="26"/>
      <c r="DVI69" s="26"/>
      <c r="DVJ69" s="26"/>
      <c r="DVK69" s="26"/>
      <c r="DVL69" s="26"/>
      <c r="DVM69" s="26"/>
      <c r="DVN69" s="26"/>
      <c r="DVO69" s="26"/>
      <c r="DVP69" s="26"/>
      <c r="DVQ69" s="26"/>
      <c r="DVR69" s="26"/>
      <c r="DVS69" s="26"/>
      <c r="DVT69" s="26"/>
      <c r="DVU69" s="26"/>
      <c r="DVV69" s="26"/>
      <c r="DVW69" s="26"/>
      <c r="DVX69" s="26"/>
      <c r="DVY69" s="26"/>
      <c r="DVZ69" s="26"/>
      <c r="DWA69" s="26"/>
      <c r="DWB69" s="26"/>
      <c r="DWC69" s="26"/>
      <c r="DWD69" s="26"/>
      <c r="DWE69" s="26"/>
      <c r="DWF69" s="26"/>
      <c r="DWG69" s="26"/>
      <c r="DWH69" s="26"/>
      <c r="DWI69" s="26"/>
      <c r="DWJ69" s="26"/>
      <c r="DWK69" s="26"/>
      <c r="DWL69" s="26"/>
      <c r="DWM69" s="26"/>
      <c r="DWN69" s="26"/>
      <c r="DWO69" s="26"/>
      <c r="DWP69" s="26"/>
      <c r="DWQ69" s="26"/>
      <c r="DWR69" s="26"/>
      <c r="DWS69" s="26"/>
      <c r="DWT69" s="26"/>
      <c r="DWU69" s="26"/>
      <c r="DWV69" s="26"/>
      <c r="DWW69" s="26"/>
      <c r="DWX69" s="26"/>
      <c r="DWY69" s="26"/>
      <c r="DWZ69" s="26"/>
      <c r="DXA69" s="26"/>
      <c r="DXB69" s="26"/>
      <c r="DXC69" s="26"/>
      <c r="DXD69" s="26"/>
      <c r="DXE69" s="26"/>
      <c r="DXF69" s="26"/>
      <c r="DXG69" s="26"/>
      <c r="DXH69" s="26"/>
      <c r="DXI69" s="26"/>
      <c r="DXJ69" s="26"/>
      <c r="DXK69" s="26"/>
      <c r="DXL69" s="26"/>
      <c r="DXM69" s="26"/>
      <c r="DXN69" s="26"/>
      <c r="DXO69" s="26"/>
      <c r="DXP69" s="26"/>
      <c r="DXQ69" s="26"/>
      <c r="DXR69" s="26"/>
      <c r="DXS69" s="26"/>
      <c r="DXT69" s="26"/>
      <c r="DXU69" s="26"/>
      <c r="DXV69" s="26"/>
      <c r="DXW69" s="26"/>
      <c r="DXX69" s="26"/>
      <c r="DXY69" s="26"/>
      <c r="DXZ69" s="26"/>
      <c r="DYA69" s="26"/>
      <c r="DYB69" s="26"/>
      <c r="DYC69" s="26"/>
      <c r="DYD69" s="26"/>
      <c r="DYE69" s="26"/>
      <c r="DYF69" s="26"/>
      <c r="DYG69" s="26"/>
      <c r="DYH69" s="26"/>
      <c r="DYI69" s="26"/>
      <c r="DYJ69" s="26"/>
      <c r="DYK69" s="26"/>
      <c r="DYL69" s="26"/>
      <c r="DYM69" s="26"/>
      <c r="DYN69" s="26"/>
      <c r="DYO69" s="26"/>
      <c r="DYP69" s="26"/>
      <c r="DYQ69" s="26"/>
      <c r="DYR69" s="26"/>
      <c r="DYS69" s="26"/>
      <c r="DYT69" s="26"/>
      <c r="DYU69" s="26"/>
      <c r="DYV69" s="26"/>
      <c r="DYW69" s="26"/>
      <c r="DYX69" s="26"/>
      <c r="DYY69" s="26"/>
      <c r="DYZ69" s="26"/>
      <c r="DZA69" s="26"/>
      <c r="DZB69" s="26"/>
      <c r="DZC69" s="26"/>
      <c r="DZD69" s="26"/>
      <c r="DZE69" s="26"/>
      <c r="DZF69" s="26"/>
      <c r="DZG69" s="26"/>
      <c r="DZH69" s="26"/>
      <c r="DZI69" s="26"/>
      <c r="DZJ69" s="26"/>
      <c r="DZK69" s="26"/>
      <c r="DZL69" s="26"/>
      <c r="DZM69" s="26"/>
      <c r="DZN69" s="26"/>
      <c r="DZO69" s="26"/>
      <c r="DZP69" s="26"/>
      <c r="DZQ69" s="26"/>
      <c r="DZR69" s="26"/>
      <c r="DZS69" s="26"/>
      <c r="DZT69" s="26"/>
      <c r="DZU69" s="26"/>
      <c r="DZV69" s="26"/>
      <c r="DZW69" s="26"/>
      <c r="DZX69" s="26"/>
      <c r="DZY69" s="26"/>
      <c r="DZZ69" s="26"/>
      <c r="EAA69" s="26"/>
      <c r="EAB69" s="26"/>
      <c r="EAC69" s="26"/>
      <c r="EAD69" s="26"/>
      <c r="EAE69" s="26"/>
      <c r="EAF69" s="26"/>
      <c r="EAG69" s="26"/>
      <c r="EAH69" s="26"/>
      <c r="EAI69" s="26"/>
      <c r="EAJ69" s="26"/>
      <c r="EAK69" s="26"/>
      <c r="EAL69" s="26"/>
      <c r="EAM69" s="26"/>
      <c r="EAN69" s="26"/>
      <c r="EAO69" s="26"/>
      <c r="EAP69" s="26"/>
      <c r="EAQ69" s="26"/>
      <c r="EAR69" s="26"/>
      <c r="EAS69" s="26"/>
      <c r="EAT69" s="26"/>
      <c r="EAU69" s="26"/>
      <c r="EAV69" s="26"/>
      <c r="EAW69" s="26"/>
      <c r="EAX69" s="26"/>
      <c r="EAY69" s="26"/>
      <c r="EAZ69" s="26"/>
      <c r="EBA69" s="26"/>
      <c r="EBB69" s="26"/>
      <c r="EBC69" s="26"/>
      <c r="EBD69" s="26"/>
      <c r="EBE69" s="26"/>
      <c r="EBF69" s="26"/>
      <c r="EBG69" s="26"/>
      <c r="EBH69" s="26"/>
      <c r="EBI69" s="26"/>
      <c r="EBJ69" s="26"/>
      <c r="EBK69" s="26"/>
      <c r="EBL69" s="26"/>
      <c r="EBM69" s="26"/>
      <c r="EBN69" s="26"/>
      <c r="EBO69" s="26"/>
      <c r="EBP69" s="26"/>
      <c r="EBQ69" s="26"/>
      <c r="EBR69" s="26"/>
      <c r="EBS69" s="26"/>
      <c r="EBT69" s="26"/>
      <c r="EBU69" s="26"/>
      <c r="EBV69" s="26"/>
      <c r="EBW69" s="26"/>
      <c r="EBX69" s="26"/>
      <c r="EBY69" s="26"/>
      <c r="EBZ69" s="26"/>
      <c r="ECA69" s="26"/>
      <c r="ECB69" s="26"/>
      <c r="ECC69" s="26"/>
      <c r="ECD69" s="26"/>
      <c r="ECE69" s="26"/>
      <c r="ECF69" s="26"/>
      <c r="ECG69" s="26"/>
      <c r="ECH69" s="26"/>
      <c r="ECI69" s="26"/>
      <c r="ECJ69" s="26"/>
      <c r="ECK69" s="26"/>
      <c r="ECL69" s="26"/>
      <c r="ECM69" s="26"/>
      <c r="ECN69" s="26"/>
      <c r="ECO69" s="26"/>
      <c r="ECP69" s="26"/>
      <c r="ECQ69" s="26"/>
      <c r="ECR69" s="26"/>
      <c r="ECS69" s="26"/>
      <c r="ECT69" s="26"/>
      <c r="ECU69" s="26"/>
      <c r="ECV69" s="26"/>
      <c r="ECW69" s="26"/>
      <c r="ECX69" s="26"/>
      <c r="ECY69" s="26"/>
      <c r="ECZ69" s="26"/>
      <c r="EDA69" s="26"/>
      <c r="EDB69" s="26"/>
      <c r="EDC69" s="26"/>
      <c r="EDD69" s="26"/>
      <c r="EDE69" s="26"/>
      <c r="EDF69" s="26"/>
      <c r="EDG69" s="26"/>
      <c r="EDH69" s="26"/>
      <c r="EDI69" s="26"/>
      <c r="EDJ69" s="26"/>
      <c r="EDK69" s="26"/>
      <c r="EDL69" s="26"/>
      <c r="EDM69" s="26"/>
      <c r="EDN69" s="26"/>
      <c r="EDO69" s="26"/>
      <c r="EDP69" s="26"/>
      <c r="EDQ69" s="26"/>
      <c r="EDR69" s="26"/>
      <c r="EDS69" s="26"/>
      <c r="EDT69" s="26"/>
      <c r="EDU69" s="26"/>
      <c r="EDV69" s="26"/>
      <c r="EDW69" s="26"/>
      <c r="EDX69" s="26"/>
      <c r="EDY69" s="26"/>
      <c r="EDZ69" s="26"/>
      <c r="EEA69" s="26"/>
      <c r="EEB69" s="26"/>
      <c r="EEC69" s="26"/>
      <c r="EED69" s="26"/>
      <c r="EEE69" s="26"/>
      <c r="EEF69" s="26"/>
      <c r="EEG69" s="26"/>
      <c r="EEH69" s="26"/>
      <c r="EEI69" s="26"/>
      <c r="EEJ69" s="26"/>
      <c r="EEK69" s="26"/>
      <c r="EEL69" s="26"/>
      <c r="EEM69" s="26"/>
      <c r="EEN69" s="26"/>
      <c r="EEO69" s="26"/>
      <c r="EEP69" s="26"/>
      <c r="EEQ69" s="26"/>
      <c r="EER69" s="26"/>
      <c r="EES69" s="26"/>
      <c r="EET69" s="26"/>
      <c r="EEU69" s="26"/>
      <c r="EEV69" s="26"/>
      <c r="EEW69" s="26"/>
      <c r="EEX69" s="26"/>
      <c r="EEY69" s="26"/>
      <c r="EEZ69" s="26"/>
      <c r="EFA69" s="26"/>
      <c r="EFB69" s="26"/>
      <c r="EFC69" s="26"/>
      <c r="EFD69" s="26"/>
      <c r="EFE69" s="26"/>
      <c r="EFF69" s="26"/>
      <c r="EFG69" s="26"/>
      <c r="EFH69" s="26"/>
      <c r="EFI69" s="26"/>
      <c r="EFJ69" s="26"/>
      <c r="EFK69" s="26"/>
      <c r="EFL69" s="26"/>
      <c r="EFM69" s="26"/>
      <c r="EFN69" s="26"/>
      <c r="EFO69" s="26"/>
      <c r="EFP69" s="26"/>
      <c r="EFQ69" s="26"/>
      <c r="EFR69" s="26"/>
      <c r="EFS69" s="26"/>
      <c r="EFT69" s="26"/>
      <c r="EFU69" s="26"/>
      <c r="EFV69" s="26"/>
      <c r="EFW69" s="26"/>
      <c r="EFX69" s="26"/>
      <c r="EFY69" s="26"/>
      <c r="EFZ69" s="26"/>
      <c r="EGA69" s="26"/>
      <c r="EGB69" s="26"/>
      <c r="EGC69" s="26"/>
      <c r="EGD69" s="26"/>
      <c r="EGE69" s="26"/>
      <c r="EGF69" s="26"/>
      <c r="EGG69" s="26"/>
      <c r="EGH69" s="26"/>
      <c r="EGI69" s="26"/>
      <c r="EGJ69" s="26"/>
      <c r="EGK69" s="26"/>
      <c r="EGL69" s="26"/>
      <c r="EGM69" s="26"/>
      <c r="EGN69" s="26"/>
      <c r="EGO69" s="26"/>
      <c r="EGP69" s="26"/>
      <c r="EGQ69" s="26"/>
      <c r="EGR69" s="26"/>
      <c r="EGS69" s="26"/>
      <c r="EGT69" s="26"/>
      <c r="EGU69" s="26"/>
      <c r="EGV69" s="26"/>
      <c r="EGW69" s="26"/>
      <c r="EGX69" s="26"/>
      <c r="EGY69" s="26"/>
      <c r="EGZ69" s="26"/>
      <c r="EHA69" s="26"/>
      <c r="EHB69" s="26"/>
      <c r="EHC69" s="26"/>
      <c r="EHD69" s="26"/>
      <c r="EHE69" s="26"/>
      <c r="EHF69" s="26"/>
      <c r="EHG69" s="26"/>
      <c r="EHH69" s="26"/>
      <c r="EHI69" s="26"/>
      <c r="EHJ69" s="26"/>
      <c r="EHK69" s="26"/>
      <c r="EHL69" s="26"/>
      <c r="EHM69" s="26"/>
      <c r="EHN69" s="26"/>
      <c r="EHO69" s="26"/>
      <c r="EHP69" s="26"/>
      <c r="EHQ69" s="26"/>
      <c r="EHR69" s="26"/>
      <c r="EHS69" s="26"/>
      <c r="EHT69" s="26"/>
      <c r="EHU69" s="26"/>
      <c r="EHV69" s="26"/>
      <c r="EHW69" s="26"/>
      <c r="EHX69" s="26"/>
      <c r="EHY69" s="26"/>
      <c r="EHZ69" s="26"/>
      <c r="EIA69" s="26"/>
      <c r="EIB69" s="26"/>
      <c r="EIC69" s="26"/>
      <c r="EID69" s="26"/>
      <c r="EIE69" s="26"/>
      <c r="EIF69" s="26"/>
      <c r="EIG69" s="26"/>
      <c r="EIH69" s="26"/>
      <c r="EII69" s="26"/>
      <c r="EIJ69" s="26"/>
      <c r="EIK69" s="26"/>
      <c r="EIL69" s="26"/>
      <c r="EIM69" s="26"/>
      <c r="EIN69" s="26"/>
      <c r="EIO69" s="26"/>
      <c r="EIP69" s="26"/>
      <c r="EIQ69" s="26"/>
      <c r="EIR69" s="26"/>
      <c r="EIS69" s="26"/>
      <c r="EIT69" s="26"/>
      <c r="EIU69" s="26"/>
      <c r="EIV69" s="26"/>
      <c r="EIW69" s="26"/>
      <c r="EIX69" s="26"/>
      <c r="EIY69" s="26"/>
      <c r="EIZ69" s="26"/>
      <c r="EJA69" s="26"/>
      <c r="EJB69" s="26"/>
      <c r="EJC69" s="26"/>
      <c r="EJD69" s="26"/>
      <c r="EJE69" s="26"/>
      <c r="EJF69" s="26"/>
      <c r="EJG69" s="26"/>
      <c r="EJH69" s="26"/>
      <c r="EJI69" s="26"/>
      <c r="EJJ69" s="26"/>
      <c r="EJK69" s="26"/>
      <c r="EJL69" s="26"/>
      <c r="EJM69" s="26"/>
      <c r="EJN69" s="26"/>
      <c r="EJO69" s="26"/>
      <c r="EJP69" s="26"/>
      <c r="EJQ69" s="26"/>
      <c r="EJR69" s="26"/>
      <c r="EJS69" s="26"/>
      <c r="EJT69" s="26"/>
      <c r="EJU69" s="26"/>
      <c r="EJV69" s="26"/>
      <c r="EJW69" s="26"/>
      <c r="EJX69" s="26"/>
      <c r="EJY69" s="26"/>
      <c r="EJZ69" s="26"/>
      <c r="EKA69" s="26"/>
      <c r="EKB69" s="26"/>
      <c r="EKC69" s="26"/>
      <c r="EKD69" s="26"/>
      <c r="EKE69" s="26"/>
      <c r="EKF69" s="26"/>
      <c r="EKG69" s="26"/>
      <c r="EKH69" s="26"/>
      <c r="EKI69" s="26"/>
      <c r="EKJ69" s="26"/>
      <c r="EKK69" s="26"/>
      <c r="EKL69" s="26"/>
      <c r="EKM69" s="26"/>
      <c r="EKN69" s="26"/>
      <c r="EKO69" s="26"/>
      <c r="EKP69" s="26"/>
      <c r="EKQ69" s="26"/>
      <c r="EKR69" s="26"/>
      <c r="EKS69" s="26"/>
      <c r="EKT69" s="26"/>
      <c r="EKU69" s="26"/>
      <c r="EKV69" s="26"/>
      <c r="EKW69" s="26"/>
      <c r="EKX69" s="26"/>
      <c r="EKY69" s="26"/>
      <c r="EKZ69" s="26"/>
      <c r="ELA69" s="26"/>
      <c r="ELB69" s="26"/>
      <c r="ELC69" s="26"/>
      <c r="ELD69" s="26"/>
      <c r="ELE69" s="26"/>
      <c r="ELF69" s="26"/>
      <c r="ELG69" s="26"/>
      <c r="ELH69" s="26"/>
      <c r="ELI69" s="26"/>
      <c r="ELJ69" s="26"/>
      <c r="ELK69" s="26"/>
      <c r="ELL69" s="26"/>
      <c r="ELM69" s="26"/>
      <c r="ELN69" s="26"/>
      <c r="ELO69" s="26"/>
      <c r="ELP69" s="26"/>
      <c r="ELQ69" s="26"/>
      <c r="ELR69" s="26"/>
      <c r="ELS69" s="26"/>
      <c r="ELT69" s="26"/>
      <c r="ELU69" s="26"/>
      <c r="ELV69" s="26"/>
      <c r="ELW69" s="26"/>
      <c r="ELX69" s="26"/>
      <c r="ELY69" s="26"/>
      <c r="ELZ69" s="26"/>
      <c r="EMA69" s="26"/>
      <c r="EMB69" s="26"/>
      <c r="EMC69" s="26"/>
      <c r="EMD69" s="26"/>
      <c r="EME69" s="26"/>
      <c r="EMF69" s="26"/>
      <c r="EMG69" s="26"/>
      <c r="EMH69" s="26"/>
      <c r="EMI69" s="26"/>
      <c r="EMJ69" s="26"/>
      <c r="EMK69" s="26"/>
      <c r="EML69" s="26"/>
      <c r="EMM69" s="26"/>
      <c r="EMN69" s="26"/>
      <c r="EMO69" s="26"/>
      <c r="EMP69" s="26"/>
      <c r="EMQ69" s="26"/>
      <c r="EMR69" s="26"/>
      <c r="EMS69" s="26"/>
      <c r="EMT69" s="26"/>
      <c r="EMU69" s="26"/>
      <c r="EMV69" s="26"/>
      <c r="EMW69" s="26"/>
      <c r="EMX69" s="26"/>
      <c r="EMY69" s="26"/>
      <c r="EMZ69" s="26"/>
      <c r="ENA69" s="26"/>
      <c r="ENB69" s="26"/>
      <c r="ENC69" s="26"/>
      <c r="END69" s="26"/>
      <c r="ENE69" s="26"/>
      <c r="ENF69" s="26"/>
      <c r="ENG69" s="26"/>
      <c r="ENH69" s="26"/>
      <c r="ENI69" s="26"/>
      <c r="ENJ69" s="26"/>
      <c r="ENK69" s="26"/>
      <c r="ENL69" s="26"/>
      <c r="ENM69" s="26"/>
      <c r="ENN69" s="26"/>
      <c r="ENO69" s="26"/>
      <c r="ENP69" s="26"/>
      <c r="ENQ69" s="26"/>
      <c r="ENR69" s="26"/>
      <c r="ENS69" s="26"/>
      <c r="ENT69" s="26"/>
      <c r="ENU69" s="26"/>
      <c r="ENV69" s="26"/>
      <c r="ENW69" s="26"/>
      <c r="ENX69" s="26"/>
      <c r="ENY69" s="26"/>
      <c r="ENZ69" s="26"/>
      <c r="EOA69" s="26"/>
      <c r="EOB69" s="26"/>
      <c r="EOC69" s="26"/>
      <c r="EOD69" s="26"/>
      <c r="EOE69" s="26"/>
      <c r="EOF69" s="26"/>
      <c r="EOG69" s="26"/>
      <c r="EOH69" s="26"/>
      <c r="EOI69" s="26"/>
      <c r="EOJ69" s="26"/>
      <c r="EOK69" s="26"/>
      <c r="EOL69" s="26"/>
      <c r="EOM69" s="26"/>
      <c r="EON69" s="26"/>
      <c r="EOO69" s="26"/>
      <c r="EOP69" s="26"/>
      <c r="EOQ69" s="26"/>
      <c r="EOR69" s="26"/>
      <c r="EOS69" s="26"/>
      <c r="EOT69" s="26"/>
      <c r="EOU69" s="26"/>
      <c r="EOV69" s="26"/>
      <c r="EOW69" s="26"/>
      <c r="EOX69" s="26"/>
      <c r="EOY69" s="26"/>
      <c r="EOZ69" s="26"/>
      <c r="EPA69" s="26"/>
      <c r="EPB69" s="26"/>
      <c r="EPC69" s="26"/>
      <c r="EPD69" s="26"/>
      <c r="EPE69" s="26"/>
      <c r="EPF69" s="26"/>
      <c r="EPG69" s="26"/>
      <c r="EPH69" s="26"/>
      <c r="EPI69" s="26"/>
      <c r="EPJ69" s="26"/>
      <c r="EPK69" s="26"/>
      <c r="EPL69" s="26"/>
      <c r="EPM69" s="26"/>
      <c r="EPN69" s="26"/>
      <c r="EPO69" s="26"/>
      <c r="EPP69" s="26"/>
      <c r="EPQ69" s="26"/>
      <c r="EPR69" s="26"/>
      <c r="EPS69" s="26"/>
      <c r="EPT69" s="26"/>
      <c r="EPU69" s="26"/>
      <c r="EPV69" s="26"/>
      <c r="EPW69" s="26"/>
      <c r="EPX69" s="26"/>
      <c r="EPY69" s="26"/>
      <c r="EPZ69" s="26"/>
      <c r="EQA69" s="26"/>
      <c r="EQB69" s="26"/>
      <c r="EQC69" s="26"/>
      <c r="EQD69" s="26"/>
      <c r="EQE69" s="26"/>
      <c r="EQF69" s="26"/>
      <c r="EQG69" s="26"/>
      <c r="EQH69" s="26"/>
      <c r="EQI69" s="26"/>
      <c r="EQJ69" s="26"/>
      <c r="EQK69" s="26"/>
      <c r="EQL69" s="26"/>
      <c r="EQM69" s="26"/>
      <c r="EQN69" s="26"/>
      <c r="EQO69" s="26"/>
      <c r="EQP69" s="26"/>
      <c r="EQQ69" s="26"/>
      <c r="EQR69" s="26"/>
      <c r="EQS69" s="26"/>
      <c r="EQT69" s="26"/>
      <c r="EQU69" s="26"/>
      <c r="EQV69" s="26"/>
      <c r="EQW69" s="26"/>
      <c r="EQX69" s="26"/>
      <c r="EQY69" s="26"/>
      <c r="EQZ69" s="26"/>
      <c r="ERA69" s="26"/>
      <c r="ERB69" s="26"/>
      <c r="ERC69" s="26"/>
      <c r="ERD69" s="26"/>
      <c r="ERE69" s="26"/>
      <c r="ERF69" s="26"/>
      <c r="ERG69" s="26"/>
      <c r="ERH69" s="26"/>
      <c r="ERI69" s="26"/>
      <c r="ERJ69" s="26"/>
      <c r="ERK69" s="26"/>
      <c r="ERL69" s="26"/>
      <c r="ERM69" s="26"/>
      <c r="ERN69" s="26"/>
      <c r="ERO69" s="26"/>
      <c r="ERP69" s="26"/>
      <c r="ERQ69" s="26"/>
      <c r="ERR69" s="26"/>
      <c r="ERS69" s="26"/>
      <c r="ERT69" s="26"/>
      <c r="ERU69" s="26"/>
      <c r="ERV69" s="26"/>
      <c r="ERW69" s="26"/>
      <c r="ERX69" s="26"/>
      <c r="ERY69" s="26"/>
      <c r="ERZ69" s="26"/>
      <c r="ESA69" s="26"/>
      <c r="ESB69" s="26"/>
      <c r="ESC69" s="26"/>
      <c r="ESD69" s="26"/>
      <c r="ESE69" s="26"/>
      <c r="ESF69" s="26"/>
      <c r="ESG69" s="26"/>
      <c r="ESH69" s="26"/>
      <c r="ESI69" s="26"/>
      <c r="ESJ69" s="26"/>
      <c r="ESK69" s="26"/>
      <c r="ESL69" s="26"/>
      <c r="ESM69" s="26"/>
      <c r="ESN69" s="26"/>
      <c r="ESO69" s="26"/>
      <c r="ESP69" s="26"/>
      <c r="ESQ69" s="26"/>
      <c r="ESR69" s="26"/>
      <c r="ESS69" s="26"/>
      <c r="EST69" s="26"/>
      <c r="ESU69" s="26"/>
      <c r="ESV69" s="26"/>
      <c r="ESW69" s="26"/>
      <c r="ESX69" s="26"/>
      <c r="ESY69" s="26"/>
      <c r="ESZ69" s="26"/>
      <c r="ETA69" s="26"/>
      <c r="ETB69" s="26"/>
      <c r="ETC69" s="26"/>
      <c r="ETD69" s="26"/>
      <c r="ETE69" s="26"/>
      <c r="ETF69" s="26"/>
      <c r="ETG69" s="26"/>
      <c r="ETH69" s="26"/>
      <c r="ETI69" s="26"/>
      <c r="ETJ69" s="26"/>
      <c r="ETK69" s="26"/>
      <c r="ETL69" s="26"/>
      <c r="ETM69" s="26"/>
      <c r="ETN69" s="26"/>
      <c r="ETO69" s="26"/>
      <c r="ETP69" s="26"/>
      <c r="ETQ69" s="26"/>
      <c r="ETR69" s="26"/>
      <c r="ETS69" s="26"/>
      <c r="ETT69" s="26"/>
      <c r="ETU69" s="26"/>
      <c r="ETV69" s="26"/>
      <c r="ETW69" s="26"/>
      <c r="ETX69" s="26"/>
      <c r="ETY69" s="26"/>
      <c r="ETZ69" s="26"/>
      <c r="EUA69" s="26"/>
      <c r="EUB69" s="26"/>
      <c r="EUC69" s="26"/>
      <c r="EUD69" s="26"/>
      <c r="EUE69" s="26"/>
      <c r="EUF69" s="26"/>
      <c r="EUG69" s="26"/>
      <c r="EUH69" s="26"/>
      <c r="EUI69" s="26"/>
      <c r="EUJ69" s="26"/>
      <c r="EUK69" s="26"/>
      <c r="EUL69" s="26"/>
      <c r="EUM69" s="26"/>
      <c r="EUN69" s="26"/>
      <c r="EUO69" s="26"/>
      <c r="EUP69" s="26"/>
      <c r="EUQ69" s="26"/>
      <c r="EUR69" s="26"/>
      <c r="EUS69" s="26"/>
      <c r="EUT69" s="26"/>
      <c r="EUU69" s="26"/>
      <c r="EUV69" s="26"/>
      <c r="EUW69" s="26"/>
      <c r="EUX69" s="26"/>
      <c r="EUY69" s="26"/>
      <c r="EUZ69" s="26"/>
      <c r="EVA69" s="26"/>
      <c r="EVB69" s="26"/>
      <c r="EVC69" s="26"/>
      <c r="EVD69" s="26"/>
      <c r="EVE69" s="26"/>
      <c r="EVF69" s="26"/>
      <c r="EVG69" s="26"/>
      <c r="EVH69" s="26"/>
      <c r="EVI69" s="26"/>
      <c r="EVJ69" s="26"/>
      <c r="EVK69" s="26"/>
      <c r="EVL69" s="26"/>
      <c r="EVM69" s="26"/>
      <c r="EVN69" s="26"/>
      <c r="EVO69" s="26"/>
      <c r="EVP69" s="26"/>
      <c r="EVQ69" s="26"/>
      <c r="EVR69" s="26"/>
      <c r="EVS69" s="26"/>
      <c r="EVT69" s="26"/>
      <c r="EVU69" s="26"/>
      <c r="EVV69" s="26"/>
      <c r="EVW69" s="26"/>
      <c r="EVX69" s="26"/>
      <c r="EVY69" s="26"/>
      <c r="EVZ69" s="26"/>
      <c r="EWA69" s="26"/>
      <c r="EWB69" s="26"/>
      <c r="EWC69" s="26"/>
      <c r="EWD69" s="26"/>
      <c r="EWE69" s="26"/>
      <c r="EWF69" s="26"/>
      <c r="EWG69" s="26"/>
      <c r="EWH69" s="26"/>
      <c r="EWI69" s="26"/>
      <c r="EWJ69" s="26"/>
      <c r="EWK69" s="26"/>
      <c r="EWL69" s="26"/>
      <c r="EWM69" s="26"/>
      <c r="EWN69" s="26"/>
      <c r="EWO69" s="26"/>
      <c r="EWP69" s="26"/>
      <c r="EWQ69" s="26"/>
      <c r="EWR69" s="26"/>
      <c r="EWS69" s="26"/>
      <c r="EWT69" s="26"/>
      <c r="EWU69" s="26"/>
      <c r="EWV69" s="26"/>
      <c r="EWW69" s="26"/>
      <c r="EWX69" s="26"/>
      <c r="EWY69" s="26"/>
      <c r="EWZ69" s="26"/>
      <c r="EXA69" s="26"/>
      <c r="EXB69" s="26"/>
      <c r="EXC69" s="26"/>
      <c r="EXD69" s="26"/>
      <c r="EXE69" s="26"/>
      <c r="EXF69" s="26"/>
      <c r="EXG69" s="26"/>
      <c r="EXH69" s="26"/>
      <c r="EXI69" s="26"/>
      <c r="EXJ69" s="26"/>
      <c r="EXK69" s="26"/>
      <c r="EXL69" s="26"/>
      <c r="EXM69" s="26"/>
      <c r="EXN69" s="26"/>
      <c r="EXO69" s="26"/>
      <c r="EXP69" s="26"/>
      <c r="EXQ69" s="26"/>
      <c r="EXR69" s="26"/>
      <c r="EXS69" s="26"/>
      <c r="EXT69" s="26"/>
      <c r="EXU69" s="26"/>
      <c r="EXV69" s="26"/>
      <c r="EXW69" s="26"/>
      <c r="EXX69" s="26"/>
      <c r="EXY69" s="26"/>
      <c r="EXZ69" s="26"/>
      <c r="EYA69" s="26"/>
      <c r="EYB69" s="26"/>
      <c r="EYC69" s="26"/>
      <c r="EYD69" s="26"/>
      <c r="EYE69" s="26"/>
      <c r="EYF69" s="26"/>
      <c r="EYG69" s="26"/>
      <c r="EYH69" s="26"/>
      <c r="EYI69" s="26"/>
      <c r="EYJ69" s="26"/>
      <c r="EYK69" s="26"/>
      <c r="EYL69" s="26"/>
      <c r="EYM69" s="26"/>
      <c r="EYN69" s="26"/>
      <c r="EYO69" s="26"/>
      <c r="EYP69" s="26"/>
      <c r="EYQ69" s="26"/>
      <c r="EYR69" s="26"/>
      <c r="EYS69" s="26"/>
      <c r="EYT69" s="26"/>
      <c r="EYU69" s="26"/>
      <c r="EYV69" s="26"/>
      <c r="EYW69" s="26"/>
      <c r="EYX69" s="26"/>
      <c r="EYY69" s="26"/>
      <c r="EYZ69" s="26"/>
      <c r="EZA69" s="26"/>
      <c r="EZB69" s="26"/>
      <c r="EZC69" s="26"/>
      <c r="EZD69" s="26"/>
      <c r="EZE69" s="26"/>
      <c r="EZF69" s="26"/>
      <c r="EZG69" s="26"/>
      <c r="EZH69" s="26"/>
      <c r="EZI69" s="26"/>
      <c r="EZJ69" s="26"/>
      <c r="EZK69" s="26"/>
      <c r="EZL69" s="26"/>
      <c r="EZM69" s="26"/>
      <c r="EZN69" s="26"/>
      <c r="EZO69" s="26"/>
      <c r="EZP69" s="26"/>
      <c r="EZQ69" s="26"/>
      <c r="EZR69" s="26"/>
      <c r="EZS69" s="26"/>
      <c r="EZT69" s="26"/>
      <c r="EZU69" s="26"/>
      <c r="EZV69" s="26"/>
      <c r="EZW69" s="26"/>
      <c r="EZX69" s="26"/>
      <c r="EZY69" s="26"/>
      <c r="EZZ69" s="26"/>
      <c r="FAA69" s="26"/>
      <c r="FAB69" s="26"/>
      <c r="FAC69" s="26"/>
      <c r="FAD69" s="26"/>
      <c r="FAE69" s="26"/>
      <c r="FAF69" s="26"/>
      <c r="FAG69" s="26"/>
      <c r="FAH69" s="26"/>
      <c r="FAI69" s="26"/>
      <c r="FAJ69" s="26"/>
      <c r="FAK69" s="26"/>
      <c r="FAL69" s="26"/>
      <c r="FAM69" s="26"/>
      <c r="FAN69" s="26"/>
      <c r="FAO69" s="26"/>
      <c r="FAP69" s="26"/>
      <c r="FAQ69" s="26"/>
      <c r="FAR69" s="26"/>
      <c r="FAS69" s="26"/>
      <c r="FAT69" s="26"/>
      <c r="FAU69" s="26"/>
      <c r="FAV69" s="26"/>
      <c r="FAW69" s="26"/>
      <c r="FAX69" s="26"/>
      <c r="FAY69" s="26"/>
      <c r="FAZ69" s="26"/>
      <c r="FBA69" s="26"/>
      <c r="FBB69" s="26"/>
      <c r="FBC69" s="26"/>
      <c r="FBD69" s="26"/>
      <c r="FBE69" s="26"/>
      <c r="FBF69" s="26"/>
      <c r="FBG69" s="26"/>
      <c r="FBH69" s="26"/>
      <c r="FBI69" s="26"/>
      <c r="FBJ69" s="26"/>
      <c r="FBK69" s="26"/>
      <c r="FBL69" s="26"/>
      <c r="FBM69" s="26"/>
      <c r="FBN69" s="26"/>
      <c r="FBO69" s="26"/>
      <c r="FBP69" s="26"/>
      <c r="FBQ69" s="26"/>
      <c r="FBR69" s="26"/>
      <c r="FBS69" s="26"/>
      <c r="FBT69" s="26"/>
      <c r="FBU69" s="26"/>
      <c r="FBV69" s="26"/>
      <c r="FBW69" s="26"/>
      <c r="FBX69" s="26"/>
      <c r="FBY69" s="26"/>
      <c r="FBZ69" s="26"/>
      <c r="FCA69" s="26"/>
      <c r="FCB69" s="26"/>
      <c r="FCC69" s="26"/>
      <c r="FCD69" s="26"/>
      <c r="FCE69" s="26"/>
      <c r="FCF69" s="26"/>
      <c r="FCG69" s="26"/>
      <c r="FCH69" s="26"/>
      <c r="FCI69" s="26"/>
      <c r="FCJ69" s="26"/>
      <c r="FCK69" s="26"/>
      <c r="FCL69" s="26"/>
      <c r="FCM69" s="26"/>
      <c r="FCN69" s="26"/>
      <c r="FCO69" s="26"/>
      <c r="FCP69" s="26"/>
      <c r="FCQ69" s="26"/>
      <c r="FCR69" s="26"/>
      <c r="FCS69" s="26"/>
      <c r="FCT69" s="26"/>
      <c r="FCU69" s="26"/>
      <c r="FCV69" s="26"/>
      <c r="FCW69" s="26"/>
      <c r="FCX69" s="26"/>
      <c r="FCY69" s="26"/>
      <c r="FCZ69" s="26"/>
      <c r="FDA69" s="26"/>
      <c r="FDB69" s="26"/>
      <c r="FDC69" s="26"/>
      <c r="FDD69" s="26"/>
      <c r="FDE69" s="26"/>
      <c r="FDF69" s="26"/>
      <c r="FDG69" s="26"/>
      <c r="FDH69" s="26"/>
      <c r="FDI69" s="26"/>
      <c r="FDJ69" s="26"/>
      <c r="FDK69" s="26"/>
      <c r="FDL69" s="26"/>
      <c r="FDM69" s="26"/>
      <c r="FDN69" s="26"/>
      <c r="FDO69" s="26"/>
      <c r="FDP69" s="26"/>
      <c r="FDQ69" s="26"/>
      <c r="FDR69" s="26"/>
      <c r="FDS69" s="26"/>
      <c r="FDT69" s="26"/>
      <c r="FDU69" s="26"/>
      <c r="FDV69" s="26"/>
      <c r="FDW69" s="26"/>
      <c r="FDX69" s="26"/>
      <c r="FDY69" s="26"/>
      <c r="FDZ69" s="26"/>
      <c r="FEA69" s="26"/>
      <c r="FEB69" s="26"/>
      <c r="FEC69" s="26"/>
      <c r="FED69" s="26"/>
      <c r="FEE69" s="26"/>
      <c r="FEF69" s="26"/>
      <c r="FEG69" s="26"/>
      <c r="FEH69" s="26"/>
      <c r="FEI69" s="26"/>
      <c r="FEJ69" s="26"/>
      <c r="FEK69" s="26"/>
      <c r="FEL69" s="26"/>
      <c r="FEM69" s="26"/>
      <c r="FEN69" s="26"/>
      <c r="FEO69" s="26"/>
      <c r="FEP69" s="26"/>
      <c r="FEQ69" s="26"/>
      <c r="FER69" s="26"/>
      <c r="FES69" s="26"/>
      <c r="FET69" s="26"/>
      <c r="FEU69" s="26"/>
      <c r="FEV69" s="26"/>
      <c r="FEW69" s="26"/>
      <c r="FEX69" s="26"/>
      <c r="FEY69" s="26"/>
      <c r="FEZ69" s="26"/>
      <c r="FFA69" s="26"/>
      <c r="FFB69" s="26"/>
      <c r="FFC69" s="26"/>
      <c r="FFD69" s="26"/>
      <c r="FFE69" s="26"/>
      <c r="FFF69" s="26"/>
      <c r="FFG69" s="26"/>
      <c r="FFH69" s="26"/>
      <c r="FFI69" s="26"/>
      <c r="FFJ69" s="26"/>
      <c r="FFK69" s="26"/>
      <c r="FFL69" s="26"/>
      <c r="FFM69" s="26"/>
      <c r="FFN69" s="26"/>
      <c r="FFO69" s="26"/>
      <c r="FFP69" s="26"/>
      <c r="FFQ69" s="26"/>
      <c r="FFR69" s="26"/>
      <c r="FFS69" s="26"/>
      <c r="FFT69" s="26"/>
      <c r="FFU69" s="26"/>
      <c r="FFV69" s="26"/>
      <c r="FFW69" s="26"/>
      <c r="FFX69" s="26"/>
      <c r="FFY69" s="26"/>
      <c r="FFZ69" s="26"/>
      <c r="FGA69" s="26"/>
      <c r="FGB69" s="26"/>
      <c r="FGC69" s="26"/>
      <c r="FGD69" s="26"/>
      <c r="FGE69" s="26"/>
      <c r="FGF69" s="26"/>
      <c r="FGG69" s="26"/>
      <c r="FGH69" s="26"/>
      <c r="FGI69" s="26"/>
      <c r="FGJ69" s="26"/>
      <c r="FGK69" s="26"/>
      <c r="FGL69" s="26"/>
      <c r="FGM69" s="26"/>
      <c r="FGN69" s="26"/>
      <c r="FGO69" s="26"/>
      <c r="FGP69" s="26"/>
      <c r="FGQ69" s="26"/>
      <c r="FGR69" s="26"/>
      <c r="FGS69" s="26"/>
      <c r="FGT69" s="26"/>
      <c r="FGU69" s="26"/>
      <c r="FGV69" s="26"/>
      <c r="FGW69" s="26"/>
      <c r="FGX69" s="26"/>
      <c r="FGY69" s="26"/>
      <c r="FGZ69" s="26"/>
      <c r="FHA69" s="26"/>
      <c r="FHB69" s="26"/>
      <c r="FHC69" s="26"/>
      <c r="FHD69" s="26"/>
      <c r="FHE69" s="26"/>
      <c r="FHF69" s="26"/>
      <c r="FHG69" s="26"/>
      <c r="FHH69" s="26"/>
      <c r="FHI69" s="26"/>
      <c r="FHJ69" s="26"/>
      <c r="FHK69" s="26"/>
      <c r="FHL69" s="26"/>
      <c r="FHM69" s="26"/>
      <c r="FHN69" s="26"/>
      <c r="FHO69" s="26"/>
      <c r="FHP69" s="26"/>
      <c r="FHQ69" s="26"/>
      <c r="FHR69" s="26"/>
      <c r="FHS69" s="26"/>
      <c r="FHT69" s="26"/>
      <c r="FHU69" s="26"/>
      <c r="FHV69" s="26"/>
      <c r="FHW69" s="26"/>
      <c r="FHX69" s="26"/>
      <c r="FHY69" s="26"/>
      <c r="FHZ69" s="26"/>
      <c r="FIA69" s="26"/>
      <c r="FIB69" s="26"/>
      <c r="FIC69" s="26"/>
      <c r="FID69" s="26"/>
      <c r="FIE69" s="26"/>
      <c r="FIF69" s="26"/>
      <c r="FIG69" s="26"/>
      <c r="FIH69" s="26"/>
      <c r="FII69" s="26"/>
      <c r="FIJ69" s="26"/>
      <c r="FIK69" s="26"/>
      <c r="FIL69" s="26"/>
      <c r="FIM69" s="26"/>
      <c r="FIN69" s="26"/>
      <c r="FIO69" s="26"/>
      <c r="FIP69" s="26"/>
      <c r="FIQ69" s="26"/>
      <c r="FIR69" s="26"/>
      <c r="FIS69" s="26"/>
      <c r="FIT69" s="26"/>
      <c r="FIU69" s="26"/>
      <c r="FIV69" s="26"/>
      <c r="FIW69" s="26"/>
      <c r="FIX69" s="26"/>
      <c r="FIY69" s="26"/>
      <c r="FIZ69" s="26"/>
      <c r="FJA69" s="26"/>
      <c r="FJB69" s="26"/>
      <c r="FJC69" s="26"/>
      <c r="FJD69" s="26"/>
      <c r="FJE69" s="26"/>
      <c r="FJF69" s="26"/>
      <c r="FJG69" s="26"/>
      <c r="FJH69" s="26"/>
      <c r="FJI69" s="26"/>
      <c r="FJJ69" s="26"/>
      <c r="FJK69" s="26"/>
      <c r="FJL69" s="26"/>
      <c r="FJM69" s="26"/>
      <c r="FJN69" s="26"/>
      <c r="FJO69" s="26"/>
      <c r="FJP69" s="26"/>
      <c r="FJQ69" s="26"/>
      <c r="FJR69" s="26"/>
      <c r="FJS69" s="26"/>
      <c r="FJT69" s="26"/>
      <c r="FJU69" s="26"/>
      <c r="FJV69" s="26"/>
      <c r="FJW69" s="26"/>
      <c r="FJX69" s="26"/>
      <c r="FJY69" s="26"/>
      <c r="FJZ69" s="26"/>
      <c r="FKA69" s="26"/>
      <c r="FKB69" s="26"/>
      <c r="FKC69" s="26"/>
      <c r="FKD69" s="26"/>
      <c r="FKE69" s="26"/>
      <c r="FKF69" s="26"/>
      <c r="FKG69" s="26"/>
      <c r="FKH69" s="26"/>
      <c r="FKI69" s="26"/>
      <c r="FKJ69" s="26"/>
      <c r="FKK69" s="26"/>
      <c r="FKL69" s="26"/>
      <c r="FKM69" s="26"/>
      <c r="FKN69" s="26"/>
      <c r="FKO69" s="26"/>
      <c r="FKP69" s="26"/>
      <c r="FKQ69" s="26"/>
      <c r="FKR69" s="26"/>
      <c r="FKS69" s="26"/>
      <c r="FKT69" s="26"/>
      <c r="FKU69" s="26"/>
      <c r="FKV69" s="26"/>
      <c r="FKW69" s="26"/>
      <c r="FKX69" s="26"/>
      <c r="FKY69" s="26"/>
      <c r="FKZ69" s="26"/>
      <c r="FLA69" s="26"/>
      <c r="FLB69" s="26"/>
      <c r="FLC69" s="26"/>
      <c r="FLD69" s="26"/>
      <c r="FLE69" s="26"/>
      <c r="FLF69" s="26"/>
      <c r="FLG69" s="26"/>
      <c r="FLH69" s="26"/>
      <c r="FLI69" s="26"/>
      <c r="FLJ69" s="26"/>
      <c r="FLK69" s="26"/>
      <c r="FLL69" s="26"/>
      <c r="FLM69" s="26"/>
      <c r="FLN69" s="26"/>
      <c r="FLO69" s="26"/>
      <c r="FLP69" s="26"/>
      <c r="FLQ69" s="26"/>
      <c r="FLR69" s="26"/>
      <c r="FLS69" s="26"/>
      <c r="FLT69" s="26"/>
      <c r="FLU69" s="26"/>
      <c r="FLV69" s="26"/>
      <c r="FLW69" s="26"/>
      <c r="FLX69" s="26"/>
      <c r="FLY69" s="26"/>
      <c r="FLZ69" s="26"/>
      <c r="FMA69" s="26"/>
      <c r="FMB69" s="26"/>
      <c r="FMC69" s="26"/>
      <c r="FMD69" s="26"/>
      <c r="FME69" s="26"/>
      <c r="FMF69" s="26"/>
      <c r="FMG69" s="26"/>
      <c r="FMH69" s="26"/>
      <c r="FMI69" s="26"/>
      <c r="FMJ69" s="26"/>
      <c r="FMK69" s="26"/>
      <c r="FML69" s="26"/>
      <c r="FMM69" s="26"/>
      <c r="FMN69" s="26"/>
      <c r="FMO69" s="26"/>
      <c r="FMP69" s="26"/>
      <c r="FMQ69" s="26"/>
      <c r="FMR69" s="26"/>
      <c r="FMS69" s="26"/>
      <c r="FMT69" s="26"/>
      <c r="FMU69" s="26"/>
      <c r="FMV69" s="26"/>
      <c r="FMW69" s="26"/>
      <c r="FMX69" s="26"/>
      <c r="FMY69" s="26"/>
      <c r="FMZ69" s="26"/>
      <c r="FNA69" s="26"/>
      <c r="FNB69" s="26"/>
      <c r="FNC69" s="26"/>
      <c r="FND69" s="26"/>
      <c r="FNE69" s="26"/>
      <c r="FNF69" s="26"/>
      <c r="FNG69" s="26"/>
      <c r="FNH69" s="26"/>
      <c r="FNI69" s="26"/>
      <c r="FNJ69" s="26"/>
      <c r="FNK69" s="26"/>
      <c r="FNL69" s="26"/>
      <c r="FNM69" s="26"/>
      <c r="FNN69" s="26"/>
      <c r="FNO69" s="26"/>
      <c r="FNP69" s="26"/>
      <c r="FNQ69" s="26"/>
      <c r="FNR69" s="26"/>
      <c r="FNS69" s="26"/>
      <c r="FNT69" s="26"/>
      <c r="FNU69" s="26"/>
      <c r="FNV69" s="26"/>
      <c r="FNW69" s="26"/>
      <c r="FNX69" s="26"/>
      <c r="FNY69" s="26"/>
      <c r="FNZ69" s="26"/>
      <c r="FOA69" s="26"/>
      <c r="FOB69" s="26"/>
      <c r="FOC69" s="26"/>
      <c r="FOD69" s="26"/>
      <c r="FOE69" s="26"/>
      <c r="FOF69" s="26"/>
      <c r="FOG69" s="26"/>
      <c r="FOH69" s="26"/>
      <c r="FOI69" s="26"/>
      <c r="FOJ69" s="26"/>
      <c r="FOK69" s="26"/>
      <c r="FOL69" s="26"/>
      <c r="FOM69" s="26"/>
      <c r="FON69" s="26"/>
      <c r="FOO69" s="26"/>
      <c r="FOP69" s="26"/>
      <c r="FOQ69" s="26"/>
      <c r="FOR69" s="26"/>
      <c r="FOS69" s="26"/>
      <c r="FOT69" s="26"/>
      <c r="FOU69" s="26"/>
      <c r="FOV69" s="26"/>
      <c r="FOW69" s="26"/>
      <c r="FOX69" s="26"/>
      <c r="FOY69" s="26"/>
      <c r="FOZ69" s="26"/>
      <c r="FPA69" s="26"/>
      <c r="FPB69" s="26"/>
      <c r="FPC69" s="26"/>
      <c r="FPD69" s="26"/>
      <c r="FPE69" s="26"/>
      <c r="FPF69" s="26"/>
      <c r="FPG69" s="26"/>
      <c r="FPH69" s="26"/>
      <c r="FPI69" s="26"/>
      <c r="FPJ69" s="26"/>
      <c r="FPK69" s="26"/>
      <c r="FPL69" s="26"/>
      <c r="FPM69" s="26"/>
      <c r="FPN69" s="26"/>
      <c r="FPO69" s="26"/>
      <c r="FPP69" s="26"/>
      <c r="FPQ69" s="26"/>
      <c r="FPR69" s="26"/>
      <c r="FPS69" s="26"/>
      <c r="FPT69" s="26"/>
      <c r="FPU69" s="26"/>
      <c r="FPV69" s="26"/>
      <c r="FPW69" s="26"/>
      <c r="FPX69" s="26"/>
      <c r="FPY69" s="26"/>
      <c r="FPZ69" s="26"/>
      <c r="FQA69" s="26"/>
      <c r="FQB69" s="26"/>
      <c r="FQC69" s="26"/>
      <c r="FQD69" s="26"/>
      <c r="FQE69" s="26"/>
      <c r="FQF69" s="26"/>
      <c r="FQG69" s="26"/>
      <c r="FQH69" s="26"/>
      <c r="FQI69" s="26"/>
      <c r="FQJ69" s="26"/>
      <c r="FQK69" s="26"/>
      <c r="FQL69" s="26"/>
      <c r="FQM69" s="26"/>
      <c r="FQN69" s="26"/>
      <c r="FQO69" s="26"/>
      <c r="FQP69" s="26"/>
      <c r="FQQ69" s="26"/>
      <c r="FQR69" s="26"/>
      <c r="FQS69" s="26"/>
      <c r="FQT69" s="26"/>
      <c r="FQU69" s="26"/>
      <c r="FQV69" s="26"/>
      <c r="FQW69" s="26"/>
      <c r="FQX69" s="26"/>
      <c r="FQY69" s="26"/>
      <c r="FQZ69" s="26"/>
      <c r="FRA69" s="26"/>
      <c r="FRB69" s="26"/>
      <c r="FRC69" s="26"/>
      <c r="FRD69" s="26"/>
      <c r="FRE69" s="26"/>
      <c r="FRF69" s="26"/>
      <c r="FRG69" s="26"/>
      <c r="FRH69" s="26"/>
      <c r="FRI69" s="26"/>
      <c r="FRJ69" s="26"/>
      <c r="FRK69" s="26"/>
      <c r="FRL69" s="26"/>
      <c r="FRM69" s="26"/>
      <c r="FRN69" s="26"/>
      <c r="FRO69" s="26"/>
      <c r="FRP69" s="26"/>
      <c r="FRQ69" s="26"/>
      <c r="FRR69" s="26"/>
      <c r="FRS69" s="26"/>
      <c r="FRT69" s="26"/>
      <c r="FRU69" s="26"/>
      <c r="FRV69" s="26"/>
      <c r="FRW69" s="26"/>
      <c r="FRX69" s="26"/>
      <c r="FRY69" s="26"/>
      <c r="FRZ69" s="26"/>
      <c r="FSA69" s="26"/>
      <c r="FSB69" s="26"/>
      <c r="FSC69" s="26"/>
      <c r="FSD69" s="26"/>
      <c r="FSE69" s="26"/>
      <c r="FSF69" s="26"/>
      <c r="FSG69" s="26"/>
      <c r="FSH69" s="26"/>
      <c r="FSI69" s="26"/>
      <c r="FSJ69" s="26"/>
      <c r="FSK69" s="26"/>
      <c r="FSL69" s="26"/>
      <c r="FSM69" s="26"/>
      <c r="FSN69" s="26"/>
      <c r="FSO69" s="26"/>
      <c r="FSP69" s="26"/>
      <c r="FSQ69" s="26"/>
      <c r="FSR69" s="26"/>
      <c r="FSS69" s="26"/>
      <c r="FST69" s="26"/>
      <c r="FSU69" s="26"/>
      <c r="FSV69" s="26"/>
      <c r="FSW69" s="26"/>
      <c r="FSX69" s="26"/>
      <c r="FSY69" s="26"/>
      <c r="FSZ69" s="26"/>
      <c r="FTA69" s="26"/>
      <c r="FTB69" s="26"/>
      <c r="FTC69" s="26"/>
      <c r="FTD69" s="26"/>
      <c r="FTE69" s="26"/>
      <c r="FTF69" s="26"/>
      <c r="FTG69" s="26"/>
      <c r="FTH69" s="26"/>
      <c r="FTI69" s="26"/>
      <c r="FTJ69" s="26"/>
      <c r="FTK69" s="26"/>
      <c r="FTL69" s="26"/>
      <c r="FTM69" s="26"/>
      <c r="FTN69" s="26"/>
      <c r="FTO69" s="26"/>
      <c r="FTP69" s="26"/>
      <c r="FTQ69" s="26"/>
      <c r="FTR69" s="26"/>
      <c r="FTS69" s="26"/>
      <c r="FTT69" s="26"/>
      <c r="FTU69" s="26"/>
      <c r="FTV69" s="26"/>
      <c r="FTW69" s="26"/>
      <c r="FTX69" s="26"/>
      <c r="FTY69" s="26"/>
      <c r="FTZ69" s="26"/>
      <c r="FUA69" s="26"/>
      <c r="FUB69" s="26"/>
      <c r="FUC69" s="26"/>
      <c r="FUD69" s="26"/>
      <c r="FUE69" s="26"/>
      <c r="FUF69" s="26"/>
      <c r="FUG69" s="26"/>
      <c r="FUH69" s="26"/>
      <c r="FUI69" s="26"/>
      <c r="FUJ69" s="26"/>
      <c r="FUK69" s="26"/>
      <c r="FUL69" s="26"/>
      <c r="FUM69" s="26"/>
      <c r="FUN69" s="26"/>
      <c r="FUO69" s="26"/>
      <c r="FUP69" s="26"/>
      <c r="FUQ69" s="26"/>
      <c r="FUR69" s="26"/>
      <c r="FUS69" s="26"/>
      <c r="FUT69" s="26"/>
      <c r="FUU69" s="26"/>
      <c r="FUV69" s="26"/>
      <c r="FUW69" s="26"/>
      <c r="FUX69" s="26"/>
      <c r="FUY69" s="26"/>
      <c r="FUZ69" s="26"/>
      <c r="FVA69" s="26"/>
      <c r="FVB69" s="26"/>
      <c r="FVC69" s="26"/>
      <c r="FVD69" s="26"/>
      <c r="FVE69" s="26"/>
      <c r="FVF69" s="26"/>
      <c r="FVG69" s="26"/>
      <c r="FVH69" s="26"/>
      <c r="FVI69" s="26"/>
      <c r="FVJ69" s="26"/>
      <c r="FVK69" s="26"/>
      <c r="FVL69" s="26"/>
      <c r="FVM69" s="26"/>
      <c r="FVN69" s="26"/>
      <c r="FVO69" s="26"/>
      <c r="FVP69" s="26"/>
      <c r="FVQ69" s="26"/>
      <c r="FVR69" s="26"/>
      <c r="FVS69" s="26"/>
      <c r="FVT69" s="26"/>
      <c r="FVU69" s="26"/>
      <c r="FVV69" s="26"/>
      <c r="FVW69" s="26"/>
      <c r="FVX69" s="26"/>
      <c r="FVY69" s="26"/>
      <c r="FVZ69" s="26"/>
      <c r="FWA69" s="26"/>
      <c r="FWB69" s="26"/>
      <c r="FWC69" s="26"/>
      <c r="FWD69" s="26"/>
      <c r="FWE69" s="26"/>
      <c r="FWF69" s="26"/>
      <c r="FWG69" s="26"/>
      <c r="FWH69" s="26"/>
      <c r="FWI69" s="26"/>
      <c r="FWJ69" s="26"/>
      <c r="FWK69" s="26"/>
      <c r="FWL69" s="26"/>
      <c r="FWM69" s="26"/>
      <c r="FWN69" s="26"/>
      <c r="FWO69" s="26"/>
      <c r="FWP69" s="26"/>
      <c r="FWQ69" s="26"/>
      <c r="FWR69" s="26"/>
      <c r="FWS69" s="26"/>
      <c r="FWT69" s="26"/>
      <c r="FWU69" s="26"/>
      <c r="FWV69" s="26"/>
      <c r="FWW69" s="26"/>
      <c r="FWX69" s="26"/>
      <c r="FWY69" s="26"/>
      <c r="FWZ69" s="26"/>
      <c r="FXA69" s="26"/>
      <c r="FXB69" s="26"/>
      <c r="FXC69" s="26"/>
      <c r="FXD69" s="26"/>
      <c r="FXE69" s="26"/>
      <c r="FXF69" s="26"/>
      <c r="FXG69" s="26"/>
      <c r="FXH69" s="26"/>
      <c r="FXI69" s="26"/>
      <c r="FXJ69" s="26"/>
      <c r="FXK69" s="26"/>
      <c r="FXL69" s="26"/>
      <c r="FXM69" s="26"/>
      <c r="FXN69" s="26"/>
      <c r="FXO69" s="26"/>
      <c r="FXP69" s="26"/>
      <c r="FXQ69" s="26"/>
      <c r="FXR69" s="26"/>
      <c r="FXS69" s="26"/>
      <c r="FXT69" s="26"/>
      <c r="FXU69" s="26"/>
      <c r="FXV69" s="26"/>
      <c r="FXW69" s="26"/>
      <c r="FXX69" s="26"/>
      <c r="FXY69" s="26"/>
      <c r="FXZ69" s="26"/>
      <c r="FYA69" s="26"/>
      <c r="FYB69" s="26"/>
      <c r="FYC69" s="26"/>
      <c r="FYD69" s="26"/>
      <c r="FYE69" s="26"/>
      <c r="FYF69" s="26"/>
      <c r="FYG69" s="26"/>
      <c r="FYH69" s="26"/>
      <c r="FYI69" s="26"/>
      <c r="FYJ69" s="26"/>
      <c r="FYK69" s="26"/>
      <c r="FYL69" s="26"/>
      <c r="FYM69" s="26"/>
      <c r="FYN69" s="26"/>
      <c r="FYO69" s="26"/>
      <c r="FYP69" s="26"/>
      <c r="FYQ69" s="26"/>
      <c r="FYR69" s="26"/>
      <c r="FYS69" s="26"/>
      <c r="FYT69" s="26"/>
      <c r="FYU69" s="26"/>
      <c r="FYV69" s="26"/>
      <c r="FYW69" s="26"/>
      <c r="FYX69" s="26"/>
      <c r="FYY69" s="26"/>
      <c r="FYZ69" s="26"/>
      <c r="FZA69" s="26"/>
      <c r="FZB69" s="26"/>
      <c r="FZC69" s="26"/>
      <c r="FZD69" s="26"/>
      <c r="FZE69" s="26"/>
      <c r="FZF69" s="26"/>
      <c r="FZG69" s="26"/>
      <c r="FZH69" s="26"/>
      <c r="FZI69" s="26"/>
      <c r="FZJ69" s="26"/>
      <c r="FZK69" s="26"/>
      <c r="FZL69" s="26"/>
      <c r="FZM69" s="26"/>
      <c r="FZN69" s="26"/>
      <c r="FZO69" s="26"/>
      <c r="FZP69" s="26"/>
      <c r="FZQ69" s="26"/>
      <c r="FZR69" s="26"/>
      <c r="FZS69" s="26"/>
      <c r="FZT69" s="26"/>
      <c r="FZU69" s="26"/>
      <c r="FZV69" s="26"/>
      <c r="FZW69" s="26"/>
      <c r="FZX69" s="26"/>
      <c r="FZY69" s="26"/>
      <c r="FZZ69" s="26"/>
      <c r="GAA69" s="26"/>
      <c r="GAB69" s="26"/>
      <c r="GAC69" s="26"/>
      <c r="GAD69" s="26"/>
      <c r="GAE69" s="26"/>
      <c r="GAF69" s="26"/>
      <c r="GAG69" s="26"/>
      <c r="GAH69" s="26"/>
      <c r="GAI69" s="26"/>
      <c r="GAJ69" s="26"/>
      <c r="GAK69" s="26"/>
      <c r="GAL69" s="26"/>
      <c r="GAM69" s="26"/>
      <c r="GAN69" s="26"/>
      <c r="GAO69" s="26"/>
      <c r="GAP69" s="26"/>
      <c r="GAQ69" s="26"/>
      <c r="GAR69" s="26"/>
      <c r="GAS69" s="26"/>
      <c r="GAT69" s="26"/>
      <c r="GAU69" s="26"/>
      <c r="GAV69" s="26"/>
      <c r="GAW69" s="26"/>
      <c r="GAX69" s="26"/>
      <c r="GAY69" s="26"/>
      <c r="GAZ69" s="26"/>
      <c r="GBA69" s="26"/>
      <c r="GBB69" s="26"/>
      <c r="GBC69" s="26"/>
      <c r="GBD69" s="26"/>
      <c r="GBE69" s="26"/>
      <c r="GBF69" s="26"/>
      <c r="GBG69" s="26"/>
      <c r="GBH69" s="26"/>
      <c r="GBI69" s="26"/>
      <c r="GBJ69" s="26"/>
      <c r="GBK69" s="26"/>
      <c r="GBL69" s="26"/>
      <c r="GBM69" s="26"/>
      <c r="GBN69" s="26"/>
      <c r="GBO69" s="26"/>
      <c r="GBP69" s="26"/>
      <c r="GBQ69" s="26"/>
      <c r="GBR69" s="26"/>
      <c r="GBS69" s="26"/>
      <c r="GBT69" s="26"/>
      <c r="GBU69" s="26"/>
      <c r="GBV69" s="26"/>
      <c r="GBW69" s="26"/>
      <c r="GBX69" s="26"/>
      <c r="GBY69" s="26"/>
      <c r="GBZ69" s="26"/>
      <c r="GCA69" s="26"/>
      <c r="GCB69" s="26"/>
      <c r="GCC69" s="26"/>
      <c r="GCD69" s="26"/>
      <c r="GCE69" s="26"/>
      <c r="GCF69" s="26"/>
      <c r="GCG69" s="26"/>
      <c r="GCH69" s="26"/>
      <c r="GCI69" s="26"/>
      <c r="GCJ69" s="26"/>
      <c r="GCK69" s="26"/>
      <c r="GCL69" s="26"/>
      <c r="GCM69" s="26"/>
      <c r="GCN69" s="26"/>
      <c r="GCO69" s="26"/>
      <c r="GCP69" s="26"/>
      <c r="GCQ69" s="26"/>
      <c r="GCR69" s="26"/>
      <c r="GCS69" s="26"/>
      <c r="GCT69" s="26"/>
      <c r="GCU69" s="26"/>
      <c r="GCV69" s="26"/>
      <c r="GCW69" s="26"/>
      <c r="GCX69" s="26"/>
      <c r="GCY69" s="26"/>
      <c r="GCZ69" s="26"/>
      <c r="GDA69" s="26"/>
      <c r="GDB69" s="26"/>
      <c r="GDC69" s="26"/>
      <c r="GDD69" s="26"/>
      <c r="GDE69" s="26"/>
      <c r="GDF69" s="26"/>
      <c r="GDG69" s="26"/>
      <c r="GDH69" s="26"/>
      <c r="GDI69" s="26"/>
      <c r="GDJ69" s="26"/>
      <c r="GDK69" s="26"/>
      <c r="GDL69" s="26"/>
      <c r="GDM69" s="26"/>
      <c r="GDN69" s="26"/>
      <c r="GDO69" s="26"/>
      <c r="GDP69" s="26"/>
      <c r="GDQ69" s="26"/>
      <c r="GDR69" s="26"/>
      <c r="GDS69" s="26"/>
      <c r="GDT69" s="26"/>
      <c r="GDU69" s="26"/>
      <c r="GDV69" s="26"/>
      <c r="GDW69" s="26"/>
      <c r="GDX69" s="26"/>
      <c r="GDY69" s="26"/>
      <c r="GDZ69" s="26"/>
      <c r="GEA69" s="26"/>
      <c r="GEB69" s="26"/>
      <c r="GEC69" s="26"/>
      <c r="GED69" s="26"/>
      <c r="GEE69" s="26"/>
      <c r="GEF69" s="26"/>
      <c r="GEG69" s="26"/>
      <c r="GEH69" s="26"/>
      <c r="GEI69" s="26"/>
      <c r="GEJ69" s="26"/>
      <c r="GEK69" s="26"/>
      <c r="GEL69" s="26"/>
      <c r="GEM69" s="26"/>
      <c r="GEN69" s="26"/>
      <c r="GEO69" s="26"/>
      <c r="GEP69" s="26"/>
      <c r="GEQ69" s="26"/>
      <c r="GER69" s="26"/>
      <c r="GES69" s="26"/>
      <c r="GET69" s="26"/>
      <c r="GEU69" s="26"/>
      <c r="GEV69" s="26"/>
      <c r="GEW69" s="26"/>
      <c r="GEX69" s="26"/>
      <c r="GEY69" s="26"/>
      <c r="GEZ69" s="26"/>
      <c r="GFA69" s="26"/>
      <c r="GFB69" s="26"/>
      <c r="GFC69" s="26"/>
      <c r="GFD69" s="26"/>
      <c r="GFE69" s="26"/>
      <c r="GFF69" s="26"/>
      <c r="GFG69" s="26"/>
      <c r="GFH69" s="26"/>
      <c r="GFI69" s="26"/>
      <c r="GFJ69" s="26"/>
      <c r="GFK69" s="26"/>
      <c r="GFL69" s="26"/>
      <c r="GFM69" s="26"/>
      <c r="GFN69" s="26"/>
      <c r="GFO69" s="26"/>
      <c r="GFP69" s="26"/>
      <c r="GFQ69" s="26"/>
      <c r="GFR69" s="26"/>
      <c r="GFS69" s="26"/>
      <c r="GFT69" s="26"/>
      <c r="GFU69" s="26"/>
      <c r="GFV69" s="26"/>
      <c r="GFW69" s="26"/>
      <c r="GFX69" s="26"/>
      <c r="GFY69" s="26"/>
      <c r="GFZ69" s="26"/>
      <c r="GGA69" s="26"/>
      <c r="GGB69" s="26"/>
      <c r="GGC69" s="26"/>
      <c r="GGD69" s="26"/>
      <c r="GGE69" s="26"/>
      <c r="GGF69" s="26"/>
      <c r="GGG69" s="26"/>
      <c r="GGH69" s="26"/>
      <c r="GGI69" s="26"/>
      <c r="GGJ69" s="26"/>
      <c r="GGK69" s="26"/>
      <c r="GGL69" s="26"/>
      <c r="GGM69" s="26"/>
      <c r="GGN69" s="26"/>
      <c r="GGO69" s="26"/>
      <c r="GGP69" s="26"/>
      <c r="GGQ69" s="26"/>
      <c r="GGR69" s="26"/>
      <c r="GGS69" s="26"/>
      <c r="GGT69" s="26"/>
      <c r="GGU69" s="26"/>
      <c r="GGV69" s="26"/>
      <c r="GGW69" s="26"/>
      <c r="GGX69" s="26"/>
      <c r="GGY69" s="26"/>
      <c r="GGZ69" s="26"/>
      <c r="GHA69" s="26"/>
      <c r="GHB69" s="26"/>
      <c r="GHC69" s="26"/>
      <c r="GHD69" s="26"/>
      <c r="GHE69" s="26"/>
      <c r="GHF69" s="26"/>
      <c r="GHG69" s="26"/>
      <c r="GHH69" s="26"/>
      <c r="GHI69" s="26"/>
      <c r="GHJ69" s="26"/>
      <c r="GHK69" s="26"/>
      <c r="GHL69" s="26"/>
      <c r="GHM69" s="26"/>
      <c r="GHN69" s="26"/>
      <c r="GHO69" s="26"/>
      <c r="GHP69" s="26"/>
      <c r="GHQ69" s="26"/>
      <c r="GHR69" s="26"/>
      <c r="GHS69" s="26"/>
      <c r="GHT69" s="26"/>
      <c r="GHU69" s="26"/>
      <c r="GHV69" s="26"/>
      <c r="GHW69" s="26"/>
      <c r="GHX69" s="26"/>
      <c r="GHY69" s="26"/>
      <c r="GHZ69" s="26"/>
      <c r="GIA69" s="26"/>
      <c r="GIB69" s="26"/>
      <c r="GIC69" s="26"/>
      <c r="GID69" s="26"/>
      <c r="GIE69" s="26"/>
      <c r="GIF69" s="26"/>
      <c r="GIG69" s="26"/>
      <c r="GIH69" s="26"/>
      <c r="GII69" s="26"/>
      <c r="GIJ69" s="26"/>
      <c r="GIK69" s="26"/>
      <c r="GIL69" s="26"/>
      <c r="GIM69" s="26"/>
      <c r="GIN69" s="26"/>
      <c r="GIO69" s="26"/>
      <c r="GIP69" s="26"/>
      <c r="GIQ69" s="26"/>
      <c r="GIR69" s="26"/>
      <c r="GIS69" s="26"/>
      <c r="GIT69" s="26"/>
      <c r="GIU69" s="26"/>
      <c r="GIV69" s="26"/>
      <c r="GIW69" s="26"/>
      <c r="GIX69" s="26"/>
      <c r="GIY69" s="26"/>
      <c r="GIZ69" s="26"/>
      <c r="GJA69" s="26"/>
      <c r="GJB69" s="26"/>
      <c r="GJC69" s="26"/>
      <c r="GJD69" s="26"/>
      <c r="GJE69" s="26"/>
      <c r="GJF69" s="26"/>
      <c r="GJG69" s="26"/>
      <c r="GJH69" s="26"/>
      <c r="GJI69" s="26"/>
      <c r="GJJ69" s="26"/>
      <c r="GJK69" s="26"/>
      <c r="GJL69" s="26"/>
      <c r="GJM69" s="26"/>
      <c r="GJN69" s="26"/>
      <c r="GJO69" s="26"/>
      <c r="GJP69" s="26"/>
      <c r="GJQ69" s="26"/>
      <c r="GJR69" s="26"/>
      <c r="GJS69" s="26"/>
      <c r="GJT69" s="26"/>
      <c r="GJU69" s="26"/>
      <c r="GJV69" s="26"/>
      <c r="GJW69" s="26"/>
      <c r="GJX69" s="26"/>
      <c r="GJY69" s="26"/>
      <c r="GJZ69" s="26"/>
      <c r="GKA69" s="26"/>
      <c r="GKB69" s="26"/>
      <c r="GKC69" s="26"/>
      <c r="GKD69" s="26"/>
      <c r="GKE69" s="26"/>
      <c r="GKF69" s="26"/>
      <c r="GKG69" s="26"/>
      <c r="GKH69" s="26"/>
      <c r="GKI69" s="26"/>
      <c r="GKJ69" s="26"/>
      <c r="GKK69" s="26"/>
      <c r="GKL69" s="26"/>
      <c r="GKM69" s="26"/>
      <c r="GKN69" s="26"/>
      <c r="GKO69" s="26"/>
      <c r="GKP69" s="26"/>
      <c r="GKQ69" s="26"/>
      <c r="GKR69" s="26"/>
      <c r="GKS69" s="26"/>
      <c r="GKT69" s="26"/>
      <c r="GKU69" s="26"/>
      <c r="GKV69" s="26"/>
      <c r="GKW69" s="26"/>
      <c r="GKX69" s="26"/>
      <c r="GKY69" s="26"/>
      <c r="GKZ69" s="26"/>
      <c r="GLA69" s="26"/>
      <c r="GLB69" s="26"/>
      <c r="GLC69" s="26"/>
      <c r="GLD69" s="26"/>
      <c r="GLE69" s="26"/>
      <c r="GLF69" s="26"/>
      <c r="GLG69" s="26"/>
      <c r="GLH69" s="26"/>
      <c r="GLI69" s="26"/>
      <c r="GLJ69" s="26"/>
      <c r="GLK69" s="26"/>
      <c r="GLL69" s="26"/>
      <c r="GLM69" s="26"/>
      <c r="GLN69" s="26"/>
      <c r="GLO69" s="26"/>
      <c r="GLP69" s="26"/>
      <c r="GLQ69" s="26"/>
      <c r="GLR69" s="26"/>
      <c r="GLS69" s="26"/>
      <c r="GLT69" s="26"/>
      <c r="GLU69" s="26"/>
      <c r="GLV69" s="26"/>
      <c r="GLW69" s="26"/>
      <c r="GLX69" s="26"/>
      <c r="GLY69" s="26"/>
      <c r="GLZ69" s="26"/>
      <c r="GMA69" s="26"/>
      <c r="GMB69" s="26"/>
      <c r="GMC69" s="26"/>
      <c r="GMD69" s="26"/>
      <c r="GME69" s="26"/>
      <c r="GMF69" s="26"/>
      <c r="GMG69" s="26"/>
      <c r="GMH69" s="26"/>
      <c r="GMI69" s="26"/>
      <c r="GMJ69" s="26"/>
      <c r="GMK69" s="26"/>
      <c r="GML69" s="26"/>
      <c r="GMM69" s="26"/>
      <c r="GMN69" s="26"/>
      <c r="GMO69" s="26"/>
      <c r="GMP69" s="26"/>
      <c r="GMQ69" s="26"/>
      <c r="GMR69" s="26"/>
      <c r="GMS69" s="26"/>
      <c r="GMT69" s="26"/>
      <c r="GMU69" s="26"/>
      <c r="GMV69" s="26"/>
      <c r="GMW69" s="26"/>
      <c r="GMX69" s="26"/>
      <c r="GMY69" s="26"/>
      <c r="GMZ69" s="26"/>
      <c r="GNA69" s="26"/>
      <c r="GNB69" s="26"/>
      <c r="GNC69" s="26"/>
      <c r="GND69" s="26"/>
      <c r="GNE69" s="26"/>
      <c r="GNF69" s="26"/>
      <c r="GNG69" s="26"/>
      <c r="GNH69" s="26"/>
      <c r="GNI69" s="26"/>
      <c r="GNJ69" s="26"/>
      <c r="GNK69" s="26"/>
      <c r="GNL69" s="26"/>
      <c r="GNM69" s="26"/>
      <c r="GNN69" s="26"/>
      <c r="GNO69" s="26"/>
      <c r="GNP69" s="26"/>
      <c r="GNQ69" s="26"/>
      <c r="GNR69" s="26"/>
      <c r="GNS69" s="26"/>
      <c r="GNT69" s="26"/>
      <c r="GNU69" s="26"/>
      <c r="GNV69" s="26"/>
      <c r="GNW69" s="26"/>
      <c r="GNX69" s="26"/>
      <c r="GNY69" s="26"/>
      <c r="GNZ69" s="26"/>
      <c r="GOA69" s="26"/>
      <c r="GOB69" s="26"/>
      <c r="GOC69" s="26"/>
      <c r="GOD69" s="26"/>
      <c r="GOE69" s="26"/>
      <c r="GOF69" s="26"/>
      <c r="GOG69" s="26"/>
      <c r="GOH69" s="26"/>
      <c r="GOI69" s="26"/>
      <c r="GOJ69" s="26"/>
      <c r="GOK69" s="26"/>
      <c r="GOL69" s="26"/>
      <c r="GOM69" s="26"/>
      <c r="GON69" s="26"/>
      <c r="GOO69" s="26"/>
      <c r="GOP69" s="26"/>
      <c r="GOQ69" s="26"/>
      <c r="GOR69" s="26"/>
      <c r="GOS69" s="26"/>
      <c r="GOT69" s="26"/>
      <c r="GOU69" s="26"/>
      <c r="GOV69" s="26"/>
      <c r="GOW69" s="26"/>
      <c r="GOX69" s="26"/>
      <c r="GOY69" s="26"/>
      <c r="GOZ69" s="26"/>
      <c r="GPA69" s="26"/>
      <c r="GPB69" s="26"/>
      <c r="GPC69" s="26"/>
      <c r="GPD69" s="26"/>
      <c r="GPE69" s="26"/>
      <c r="GPF69" s="26"/>
      <c r="GPG69" s="26"/>
      <c r="GPH69" s="26"/>
      <c r="GPI69" s="26"/>
      <c r="GPJ69" s="26"/>
      <c r="GPK69" s="26"/>
      <c r="GPL69" s="26"/>
      <c r="GPM69" s="26"/>
      <c r="GPN69" s="26"/>
      <c r="GPO69" s="26"/>
      <c r="GPP69" s="26"/>
      <c r="GPQ69" s="26"/>
      <c r="GPR69" s="26"/>
      <c r="GPS69" s="26"/>
      <c r="GPT69" s="26"/>
      <c r="GPU69" s="26"/>
      <c r="GPV69" s="26"/>
      <c r="GPW69" s="26"/>
      <c r="GPX69" s="26"/>
      <c r="GPY69" s="26"/>
      <c r="GPZ69" s="26"/>
      <c r="GQA69" s="26"/>
      <c r="GQB69" s="26"/>
      <c r="GQC69" s="26"/>
      <c r="GQD69" s="26"/>
      <c r="GQE69" s="26"/>
      <c r="GQF69" s="26"/>
      <c r="GQG69" s="26"/>
      <c r="GQH69" s="26"/>
      <c r="GQI69" s="26"/>
      <c r="GQJ69" s="26"/>
      <c r="GQK69" s="26"/>
      <c r="GQL69" s="26"/>
      <c r="GQM69" s="26"/>
      <c r="GQN69" s="26"/>
      <c r="GQO69" s="26"/>
      <c r="GQP69" s="26"/>
      <c r="GQQ69" s="26"/>
      <c r="GQR69" s="26"/>
      <c r="GQS69" s="26"/>
      <c r="GQT69" s="26"/>
      <c r="GQU69" s="26"/>
      <c r="GQV69" s="26"/>
      <c r="GQW69" s="26"/>
      <c r="GQX69" s="26"/>
      <c r="GQY69" s="26"/>
      <c r="GQZ69" s="26"/>
      <c r="GRA69" s="26"/>
      <c r="GRB69" s="26"/>
      <c r="GRC69" s="26"/>
      <c r="GRD69" s="26"/>
      <c r="GRE69" s="26"/>
      <c r="GRF69" s="26"/>
      <c r="GRG69" s="26"/>
      <c r="GRH69" s="26"/>
      <c r="GRI69" s="26"/>
      <c r="GRJ69" s="26"/>
      <c r="GRK69" s="26"/>
      <c r="GRL69" s="26"/>
      <c r="GRM69" s="26"/>
      <c r="GRN69" s="26"/>
      <c r="GRO69" s="26"/>
      <c r="GRP69" s="26"/>
      <c r="GRQ69" s="26"/>
      <c r="GRR69" s="26"/>
      <c r="GRS69" s="26"/>
      <c r="GRT69" s="26"/>
      <c r="GRU69" s="26"/>
      <c r="GRV69" s="26"/>
      <c r="GRW69" s="26"/>
      <c r="GRX69" s="26"/>
      <c r="GRY69" s="26"/>
      <c r="GRZ69" s="26"/>
      <c r="GSA69" s="26"/>
      <c r="GSB69" s="26"/>
      <c r="GSC69" s="26"/>
      <c r="GSD69" s="26"/>
      <c r="GSE69" s="26"/>
      <c r="GSF69" s="26"/>
      <c r="GSG69" s="26"/>
      <c r="GSH69" s="26"/>
      <c r="GSI69" s="26"/>
      <c r="GSJ69" s="26"/>
      <c r="GSK69" s="26"/>
      <c r="GSL69" s="26"/>
      <c r="GSM69" s="26"/>
      <c r="GSN69" s="26"/>
      <c r="GSO69" s="26"/>
      <c r="GSP69" s="26"/>
      <c r="GSQ69" s="26"/>
      <c r="GSR69" s="26"/>
      <c r="GSS69" s="26"/>
      <c r="GST69" s="26"/>
      <c r="GSU69" s="26"/>
      <c r="GSV69" s="26"/>
      <c r="GSW69" s="26"/>
      <c r="GSX69" s="26"/>
      <c r="GSY69" s="26"/>
      <c r="GSZ69" s="26"/>
      <c r="GTA69" s="26"/>
      <c r="GTB69" s="26"/>
      <c r="GTC69" s="26"/>
      <c r="GTD69" s="26"/>
      <c r="GTE69" s="26"/>
      <c r="GTF69" s="26"/>
      <c r="GTG69" s="26"/>
      <c r="GTH69" s="26"/>
      <c r="GTI69" s="26"/>
      <c r="GTJ69" s="26"/>
      <c r="GTK69" s="26"/>
      <c r="GTL69" s="26"/>
      <c r="GTM69" s="26"/>
      <c r="GTN69" s="26"/>
      <c r="GTO69" s="26"/>
      <c r="GTP69" s="26"/>
      <c r="GTQ69" s="26"/>
      <c r="GTR69" s="26"/>
      <c r="GTS69" s="26"/>
      <c r="GTT69" s="26"/>
      <c r="GTU69" s="26"/>
      <c r="GTV69" s="26"/>
      <c r="GTW69" s="26"/>
      <c r="GTX69" s="26"/>
      <c r="GTY69" s="26"/>
      <c r="GTZ69" s="26"/>
      <c r="GUA69" s="26"/>
      <c r="GUB69" s="26"/>
      <c r="GUC69" s="26"/>
      <c r="GUD69" s="26"/>
      <c r="GUE69" s="26"/>
      <c r="GUF69" s="26"/>
      <c r="GUG69" s="26"/>
      <c r="GUH69" s="26"/>
      <c r="GUI69" s="26"/>
      <c r="GUJ69" s="26"/>
      <c r="GUK69" s="26"/>
      <c r="GUL69" s="26"/>
      <c r="GUM69" s="26"/>
      <c r="GUN69" s="26"/>
      <c r="GUO69" s="26"/>
      <c r="GUP69" s="26"/>
      <c r="GUQ69" s="26"/>
      <c r="GUR69" s="26"/>
      <c r="GUS69" s="26"/>
      <c r="GUT69" s="26"/>
      <c r="GUU69" s="26"/>
      <c r="GUV69" s="26"/>
      <c r="GUW69" s="26"/>
      <c r="GUX69" s="26"/>
      <c r="GUY69" s="26"/>
      <c r="GUZ69" s="26"/>
      <c r="GVA69" s="26"/>
      <c r="GVB69" s="26"/>
      <c r="GVC69" s="26"/>
      <c r="GVD69" s="26"/>
      <c r="GVE69" s="26"/>
      <c r="GVF69" s="26"/>
      <c r="GVG69" s="26"/>
      <c r="GVH69" s="26"/>
      <c r="GVI69" s="26"/>
      <c r="GVJ69" s="26"/>
      <c r="GVK69" s="26"/>
      <c r="GVL69" s="26"/>
      <c r="GVM69" s="26"/>
      <c r="GVN69" s="26"/>
      <c r="GVO69" s="26"/>
      <c r="GVP69" s="26"/>
      <c r="GVQ69" s="26"/>
      <c r="GVR69" s="26"/>
      <c r="GVS69" s="26"/>
      <c r="GVT69" s="26"/>
      <c r="GVU69" s="26"/>
      <c r="GVV69" s="26"/>
      <c r="GVW69" s="26"/>
      <c r="GVX69" s="26"/>
      <c r="GVY69" s="26"/>
      <c r="GVZ69" s="26"/>
      <c r="GWA69" s="26"/>
      <c r="GWB69" s="26"/>
      <c r="GWC69" s="26"/>
      <c r="GWD69" s="26"/>
      <c r="GWE69" s="26"/>
      <c r="GWF69" s="26"/>
      <c r="GWG69" s="26"/>
      <c r="GWH69" s="26"/>
      <c r="GWI69" s="26"/>
      <c r="GWJ69" s="26"/>
      <c r="GWK69" s="26"/>
      <c r="GWL69" s="26"/>
      <c r="GWM69" s="26"/>
      <c r="GWN69" s="26"/>
      <c r="GWO69" s="26"/>
      <c r="GWP69" s="26"/>
      <c r="GWQ69" s="26"/>
      <c r="GWR69" s="26"/>
      <c r="GWS69" s="26"/>
      <c r="GWT69" s="26"/>
      <c r="GWU69" s="26"/>
      <c r="GWV69" s="26"/>
      <c r="GWW69" s="26"/>
      <c r="GWX69" s="26"/>
      <c r="GWY69" s="26"/>
      <c r="GWZ69" s="26"/>
      <c r="GXA69" s="26"/>
      <c r="GXB69" s="26"/>
      <c r="GXC69" s="26"/>
      <c r="GXD69" s="26"/>
      <c r="GXE69" s="26"/>
      <c r="GXF69" s="26"/>
      <c r="GXG69" s="26"/>
      <c r="GXH69" s="26"/>
      <c r="GXI69" s="26"/>
      <c r="GXJ69" s="26"/>
      <c r="GXK69" s="26"/>
      <c r="GXL69" s="26"/>
      <c r="GXM69" s="26"/>
      <c r="GXN69" s="26"/>
      <c r="GXO69" s="26"/>
      <c r="GXP69" s="26"/>
      <c r="GXQ69" s="26"/>
      <c r="GXR69" s="26"/>
      <c r="GXS69" s="26"/>
      <c r="GXT69" s="26"/>
      <c r="GXU69" s="26"/>
      <c r="GXV69" s="26"/>
      <c r="GXW69" s="26"/>
      <c r="GXX69" s="26"/>
      <c r="GXY69" s="26"/>
      <c r="GXZ69" s="26"/>
      <c r="GYA69" s="26"/>
      <c r="GYB69" s="26"/>
      <c r="GYC69" s="26"/>
      <c r="GYD69" s="26"/>
      <c r="GYE69" s="26"/>
      <c r="GYF69" s="26"/>
      <c r="GYG69" s="26"/>
      <c r="GYH69" s="26"/>
      <c r="GYI69" s="26"/>
      <c r="GYJ69" s="26"/>
      <c r="GYK69" s="26"/>
      <c r="GYL69" s="26"/>
      <c r="GYM69" s="26"/>
      <c r="GYN69" s="26"/>
      <c r="GYO69" s="26"/>
      <c r="GYP69" s="26"/>
      <c r="GYQ69" s="26"/>
      <c r="GYR69" s="26"/>
      <c r="GYS69" s="26"/>
      <c r="GYT69" s="26"/>
      <c r="GYU69" s="26"/>
      <c r="GYV69" s="26"/>
      <c r="GYW69" s="26"/>
      <c r="GYX69" s="26"/>
      <c r="GYY69" s="26"/>
      <c r="GYZ69" s="26"/>
      <c r="GZA69" s="26"/>
      <c r="GZB69" s="26"/>
      <c r="GZC69" s="26"/>
      <c r="GZD69" s="26"/>
      <c r="GZE69" s="26"/>
      <c r="GZF69" s="26"/>
      <c r="GZG69" s="26"/>
      <c r="GZH69" s="26"/>
      <c r="GZI69" s="26"/>
      <c r="GZJ69" s="26"/>
      <c r="GZK69" s="26"/>
      <c r="GZL69" s="26"/>
      <c r="GZM69" s="26"/>
      <c r="GZN69" s="26"/>
      <c r="GZO69" s="26"/>
      <c r="GZP69" s="26"/>
      <c r="GZQ69" s="26"/>
      <c r="GZR69" s="26"/>
      <c r="GZS69" s="26"/>
      <c r="GZT69" s="26"/>
      <c r="GZU69" s="26"/>
      <c r="GZV69" s="26"/>
      <c r="GZW69" s="26"/>
      <c r="GZX69" s="26"/>
      <c r="GZY69" s="26"/>
      <c r="GZZ69" s="26"/>
      <c r="HAA69" s="26"/>
      <c r="HAB69" s="26"/>
      <c r="HAC69" s="26"/>
      <c r="HAD69" s="26"/>
      <c r="HAE69" s="26"/>
      <c r="HAF69" s="26"/>
      <c r="HAG69" s="26"/>
      <c r="HAH69" s="26"/>
      <c r="HAI69" s="26"/>
      <c r="HAJ69" s="26"/>
      <c r="HAK69" s="26"/>
      <c r="HAL69" s="26"/>
      <c r="HAM69" s="26"/>
      <c r="HAN69" s="26"/>
      <c r="HAO69" s="26"/>
      <c r="HAP69" s="26"/>
      <c r="HAQ69" s="26"/>
      <c r="HAR69" s="26"/>
      <c r="HAS69" s="26"/>
      <c r="HAT69" s="26"/>
      <c r="HAU69" s="26"/>
      <c r="HAV69" s="26"/>
      <c r="HAW69" s="26"/>
      <c r="HAX69" s="26"/>
      <c r="HAY69" s="26"/>
      <c r="HAZ69" s="26"/>
      <c r="HBA69" s="26"/>
      <c r="HBB69" s="26"/>
      <c r="HBC69" s="26"/>
      <c r="HBD69" s="26"/>
      <c r="HBE69" s="26"/>
      <c r="HBF69" s="26"/>
      <c r="HBG69" s="26"/>
      <c r="HBH69" s="26"/>
      <c r="HBI69" s="26"/>
      <c r="HBJ69" s="26"/>
      <c r="HBK69" s="26"/>
      <c r="HBL69" s="26"/>
      <c r="HBM69" s="26"/>
      <c r="HBN69" s="26"/>
      <c r="HBO69" s="26"/>
      <c r="HBP69" s="26"/>
      <c r="HBQ69" s="26"/>
      <c r="HBR69" s="26"/>
      <c r="HBS69" s="26"/>
      <c r="HBT69" s="26"/>
      <c r="HBU69" s="26"/>
      <c r="HBV69" s="26"/>
      <c r="HBW69" s="26"/>
      <c r="HBX69" s="26"/>
      <c r="HBY69" s="26"/>
      <c r="HBZ69" s="26"/>
      <c r="HCA69" s="26"/>
      <c r="HCB69" s="26"/>
      <c r="HCC69" s="26"/>
      <c r="HCD69" s="26"/>
      <c r="HCE69" s="26"/>
      <c r="HCF69" s="26"/>
      <c r="HCG69" s="26"/>
      <c r="HCH69" s="26"/>
      <c r="HCI69" s="26"/>
      <c r="HCJ69" s="26"/>
      <c r="HCK69" s="26"/>
      <c r="HCL69" s="26"/>
      <c r="HCM69" s="26"/>
      <c r="HCN69" s="26"/>
      <c r="HCO69" s="26"/>
      <c r="HCP69" s="26"/>
      <c r="HCQ69" s="26"/>
      <c r="HCR69" s="26"/>
      <c r="HCS69" s="26"/>
      <c r="HCT69" s="26"/>
      <c r="HCU69" s="26"/>
      <c r="HCV69" s="26"/>
      <c r="HCW69" s="26"/>
      <c r="HCX69" s="26"/>
      <c r="HCY69" s="26"/>
      <c r="HCZ69" s="26"/>
      <c r="HDA69" s="26"/>
      <c r="HDB69" s="26"/>
      <c r="HDC69" s="26"/>
      <c r="HDD69" s="26"/>
      <c r="HDE69" s="26"/>
      <c r="HDF69" s="26"/>
      <c r="HDG69" s="26"/>
      <c r="HDH69" s="26"/>
      <c r="HDI69" s="26"/>
      <c r="HDJ69" s="26"/>
      <c r="HDK69" s="26"/>
      <c r="HDL69" s="26"/>
      <c r="HDM69" s="26"/>
      <c r="HDN69" s="26"/>
      <c r="HDO69" s="26"/>
      <c r="HDP69" s="26"/>
      <c r="HDQ69" s="26"/>
      <c r="HDR69" s="26"/>
      <c r="HDS69" s="26"/>
      <c r="HDT69" s="26"/>
      <c r="HDU69" s="26"/>
      <c r="HDV69" s="26"/>
      <c r="HDW69" s="26"/>
      <c r="HDX69" s="26"/>
      <c r="HDY69" s="26"/>
      <c r="HDZ69" s="26"/>
      <c r="HEA69" s="26"/>
      <c r="HEB69" s="26"/>
      <c r="HEC69" s="26"/>
      <c r="HED69" s="26"/>
      <c r="HEE69" s="26"/>
      <c r="HEF69" s="26"/>
      <c r="HEG69" s="26"/>
      <c r="HEH69" s="26"/>
      <c r="HEI69" s="26"/>
      <c r="HEJ69" s="26"/>
      <c r="HEK69" s="26"/>
      <c r="HEL69" s="26"/>
      <c r="HEM69" s="26"/>
      <c r="HEN69" s="26"/>
      <c r="HEO69" s="26"/>
      <c r="HEP69" s="26"/>
      <c r="HEQ69" s="26"/>
      <c r="HER69" s="26"/>
      <c r="HES69" s="26"/>
      <c r="HET69" s="26"/>
      <c r="HEU69" s="26"/>
      <c r="HEV69" s="26"/>
      <c r="HEW69" s="26"/>
      <c r="HEX69" s="26"/>
      <c r="HEY69" s="26"/>
      <c r="HEZ69" s="26"/>
      <c r="HFA69" s="26"/>
      <c r="HFB69" s="26"/>
      <c r="HFC69" s="26"/>
      <c r="HFD69" s="26"/>
      <c r="HFE69" s="26"/>
      <c r="HFF69" s="26"/>
      <c r="HFG69" s="26"/>
      <c r="HFH69" s="26"/>
      <c r="HFI69" s="26"/>
      <c r="HFJ69" s="26"/>
      <c r="HFK69" s="26"/>
      <c r="HFL69" s="26"/>
      <c r="HFM69" s="26"/>
      <c r="HFN69" s="26"/>
      <c r="HFO69" s="26"/>
      <c r="HFP69" s="26"/>
      <c r="HFQ69" s="26"/>
      <c r="HFR69" s="26"/>
      <c r="HFS69" s="26"/>
      <c r="HFT69" s="26"/>
      <c r="HFU69" s="26"/>
      <c r="HFV69" s="26"/>
      <c r="HFW69" s="26"/>
      <c r="HFX69" s="26"/>
      <c r="HFY69" s="26"/>
      <c r="HFZ69" s="26"/>
      <c r="HGA69" s="26"/>
      <c r="HGB69" s="26"/>
      <c r="HGC69" s="26"/>
      <c r="HGD69" s="26"/>
      <c r="HGE69" s="26"/>
      <c r="HGF69" s="26"/>
      <c r="HGG69" s="26"/>
      <c r="HGH69" s="26"/>
      <c r="HGI69" s="26"/>
      <c r="HGJ69" s="26"/>
      <c r="HGK69" s="26"/>
      <c r="HGL69" s="26"/>
      <c r="HGM69" s="26"/>
      <c r="HGN69" s="26"/>
      <c r="HGO69" s="26"/>
      <c r="HGP69" s="26"/>
      <c r="HGQ69" s="26"/>
      <c r="HGR69" s="26"/>
      <c r="HGS69" s="26"/>
      <c r="HGT69" s="26"/>
      <c r="HGU69" s="26"/>
      <c r="HGV69" s="26"/>
      <c r="HGW69" s="26"/>
      <c r="HGX69" s="26"/>
      <c r="HGY69" s="26"/>
      <c r="HGZ69" s="26"/>
      <c r="HHA69" s="26"/>
      <c r="HHB69" s="26"/>
      <c r="HHC69" s="26"/>
      <c r="HHD69" s="26"/>
      <c r="HHE69" s="26"/>
      <c r="HHF69" s="26"/>
      <c r="HHG69" s="26"/>
      <c r="HHH69" s="26"/>
      <c r="HHI69" s="26"/>
      <c r="HHJ69" s="26"/>
      <c r="HHK69" s="26"/>
      <c r="HHL69" s="26"/>
      <c r="HHM69" s="26"/>
      <c r="HHN69" s="26"/>
      <c r="HHO69" s="26"/>
      <c r="HHP69" s="26"/>
      <c r="HHQ69" s="26"/>
      <c r="HHR69" s="26"/>
      <c r="HHS69" s="26"/>
      <c r="HHT69" s="26"/>
      <c r="HHU69" s="26"/>
      <c r="HHV69" s="26"/>
      <c r="HHW69" s="26"/>
      <c r="HHX69" s="26"/>
      <c r="HHY69" s="26"/>
      <c r="HHZ69" s="26"/>
      <c r="HIA69" s="26"/>
      <c r="HIB69" s="26"/>
      <c r="HIC69" s="26"/>
      <c r="HID69" s="26"/>
      <c r="HIE69" s="26"/>
      <c r="HIF69" s="26"/>
      <c r="HIG69" s="26"/>
      <c r="HIH69" s="26"/>
      <c r="HII69" s="26"/>
      <c r="HIJ69" s="26"/>
      <c r="HIK69" s="26"/>
      <c r="HIL69" s="26"/>
      <c r="HIM69" s="26"/>
      <c r="HIN69" s="26"/>
      <c r="HIO69" s="26"/>
      <c r="HIP69" s="26"/>
      <c r="HIQ69" s="26"/>
      <c r="HIR69" s="26"/>
      <c r="HIS69" s="26"/>
      <c r="HIT69" s="26"/>
      <c r="HIU69" s="26"/>
      <c r="HIV69" s="26"/>
      <c r="HIW69" s="26"/>
      <c r="HIX69" s="26"/>
      <c r="HIY69" s="26"/>
      <c r="HIZ69" s="26"/>
      <c r="HJA69" s="26"/>
      <c r="HJB69" s="26"/>
      <c r="HJC69" s="26"/>
      <c r="HJD69" s="26"/>
      <c r="HJE69" s="26"/>
      <c r="HJF69" s="26"/>
      <c r="HJG69" s="26"/>
      <c r="HJH69" s="26"/>
      <c r="HJI69" s="26"/>
      <c r="HJJ69" s="26"/>
      <c r="HJK69" s="26"/>
      <c r="HJL69" s="26"/>
      <c r="HJM69" s="26"/>
      <c r="HJN69" s="26"/>
      <c r="HJO69" s="26"/>
      <c r="HJP69" s="26"/>
      <c r="HJQ69" s="26"/>
      <c r="HJR69" s="26"/>
      <c r="HJS69" s="26"/>
      <c r="HJT69" s="26"/>
      <c r="HJU69" s="26"/>
      <c r="HJV69" s="26"/>
      <c r="HJW69" s="26"/>
      <c r="HJX69" s="26"/>
      <c r="HJY69" s="26"/>
      <c r="HJZ69" s="26"/>
      <c r="HKA69" s="26"/>
      <c r="HKB69" s="26"/>
      <c r="HKC69" s="26"/>
      <c r="HKD69" s="26"/>
      <c r="HKE69" s="26"/>
      <c r="HKF69" s="26"/>
      <c r="HKG69" s="26"/>
      <c r="HKH69" s="26"/>
      <c r="HKI69" s="26"/>
      <c r="HKJ69" s="26"/>
      <c r="HKK69" s="26"/>
      <c r="HKL69" s="26"/>
      <c r="HKM69" s="26"/>
      <c r="HKN69" s="26"/>
      <c r="HKO69" s="26"/>
      <c r="HKP69" s="26"/>
      <c r="HKQ69" s="26"/>
      <c r="HKR69" s="26"/>
      <c r="HKS69" s="26"/>
      <c r="HKT69" s="26"/>
      <c r="HKU69" s="26"/>
      <c r="HKV69" s="26"/>
      <c r="HKW69" s="26"/>
      <c r="HKX69" s="26"/>
      <c r="HKY69" s="26"/>
      <c r="HKZ69" s="26"/>
      <c r="HLA69" s="26"/>
      <c r="HLB69" s="26"/>
      <c r="HLC69" s="26"/>
      <c r="HLD69" s="26"/>
      <c r="HLE69" s="26"/>
      <c r="HLF69" s="26"/>
      <c r="HLG69" s="26"/>
      <c r="HLH69" s="26"/>
      <c r="HLI69" s="26"/>
      <c r="HLJ69" s="26"/>
      <c r="HLK69" s="26"/>
      <c r="HLL69" s="26"/>
      <c r="HLM69" s="26"/>
      <c r="HLN69" s="26"/>
      <c r="HLO69" s="26"/>
      <c r="HLP69" s="26"/>
      <c r="HLQ69" s="26"/>
      <c r="HLR69" s="26"/>
      <c r="HLS69" s="26"/>
      <c r="HLT69" s="26"/>
      <c r="HLU69" s="26"/>
      <c r="HLV69" s="26"/>
      <c r="HLW69" s="26"/>
      <c r="HLX69" s="26"/>
      <c r="HLY69" s="26"/>
      <c r="HLZ69" s="26"/>
      <c r="HMA69" s="26"/>
      <c r="HMB69" s="26"/>
      <c r="HMC69" s="26"/>
      <c r="HMD69" s="26"/>
      <c r="HME69" s="26"/>
      <c r="HMF69" s="26"/>
      <c r="HMG69" s="26"/>
      <c r="HMH69" s="26"/>
      <c r="HMI69" s="26"/>
      <c r="HMJ69" s="26"/>
      <c r="HMK69" s="26"/>
      <c r="HML69" s="26"/>
      <c r="HMM69" s="26"/>
      <c r="HMN69" s="26"/>
      <c r="HMO69" s="26"/>
      <c r="HMP69" s="26"/>
      <c r="HMQ69" s="26"/>
      <c r="HMR69" s="26"/>
      <c r="HMS69" s="26"/>
      <c r="HMT69" s="26"/>
      <c r="HMU69" s="26"/>
      <c r="HMV69" s="26"/>
      <c r="HMW69" s="26"/>
      <c r="HMX69" s="26"/>
      <c r="HMY69" s="26"/>
      <c r="HMZ69" s="26"/>
      <c r="HNA69" s="26"/>
      <c r="HNB69" s="26"/>
      <c r="HNC69" s="26"/>
      <c r="HND69" s="26"/>
      <c r="HNE69" s="26"/>
      <c r="HNF69" s="26"/>
      <c r="HNG69" s="26"/>
      <c r="HNH69" s="26"/>
      <c r="HNI69" s="26"/>
      <c r="HNJ69" s="26"/>
      <c r="HNK69" s="26"/>
      <c r="HNL69" s="26"/>
      <c r="HNM69" s="26"/>
      <c r="HNN69" s="26"/>
      <c r="HNO69" s="26"/>
      <c r="HNP69" s="26"/>
      <c r="HNQ69" s="26"/>
      <c r="HNR69" s="26"/>
      <c r="HNS69" s="26"/>
      <c r="HNT69" s="26"/>
      <c r="HNU69" s="26"/>
      <c r="HNV69" s="26"/>
      <c r="HNW69" s="26"/>
      <c r="HNX69" s="26"/>
      <c r="HNY69" s="26"/>
      <c r="HNZ69" s="26"/>
      <c r="HOA69" s="26"/>
      <c r="HOB69" s="26"/>
      <c r="HOC69" s="26"/>
      <c r="HOD69" s="26"/>
      <c r="HOE69" s="26"/>
      <c r="HOF69" s="26"/>
      <c r="HOG69" s="26"/>
      <c r="HOH69" s="26"/>
      <c r="HOI69" s="26"/>
      <c r="HOJ69" s="26"/>
      <c r="HOK69" s="26"/>
      <c r="HOL69" s="26"/>
      <c r="HOM69" s="26"/>
      <c r="HON69" s="26"/>
      <c r="HOO69" s="26"/>
      <c r="HOP69" s="26"/>
      <c r="HOQ69" s="26"/>
      <c r="HOR69" s="26"/>
      <c r="HOS69" s="26"/>
      <c r="HOT69" s="26"/>
      <c r="HOU69" s="26"/>
      <c r="HOV69" s="26"/>
      <c r="HOW69" s="26"/>
      <c r="HOX69" s="26"/>
      <c r="HOY69" s="26"/>
      <c r="HOZ69" s="26"/>
      <c r="HPA69" s="26"/>
      <c r="HPB69" s="26"/>
      <c r="HPC69" s="26"/>
      <c r="HPD69" s="26"/>
      <c r="HPE69" s="26"/>
      <c r="HPF69" s="26"/>
      <c r="HPG69" s="26"/>
      <c r="HPH69" s="26"/>
      <c r="HPI69" s="26"/>
      <c r="HPJ69" s="26"/>
      <c r="HPK69" s="26"/>
      <c r="HPL69" s="26"/>
      <c r="HPM69" s="26"/>
      <c r="HPN69" s="26"/>
      <c r="HPO69" s="26"/>
      <c r="HPP69" s="26"/>
      <c r="HPQ69" s="26"/>
      <c r="HPR69" s="26"/>
      <c r="HPS69" s="26"/>
      <c r="HPT69" s="26"/>
      <c r="HPU69" s="26"/>
      <c r="HPV69" s="26"/>
      <c r="HPW69" s="26"/>
      <c r="HPX69" s="26"/>
      <c r="HPY69" s="26"/>
      <c r="HPZ69" s="26"/>
      <c r="HQA69" s="26"/>
      <c r="HQB69" s="26"/>
      <c r="HQC69" s="26"/>
      <c r="HQD69" s="26"/>
      <c r="HQE69" s="26"/>
      <c r="HQF69" s="26"/>
      <c r="HQG69" s="26"/>
      <c r="HQH69" s="26"/>
      <c r="HQI69" s="26"/>
      <c r="HQJ69" s="26"/>
      <c r="HQK69" s="26"/>
      <c r="HQL69" s="26"/>
      <c r="HQM69" s="26"/>
      <c r="HQN69" s="26"/>
      <c r="HQO69" s="26"/>
      <c r="HQP69" s="26"/>
      <c r="HQQ69" s="26"/>
      <c r="HQR69" s="26"/>
      <c r="HQS69" s="26"/>
      <c r="HQT69" s="26"/>
      <c r="HQU69" s="26"/>
      <c r="HQV69" s="26"/>
      <c r="HQW69" s="26"/>
      <c r="HQX69" s="26"/>
      <c r="HQY69" s="26"/>
      <c r="HQZ69" s="26"/>
      <c r="HRA69" s="26"/>
      <c r="HRB69" s="26"/>
      <c r="HRC69" s="26"/>
      <c r="HRD69" s="26"/>
      <c r="HRE69" s="26"/>
      <c r="HRF69" s="26"/>
      <c r="HRG69" s="26"/>
      <c r="HRH69" s="26"/>
      <c r="HRI69" s="26"/>
      <c r="HRJ69" s="26"/>
      <c r="HRK69" s="26"/>
      <c r="HRL69" s="26"/>
      <c r="HRM69" s="26"/>
      <c r="HRN69" s="26"/>
      <c r="HRO69" s="26"/>
      <c r="HRP69" s="26"/>
      <c r="HRQ69" s="26"/>
      <c r="HRR69" s="26"/>
      <c r="HRS69" s="26"/>
      <c r="HRT69" s="26"/>
      <c r="HRU69" s="26"/>
      <c r="HRV69" s="26"/>
      <c r="HRW69" s="26"/>
      <c r="HRX69" s="26"/>
      <c r="HRY69" s="26"/>
      <c r="HRZ69" s="26"/>
      <c r="HSA69" s="26"/>
      <c r="HSB69" s="26"/>
      <c r="HSC69" s="26"/>
      <c r="HSD69" s="26"/>
      <c r="HSE69" s="26"/>
      <c r="HSF69" s="26"/>
      <c r="HSG69" s="26"/>
      <c r="HSH69" s="26"/>
      <c r="HSI69" s="26"/>
      <c r="HSJ69" s="26"/>
      <c r="HSK69" s="26"/>
      <c r="HSL69" s="26"/>
      <c r="HSM69" s="26"/>
      <c r="HSN69" s="26"/>
      <c r="HSO69" s="26"/>
      <c r="HSP69" s="26"/>
      <c r="HSQ69" s="26"/>
      <c r="HSR69" s="26"/>
      <c r="HSS69" s="26"/>
      <c r="HST69" s="26"/>
      <c r="HSU69" s="26"/>
      <c r="HSV69" s="26"/>
      <c r="HSW69" s="26"/>
      <c r="HSX69" s="26"/>
      <c r="HSY69" s="26"/>
      <c r="HSZ69" s="26"/>
      <c r="HTA69" s="26"/>
      <c r="HTB69" s="26"/>
      <c r="HTC69" s="26"/>
      <c r="HTD69" s="26"/>
      <c r="HTE69" s="26"/>
      <c r="HTF69" s="26"/>
      <c r="HTG69" s="26"/>
      <c r="HTH69" s="26"/>
      <c r="HTI69" s="26"/>
      <c r="HTJ69" s="26"/>
      <c r="HTK69" s="26"/>
      <c r="HTL69" s="26"/>
      <c r="HTM69" s="26"/>
      <c r="HTN69" s="26"/>
      <c r="HTO69" s="26"/>
      <c r="HTP69" s="26"/>
      <c r="HTQ69" s="26"/>
      <c r="HTR69" s="26"/>
      <c r="HTS69" s="26"/>
      <c r="HTT69" s="26"/>
      <c r="HTU69" s="26"/>
      <c r="HTV69" s="26"/>
      <c r="HTW69" s="26"/>
      <c r="HTX69" s="26"/>
      <c r="HTY69" s="26"/>
      <c r="HTZ69" s="26"/>
      <c r="HUA69" s="26"/>
      <c r="HUB69" s="26"/>
      <c r="HUC69" s="26"/>
      <c r="HUD69" s="26"/>
      <c r="HUE69" s="26"/>
      <c r="HUF69" s="26"/>
      <c r="HUG69" s="26"/>
      <c r="HUH69" s="26"/>
      <c r="HUI69" s="26"/>
      <c r="HUJ69" s="26"/>
      <c r="HUK69" s="26"/>
      <c r="HUL69" s="26"/>
      <c r="HUM69" s="26"/>
      <c r="HUN69" s="26"/>
      <c r="HUO69" s="26"/>
      <c r="HUP69" s="26"/>
      <c r="HUQ69" s="26"/>
      <c r="HUR69" s="26"/>
      <c r="HUS69" s="26"/>
      <c r="HUT69" s="26"/>
      <c r="HUU69" s="26"/>
      <c r="HUV69" s="26"/>
      <c r="HUW69" s="26"/>
      <c r="HUX69" s="26"/>
      <c r="HUY69" s="26"/>
      <c r="HUZ69" s="26"/>
      <c r="HVA69" s="26"/>
      <c r="HVB69" s="26"/>
      <c r="HVC69" s="26"/>
      <c r="HVD69" s="26"/>
      <c r="HVE69" s="26"/>
      <c r="HVF69" s="26"/>
      <c r="HVG69" s="26"/>
      <c r="HVH69" s="26"/>
      <c r="HVI69" s="26"/>
      <c r="HVJ69" s="26"/>
      <c r="HVK69" s="26"/>
      <c r="HVL69" s="26"/>
      <c r="HVM69" s="26"/>
      <c r="HVN69" s="26"/>
      <c r="HVO69" s="26"/>
      <c r="HVP69" s="26"/>
      <c r="HVQ69" s="26"/>
      <c r="HVR69" s="26"/>
      <c r="HVS69" s="26"/>
      <c r="HVT69" s="26"/>
      <c r="HVU69" s="26"/>
      <c r="HVV69" s="26"/>
      <c r="HVW69" s="26"/>
      <c r="HVX69" s="26"/>
      <c r="HVY69" s="26"/>
      <c r="HVZ69" s="26"/>
      <c r="HWA69" s="26"/>
      <c r="HWB69" s="26"/>
      <c r="HWC69" s="26"/>
      <c r="HWD69" s="26"/>
      <c r="HWE69" s="26"/>
      <c r="HWF69" s="26"/>
      <c r="HWG69" s="26"/>
      <c r="HWH69" s="26"/>
      <c r="HWI69" s="26"/>
      <c r="HWJ69" s="26"/>
      <c r="HWK69" s="26"/>
      <c r="HWL69" s="26"/>
      <c r="HWM69" s="26"/>
      <c r="HWN69" s="26"/>
      <c r="HWO69" s="26"/>
      <c r="HWP69" s="26"/>
      <c r="HWQ69" s="26"/>
      <c r="HWR69" s="26"/>
      <c r="HWS69" s="26"/>
      <c r="HWT69" s="26"/>
      <c r="HWU69" s="26"/>
      <c r="HWV69" s="26"/>
      <c r="HWW69" s="26"/>
      <c r="HWX69" s="26"/>
      <c r="HWY69" s="26"/>
      <c r="HWZ69" s="26"/>
      <c r="HXA69" s="26"/>
      <c r="HXB69" s="26"/>
      <c r="HXC69" s="26"/>
      <c r="HXD69" s="26"/>
      <c r="HXE69" s="26"/>
      <c r="HXF69" s="26"/>
      <c r="HXG69" s="26"/>
      <c r="HXH69" s="26"/>
      <c r="HXI69" s="26"/>
      <c r="HXJ69" s="26"/>
      <c r="HXK69" s="26"/>
      <c r="HXL69" s="26"/>
      <c r="HXM69" s="26"/>
      <c r="HXN69" s="26"/>
      <c r="HXO69" s="26"/>
      <c r="HXP69" s="26"/>
      <c r="HXQ69" s="26"/>
      <c r="HXR69" s="26"/>
      <c r="HXS69" s="26"/>
      <c r="HXT69" s="26"/>
      <c r="HXU69" s="26"/>
      <c r="HXV69" s="26"/>
      <c r="HXW69" s="26"/>
      <c r="HXX69" s="26"/>
      <c r="HXY69" s="26"/>
      <c r="HXZ69" s="26"/>
      <c r="HYA69" s="26"/>
      <c r="HYB69" s="26"/>
      <c r="HYC69" s="26"/>
      <c r="HYD69" s="26"/>
      <c r="HYE69" s="26"/>
      <c r="HYF69" s="26"/>
      <c r="HYG69" s="26"/>
      <c r="HYH69" s="26"/>
      <c r="HYI69" s="26"/>
      <c r="HYJ69" s="26"/>
      <c r="HYK69" s="26"/>
      <c r="HYL69" s="26"/>
      <c r="HYM69" s="26"/>
      <c r="HYN69" s="26"/>
      <c r="HYO69" s="26"/>
      <c r="HYP69" s="26"/>
      <c r="HYQ69" s="26"/>
      <c r="HYR69" s="26"/>
      <c r="HYS69" s="26"/>
      <c r="HYT69" s="26"/>
      <c r="HYU69" s="26"/>
      <c r="HYV69" s="26"/>
      <c r="HYW69" s="26"/>
      <c r="HYX69" s="26"/>
      <c r="HYY69" s="26"/>
      <c r="HYZ69" s="26"/>
      <c r="HZA69" s="26"/>
      <c r="HZB69" s="26"/>
      <c r="HZC69" s="26"/>
      <c r="HZD69" s="26"/>
      <c r="HZE69" s="26"/>
      <c r="HZF69" s="26"/>
      <c r="HZG69" s="26"/>
      <c r="HZH69" s="26"/>
      <c r="HZI69" s="26"/>
      <c r="HZJ69" s="26"/>
      <c r="HZK69" s="26"/>
      <c r="HZL69" s="26"/>
      <c r="HZM69" s="26"/>
      <c r="HZN69" s="26"/>
      <c r="HZO69" s="26"/>
      <c r="HZP69" s="26"/>
      <c r="HZQ69" s="26"/>
      <c r="HZR69" s="26"/>
      <c r="HZS69" s="26"/>
      <c r="HZT69" s="26"/>
      <c r="HZU69" s="26"/>
      <c r="HZV69" s="26"/>
      <c r="HZW69" s="26"/>
      <c r="HZX69" s="26"/>
      <c r="HZY69" s="26"/>
      <c r="HZZ69" s="26"/>
      <c r="IAA69" s="26"/>
      <c r="IAB69" s="26"/>
      <c r="IAC69" s="26"/>
      <c r="IAD69" s="26"/>
      <c r="IAE69" s="26"/>
      <c r="IAF69" s="26"/>
      <c r="IAG69" s="26"/>
      <c r="IAH69" s="26"/>
      <c r="IAI69" s="26"/>
      <c r="IAJ69" s="26"/>
      <c r="IAK69" s="26"/>
      <c r="IAL69" s="26"/>
      <c r="IAM69" s="26"/>
      <c r="IAN69" s="26"/>
      <c r="IAO69" s="26"/>
      <c r="IAP69" s="26"/>
      <c r="IAQ69" s="26"/>
      <c r="IAR69" s="26"/>
      <c r="IAS69" s="26"/>
      <c r="IAT69" s="26"/>
      <c r="IAU69" s="26"/>
      <c r="IAV69" s="26"/>
      <c r="IAW69" s="26"/>
      <c r="IAX69" s="26"/>
      <c r="IAY69" s="26"/>
      <c r="IAZ69" s="26"/>
      <c r="IBA69" s="26"/>
      <c r="IBB69" s="26"/>
      <c r="IBC69" s="26"/>
      <c r="IBD69" s="26"/>
      <c r="IBE69" s="26"/>
      <c r="IBF69" s="26"/>
      <c r="IBG69" s="26"/>
      <c r="IBH69" s="26"/>
      <c r="IBI69" s="26"/>
      <c r="IBJ69" s="26"/>
      <c r="IBK69" s="26"/>
      <c r="IBL69" s="26"/>
      <c r="IBM69" s="26"/>
      <c r="IBN69" s="26"/>
      <c r="IBO69" s="26"/>
      <c r="IBP69" s="26"/>
      <c r="IBQ69" s="26"/>
      <c r="IBR69" s="26"/>
      <c r="IBS69" s="26"/>
      <c r="IBT69" s="26"/>
      <c r="IBU69" s="26"/>
      <c r="IBV69" s="26"/>
      <c r="IBW69" s="26"/>
      <c r="IBX69" s="26"/>
      <c r="IBY69" s="26"/>
      <c r="IBZ69" s="26"/>
      <c r="ICA69" s="26"/>
      <c r="ICB69" s="26"/>
      <c r="ICC69" s="26"/>
      <c r="ICD69" s="26"/>
      <c r="ICE69" s="26"/>
      <c r="ICF69" s="26"/>
      <c r="ICG69" s="26"/>
      <c r="ICH69" s="26"/>
      <c r="ICI69" s="26"/>
      <c r="ICJ69" s="26"/>
      <c r="ICK69" s="26"/>
      <c r="ICL69" s="26"/>
      <c r="ICM69" s="26"/>
      <c r="ICN69" s="26"/>
      <c r="ICO69" s="26"/>
      <c r="ICP69" s="26"/>
      <c r="ICQ69" s="26"/>
      <c r="ICR69" s="26"/>
      <c r="ICS69" s="26"/>
      <c r="ICT69" s="26"/>
      <c r="ICU69" s="26"/>
      <c r="ICV69" s="26"/>
      <c r="ICW69" s="26"/>
      <c r="ICX69" s="26"/>
      <c r="ICY69" s="26"/>
      <c r="ICZ69" s="26"/>
      <c r="IDA69" s="26"/>
      <c r="IDB69" s="26"/>
      <c r="IDC69" s="26"/>
      <c r="IDD69" s="26"/>
      <c r="IDE69" s="26"/>
      <c r="IDF69" s="26"/>
      <c r="IDG69" s="26"/>
      <c r="IDH69" s="26"/>
      <c r="IDI69" s="26"/>
      <c r="IDJ69" s="26"/>
      <c r="IDK69" s="26"/>
      <c r="IDL69" s="26"/>
      <c r="IDM69" s="26"/>
      <c r="IDN69" s="26"/>
      <c r="IDO69" s="26"/>
      <c r="IDP69" s="26"/>
      <c r="IDQ69" s="26"/>
      <c r="IDR69" s="26"/>
      <c r="IDS69" s="26"/>
      <c r="IDT69" s="26"/>
      <c r="IDU69" s="26"/>
      <c r="IDV69" s="26"/>
      <c r="IDW69" s="26"/>
      <c r="IDX69" s="26"/>
      <c r="IDY69" s="26"/>
      <c r="IDZ69" s="26"/>
      <c r="IEA69" s="26"/>
      <c r="IEB69" s="26"/>
      <c r="IEC69" s="26"/>
      <c r="IED69" s="26"/>
      <c r="IEE69" s="26"/>
      <c r="IEF69" s="26"/>
      <c r="IEG69" s="26"/>
      <c r="IEH69" s="26"/>
      <c r="IEI69" s="26"/>
      <c r="IEJ69" s="26"/>
      <c r="IEK69" s="26"/>
      <c r="IEL69" s="26"/>
      <c r="IEM69" s="26"/>
      <c r="IEN69" s="26"/>
      <c r="IEO69" s="26"/>
      <c r="IEP69" s="26"/>
      <c r="IEQ69" s="26"/>
      <c r="IER69" s="26"/>
      <c r="IES69" s="26"/>
      <c r="IET69" s="26"/>
      <c r="IEU69" s="26"/>
      <c r="IEV69" s="26"/>
      <c r="IEW69" s="26"/>
      <c r="IEX69" s="26"/>
      <c r="IEY69" s="26"/>
      <c r="IEZ69" s="26"/>
      <c r="IFA69" s="26"/>
      <c r="IFB69" s="26"/>
      <c r="IFC69" s="26"/>
      <c r="IFD69" s="26"/>
      <c r="IFE69" s="26"/>
      <c r="IFF69" s="26"/>
      <c r="IFG69" s="26"/>
      <c r="IFH69" s="26"/>
      <c r="IFI69" s="26"/>
      <c r="IFJ69" s="26"/>
      <c r="IFK69" s="26"/>
      <c r="IFL69" s="26"/>
      <c r="IFM69" s="26"/>
      <c r="IFN69" s="26"/>
      <c r="IFO69" s="26"/>
      <c r="IFP69" s="26"/>
      <c r="IFQ69" s="26"/>
      <c r="IFR69" s="26"/>
      <c r="IFS69" s="26"/>
      <c r="IFT69" s="26"/>
      <c r="IFU69" s="26"/>
      <c r="IFV69" s="26"/>
      <c r="IFW69" s="26"/>
      <c r="IFX69" s="26"/>
      <c r="IFY69" s="26"/>
      <c r="IFZ69" s="26"/>
      <c r="IGA69" s="26"/>
      <c r="IGB69" s="26"/>
      <c r="IGC69" s="26"/>
      <c r="IGD69" s="26"/>
      <c r="IGE69" s="26"/>
      <c r="IGF69" s="26"/>
      <c r="IGG69" s="26"/>
      <c r="IGH69" s="26"/>
      <c r="IGI69" s="26"/>
      <c r="IGJ69" s="26"/>
      <c r="IGK69" s="26"/>
      <c r="IGL69" s="26"/>
      <c r="IGM69" s="26"/>
      <c r="IGN69" s="26"/>
      <c r="IGO69" s="26"/>
      <c r="IGP69" s="26"/>
      <c r="IGQ69" s="26"/>
      <c r="IGR69" s="26"/>
      <c r="IGS69" s="26"/>
      <c r="IGT69" s="26"/>
      <c r="IGU69" s="26"/>
      <c r="IGV69" s="26"/>
      <c r="IGW69" s="26"/>
      <c r="IGX69" s="26"/>
      <c r="IGY69" s="26"/>
      <c r="IGZ69" s="26"/>
      <c r="IHA69" s="26"/>
      <c r="IHB69" s="26"/>
      <c r="IHC69" s="26"/>
      <c r="IHD69" s="26"/>
      <c r="IHE69" s="26"/>
      <c r="IHF69" s="26"/>
      <c r="IHG69" s="26"/>
      <c r="IHH69" s="26"/>
      <c r="IHI69" s="26"/>
      <c r="IHJ69" s="26"/>
      <c r="IHK69" s="26"/>
      <c r="IHL69" s="26"/>
      <c r="IHM69" s="26"/>
      <c r="IHN69" s="26"/>
      <c r="IHO69" s="26"/>
      <c r="IHP69" s="26"/>
      <c r="IHQ69" s="26"/>
      <c r="IHR69" s="26"/>
      <c r="IHS69" s="26"/>
      <c r="IHT69" s="26"/>
      <c r="IHU69" s="26"/>
      <c r="IHV69" s="26"/>
      <c r="IHW69" s="26"/>
      <c r="IHX69" s="26"/>
      <c r="IHY69" s="26"/>
      <c r="IHZ69" s="26"/>
      <c r="IIA69" s="26"/>
      <c r="IIB69" s="26"/>
      <c r="IIC69" s="26"/>
      <c r="IID69" s="26"/>
      <c r="IIE69" s="26"/>
      <c r="IIF69" s="26"/>
      <c r="IIG69" s="26"/>
      <c r="IIH69" s="26"/>
      <c r="III69" s="26"/>
      <c r="IIJ69" s="26"/>
      <c r="IIK69" s="26"/>
      <c r="IIL69" s="26"/>
      <c r="IIM69" s="26"/>
      <c r="IIN69" s="26"/>
      <c r="IIO69" s="26"/>
      <c r="IIP69" s="26"/>
      <c r="IIQ69" s="26"/>
      <c r="IIR69" s="26"/>
      <c r="IIS69" s="26"/>
      <c r="IIT69" s="26"/>
      <c r="IIU69" s="26"/>
      <c r="IIV69" s="26"/>
      <c r="IIW69" s="26"/>
      <c r="IIX69" s="26"/>
      <c r="IIY69" s="26"/>
      <c r="IIZ69" s="26"/>
      <c r="IJA69" s="26"/>
      <c r="IJB69" s="26"/>
      <c r="IJC69" s="26"/>
      <c r="IJD69" s="26"/>
      <c r="IJE69" s="26"/>
      <c r="IJF69" s="26"/>
      <c r="IJG69" s="26"/>
      <c r="IJH69" s="26"/>
      <c r="IJI69" s="26"/>
      <c r="IJJ69" s="26"/>
      <c r="IJK69" s="26"/>
      <c r="IJL69" s="26"/>
      <c r="IJM69" s="26"/>
      <c r="IJN69" s="26"/>
      <c r="IJO69" s="26"/>
      <c r="IJP69" s="26"/>
      <c r="IJQ69" s="26"/>
      <c r="IJR69" s="26"/>
      <c r="IJS69" s="26"/>
      <c r="IJT69" s="26"/>
      <c r="IJU69" s="26"/>
      <c r="IJV69" s="26"/>
      <c r="IJW69" s="26"/>
      <c r="IJX69" s="26"/>
      <c r="IJY69" s="26"/>
      <c r="IJZ69" s="26"/>
      <c r="IKA69" s="26"/>
      <c r="IKB69" s="26"/>
      <c r="IKC69" s="26"/>
      <c r="IKD69" s="26"/>
      <c r="IKE69" s="26"/>
      <c r="IKF69" s="26"/>
      <c r="IKG69" s="26"/>
      <c r="IKH69" s="26"/>
      <c r="IKI69" s="26"/>
      <c r="IKJ69" s="26"/>
      <c r="IKK69" s="26"/>
      <c r="IKL69" s="26"/>
      <c r="IKM69" s="26"/>
      <c r="IKN69" s="26"/>
      <c r="IKO69" s="26"/>
      <c r="IKP69" s="26"/>
      <c r="IKQ69" s="26"/>
      <c r="IKR69" s="26"/>
      <c r="IKS69" s="26"/>
      <c r="IKT69" s="26"/>
      <c r="IKU69" s="26"/>
      <c r="IKV69" s="26"/>
      <c r="IKW69" s="26"/>
      <c r="IKX69" s="26"/>
      <c r="IKY69" s="26"/>
      <c r="IKZ69" s="26"/>
      <c r="ILA69" s="26"/>
      <c r="ILB69" s="26"/>
      <c r="ILC69" s="26"/>
      <c r="ILD69" s="26"/>
      <c r="ILE69" s="26"/>
      <c r="ILF69" s="26"/>
      <c r="ILG69" s="26"/>
      <c r="ILH69" s="26"/>
      <c r="ILI69" s="26"/>
      <c r="ILJ69" s="26"/>
      <c r="ILK69" s="26"/>
      <c r="ILL69" s="26"/>
      <c r="ILM69" s="26"/>
      <c r="ILN69" s="26"/>
      <c r="ILO69" s="26"/>
      <c r="ILP69" s="26"/>
      <c r="ILQ69" s="26"/>
      <c r="ILR69" s="26"/>
      <c r="ILS69" s="26"/>
      <c r="ILT69" s="26"/>
      <c r="ILU69" s="26"/>
      <c r="ILV69" s="26"/>
      <c r="ILW69" s="26"/>
      <c r="ILX69" s="26"/>
      <c r="ILY69" s="26"/>
      <c r="ILZ69" s="26"/>
      <c r="IMA69" s="26"/>
      <c r="IMB69" s="26"/>
      <c r="IMC69" s="26"/>
      <c r="IMD69" s="26"/>
      <c r="IME69" s="26"/>
      <c r="IMF69" s="26"/>
      <c r="IMG69" s="26"/>
      <c r="IMH69" s="26"/>
      <c r="IMI69" s="26"/>
      <c r="IMJ69" s="26"/>
      <c r="IMK69" s="26"/>
      <c r="IML69" s="26"/>
      <c r="IMM69" s="26"/>
      <c r="IMN69" s="26"/>
      <c r="IMO69" s="26"/>
      <c r="IMP69" s="26"/>
      <c r="IMQ69" s="26"/>
      <c r="IMR69" s="26"/>
      <c r="IMS69" s="26"/>
      <c r="IMT69" s="26"/>
      <c r="IMU69" s="26"/>
      <c r="IMV69" s="26"/>
      <c r="IMW69" s="26"/>
      <c r="IMX69" s="26"/>
      <c r="IMY69" s="26"/>
      <c r="IMZ69" s="26"/>
      <c r="INA69" s="26"/>
      <c r="INB69" s="26"/>
      <c r="INC69" s="26"/>
      <c r="IND69" s="26"/>
      <c r="INE69" s="26"/>
      <c r="INF69" s="26"/>
      <c r="ING69" s="26"/>
      <c r="INH69" s="26"/>
      <c r="INI69" s="26"/>
      <c r="INJ69" s="26"/>
      <c r="INK69" s="26"/>
      <c r="INL69" s="26"/>
      <c r="INM69" s="26"/>
      <c r="INN69" s="26"/>
      <c r="INO69" s="26"/>
      <c r="INP69" s="26"/>
      <c r="INQ69" s="26"/>
      <c r="INR69" s="26"/>
      <c r="INS69" s="26"/>
      <c r="INT69" s="26"/>
      <c r="INU69" s="26"/>
      <c r="INV69" s="26"/>
      <c r="INW69" s="26"/>
      <c r="INX69" s="26"/>
      <c r="INY69" s="26"/>
      <c r="INZ69" s="26"/>
      <c r="IOA69" s="26"/>
      <c r="IOB69" s="26"/>
      <c r="IOC69" s="26"/>
      <c r="IOD69" s="26"/>
      <c r="IOE69" s="26"/>
      <c r="IOF69" s="26"/>
      <c r="IOG69" s="26"/>
      <c r="IOH69" s="26"/>
      <c r="IOI69" s="26"/>
      <c r="IOJ69" s="26"/>
      <c r="IOK69" s="26"/>
      <c r="IOL69" s="26"/>
      <c r="IOM69" s="26"/>
      <c r="ION69" s="26"/>
      <c r="IOO69" s="26"/>
      <c r="IOP69" s="26"/>
      <c r="IOQ69" s="26"/>
      <c r="IOR69" s="26"/>
      <c r="IOS69" s="26"/>
      <c r="IOT69" s="26"/>
      <c r="IOU69" s="26"/>
      <c r="IOV69" s="26"/>
      <c r="IOW69" s="26"/>
      <c r="IOX69" s="26"/>
      <c r="IOY69" s="26"/>
      <c r="IOZ69" s="26"/>
      <c r="IPA69" s="26"/>
      <c r="IPB69" s="26"/>
      <c r="IPC69" s="26"/>
      <c r="IPD69" s="26"/>
      <c r="IPE69" s="26"/>
      <c r="IPF69" s="26"/>
      <c r="IPG69" s="26"/>
      <c r="IPH69" s="26"/>
      <c r="IPI69" s="26"/>
      <c r="IPJ69" s="26"/>
      <c r="IPK69" s="26"/>
      <c r="IPL69" s="26"/>
      <c r="IPM69" s="26"/>
      <c r="IPN69" s="26"/>
      <c r="IPO69" s="26"/>
      <c r="IPP69" s="26"/>
      <c r="IPQ69" s="26"/>
      <c r="IPR69" s="26"/>
      <c r="IPS69" s="26"/>
      <c r="IPT69" s="26"/>
      <c r="IPU69" s="26"/>
      <c r="IPV69" s="26"/>
      <c r="IPW69" s="26"/>
      <c r="IPX69" s="26"/>
      <c r="IPY69" s="26"/>
      <c r="IPZ69" s="26"/>
      <c r="IQA69" s="26"/>
      <c r="IQB69" s="26"/>
      <c r="IQC69" s="26"/>
      <c r="IQD69" s="26"/>
      <c r="IQE69" s="26"/>
      <c r="IQF69" s="26"/>
      <c r="IQG69" s="26"/>
      <c r="IQH69" s="26"/>
      <c r="IQI69" s="26"/>
      <c r="IQJ69" s="26"/>
      <c r="IQK69" s="26"/>
      <c r="IQL69" s="26"/>
      <c r="IQM69" s="26"/>
      <c r="IQN69" s="26"/>
      <c r="IQO69" s="26"/>
      <c r="IQP69" s="26"/>
      <c r="IQQ69" s="26"/>
      <c r="IQR69" s="26"/>
      <c r="IQS69" s="26"/>
      <c r="IQT69" s="26"/>
      <c r="IQU69" s="26"/>
      <c r="IQV69" s="26"/>
      <c r="IQW69" s="26"/>
      <c r="IQX69" s="26"/>
      <c r="IQY69" s="26"/>
      <c r="IQZ69" s="26"/>
      <c r="IRA69" s="26"/>
      <c r="IRB69" s="26"/>
      <c r="IRC69" s="26"/>
      <c r="IRD69" s="26"/>
      <c r="IRE69" s="26"/>
      <c r="IRF69" s="26"/>
      <c r="IRG69" s="26"/>
      <c r="IRH69" s="26"/>
      <c r="IRI69" s="26"/>
      <c r="IRJ69" s="26"/>
      <c r="IRK69" s="26"/>
      <c r="IRL69" s="26"/>
      <c r="IRM69" s="26"/>
      <c r="IRN69" s="26"/>
      <c r="IRO69" s="26"/>
      <c r="IRP69" s="26"/>
      <c r="IRQ69" s="26"/>
      <c r="IRR69" s="26"/>
      <c r="IRS69" s="26"/>
      <c r="IRT69" s="26"/>
      <c r="IRU69" s="26"/>
      <c r="IRV69" s="26"/>
      <c r="IRW69" s="26"/>
      <c r="IRX69" s="26"/>
      <c r="IRY69" s="26"/>
      <c r="IRZ69" s="26"/>
      <c r="ISA69" s="26"/>
      <c r="ISB69" s="26"/>
      <c r="ISC69" s="26"/>
      <c r="ISD69" s="26"/>
      <c r="ISE69" s="26"/>
      <c r="ISF69" s="26"/>
      <c r="ISG69" s="26"/>
      <c r="ISH69" s="26"/>
      <c r="ISI69" s="26"/>
      <c r="ISJ69" s="26"/>
      <c r="ISK69" s="26"/>
      <c r="ISL69" s="26"/>
      <c r="ISM69" s="26"/>
      <c r="ISN69" s="26"/>
      <c r="ISO69" s="26"/>
      <c r="ISP69" s="26"/>
      <c r="ISQ69" s="26"/>
      <c r="ISR69" s="26"/>
      <c r="ISS69" s="26"/>
      <c r="IST69" s="26"/>
      <c r="ISU69" s="26"/>
      <c r="ISV69" s="26"/>
      <c r="ISW69" s="26"/>
      <c r="ISX69" s="26"/>
      <c r="ISY69" s="26"/>
      <c r="ISZ69" s="26"/>
      <c r="ITA69" s="26"/>
      <c r="ITB69" s="26"/>
      <c r="ITC69" s="26"/>
      <c r="ITD69" s="26"/>
      <c r="ITE69" s="26"/>
      <c r="ITF69" s="26"/>
      <c r="ITG69" s="26"/>
      <c r="ITH69" s="26"/>
      <c r="ITI69" s="26"/>
      <c r="ITJ69" s="26"/>
      <c r="ITK69" s="26"/>
      <c r="ITL69" s="26"/>
      <c r="ITM69" s="26"/>
      <c r="ITN69" s="26"/>
      <c r="ITO69" s="26"/>
      <c r="ITP69" s="26"/>
      <c r="ITQ69" s="26"/>
      <c r="ITR69" s="26"/>
      <c r="ITS69" s="26"/>
      <c r="ITT69" s="26"/>
      <c r="ITU69" s="26"/>
      <c r="ITV69" s="26"/>
      <c r="ITW69" s="26"/>
      <c r="ITX69" s="26"/>
      <c r="ITY69" s="26"/>
      <c r="ITZ69" s="26"/>
      <c r="IUA69" s="26"/>
      <c r="IUB69" s="26"/>
      <c r="IUC69" s="26"/>
      <c r="IUD69" s="26"/>
      <c r="IUE69" s="26"/>
      <c r="IUF69" s="26"/>
      <c r="IUG69" s="26"/>
      <c r="IUH69" s="26"/>
      <c r="IUI69" s="26"/>
      <c r="IUJ69" s="26"/>
      <c r="IUK69" s="26"/>
      <c r="IUL69" s="26"/>
      <c r="IUM69" s="26"/>
      <c r="IUN69" s="26"/>
      <c r="IUO69" s="26"/>
      <c r="IUP69" s="26"/>
      <c r="IUQ69" s="26"/>
      <c r="IUR69" s="26"/>
      <c r="IUS69" s="26"/>
      <c r="IUT69" s="26"/>
      <c r="IUU69" s="26"/>
      <c r="IUV69" s="26"/>
      <c r="IUW69" s="26"/>
      <c r="IUX69" s="26"/>
      <c r="IUY69" s="26"/>
      <c r="IUZ69" s="26"/>
      <c r="IVA69" s="26"/>
      <c r="IVB69" s="26"/>
      <c r="IVC69" s="26"/>
      <c r="IVD69" s="26"/>
      <c r="IVE69" s="26"/>
      <c r="IVF69" s="26"/>
      <c r="IVG69" s="26"/>
      <c r="IVH69" s="26"/>
      <c r="IVI69" s="26"/>
      <c r="IVJ69" s="26"/>
      <c r="IVK69" s="26"/>
      <c r="IVL69" s="26"/>
      <c r="IVM69" s="26"/>
      <c r="IVN69" s="26"/>
      <c r="IVO69" s="26"/>
      <c r="IVP69" s="26"/>
      <c r="IVQ69" s="26"/>
      <c r="IVR69" s="26"/>
      <c r="IVS69" s="26"/>
      <c r="IVT69" s="26"/>
      <c r="IVU69" s="26"/>
      <c r="IVV69" s="26"/>
      <c r="IVW69" s="26"/>
      <c r="IVX69" s="26"/>
      <c r="IVY69" s="26"/>
      <c r="IVZ69" s="26"/>
      <c r="IWA69" s="26"/>
      <c r="IWB69" s="26"/>
      <c r="IWC69" s="26"/>
      <c r="IWD69" s="26"/>
      <c r="IWE69" s="26"/>
      <c r="IWF69" s="26"/>
      <c r="IWG69" s="26"/>
      <c r="IWH69" s="26"/>
      <c r="IWI69" s="26"/>
      <c r="IWJ69" s="26"/>
      <c r="IWK69" s="26"/>
      <c r="IWL69" s="26"/>
      <c r="IWM69" s="26"/>
      <c r="IWN69" s="26"/>
      <c r="IWO69" s="26"/>
      <c r="IWP69" s="26"/>
      <c r="IWQ69" s="26"/>
      <c r="IWR69" s="26"/>
      <c r="IWS69" s="26"/>
      <c r="IWT69" s="26"/>
      <c r="IWU69" s="26"/>
      <c r="IWV69" s="26"/>
      <c r="IWW69" s="26"/>
      <c r="IWX69" s="26"/>
      <c r="IWY69" s="26"/>
      <c r="IWZ69" s="26"/>
      <c r="IXA69" s="26"/>
      <c r="IXB69" s="26"/>
      <c r="IXC69" s="26"/>
      <c r="IXD69" s="26"/>
      <c r="IXE69" s="26"/>
      <c r="IXF69" s="26"/>
      <c r="IXG69" s="26"/>
      <c r="IXH69" s="26"/>
      <c r="IXI69" s="26"/>
      <c r="IXJ69" s="26"/>
      <c r="IXK69" s="26"/>
      <c r="IXL69" s="26"/>
      <c r="IXM69" s="26"/>
      <c r="IXN69" s="26"/>
      <c r="IXO69" s="26"/>
      <c r="IXP69" s="26"/>
      <c r="IXQ69" s="26"/>
      <c r="IXR69" s="26"/>
      <c r="IXS69" s="26"/>
      <c r="IXT69" s="26"/>
      <c r="IXU69" s="26"/>
      <c r="IXV69" s="26"/>
      <c r="IXW69" s="26"/>
      <c r="IXX69" s="26"/>
      <c r="IXY69" s="26"/>
      <c r="IXZ69" s="26"/>
      <c r="IYA69" s="26"/>
      <c r="IYB69" s="26"/>
      <c r="IYC69" s="26"/>
      <c r="IYD69" s="26"/>
      <c r="IYE69" s="26"/>
      <c r="IYF69" s="26"/>
      <c r="IYG69" s="26"/>
      <c r="IYH69" s="26"/>
      <c r="IYI69" s="26"/>
      <c r="IYJ69" s="26"/>
      <c r="IYK69" s="26"/>
      <c r="IYL69" s="26"/>
      <c r="IYM69" s="26"/>
      <c r="IYN69" s="26"/>
      <c r="IYO69" s="26"/>
      <c r="IYP69" s="26"/>
      <c r="IYQ69" s="26"/>
      <c r="IYR69" s="26"/>
      <c r="IYS69" s="26"/>
      <c r="IYT69" s="26"/>
      <c r="IYU69" s="26"/>
      <c r="IYV69" s="26"/>
      <c r="IYW69" s="26"/>
      <c r="IYX69" s="26"/>
      <c r="IYY69" s="26"/>
      <c r="IYZ69" s="26"/>
      <c r="IZA69" s="26"/>
      <c r="IZB69" s="26"/>
      <c r="IZC69" s="26"/>
      <c r="IZD69" s="26"/>
      <c r="IZE69" s="26"/>
      <c r="IZF69" s="26"/>
      <c r="IZG69" s="26"/>
      <c r="IZH69" s="26"/>
      <c r="IZI69" s="26"/>
      <c r="IZJ69" s="26"/>
      <c r="IZK69" s="26"/>
      <c r="IZL69" s="26"/>
      <c r="IZM69" s="26"/>
      <c r="IZN69" s="26"/>
      <c r="IZO69" s="26"/>
      <c r="IZP69" s="26"/>
      <c r="IZQ69" s="26"/>
      <c r="IZR69" s="26"/>
      <c r="IZS69" s="26"/>
      <c r="IZT69" s="26"/>
      <c r="IZU69" s="26"/>
      <c r="IZV69" s="26"/>
      <c r="IZW69" s="26"/>
      <c r="IZX69" s="26"/>
      <c r="IZY69" s="26"/>
      <c r="IZZ69" s="26"/>
      <c r="JAA69" s="26"/>
      <c r="JAB69" s="26"/>
      <c r="JAC69" s="26"/>
      <c r="JAD69" s="26"/>
      <c r="JAE69" s="26"/>
      <c r="JAF69" s="26"/>
      <c r="JAG69" s="26"/>
      <c r="JAH69" s="26"/>
      <c r="JAI69" s="26"/>
      <c r="JAJ69" s="26"/>
      <c r="JAK69" s="26"/>
      <c r="JAL69" s="26"/>
      <c r="JAM69" s="26"/>
      <c r="JAN69" s="26"/>
      <c r="JAO69" s="26"/>
      <c r="JAP69" s="26"/>
      <c r="JAQ69" s="26"/>
      <c r="JAR69" s="26"/>
      <c r="JAS69" s="26"/>
      <c r="JAT69" s="26"/>
      <c r="JAU69" s="26"/>
      <c r="JAV69" s="26"/>
      <c r="JAW69" s="26"/>
      <c r="JAX69" s="26"/>
      <c r="JAY69" s="26"/>
      <c r="JAZ69" s="26"/>
      <c r="JBA69" s="26"/>
      <c r="JBB69" s="26"/>
      <c r="JBC69" s="26"/>
      <c r="JBD69" s="26"/>
      <c r="JBE69" s="26"/>
      <c r="JBF69" s="26"/>
      <c r="JBG69" s="26"/>
      <c r="JBH69" s="26"/>
      <c r="JBI69" s="26"/>
      <c r="JBJ69" s="26"/>
      <c r="JBK69" s="26"/>
      <c r="JBL69" s="26"/>
      <c r="JBM69" s="26"/>
      <c r="JBN69" s="26"/>
      <c r="JBO69" s="26"/>
      <c r="JBP69" s="26"/>
      <c r="JBQ69" s="26"/>
      <c r="JBR69" s="26"/>
      <c r="JBS69" s="26"/>
      <c r="JBT69" s="26"/>
      <c r="JBU69" s="26"/>
      <c r="JBV69" s="26"/>
      <c r="JBW69" s="26"/>
      <c r="JBX69" s="26"/>
      <c r="JBY69" s="26"/>
      <c r="JBZ69" s="26"/>
      <c r="JCA69" s="26"/>
      <c r="JCB69" s="26"/>
      <c r="JCC69" s="26"/>
      <c r="JCD69" s="26"/>
      <c r="JCE69" s="26"/>
      <c r="JCF69" s="26"/>
      <c r="JCG69" s="26"/>
      <c r="JCH69" s="26"/>
      <c r="JCI69" s="26"/>
      <c r="JCJ69" s="26"/>
      <c r="JCK69" s="26"/>
      <c r="JCL69" s="26"/>
      <c r="JCM69" s="26"/>
      <c r="JCN69" s="26"/>
      <c r="JCO69" s="26"/>
      <c r="JCP69" s="26"/>
      <c r="JCQ69" s="26"/>
      <c r="JCR69" s="26"/>
      <c r="JCS69" s="26"/>
      <c r="JCT69" s="26"/>
      <c r="JCU69" s="26"/>
      <c r="JCV69" s="26"/>
      <c r="JCW69" s="26"/>
      <c r="JCX69" s="26"/>
      <c r="JCY69" s="26"/>
      <c r="JCZ69" s="26"/>
      <c r="JDA69" s="26"/>
      <c r="JDB69" s="26"/>
      <c r="JDC69" s="26"/>
      <c r="JDD69" s="26"/>
      <c r="JDE69" s="26"/>
      <c r="JDF69" s="26"/>
      <c r="JDG69" s="26"/>
      <c r="JDH69" s="26"/>
      <c r="JDI69" s="26"/>
      <c r="JDJ69" s="26"/>
      <c r="JDK69" s="26"/>
      <c r="JDL69" s="26"/>
      <c r="JDM69" s="26"/>
      <c r="JDN69" s="26"/>
      <c r="JDO69" s="26"/>
      <c r="JDP69" s="26"/>
      <c r="JDQ69" s="26"/>
      <c r="JDR69" s="26"/>
      <c r="JDS69" s="26"/>
      <c r="JDT69" s="26"/>
      <c r="JDU69" s="26"/>
      <c r="JDV69" s="26"/>
      <c r="JDW69" s="26"/>
      <c r="JDX69" s="26"/>
      <c r="JDY69" s="26"/>
      <c r="JDZ69" s="26"/>
      <c r="JEA69" s="26"/>
      <c r="JEB69" s="26"/>
      <c r="JEC69" s="26"/>
      <c r="JED69" s="26"/>
      <c r="JEE69" s="26"/>
      <c r="JEF69" s="26"/>
      <c r="JEG69" s="26"/>
      <c r="JEH69" s="26"/>
      <c r="JEI69" s="26"/>
      <c r="JEJ69" s="26"/>
      <c r="JEK69" s="26"/>
      <c r="JEL69" s="26"/>
      <c r="JEM69" s="26"/>
      <c r="JEN69" s="26"/>
      <c r="JEO69" s="26"/>
      <c r="JEP69" s="26"/>
      <c r="JEQ69" s="26"/>
      <c r="JER69" s="26"/>
      <c r="JES69" s="26"/>
      <c r="JET69" s="26"/>
      <c r="JEU69" s="26"/>
      <c r="JEV69" s="26"/>
      <c r="JEW69" s="26"/>
      <c r="JEX69" s="26"/>
      <c r="JEY69" s="26"/>
      <c r="JEZ69" s="26"/>
      <c r="JFA69" s="26"/>
      <c r="JFB69" s="26"/>
      <c r="JFC69" s="26"/>
      <c r="JFD69" s="26"/>
      <c r="JFE69" s="26"/>
      <c r="JFF69" s="26"/>
      <c r="JFG69" s="26"/>
      <c r="JFH69" s="26"/>
      <c r="JFI69" s="26"/>
      <c r="JFJ69" s="26"/>
      <c r="JFK69" s="26"/>
      <c r="JFL69" s="26"/>
      <c r="JFM69" s="26"/>
      <c r="JFN69" s="26"/>
      <c r="JFO69" s="26"/>
      <c r="JFP69" s="26"/>
      <c r="JFQ69" s="26"/>
      <c r="JFR69" s="26"/>
      <c r="JFS69" s="26"/>
      <c r="JFT69" s="26"/>
      <c r="JFU69" s="26"/>
      <c r="JFV69" s="26"/>
      <c r="JFW69" s="26"/>
      <c r="JFX69" s="26"/>
      <c r="JFY69" s="26"/>
      <c r="JFZ69" s="26"/>
      <c r="JGA69" s="26"/>
      <c r="JGB69" s="26"/>
      <c r="JGC69" s="26"/>
      <c r="JGD69" s="26"/>
      <c r="JGE69" s="26"/>
      <c r="JGF69" s="26"/>
      <c r="JGG69" s="26"/>
      <c r="JGH69" s="26"/>
      <c r="JGI69" s="26"/>
      <c r="JGJ69" s="26"/>
      <c r="JGK69" s="26"/>
      <c r="JGL69" s="26"/>
      <c r="JGM69" s="26"/>
      <c r="JGN69" s="26"/>
      <c r="JGO69" s="26"/>
      <c r="JGP69" s="26"/>
      <c r="JGQ69" s="26"/>
      <c r="JGR69" s="26"/>
      <c r="JGS69" s="26"/>
      <c r="JGT69" s="26"/>
      <c r="JGU69" s="26"/>
      <c r="JGV69" s="26"/>
      <c r="JGW69" s="26"/>
      <c r="JGX69" s="26"/>
      <c r="JGY69" s="26"/>
      <c r="JGZ69" s="26"/>
      <c r="JHA69" s="26"/>
      <c r="JHB69" s="26"/>
      <c r="JHC69" s="26"/>
      <c r="JHD69" s="26"/>
      <c r="JHE69" s="26"/>
      <c r="JHF69" s="26"/>
      <c r="JHG69" s="26"/>
      <c r="JHH69" s="26"/>
      <c r="JHI69" s="26"/>
      <c r="JHJ69" s="26"/>
      <c r="JHK69" s="26"/>
      <c r="JHL69" s="26"/>
      <c r="JHM69" s="26"/>
      <c r="JHN69" s="26"/>
      <c r="JHO69" s="26"/>
      <c r="JHP69" s="26"/>
      <c r="JHQ69" s="26"/>
      <c r="JHR69" s="26"/>
      <c r="JHS69" s="26"/>
      <c r="JHT69" s="26"/>
      <c r="JHU69" s="26"/>
      <c r="JHV69" s="26"/>
      <c r="JHW69" s="26"/>
      <c r="JHX69" s="26"/>
      <c r="JHY69" s="26"/>
      <c r="JHZ69" s="26"/>
      <c r="JIA69" s="26"/>
      <c r="JIB69" s="26"/>
      <c r="JIC69" s="26"/>
      <c r="JID69" s="26"/>
      <c r="JIE69" s="26"/>
      <c r="JIF69" s="26"/>
      <c r="JIG69" s="26"/>
      <c r="JIH69" s="26"/>
      <c r="JII69" s="26"/>
      <c r="JIJ69" s="26"/>
      <c r="JIK69" s="26"/>
      <c r="JIL69" s="26"/>
      <c r="JIM69" s="26"/>
      <c r="JIN69" s="26"/>
      <c r="JIO69" s="26"/>
      <c r="JIP69" s="26"/>
      <c r="JIQ69" s="26"/>
      <c r="JIR69" s="26"/>
      <c r="JIS69" s="26"/>
      <c r="JIT69" s="26"/>
      <c r="JIU69" s="26"/>
      <c r="JIV69" s="26"/>
      <c r="JIW69" s="26"/>
      <c r="JIX69" s="26"/>
      <c r="JIY69" s="26"/>
      <c r="JIZ69" s="26"/>
      <c r="JJA69" s="26"/>
      <c r="JJB69" s="26"/>
      <c r="JJC69" s="26"/>
      <c r="JJD69" s="26"/>
      <c r="JJE69" s="26"/>
      <c r="JJF69" s="26"/>
      <c r="JJG69" s="26"/>
      <c r="JJH69" s="26"/>
      <c r="JJI69" s="26"/>
      <c r="JJJ69" s="26"/>
      <c r="JJK69" s="26"/>
      <c r="JJL69" s="26"/>
      <c r="JJM69" s="26"/>
      <c r="JJN69" s="26"/>
      <c r="JJO69" s="26"/>
      <c r="JJP69" s="26"/>
      <c r="JJQ69" s="26"/>
      <c r="JJR69" s="26"/>
      <c r="JJS69" s="26"/>
      <c r="JJT69" s="26"/>
      <c r="JJU69" s="26"/>
      <c r="JJV69" s="26"/>
      <c r="JJW69" s="26"/>
      <c r="JJX69" s="26"/>
      <c r="JJY69" s="26"/>
      <c r="JJZ69" s="26"/>
      <c r="JKA69" s="26"/>
      <c r="JKB69" s="26"/>
      <c r="JKC69" s="26"/>
      <c r="JKD69" s="26"/>
      <c r="JKE69" s="26"/>
      <c r="JKF69" s="26"/>
      <c r="JKG69" s="26"/>
      <c r="JKH69" s="26"/>
      <c r="JKI69" s="26"/>
      <c r="JKJ69" s="26"/>
      <c r="JKK69" s="26"/>
      <c r="JKL69" s="26"/>
      <c r="JKM69" s="26"/>
      <c r="JKN69" s="26"/>
      <c r="JKO69" s="26"/>
      <c r="JKP69" s="26"/>
      <c r="JKQ69" s="26"/>
      <c r="JKR69" s="26"/>
      <c r="JKS69" s="26"/>
      <c r="JKT69" s="26"/>
      <c r="JKU69" s="26"/>
      <c r="JKV69" s="26"/>
      <c r="JKW69" s="26"/>
      <c r="JKX69" s="26"/>
      <c r="JKY69" s="26"/>
      <c r="JKZ69" s="26"/>
      <c r="JLA69" s="26"/>
      <c r="JLB69" s="26"/>
      <c r="JLC69" s="26"/>
      <c r="JLD69" s="26"/>
      <c r="JLE69" s="26"/>
      <c r="JLF69" s="26"/>
      <c r="JLG69" s="26"/>
      <c r="JLH69" s="26"/>
      <c r="JLI69" s="26"/>
      <c r="JLJ69" s="26"/>
      <c r="JLK69" s="26"/>
      <c r="JLL69" s="26"/>
      <c r="JLM69" s="26"/>
      <c r="JLN69" s="26"/>
      <c r="JLO69" s="26"/>
      <c r="JLP69" s="26"/>
      <c r="JLQ69" s="26"/>
      <c r="JLR69" s="26"/>
      <c r="JLS69" s="26"/>
      <c r="JLT69" s="26"/>
      <c r="JLU69" s="26"/>
      <c r="JLV69" s="26"/>
      <c r="JLW69" s="26"/>
      <c r="JLX69" s="26"/>
      <c r="JLY69" s="26"/>
      <c r="JLZ69" s="26"/>
      <c r="JMA69" s="26"/>
      <c r="JMB69" s="26"/>
      <c r="JMC69" s="26"/>
      <c r="JMD69" s="26"/>
      <c r="JME69" s="26"/>
      <c r="JMF69" s="26"/>
      <c r="JMG69" s="26"/>
      <c r="JMH69" s="26"/>
      <c r="JMI69" s="26"/>
      <c r="JMJ69" s="26"/>
      <c r="JMK69" s="26"/>
      <c r="JML69" s="26"/>
      <c r="JMM69" s="26"/>
      <c r="JMN69" s="26"/>
      <c r="JMO69" s="26"/>
      <c r="JMP69" s="26"/>
      <c r="JMQ69" s="26"/>
      <c r="JMR69" s="26"/>
      <c r="JMS69" s="26"/>
      <c r="JMT69" s="26"/>
      <c r="JMU69" s="26"/>
      <c r="JMV69" s="26"/>
      <c r="JMW69" s="26"/>
      <c r="JMX69" s="26"/>
      <c r="JMY69" s="26"/>
      <c r="JMZ69" s="26"/>
      <c r="JNA69" s="26"/>
      <c r="JNB69" s="26"/>
      <c r="JNC69" s="26"/>
      <c r="JND69" s="26"/>
      <c r="JNE69" s="26"/>
      <c r="JNF69" s="26"/>
      <c r="JNG69" s="26"/>
      <c r="JNH69" s="26"/>
      <c r="JNI69" s="26"/>
      <c r="JNJ69" s="26"/>
      <c r="JNK69" s="26"/>
      <c r="JNL69" s="26"/>
      <c r="JNM69" s="26"/>
      <c r="JNN69" s="26"/>
      <c r="JNO69" s="26"/>
      <c r="JNP69" s="26"/>
      <c r="JNQ69" s="26"/>
      <c r="JNR69" s="26"/>
      <c r="JNS69" s="26"/>
      <c r="JNT69" s="26"/>
      <c r="JNU69" s="26"/>
      <c r="JNV69" s="26"/>
      <c r="JNW69" s="26"/>
      <c r="JNX69" s="26"/>
      <c r="JNY69" s="26"/>
      <c r="JNZ69" s="26"/>
      <c r="JOA69" s="26"/>
      <c r="JOB69" s="26"/>
      <c r="JOC69" s="26"/>
      <c r="JOD69" s="26"/>
      <c r="JOE69" s="26"/>
      <c r="JOF69" s="26"/>
      <c r="JOG69" s="26"/>
      <c r="JOH69" s="26"/>
      <c r="JOI69" s="26"/>
      <c r="JOJ69" s="26"/>
      <c r="JOK69" s="26"/>
      <c r="JOL69" s="26"/>
      <c r="JOM69" s="26"/>
      <c r="JON69" s="26"/>
      <c r="JOO69" s="26"/>
      <c r="JOP69" s="26"/>
      <c r="JOQ69" s="26"/>
      <c r="JOR69" s="26"/>
      <c r="JOS69" s="26"/>
      <c r="JOT69" s="26"/>
      <c r="JOU69" s="26"/>
      <c r="JOV69" s="26"/>
      <c r="JOW69" s="26"/>
      <c r="JOX69" s="26"/>
      <c r="JOY69" s="26"/>
      <c r="JOZ69" s="26"/>
      <c r="JPA69" s="26"/>
      <c r="JPB69" s="26"/>
      <c r="JPC69" s="26"/>
      <c r="JPD69" s="26"/>
      <c r="JPE69" s="26"/>
      <c r="JPF69" s="26"/>
      <c r="JPG69" s="26"/>
      <c r="JPH69" s="26"/>
      <c r="JPI69" s="26"/>
      <c r="JPJ69" s="26"/>
      <c r="JPK69" s="26"/>
      <c r="JPL69" s="26"/>
      <c r="JPM69" s="26"/>
      <c r="JPN69" s="26"/>
      <c r="JPO69" s="26"/>
      <c r="JPP69" s="26"/>
      <c r="JPQ69" s="26"/>
      <c r="JPR69" s="26"/>
      <c r="JPS69" s="26"/>
      <c r="JPT69" s="26"/>
      <c r="JPU69" s="26"/>
      <c r="JPV69" s="26"/>
      <c r="JPW69" s="26"/>
      <c r="JPX69" s="26"/>
      <c r="JPY69" s="26"/>
      <c r="JPZ69" s="26"/>
      <c r="JQA69" s="26"/>
      <c r="JQB69" s="26"/>
      <c r="JQC69" s="26"/>
      <c r="JQD69" s="26"/>
      <c r="JQE69" s="26"/>
      <c r="JQF69" s="26"/>
      <c r="JQG69" s="26"/>
      <c r="JQH69" s="26"/>
      <c r="JQI69" s="26"/>
      <c r="JQJ69" s="26"/>
      <c r="JQK69" s="26"/>
      <c r="JQL69" s="26"/>
      <c r="JQM69" s="26"/>
      <c r="JQN69" s="26"/>
      <c r="JQO69" s="26"/>
      <c r="JQP69" s="26"/>
      <c r="JQQ69" s="26"/>
      <c r="JQR69" s="26"/>
      <c r="JQS69" s="26"/>
      <c r="JQT69" s="26"/>
      <c r="JQU69" s="26"/>
      <c r="JQV69" s="26"/>
      <c r="JQW69" s="26"/>
      <c r="JQX69" s="26"/>
      <c r="JQY69" s="26"/>
      <c r="JQZ69" s="26"/>
      <c r="JRA69" s="26"/>
      <c r="JRB69" s="26"/>
      <c r="JRC69" s="26"/>
      <c r="JRD69" s="26"/>
      <c r="JRE69" s="26"/>
      <c r="JRF69" s="26"/>
      <c r="JRG69" s="26"/>
      <c r="JRH69" s="26"/>
      <c r="JRI69" s="26"/>
      <c r="JRJ69" s="26"/>
      <c r="JRK69" s="26"/>
      <c r="JRL69" s="26"/>
      <c r="JRM69" s="26"/>
      <c r="JRN69" s="26"/>
      <c r="JRO69" s="26"/>
      <c r="JRP69" s="26"/>
      <c r="JRQ69" s="26"/>
      <c r="JRR69" s="26"/>
      <c r="JRS69" s="26"/>
      <c r="JRT69" s="26"/>
      <c r="JRU69" s="26"/>
      <c r="JRV69" s="26"/>
      <c r="JRW69" s="26"/>
      <c r="JRX69" s="26"/>
      <c r="JRY69" s="26"/>
      <c r="JRZ69" s="26"/>
      <c r="JSA69" s="26"/>
      <c r="JSB69" s="26"/>
      <c r="JSC69" s="26"/>
      <c r="JSD69" s="26"/>
      <c r="JSE69" s="26"/>
      <c r="JSF69" s="26"/>
      <c r="JSG69" s="26"/>
      <c r="JSH69" s="26"/>
      <c r="JSI69" s="26"/>
      <c r="JSJ69" s="26"/>
      <c r="JSK69" s="26"/>
      <c r="JSL69" s="26"/>
      <c r="JSM69" s="26"/>
      <c r="JSN69" s="26"/>
      <c r="JSO69" s="26"/>
      <c r="JSP69" s="26"/>
      <c r="JSQ69" s="26"/>
      <c r="JSR69" s="26"/>
      <c r="JSS69" s="26"/>
      <c r="JST69" s="26"/>
      <c r="JSU69" s="26"/>
      <c r="JSV69" s="26"/>
      <c r="JSW69" s="26"/>
      <c r="JSX69" s="26"/>
      <c r="JSY69" s="26"/>
      <c r="JSZ69" s="26"/>
      <c r="JTA69" s="26"/>
      <c r="JTB69" s="26"/>
      <c r="JTC69" s="26"/>
      <c r="JTD69" s="26"/>
      <c r="JTE69" s="26"/>
      <c r="JTF69" s="26"/>
      <c r="JTG69" s="26"/>
      <c r="JTH69" s="26"/>
      <c r="JTI69" s="26"/>
      <c r="JTJ69" s="26"/>
      <c r="JTK69" s="26"/>
      <c r="JTL69" s="26"/>
      <c r="JTM69" s="26"/>
      <c r="JTN69" s="26"/>
      <c r="JTO69" s="26"/>
      <c r="JTP69" s="26"/>
      <c r="JTQ69" s="26"/>
      <c r="JTR69" s="26"/>
      <c r="JTS69" s="26"/>
      <c r="JTT69" s="26"/>
      <c r="JTU69" s="26"/>
      <c r="JTV69" s="26"/>
      <c r="JTW69" s="26"/>
      <c r="JTX69" s="26"/>
      <c r="JTY69" s="26"/>
      <c r="JTZ69" s="26"/>
      <c r="JUA69" s="26"/>
      <c r="JUB69" s="26"/>
      <c r="JUC69" s="26"/>
      <c r="JUD69" s="26"/>
      <c r="JUE69" s="26"/>
      <c r="JUF69" s="26"/>
      <c r="JUG69" s="26"/>
      <c r="JUH69" s="26"/>
      <c r="JUI69" s="26"/>
      <c r="JUJ69" s="26"/>
      <c r="JUK69" s="26"/>
      <c r="JUL69" s="26"/>
      <c r="JUM69" s="26"/>
      <c r="JUN69" s="26"/>
      <c r="JUO69" s="26"/>
      <c r="JUP69" s="26"/>
      <c r="JUQ69" s="26"/>
      <c r="JUR69" s="26"/>
      <c r="JUS69" s="26"/>
      <c r="JUT69" s="26"/>
      <c r="JUU69" s="26"/>
      <c r="JUV69" s="26"/>
      <c r="JUW69" s="26"/>
      <c r="JUX69" s="26"/>
      <c r="JUY69" s="26"/>
      <c r="JUZ69" s="26"/>
      <c r="JVA69" s="26"/>
      <c r="JVB69" s="26"/>
      <c r="JVC69" s="26"/>
      <c r="JVD69" s="26"/>
      <c r="JVE69" s="26"/>
      <c r="JVF69" s="26"/>
      <c r="JVG69" s="26"/>
      <c r="JVH69" s="26"/>
      <c r="JVI69" s="26"/>
      <c r="JVJ69" s="26"/>
      <c r="JVK69" s="26"/>
      <c r="JVL69" s="26"/>
      <c r="JVM69" s="26"/>
      <c r="JVN69" s="26"/>
      <c r="JVO69" s="26"/>
      <c r="JVP69" s="26"/>
      <c r="JVQ69" s="26"/>
      <c r="JVR69" s="26"/>
      <c r="JVS69" s="26"/>
      <c r="JVT69" s="26"/>
      <c r="JVU69" s="26"/>
      <c r="JVV69" s="26"/>
      <c r="JVW69" s="26"/>
      <c r="JVX69" s="26"/>
      <c r="JVY69" s="26"/>
      <c r="JVZ69" s="26"/>
      <c r="JWA69" s="26"/>
      <c r="JWB69" s="26"/>
      <c r="JWC69" s="26"/>
      <c r="JWD69" s="26"/>
      <c r="JWE69" s="26"/>
      <c r="JWF69" s="26"/>
      <c r="JWG69" s="26"/>
      <c r="JWH69" s="26"/>
      <c r="JWI69" s="26"/>
      <c r="JWJ69" s="26"/>
      <c r="JWK69" s="26"/>
      <c r="JWL69" s="26"/>
      <c r="JWM69" s="26"/>
      <c r="JWN69" s="26"/>
      <c r="JWO69" s="26"/>
      <c r="JWP69" s="26"/>
      <c r="JWQ69" s="26"/>
      <c r="JWR69" s="26"/>
      <c r="JWS69" s="26"/>
      <c r="JWT69" s="26"/>
      <c r="JWU69" s="26"/>
      <c r="JWV69" s="26"/>
      <c r="JWW69" s="26"/>
      <c r="JWX69" s="26"/>
      <c r="JWY69" s="26"/>
      <c r="JWZ69" s="26"/>
      <c r="JXA69" s="26"/>
      <c r="JXB69" s="26"/>
      <c r="JXC69" s="26"/>
      <c r="JXD69" s="26"/>
      <c r="JXE69" s="26"/>
      <c r="JXF69" s="26"/>
      <c r="JXG69" s="26"/>
      <c r="JXH69" s="26"/>
      <c r="JXI69" s="26"/>
      <c r="JXJ69" s="26"/>
      <c r="JXK69" s="26"/>
      <c r="JXL69" s="26"/>
      <c r="JXM69" s="26"/>
      <c r="JXN69" s="26"/>
      <c r="JXO69" s="26"/>
      <c r="JXP69" s="26"/>
      <c r="JXQ69" s="26"/>
      <c r="JXR69" s="26"/>
      <c r="JXS69" s="26"/>
      <c r="JXT69" s="26"/>
      <c r="JXU69" s="26"/>
      <c r="JXV69" s="26"/>
      <c r="JXW69" s="26"/>
      <c r="JXX69" s="26"/>
      <c r="JXY69" s="26"/>
      <c r="JXZ69" s="26"/>
      <c r="JYA69" s="26"/>
      <c r="JYB69" s="26"/>
      <c r="JYC69" s="26"/>
      <c r="JYD69" s="26"/>
      <c r="JYE69" s="26"/>
      <c r="JYF69" s="26"/>
      <c r="JYG69" s="26"/>
      <c r="JYH69" s="26"/>
      <c r="JYI69" s="26"/>
      <c r="JYJ69" s="26"/>
      <c r="JYK69" s="26"/>
      <c r="JYL69" s="26"/>
      <c r="JYM69" s="26"/>
      <c r="JYN69" s="26"/>
      <c r="JYO69" s="26"/>
      <c r="JYP69" s="26"/>
      <c r="JYQ69" s="26"/>
      <c r="JYR69" s="26"/>
      <c r="JYS69" s="26"/>
      <c r="JYT69" s="26"/>
      <c r="JYU69" s="26"/>
      <c r="JYV69" s="26"/>
      <c r="JYW69" s="26"/>
      <c r="JYX69" s="26"/>
      <c r="JYY69" s="26"/>
      <c r="JYZ69" s="26"/>
      <c r="JZA69" s="26"/>
      <c r="JZB69" s="26"/>
      <c r="JZC69" s="26"/>
      <c r="JZD69" s="26"/>
      <c r="JZE69" s="26"/>
      <c r="JZF69" s="26"/>
      <c r="JZG69" s="26"/>
      <c r="JZH69" s="26"/>
      <c r="JZI69" s="26"/>
      <c r="JZJ69" s="26"/>
      <c r="JZK69" s="26"/>
      <c r="JZL69" s="26"/>
      <c r="JZM69" s="26"/>
      <c r="JZN69" s="26"/>
      <c r="JZO69" s="26"/>
      <c r="JZP69" s="26"/>
      <c r="JZQ69" s="26"/>
      <c r="JZR69" s="26"/>
      <c r="JZS69" s="26"/>
      <c r="JZT69" s="26"/>
      <c r="JZU69" s="26"/>
      <c r="JZV69" s="26"/>
      <c r="JZW69" s="26"/>
      <c r="JZX69" s="26"/>
      <c r="JZY69" s="26"/>
      <c r="JZZ69" s="26"/>
      <c r="KAA69" s="26"/>
      <c r="KAB69" s="26"/>
      <c r="KAC69" s="26"/>
      <c r="KAD69" s="26"/>
      <c r="KAE69" s="26"/>
      <c r="KAF69" s="26"/>
      <c r="KAG69" s="26"/>
      <c r="KAH69" s="26"/>
      <c r="KAI69" s="26"/>
      <c r="KAJ69" s="26"/>
      <c r="KAK69" s="26"/>
      <c r="KAL69" s="26"/>
      <c r="KAM69" s="26"/>
      <c r="KAN69" s="26"/>
      <c r="KAO69" s="26"/>
      <c r="KAP69" s="26"/>
      <c r="KAQ69" s="26"/>
      <c r="KAR69" s="26"/>
      <c r="KAS69" s="26"/>
      <c r="KAT69" s="26"/>
      <c r="KAU69" s="26"/>
      <c r="KAV69" s="26"/>
      <c r="KAW69" s="26"/>
      <c r="KAX69" s="26"/>
      <c r="KAY69" s="26"/>
      <c r="KAZ69" s="26"/>
      <c r="KBA69" s="26"/>
      <c r="KBB69" s="26"/>
      <c r="KBC69" s="26"/>
      <c r="KBD69" s="26"/>
      <c r="KBE69" s="26"/>
      <c r="KBF69" s="26"/>
      <c r="KBG69" s="26"/>
      <c r="KBH69" s="26"/>
      <c r="KBI69" s="26"/>
      <c r="KBJ69" s="26"/>
      <c r="KBK69" s="26"/>
      <c r="KBL69" s="26"/>
      <c r="KBM69" s="26"/>
      <c r="KBN69" s="26"/>
      <c r="KBO69" s="26"/>
      <c r="KBP69" s="26"/>
      <c r="KBQ69" s="26"/>
      <c r="KBR69" s="26"/>
      <c r="KBS69" s="26"/>
      <c r="KBT69" s="26"/>
      <c r="KBU69" s="26"/>
      <c r="KBV69" s="26"/>
      <c r="KBW69" s="26"/>
      <c r="KBX69" s="26"/>
      <c r="KBY69" s="26"/>
      <c r="KBZ69" s="26"/>
      <c r="KCA69" s="26"/>
      <c r="KCB69" s="26"/>
      <c r="KCC69" s="26"/>
      <c r="KCD69" s="26"/>
      <c r="KCE69" s="26"/>
      <c r="KCF69" s="26"/>
      <c r="KCG69" s="26"/>
      <c r="KCH69" s="26"/>
      <c r="KCI69" s="26"/>
      <c r="KCJ69" s="26"/>
      <c r="KCK69" s="26"/>
      <c r="KCL69" s="26"/>
      <c r="KCM69" s="26"/>
      <c r="KCN69" s="26"/>
      <c r="KCO69" s="26"/>
      <c r="KCP69" s="26"/>
      <c r="KCQ69" s="26"/>
      <c r="KCR69" s="26"/>
      <c r="KCS69" s="26"/>
      <c r="KCT69" s="26"/>
      <c r="KCU69" s="26"/>
      <c r="KCV69" s="26"/>
      <c r="KCW69" s="26"/>
      <c r="KCX69" s="26"/>
      <c r="KCY69" s="26"/>
      <c r="KCZ69" s="26"/>
      <c r="KDA69" s="26"/>
      <c r="KDB69" s="26"/>
      <c r="KDC69" s="26"/>
      <c r="KDD69" s="26"/>
      <c r="KDE69" s="26"/>
      <c r="KDF69" s="26"/>
      <c r="KDG69" s="26"/>
      <c r="KDH69" s="26"/>
      <c r="KDI69" s="26"/>
      <c r="KDJ69" s="26"/>
      <c r="KDK69" s="26"/>
      <c r="KDL69" s="26"/>
      <c r="KDM69" s="26"/>
      <c r="KDN69" s="26"/>
      <c r="KDO69" s="26"/>
      <c r="KDP69" s="26"/>
      <c r="KDQ69" s="26"/>
      <c r="KDR69" s="26"/>
      <c r="KDS69" s="26"/>
      <c r="KDT69" s="26"/>
      <c r="KDU69" s="26"/>
      <c r="KDV69" s="26"/>
      <c r="KDW69" s="26"/>
      <c r="KDX69" s="26"/>
      <c r="KDY69" s="26"/>
      <c r="KDZ69" s="26"/>
      <c r="KEA69" s="26"/>
      <c r="KEB69" s="26"/>
      <c r="KEC69" s="26"/>
      <c r="KED69" s="26"/>
      <c r="KEE69" s="26"/>
      <c r="KEF69" s="26"/>
      <c r="KEG69" s="26"/>
      <c r="KEH69" s="26"/>
      <c r="KEI69" s="26"/>
      <c r="KEJ69" s="26"/>
      <c r="KEK69" s="26"/>
      <c r="KEL69" s="26"/>
      <c r="KEM69" s="26"/>
      <c r="KEN69" s="26"/>
      <c r="KEO69" s="26"/>
      <c r="KEP69" s="26"/>
      <c r="KEQ69" s="26"/>
      <c r="KER69" s="26"/>
      <c r="KES69" s="26"/>
      <c r="KET69" s="26"/>
      <c r="KEU69" s="26"/>
      <c r="KEV69" s="26"/>
      <c r="KEW69" s="26"/>
      <c r="KEX69" s="26"/>
      <c r="KEY69" s="26"/>
      <c r="KEZ69" s="26"/>
      <c r="KFA69" s="26"/>
      <c r="KFB69" s="26"/>
      <c r="KFC69" s="26"/>
      <c r="KFD69" s="26"/>
      <c r="KFE69" s="26"/>
      <c r="KFF69" s="26"/>
      <c r="KFG69" s="26"/>
      <c r="KFH69" s="26"/>
      <c r="KFI69" s="26"/>
      <c r="KFJ69" s="26"/>
      <c r="KFK69" s="26"/>
      <c r="KFL69" s="26"/>
      <c r="KFM69" s="26"/>
      <c r="KFN69" s="26"/>
      <c r="KFO69" s="26"/>
      <c r="KFP69" s="26"/>
      <c r="KFQ69" s="26"/>
      <c r="KFR69" s="26"/>
      <c r="KFS69" s="26"/>
      <c r="KFT69" s="26"/>
      <c r="KFU69" s="26"/>
      <c r="KFV69" s="26"/>
      <c r="KFW69" s="26"/>
      <c r="KFX69" s="26"/>
      <c r="KFY69" s="26"/>
      <c r="KFZ69" s="26"/>
      <c r="KGA69" s="26"/>
      <c r="KGB69" s="26"/>
      <c r="KGC69" s="26"/>
      <c r="KGD69" s="26"/>
      <c r="KGE69" s="26"/>
      <c r="KGF69" s="26"/>
      <c r="KGG69" s="26"/>
      <c r="KGH69" s="26"/>
      <c r="KGI69" s="26"/>
      <c r="KGJ69" s="26"/>
      <c r="KGK69" s="26"/>
      <c r="KGL69" s="26"/>
      <c r="KGM69" s="26"/>
      <c r="KGN69" s="26"/>
      <c r="KGO69" s="26"/>
      <c r="KGP69" s="26"/>
      <c r="KGQ69" s="26"/>
      <c r="KGR69" s="26"/>
      <c r="KGS69" s="26"/>
      <c r="KGT69" s="26"/>
      <c r="KGU69" s="26"/>
      <c r="KGV69" s="26"/>
      <c r="KGW69" s="26"/>
      <c r="KGX69" s="26"/>
      <c r="KGY69" s="26"/>
      <c r="KGZ69" s="26"/>
      <c r="KHA69" s="26"/>
      <c r="KHB69" s="26"/>
      <c r="KHC69" s="26"/>
      <c r="KHD69" s="26"/>
      <c r="KHE69" s="26"/>
      <c r="KHF69" s="26"/>
      <c r="KHG69" s="26"/>
      <c r="KHH69" s="26"/>
      <c r="KHI69" s="26"/>
      <c r="KHJ69" s="26"/>
      <c r="KHK69" s="26"/>
      <c r="KHL69" s="26"/>
      <c r="KHM69" s="26"/>
      <c r="KHN69" s="26"/>
      <c r="KHO69" s="26"/>
      <c r="KHP69" s="26"/>
      <c r="KHQ69" s="26"/>
      <c r="KHR69" s="26"/>
      <c r="KHS69" s="26"/>
      <c r="KHT69" s="26"/>
      <c r="KHU69" s="26"/>
      <c r="KHV69" s="26"/>
      <c r="KHW69" s="26"/>
      <c r="KHX69" s="26"/>
      <c r="KHY69" s="26"/>
      <c r="KHZ69" s="26"/>
      <c r="KIA69" s="26"/>
      <c r="KIB69" s="26"/>
      <c r="KIC69" s="26"/>
      <c r="KID69" s="26"/>
      <c r="KIE69" s="26"/>
      <c r="KIF69" s="26"/>
      <c r="KIG69" s="26"/>
      <c r="KIH69" s="26"/>
      <c r="KII69" s="26"/>
      <c r="KIJ69" s="26"/>
      <c r="KIK69" s="26"/>
      <c r="KIL69" s="26"/>
      <c r="KIM69" s="26"/>
      <c r="KIN69" s="26"/>
      <c r="KIO69" s="26"/>
      <c r="KIP69" s="26"/>
      <c r="KIQ69" s="26"/>
      <c r="KIR69" s="26"/>
      <c r="KIS69" s="26"/>
      <c r="KIT69" s="26"/>
      <c r="KIU69" s="26"/>
      <c r="KIV69" s="26"/>
      <c r="KIW69" s="26"/>
      <c r="KIX69" s="26"/>
      <c r="KIY69" s="26"/>
      <c r="KIZ69" s="26"/>
      <c r="KJA69" s="26"/>
      <c r="KJB69" s="26"/>
      <c r="KJC69" s="26"/>
      <c r="KJD69" s="26"/>
      <c r="KJE69" s="26"/>
      <c r="KJF69" s="26"/>
      <c r="KJG69" s="26"/>
      <c r="KJH69" s="26"/>
      <c r="KJI69" s="26"/>
      <c r="KJJ69" s="26"/>
      <c r="KJK69" s="26"/>
      <c r="KJL69" s="26"/>
      <c r="KJM69" s="26"/>
      <c r="KJN69" s="26"/>
      <c r="KJO69" s="26"/>
      <c r="KJP69" s="26"/>
      <c r="KJQ69" s="26"/>
      <c r="KJR69" s="26"/>
      <c r="KJS69" s="26"/>
      <c r="KJT69" s="26"/>
      <c r="KJU69" s="26"/>
      <c r="KJV69" s="26"/>
      <c r="KJW69" s="26"/>
      <c r="KJX69" s="26"/>
      <c r="KJY69" s="26"/>
      <c r="KJZ69" s="26"/>
      <c r="KKA69" s="26"/>
      <c r="KKB69" s="26"/>
      <c r="KKC69" s="26"/>
      <c r="KKD69" s="26"/>
      <c r="KKE69" s="26"/>
      <c r="KKF69" s="26"/>
      <c r="KKG69" s="26"/>
      <c r="KKH69" s="26"/>
      <c r="KKI69" s="26"/>
      <c r="KKJ69" s="26"/>
      <c r="KKK69" s="26"/>
      <c r="KKL69" s="26"/>
      <c r="KKM69" s="26"/>
      <c r="KKN69" s="26"/>
      <c r="KKO69" s="26"/>
      <c r="KKP69" s="26"/>
      <c r="KKQ69" s="26"/>
      <c r="KKR69" s="26"/>
      <c r="KKS69" s="26"/>
      <c r="KKT69" s="26"/>
      <c r="KKU69" s="26"/>
      <c r="KKV69" s="26"/>
      <c r="KKW69" s="26"/>
      <c r="KKX69" s="26"/>
      <c r="KKY69" s="26"/>
      <c r="KKZ69" s="26"/>
      <c r="KLA69" s="26"/>
      <c r="KLB69" s="26"/>
      <c r="KLC69" s="26"/>
      <c r="KLD69" s="26"/>
      <c r="KLE69" s="26"/>
      <c r="KLF69" s="26"/>
      <c r="KLG69" s="26"/>
      <c r="KLH69" s="26"/>
      <c r="KLI69" s="26"/>
      <c r="KLJ69" s="26"/>
      <c r="KLK69" s="26"/>
      <c r="KLL69" s="26"/>
      <c r="KLM69" s="26"/>
      <c r="KLN69" s="26"/>
      <c r="KLO69" s="26"/>
      <c r="KLP69" s="26"/>
      <c r="KLQ69" s="26"/>
      <c r="KLR69" s="26"/>
      <c r="KLS69" s="26"/>
      <c r="KLT69" s="26"/>
      <c r="KLU69" s="26"/>
      <c r="KLV69" s="26"/>
      <c r="KLW69" s="26"/>
      <c r="KLX69" s="26"/>
      <c r="KLY69" s="26"/>
      <c r="KLZ69" s="26"/>
      <c r="KMA69" s="26"/>
      <c r="KMB69" s="26"/>
      <c r="KMC69" s="26"/>
      <c r="KMD69" s="26"/>
      <c r="KME69" s="26"/>
      <c r="KMF69" s="26"/>
      <c r="KMG69" s="26"/>
      <c r="KMH69" s="26"/>
      <c r="KMI69" s="26"/>
      <c r="KMJ69" s="26"/>
      <c r="KMK69" s="26"/>
      <c r="KML69" s="26"/>
      <c r="KMM69" s="26"/>
      <c r="KMN69" s="26"/>
      <c r="KMO69" s="26"/>
      <c r="KMP69" s="26"/>
      <c r="KMQ69" s="26"/>
      <c r="KMR69" s="26"/>
      <c r="KMS69" s="26"/>
      <c r="KMT69" s="26"/>
      <c r="KMU69" s="26"/>
      <c r="KMV69" s="26"/>
      <c r="KMW69" s="26"/>
      <c r="KMX69" s="26"/>
      <c r="KMY69" s="26"/>
      <c r="KMZ69" s="26"/>
      <c r="KNA69" s="26"/>
      <c r="KNB69" s="26"/>
      <c r="KNC69" s="26"/>
      <c r="KND69" s="26"/>
      <c r="KNE69" s="26"/>
      <c r="KNF69" s="26"/>
      <c r="KNG69" s="26"/>
      <c r="KNH69" s="26"/>
      <c r="KNI69" s="26"/>
      <c r="KNJ69" s="26"/>
      <c r="KNK69" s="26"/>
      <c r="KNL69" s="26"/>
      <c r="KNM69" s="26"/>
      <c r="KNN69" s="26"/>
      <c r="KNO69" s="26"/>
      <c r="KNP69" s="26"/>
      <c r="KNQ69" s="26"/>
      <c r="KNR69" s="26"/>
      <c r="KNS69" s="26"/>
      <c r="KNT69" s="26"/>
      <c r="KNU69" s="26"/>
      <c r="KNV69" s="26"/>
      <c r="KNW69" s="26"/>
      <c r="KNX69" s="26"/>
      <c r="KNY69" s="26"/>
      <c r="KNZ69" s="26"/>
      <c r="KOA69" s="26"/>
      <c r="KOB69" s="26"/>
      <c r="KOC69" s="26"/>
      <c r="KOD69" s="26"/>
      <c r="KOE69" s="26"/>
      <c r="KOF69" s="26"/>
      <c r="KOG69" s="26"/>
      <c r="KOH69" s="26"/>
      <c r="KOI69" s="26"/>
      <c r="KOJ69" s="26"/>
      <c r="KOK69" s="26"/>
      <c r="KOL69" s="26"/>
      <c r="KOM69" s="26"/>
      <c r="KON69" s="26"/>
      <c r="KOO69" s="26"/>
      <c r="KOP69" s="26"/>
      <c r="KOQ69" s="26"/>
      <c r="KOR69" s="26"/>
      <c r="KOS69" s="26"/>
      <c r="KOT69" s="26"/>
      <c r="KOU69" s="26"/>
      <c r="KOV69" s="26"/>
      <c r="KOW69" s="26"/>
      <c r="KOX69" s="26"/>
      <c r="KOY69" s="26"/>
      <c r="KOZ69" s="26"/>
      <c r="KPA69" s="26"/>
      <c r="KPB69" s="26"/>
      <c r="KPC69" s="26"/>
      <c r="KPD69" s="26"/>
      <c r="KPE69" s="26"/>
      <c r="KPF69" s="26"/>
      <c r="KPG69" s="26"/>
      <c r="KPH69" s="26"/>
      <c r="KPI69" s="26"/>
      <c r="KPJ69" s="26"/>
      <c r="KPK69" s="26"/>
      <c r="KPL69" s="26"/>
      <c r="KPM69" s="26"/>
      <c r="KPN69" s="26"/>
      <c r="KPO69" s="26"/>
      <c r="KPP69" s="26"/>
      <c r="KPQ69" s="26"/>
      <c r="KPR69" s="26"/>
      <c r="KPS69" s="26"/>
      <c r="KPT69" s="26"/>
      <c r="KPU69" s="26"/>
      <c r="KPV69" s="26"/>
      <c r="KPW69" s="26"/>
      <c r="KPX69" s="26"/>
      <c r="KPY69" s="26"/>
      <c r="KPZ69" s="26"/>
      <c r="KQA69" s="26"/>
      <c r="KQB69" s="26"/>
      <c r="KQC69" s="26"/>
      <c r="KQD69" s="26"/>
      <c r="KQE69" s="26"/>
      <c r="KQF69" s="26"/>
      <c r="KQG69" s="26"/>
      <c r="KQH69" s="26"/>
      <c r="KQI69" s="26"/>
      <c r="KQJ69" s="26"/>
      <c r="KQK69" s="26"/>
      <c r="KQL69" s="26"/>
      <c r="KQM69" s="26"/>
      <c r="KQN69" s="26"/>
      <c r="KQO69" s="26"/>
      <c r="KQP69" s="26"/>
      <c r="KQQ69" s="26"/>
      <c r="KQR69" s="26"/>
      <c r="KQS69" s="26"/>
      <c r="KQT69" s="26"/>
      <c r="KQU69" s="26"/>
      <c r="KQV69" s="26"/>
      <c r="KQW69" s="26"/>
      <c r="KQX69" s="26"/>
      <c r="KQY69" s="26"/>
      <c r="KQZ69" s="26"/>
      <c r="KRA69" s="26"/>
      <c r="KRB69" s="26"/>
      <c r="KRC69" s="26"/>
      <c r="KRD69" s="26"/>
      <c r="KRE69" s="26"/>
      <c r="KRF69" s="26"/>
      <c r="KRG69" s="26"/>
      <c r="KRH69" s="26"/>
      <c r="KRI69" s="26"/>
      <c r="KRJ69" s="26"/>
      <c r="KRK69" s="26"/>
      <c r="KRL69" s="26"/>
      <c r="KRM69" s="26"/>
      <c r="KRN69" s="26"/>
      <c r="KRO69" s="26"/>
      <c r="KRP69" s="26"/>
      <c r="KRQ69" s="26"/>
      <c r="KRR69" s="26"/>
      <c r="KRS69" s="26"/>
      <c r="KRT69" s="26"/>
      <c r="KRU69" s="26"/>
      <c r="KRV69" s="26"/>
      <c r="KRW69" s="26"/>
      <c r="KRX69" s="26"/>
      <c r="KRY69" s="26"/>
      <c r="KRZ69" s="26"/>
      <c r="KSA69" s="26"/>
      <c r="KSB69" s="26"/>
      <c r="KSC69" s="26"/>
      <c r="KSD69" s="26"/>
      <c r="KSE69" s="26"/>
      <c r="KSF69" s="26"/>
      <c r="KSG69" s="26"/>
      <c r="KSH69" s="26"/>
      <c r="KSI69" s="26"/>
      <c r="KSJ69" s="26"/>
      <c r="KSK69" s="26"/>
      <c r="KSL69" s="26"/>
      <c r="KSM69" s="26"/>
      <c r="KSN69" s="26"/>
      <c r="KSO69" s="26"/>
      <c r="KSP69" s="26"/>
      <c r="KSQ69" s="26"/>
      <c r="KSR69" s="26"/>
      <c r="KSS69" s="26"/>
      <c r="KST69" s="26"/>
      <c r="KSU69" s="26"/>
      <c r="KSV69" s="26"/>
      <c r="KSW69" s="26"/>
      <c r="KSX69" s="26"/>
      <c r="KSY69" s="26"/>
      <c r="KSZ69" s="26"/>
      <c r="KTA69" s="26"/>
      <c r="KTB69" s="26"/>
      <c r="KTC69" s="26"/>
      <c r="KTD69" s="26"/>
      <c r="KTE69" s="26"/>
      <c r="KTF69" s="26"/>
      <c r="KTG69" s="26"/>
      <c r="KTH69" s="26"/>
      <c r="KTI69" s="26"/>
      <c r="KTJ69" s="26"/>
      <c r="KTK69" s="26"/>
      <c r="KTL69" s="26"/>
      <c r="KTM69" s="26"/>
      <c r="KTN69" s="26"/>
      <c r="KTO69" s="26"/>
      <c r="KTP69" s="26"/>
      <c r="KTQ69" s="26"/>
      <c r="KTR69" s="26"/>
      <c r="KTS69" s="26"/>
      <c r="KTT69" s="26"/>
      <c r="KTU69" s="26"/>
      <c r="KTV69" s="26"/>
      <c r="KTW69" s="26"/>
      <c r="KTX69" s="26"/>
      <c r="KTY69" s="26"/>
      <c r="KTZ69" s="26"/>
      <c r="KUA69" s="26"/>
      <c r="KUB69" s="26"/>
      <c r="KUC69" s="26"/>
      <c r="KUD69" s="26"/>
      <c r="KUE69" s="26"/>
      <c r="KUF69" s="26"/>
      <c r="KUG69" s="26"/>
      <c r="KUH69" s="26"/>
      <c r="KUI69" s="26"/>
      <c r="KUJ69" s="26"/>
      <c r="KUK69" s="26"/>
      <c r="KUL69" s="26"/>
      <c r="KUM69" s="26"/>
      <c r="KUN69" s="26"/>
      <c r="KUO69" s="26"/>
      <c r="KUP69" s="26"/>
      <c r="KUQ69" s="26"/>
      <c r="KUR69" s="26"/>
      <c r="KUS69" s="26"/>
      <c r="KUT69" s="26"/>
      <c r="KUU69" s="26"/>
      <c r="KUV69" s="26"/>
      <c r="KUW69" s="26"/>
      <c r="KUX69" s="26"/>
      <c r="KUY69" s="26"/>
      <c r="KUZ69" s="26"/>
      <c r="KVA69" s="26"/>
      <c r="KVB69" s="26"/>
      <c r="KVC69" s="26"/>
      <c r="KVD69" s="26"/>
      <c r="KVE69" s="26"/>
      <c r="KVF69" s="26"/>
      <c r="KVG69" s="26"/>
      <c r="KVH69" s="26"/>
      <c r="KVI69" s="26"/>
      <c r="KVJ69" s="26"/>
      <c r="KVK69" s="26"/>
      <c r="KVL69" s="26"/>
      <c r="KVM69" s="26"/>
      <c r="KVN69" s="26"/>
      <c r="KVO69" s="26"/>
      <c r="KVP69" s="26"/>
      <c r="KVQ69" s="26"/>
      <c r="KVR69" s="26"/>
      <c r="KVS69" s="26"/>
      <c r="KVT69" s="26"/>
      <c r="KVU69" s="26"/>
      <c r="KVV69" s="26"/>
      <c r="KVW69" s="26"/>
      <c r="KVX69" s="26"/>
      <c r="KVY69" s="26"/>
      <c r="KVZ69" s="26"/>
      <c r="KWA69" s="26"/>
      <c r="KWB69" s="26"/>
      <c r="KWC69" s="26"/>
      <c r="KWD69" s="26"/>
      <c r="KWE69" s="26"/>
      <c r="KWF69" s="26"/>
      <c r="KWG69" s="26"/>
      <c r="KWH69" s="26"/>
      <c r="KWI69" s="26"/>
      <c r="KWJ69" s="26"/>
      <c r="KWK69" s="26"/>
      <c r="KWL69" s="26"/>
      <c r="KWM69" s="26"/>
      <c r="KWN69" s="26"/>
      <c r="KWO69" s="26"/>
      <c r="KWP69" s="26"/>
      <c r="KWQ69" s="26"/>
      <c r="KWR69" s="26"/>
      <c r="KWS69" s="26"/>
      <c r="KWT69" s="26"/>
      <c r="KWU69" s="26"/>
      <c r="KWV69" s="26"/>
      <c r="KWW69" s="26"/>
      <c r="KWX69" s="26"/>
      <c r="KWY69" s="26"/>
      <c r="KWZ69" s="26"/>
      <c r="KXA69" s="26"/>
      <c r="KXB69" s="26"/>
      <c r="KXC69" s="26"/>
      <c r="KXD69" s="26"/>
      <c r="KXE69" s="26"/>
      <c r="KXF69" s="26"/>
      <c r="KXG69" s="26"/>
      <c r="KXH69" s="26"/>
      <c r="KXI69" s="26"/>
      <c r="KXJ69" s="26"/>
      <c r="KXK69" s="26"/>
      <c r="KXL69" s="26"/>
      <c r="KXM69" s="26"/>
      <c r="KXN69" s="26"/>
      <c r="KXO69" s="26"/>
      <c r="KXP69" s="26"/>
      <c r="KXQ69" s="26"/>
      <c r="KXR69" s="26"/>
      <c r="KXS69" s="26"/>
      <c r="KXT69" s="26"/>
      <c r="KXU69" s="26"/>
      <c r="KXV69" s="26"/>
      <c r="KXW69" s="26"/>
      <c r="KXX69" s="26"/>
      <c r="KXY69" s="26"/>
      <c r="KXZ69" s="26"/>
      <c r="KYA69" s="26"/>
      <c r="KYB69" s="26"/>
      <c r="KYC69" s="26"/>
      <c r="KYD69" s="26"/>
      <c r="KYE69" s="26"/>
      <c r="KYF69" s="26"/>
      <c r="KYG69" s="26"/>
      <c r="KYH69" s="26"/>
      <c r="KYI69" s="26"/>
      <c r="KYJ69" s="26"/>
      <c r="KYK69" s="26"/>
      <c r="KYL69" s="26"/>
      <c r="KYM69" s="26"/>
      <c r="KYN69" s="26"/>
      <c r="KYO69" s="26"/>
      <c r="KYP69" s="26"/>
      <c r="KYQ69" s="26"/>
      <c r="KYR69" s="26"/>
      <c r="KYS69" s="26"/>
      <c r="KYT69" s="26"/>
      <c r="KYU69" s="26"/>
      <c r="KYV69" s="26"/>
      <c r="KYW69" s="26"/>
      <c r="KYX69" s="26"/>
      <c r="KYY69" s="26"/>
      <c r="KYZ69" s="26"/>
      <c r="KZA69" s="26"/>
      <c r="KZB69" s="26"/>
      <c r="KZC69" s="26"/>
      <c r="KZD69" s="26"/>
      <c r="KZE69" s="26"/>
      <c r="KZF69" s="26"/>
      <c r="KZG69" s="26"/>
      <c r="KZH69" s="26"/>
      <c r="KZI69" s="26"/>
      <c r="KZJ69" s="26"/>
      <c r="KZK69" s="26"/>
      <c r="KZL69" s="26"/>
      <c r="KZM69" s="26"/>
      <c r="KZN69" s="26"/>
      <c r="KZO69" s="26"/>
      <c r="KZP69" s="26"/>
      <c r="KZQ69" s="26"/>
      <c r="KZR69" s="26"/>
      <c r="KZS69" s="26"/>
      <c r="KZT69" s="26"/>
      <c r="KZU69" s="26"/>
      <c r="KZV69" s="26"/>
      <c r="KZW69" s="26"/>
      <c r="KZX69" s="26"/>
      <c r="KZY69" s="26"/>
      <c r="KZZ69" s="26"/>
      <c r="LAA69" s="26"/>
      <c r="LAB69" s="26"/>
      <c r="LAC69" s="26"/>
      <c r="LAD69" s="26"/>
      <c r="LAE69" s="26"/>
      <c r="LAF69" s="26"/>
      <c r="LAG69" s="26"/>
      <c r="LAH69" s="26"/>
      <c r="LAI69" s="26"/>
      <c r="LAJ69" s="26"/>
      <c r="LAK69" s="26"/>
      <c r="LAL69" s="26"/>
      <c r="LAM69" s="26"/>
      <c r="LAN69" s="26"/>
      <c r="LAO69" s="26"/>
      <c r="LAP69" s="26"/>
      <c r="LAQ69" s="26"/>
      <c r="LAR69" s="26"/>
      <c r="LAS69" s="26"/>
      <c r="LAT69" s="26"/>
      <c r="LAU69" s="26"/>
      <c r="LAV69" s="26"/>
      <c r="LAW69" s="26"/>
      <c r="LAX69" s="26"/>
      <c r="LAY69" s="26"/>
      <c r="LAZ69" s="26"/>
      <c r="LBA69" s="26"/>
      <c r="LBB69" s="26"/>
      <c r="LBC69" s="26"/>
      <c r="LBD69" s="26"/>
      <c r="LBE69" s="26"/>
      <c r="LBF69" s="26"/>
      <c r="LBG69" s="26"/>
      <c r="LBH69" s="26"/>
      <c r="LBI69" s="26"/>
      <c r="LBJ69" s="26"/>
      <c r="LBK69" s="26"/>
      <c r="LBL69" s="26"/>
      <c r="LBM69" s="26"/>
      <c r="LBN69" s="26"/>
      <c r="LBO69" s="26"/>
      <c r="LBP69" s="26"/>
      <c r="LBQ69" s="26"/>
      <c r="LBR69" s="26"/>
      <c r="LBS69" s="26"/>
      <c r="LBT69" s="26"/>
      <c r="LBU69" s="26"/>
      <c r="LBV69" s="26"/>
      <c r="LBW69" s="26"/>
      <c r="LBX69" s="26"/>
      <c r="LBY69" s="26"/>
      <c r="LBZ69" s="26"/>
      <c r="LCA69" s="26"/>
      <c r="LCB69" s="26"/>
      <c r="LCC69" s="26"/>
      <c r="LCD69" s="26"/>
      <c r="LCE69" s="26"/>
      <c r="LCF69" s="26"/>
      <c r="LCG69" s="26"/>
      <c r="LCH69" s="26"/>
      <c r="LCI69" s="26"/>
      <c r="LCJ69" s="26"/>
      <c r="LCK69" s="26"/>
      <c r="LCL69" s="26"/>
      <c r="LCM69" s="26"/>
      <c r="LCN69" s="26"/>
      <c r="LCO69" s="26"/>
      <c r="LCP69" s="26"/>
      <c r="LCQ69" s="26"/>
      <c r="LCR69" s="26"/>
      <c r="LCS69" s="26"/>
      <c r="LCT69" s="26"/>
      <c r="LCU69" s="26"/>
      <c r="LCV69" s="26"/>
      <c r="LCW69" s="26"/>
      <c r="LCX69" s="26"/>
      <c r="LCY69" s="26"/>
      <c r="LCZ69" s="26"/>
      <c r="LDA69" s="26"/>
      <c r="LDB69" s="26"/>
      <c r="LDC69" s="26"/>
      <c r="LDD69" s="26"/>
      <c r="LDE69" s="26"/>
      <c r="LDF69" s="26"/>
      <c r="LDG69" s="26"/>
      <c r="LDH69" s="26"/>
      <c r="LDI69" s="26"/>
      <c r="LDJ69" s="26"/>
      <c r="LDK69" s="26"/>
      <c r="LDL69" s="26"/>
      <c r="LDM69" s="26"/>
      <c r="LDN69" s="26"/>
      <c r="LDO69" s="26"/>
      <c r="LDP69" s="26"/>
      <c r="LDQ69" s="26"/>
      <c r="LDR69" s="26"/>
      <c r="LDS69" s="26"/>
      <c r="LDT69" s="26"/>
      <c r="LDU69" s="26"/>
      <c r="LDV69" s="26"/>
      <c r="LDW69" s="26"/>
      <c r="LDX69" s="26"/>
      <c r="LDY69" s="26"/>
      <c r="LDZ69" s="26"/>
      <c r="LEA69" s="26"/>
      <c r="LEB69" s="26"/>
      <c r="LEC69" s="26"/>
      <c r="LED69" s="26"/>
      <c r="LEE69" s="26"/>
      <c r="LEF69" s="26"/>
      <c r="LEG69" s="26"/>
      <c r="LEH69" s="26"/>
      <c r="LEI69" s="26"/>
      <c r="LEJ69" s="26"/>
      <c r="LEK69" s="26"/>
      <c r="LEL69" s="26"/>
      <c r="LEM69" s="26"/>
      <c r="LEN69" s="26"/>
      <c r="LEO69" s="26"/>
      <c r="LEP69" s="26"/>
      <c r="LEQ69" s="26"/>
      <c r="LER69" s="26"/>
      <c r="LES69" s="26"/>
      <c r="LET69" s="26"/>
      <c r="LEU69" s="26"/>
      <c r="LEV69" s="26"/>
      <c r="LEW69" s="26"/>
      <c r="LEX69" s="26"/>
      <c r="LEY69" s="26"/>
      <c r="LEZ69" s="26"/>
      <c r="LFA69" s="26"/>
      <c r="LFB69" s="26"/>
      <c r="LFC69" s="26"/>
      <c r="LFD69" s="26"/>
      <c r="LFE69" s="26"/>
      <c r="LFF69" s="26"/>
      <c r="LFG69" s="26"/>
      <c r="LFH69" s="26"/>
      <c r="LFI69" s="26"/>
      <c r="LFJ69" s="26"/>
      <c r="LFK69" s="26"/>
      <c r="LFL69" s="26"/>
      <c r="LFM69" s="26"/>
      <c r="LFN69" s="26"/>
      <c r="LFO69" s="26"/>
      <c r="LFP69" s="26"/>
      <c r="LFQ69" s="26"/>
      <c r="LFR69" s="26"/>
      <c r="LFS69" s="26"/>
      <c r="LFT69" s="26"/>
      <c r="LFU69" s="26"/>
      <c r="LFV69" s="26"/>
      <c r="LFW69" s="26"/>
      <c r="LFX69" s="26"/>
      <c r="LFY69" s="26"/>
      <c r="LFZ69" s="26"/>
      <c r="LGA69" s="26"/>
      <c r="LGB69" s="26"/>
      <c r="LGC69" s="26"/>
      <c r="LGD69" s="26"/>
      <c r="LGE69" s="26"/>
      <c r="LGF69" s="26"/>
      <c r="LGG69" s="26"/>
      <c r="LGH69" s="26"/>
      <c r="LGI69" s="26"/>
      <c r="LGJ69" s="26"/>
      <c r="LGK69" s="26"/>
      <c r="LGL69" s="26"/>
      <c r="LGM69" s="26"/>
      <c r="LGN69" s="26"/>
      <c r="LGO69" s="26"/>
      <c r="LGP69" s="26"/>
      <c r="LGQ69" s="26"/>
      <c r="LGR69" s="26"/>
      <c r="LGS69" s="26"/>
      <c r="LGT69" s="26"/>
      <c r="LGU69" s="26"/>
      <c r="LGV69" s="26"/>
      <c r="LGW69" s="26"/>
      <c r="LGX69" s="26"/>
      <c r="LGY69" s="26"/>
      <c r="LGZ69" s="26"/>
      <c r="LHA69" s="26"/>
      <c r="LHB69" s="26"/>
      <c r="LHC69" s="26"/>
      <c r="LHD69" s="26"/>
      <c r="LHE69" s="26"/>
      <c r="LHF69" s="26"/>
      <c r="LHG69" s="26"/>
      <c r="LHH69" s="26"/>
      <c r="LHI69" s="26"/>
      <c r="LHJ69" s="26"/>
      <c r="LHK69" s="26"/>
      <c r="LHL69" s="26"/>
      <c r="LHM69" s="26"/>
      <c r="LHN69" s="26"/>
      <c r="LHO69" s="26"/>
      <c r="LHP69" s="26"/>
      <c r="LHQ69" s="26"/>
      <c r="LHR69" s="26"/>
      <c r="LHS69" s="26"/>
      <c r="LHT69" s="26"/>
      <c r="LHU69" s="26"/>
      <c r="LHV69" s="26"/>
      <c r="LHW69" s="26"/>
      <c r="LHX69" s="26"/>
      <c r="LHY69" s="26"/>
      <c r="LHZ69" s="26"/>
      <c r="LIA69" s="26"/>
      <c r="LIB69" s="26"/>
      <c r="LIC69" s="26"/>
      <c r="LID69" s="26"/>
      <c r="LIE69" s="26"/>
      <c r="LIF69" s="26"/>
      <c r="LIG69" s="26"/>
      <c r="LIH69" s="26"/>
      <c r="LII69" s="26"/>
      <c r="LIJ69" s="26"/>
      <c r="LIK69" s="26"/>
      <c r="LIL69" s="26"/>
      <c r="LIM69" s="26"/>
      <c r="LIN69" s="26"/>
      <c r="LIO69" s="26"/>
      <c r="LIP69" s="26"/>
      <c r="LIQ69" s="26"/>
      <c r="LIR69" s="26"/>
      <c r="LIS69" s="26"/>
      <c r="LIT69" s="26"/>
      <c r="LIU69" s="26"/>
      <c r="LIV69" s="26"/>
      <c r="LIW69" s="26"/>
      <c r="LIX69" s="26"/>
      <c r="LIY69" s="26"/>
      <c r="LIZ69" s="26"/>
      <c r="LJA69" s="26"/>
      <c r="LJB69" s="26"/>
      <c r="LJC69" s="26"/>
      <c r="LJD69" s="26"/>
      <c r="LJE69" s="26"/>
      <c r="LJF69" s="26"/>
      <c r="LJG69" s="26"/>
      <c r="LJH69" s="26"/>
      <c r="LJI69" s="26"/>
      <c r="LJJ69" s="26"/>
      <c r="LJK69" s="26"/>
      <c r="LJL69" s="26"/>
      <c r="LJM69" s="26"/>
      <c r="LJN69" s="26"/>
      <c r="LJO69" s="26"/>
      <c r="LJP69" s="26"/>
      <c r="LJQ69" s="26"/>
      <c r="LJR69" s="26"/>
      <c r="LJS69" s="26"/>
      <c r="LJT69" s="26"/>
      <c r="LJU69" s="26"/>
      <c r="LJV69" s="26"/>
      <c r="LJW69" s="26"/>
      <c r="LJX69" s="26"/>
      <c r="LJY69" s="26"/>
      <c r="LJZ69" s="26"/>
      <c r="LKA69" s="26"/>
      <c r="LKB69" s="26"/>
      <c r="LKC69" s="26"/>
      <c r="LKD69" s="26"/>
      <c r="LKE69" s="26"/>
      <c r="LKF69" s="26"/>
      <c r="LKG69" s="26"/>
      <c r="LKH69" s="26"/>
      <c r="LKI69" s="26"/>
      <c r="LKJ69" s="26"/>
      <c r="LKK69" s="26"/>
      <c r="LKL69" s="26"/>
      <c r="LKM69" s="26"/>
      <c r="LKN69" s="26"/>
      <c r="LKO69" s="26"/>
      <c r="LKP69" s="26"/>
      <c r="LKQ69" s="26"/>
      <c r="LKR69" s="26"/>
      <c r="LKS69" s="26"/>
      <c r="LKT69" s="26"/>
      <c r="LKU69" s="26"/>
      <c r="LKV69" s="26"/>
      <c r="LKW69" s="26"/>
      <c r="LKX69" s="26"/>
      <c r="LKY69" s="26"/>
      <c r="LKZ69" s="26"/>
      <c r="LLA69" s="26"/>
      <c r="LLB69" s="26"/>
      <c r="LLC69" s="26"/>
      <c r="LLD69" s="26"/>
      <c r="LLE69" s="26"/>
      <c r="LLF69" s="26"/>
      <c r="LLG69" s="26"/>
      <c r="LLH69" s="26"/>
      <c r="LLI69" s="26"/>
      <c r="LLJ69" s="26"/>
      <c r="LLK69" s="26"/>
      <c r="LLL69" s="26"/>
      <c r="LLM69" s="26"/>
      <c r="LLN69" s="26"/>
      <c r="LLO69" s="26"/>
      <c r="LLP69" s="26"/>
      <c r="LLQ69" s="26"/>
      <c r="LLR69" s="26"/>
      <c r="LLS69" s="26"/>
      <c r="LLT69" s="26"/>
      <c r="LLU69" s="26"/>
      <c r="LLV69" s="26"/>
      <c r="LLW69" s="26"/>
      <c r="LLX69" s="26"/>
      <c r="LLY69" s="26"/>
      <c r="LLZ69" s="26"/>
      <c r="LMA69" s="26"/>
      <c r="LMB69" s="26"/>
      <c r="LMC69" s="26"/>
      <c r="LMD69" s="26"/>
      <c r="LME69" s="26"/>
      <c r="LMF69" s="26"/>
      <c r="LMG69" s="26"/>
      <c r="LMH69" s="26"/>
      <c r="LMI69" s="26"/>
      <c r="LMJ69" s="26"/>
      <c r="LMK69" s="26"/>
      <c r="LML69" s="26"/>
      <c r="LMM69" s="26"/>
      <c r="LMN69" s="26"/>
      <c r="LMO69" s="26"/>
      <c r="LMP69" s="26"/>
      <c r="LMQ69" s="26"/>
      <c r="LMR69" s="26"/>
      <c r="LMS69" s="26"/>
      <c r="LMT69" s="26"/>
      <c r="LMU69" s="26"/>
      <c r="LMV69" s="26"/>
      <c r="LMW69" s="26"/>
      <c r="LMX69" s="26"/>
      <c r="LMY69" s="26"/>
      <c r="LMZ69" s="26"/>
      <c r="LNA69" s="26"/>
      <c r="LNB69" s="26"/>
      <c r="LNC69" s="26"/>
      <c r="LND69" s="26"/>
      <c r="LNE69" s="26"/>
      <c r="LNF69" s="26"/>
      <c r="LNG69" s="26"/>
      <c r="LNH69" s="26"/>
      <c r="LNI69" s="26"/>
      <c r="LNJ69" s="26"/>
      <c r="LNK69" s="26"/>
      <c r="LNL69" s="26"/>
      <c r="LNM69" s="26"/>
      <c r="LNN69" s="26"/>
      <c r="LNO69" s="26"/>
      <c r="LNP69" s="26"/>
      <c r="LNQ69" s="26"/>
      <c r="LNR69" s="26"/>
      <c r="LNS69" s="26"/>
      <c r="LNT69" s="26"/>
      <c r="LNU69" s="26"/>
      <c r="LNV69" s="26"/>
      <c r="LNW69" s="26"/>
      <c r="LNX69" s="26"/>
      <c r="LNY69" s="26"/>
      <c r="LNZ69" s="26"/>
      <c r="LOA69" s="26"/>
      <c r="LOB69" s="26"/>
      <c r="LOC69" s="26"/>
      <c r="LOD69" s="26"/>
      <c r="LOE69" s="26"/>
      <c r="LOF69" s="26"/>
      <c r="LOG69" s="26"/>
      <c r="LOH69" s="26"/>
      <c r="LOI69" s="26"/>
      <c r="LOJ69" s="26"/>
      <c r="LOK69" s="26"/>
      <c r="LOL69" s="26"/>
      <c r="LOM69" s="26"/>
      <c r="LON69" s="26"/>
      <c r="LOO69" s="26"/>
      <c r="LOP69" s="26"/>
      <c r="LOQ69" s="26"/>
      <c r="LOR69" s="26"/>
      <c r="LOS69" s="26"/>
      <c r="LOT69" s="26"/>
      <c r="LOU69" s="26"/>
      <c r="LOV69" s="26"/>
      <c r="LOW69" s="26"/>
      <c r="LOX69" s="26"/>
      <c r="LOY69" s="26"/>
      <c r="LOZ69" s="26"/>
      <c r="LPA69" s="26"/>
      <c r="LPB69" s="26"/>
      <c r="LPC69" s="26"/>
      <c r="LPD69" s="26"/>
      <c r="LPE69" s="26"/>
      <c r="LPF69" s="26"/>
      <c r="LPG69" s="26"/>
      <c r="LPH69" s="26"/>
      <c r="LPI69" s="26"/>
      <c r="LPJ69" s="26"/>
      <c r="LPK69" s="26"/>
      <c r="LPL69" s="26"/>
      <c r="LPM69" s="26"/>
      <c r="LPN69" s="26"/>
      <c r="LPO69" s="26"/>
      <c r="LPP69" s="26"/>
      <c r="LPQ69" s="26"/>
      <c r="LPR69" s="26"/>
      <c r="LPS69" s="26"/>
      <c r="LPT69" s="26"/>
      <c r="LPU69" s="26"/>
      <c r="LPV69" s="26"/>
      <c r="LPW69" s="26"/>
      <c r="LPX69" s="26"/>
      <c r="LPY69" s="26"/>
      <c r="LPZ69" s="26"/>
      <c r="LQA69" s="26"/>
      <c r="LQB69" s="26"/>
      <c r="LQC69" s="26"/>
      <c r="LQD69" s="26"/>
      <c r="LQE69" s="26"/>
      <c r="LQF69" s="26"/>
      <c r="LQG69" s="26"/>
      <c r="LQH69" s="26"/>
      <c r="LQI69" s="26"/>
      <c r="LQJ69" s="26"/>
      <c r="LQK69" s="26"/>
      <c r="LQL69" s="26"/>
      <c r="LQM69" s="26"/>
      <c r="LQN69" s="26"/>
      <c r="LQO69" s="26"/>
      <c r="LQP69" s="26"/>
      <c r="LQQ69" s="26"/>
      <c r="LQR69" s="26"/>
      <c r="LQS69" s="26"/>
      <c r="LQT69" s="26"/>
      <c r="LQU69" s="26"/>
      <c r="LQV69" s="26"/>
      <c r="LQW69" s="26"/>
      <c r="LQX69" s="26"/>
      <c r="LQY69" s="26"/>
      <c r="LQZ69" s="26"/>
      <c r="LRA69" s="26"/>
      <c r="LRB69" s="26"/>
      <c r="LRC69" s="26"/>
      <c r="LRD69" s="26"/>
      <c r="LRE69" s="26"/>
      <c r="LRF69" s="26"/>
      <c r="LRG69" s="26"/>
      <c r="LRH69" s="26"/>
      <c r="LRI69" s="26"/>
      <c r="LRJ69" s="26"/>
      <c r="LRK69" s="26"/>
      <c r="LRL69" s="26"/>
      <c r="LRM69" s="26"/>
      <c r="LRN69" s="26"/>
      <c r="LRO69" s="26"/>
      <c r="LRP69" s="26"/>
      <c r="LRQ69" s="26"/>
      <c r="LRR69" s="26"/>
      <c r="LRS69" s="26"/>
      <c r="LRT69" s="26"/>
      <c r="LRU69" s="26"/>
      <c r="LRV69" s="26"/>
      <c r="LRW69" s="26"/>
      <c r="LRX69" s="26"/>
      <c r="LRY69" s="26"/>
      <c r="LRZ69" s="26"/>
      <c r="LSA69" s="26"/>
      <c r="LSB69" s="26"/>
      <c r="LSC69" s="26"/>
      <c r="LSD69" s="26"/>
      <c r="LSE69" s="26"/>
      <c r="LSF69" s="26"/>
      <c r="LSG69" s="26"/>
      <c r="LSH69" s="26"/>
      <c r="LSI69" s="26"/>
      <c r="LSJ69" s="26"/>
      <c r="LSK69" s="26"/>
      <c r="LSL69" s="26"/>
      <c r="LSM69" s="26"/>
      <c r="LSN69" s="26"/>
      <c r="LSO69" s="26"/>
      <c r="LSP69" s="26"/>
      <c r="LSQ69" s="26"/>
      <c r="LSR69" s="26"/>
      <c r="LSS69" s="26"/>
      <c r="LST69" s="26"/>
      <c r="LSU69" s="26"/>
      <c r="LSV69" s="26"/>
      <c r="LSW69" s="26"/>
      <c r="LSX69" s="26"/>
      <c r="LSY69" s="26"/>
      <c r="LSZ69" s="26"/>
      <c r="LTA69" s="26"/>
      <c r="LTB69" s="26"/>
      <c r="LTC69" s="26"/>
      <c r="LTD69" s="26"/>
      <c r="LTE69" s="26"/>
      <c r="LTF69" s="26"/>
      <c r="LTG69" s="26"/>
      <c r="LTH69" s="26"/>
      <c r="LTI69" s="26"/>
      <c r="LTJ69" s="26"/>
      <c r="LTK69" s="26"/>
      <c r="LTL69" s="26"/>
      <c r="LTM69" s="26"/>
      <c r="LTN69" s="26"/>
      <c r="LTO69" s="26"/>
      <c r="LTP69" s="26"/>
      <c r="LTQ69" s="26"/>
      <c r="LTR69" s="26"/>
      <c r="LTS69" s="26"/>
      <c r="LTT69" s="26"/>
      <c r="LTU69" s="26"/>
      <c r="LTV69" s="26"/>
      <c r="LTW69" s="26"/>
      <c r="LTX69" s="26"/>
      <c r="LTY69" s="26"/>
      <c r="LTZ69" s="26"/>
      <c r="LUA69" s="26"/>
      <c r="LUB69" s="26"/>
      <c r="LUC69" s="26"/>
      <c r="LUD69" s="26"/>
      <c r="LUE69" s="26"/>
      <c r="LUF69" s="26"/>
      <c r="LUG69" s="26"/>
      <c r="LUH69" s="26"/>
      <c r="LUI69" s="26"/>
      <c r="LUJ69" s="26"/>
      <c r="LUK69" s="26"/>
      <c r="LUL69" s="26"/>
      <c r="LUM69" s="26"/>
      <c r="LUN69" s="26"/>
      <c r="LUO69" s="26"/>
      <c r="LUP69" s="26"/>
      <c r="LUQ69" s="26"/>
      <c r="LUR69" s="26"/>
      <c r="LUS69" s="26"/>
      <c r="LUT69" s="26"/>
      <c r="LUU69" s="26"/>
      <c r="LUV69" s="26"/>
      <c r="LUW69" s="26"/>
      <c r="LUX69" s="26"/>
      <c r="LUY69" s="26"/>
      <c r="LUZ69" s="26"/>
      <c r="LVA69" s="26"/>
      <c r="LVB69" s="26"/>
      <c r="LVC69" s="26"/>
      <c r="LVD69" s="26"/>
      <c r="LVE69" s="26"/>
      <c r="LVF69" s="26"/>
      <c r="LVG69" s="26"/>
      <c r="LVH69" s="26"/>
      <c r="LVI69" s="26"/>
      <c r="LVJ69" s="26"/>
      <c r="LVK69" s="26"/>
      <c r="LVL69" s="26"/>
      <c r="LVM69" s="26"/>
      <c r="LVN69" s="26"/>
      <c r="LVO69" s="26"/>
      <c r="LVP69" s="26"/>
      <c r="LVQ69" s="26"/>
      <c r="LVR69" s="26"/>
      <c r="LVS69" s="26"/>
      <c r="LVT69" s="26"/>
      <c r="LVU69" s="26"/>
      <c r="LVV69" s="26"/>
      <c r="LVW69" s="26"/>
      <c r="LVX69" s="26"/>
      <c r="LVY69" s="26"/>
      <c r="LVZ69" s="26"/>
      <c r="LWA69" s="26"/>
      <c r="LWB69" s="26"/>
      <c r="LWC69" s="26"/>
      <c r="LWD69" s="26"/>
      <c r="LWE69" s="26"/>
      <c r="LWF69" s="26"/>
      <c r="LWG69" s="26"/>
      <c r="LWH69" s="26"/>
      <c r="LWI69" s="26"/>
      <c r="LWJ69" s="26"/>
      <c r="LWK69" s="26"/>
      <c r="LWL69" s="26"/>
      <c r="LWM69" s="26"/>
      <c r="LWN69" s="26"/>
      <c r="LWO69" s="26"/>
      <c r="LWP69" s="26"/>
      <c r="LWQ69" s="26"/>
      <c r="LWR69" s="26"/>
      <c r="LWS69" s="26"/>
      <c r="LWT69" s="26"/>
      <c r="LWU69" s="26"/>
      <c r="LWV69" s="26"/>
      <c r="LWW69" s="26"/>
      <c r="LWX69" s="26"/>
      <c r="LWY69" s="26"/>
      <c r="LWZ69" s="26"/>
      <c r="LXA69" s="26"/>
      <c r="LXB69" s="26"/>
      <c r="LXC69" s="26"/>
      <c r="LXD69" s="26"/>
      <c r="LXE69" s="26"/>
      <c r="LXF69" s="26"/>
      <c r="LXG69" s="26"/>
      <c r="LXH69" s="26"/>
      <c r="LXI69" s="26"/>
      <c r="LXJ69" s="26"/>
      <c r="LXK69" s="26"/>
      <c r="LXL69" s="26"/>
      <c r="LXM69" s="26"/>
      <c r="LXN69" s="26"/>
      <c r="LXO69" s="26"/>
      <c r="LXP69" s="26"/>
      <c r="LXQ69" s="26"/>
      <c r="LXR69" s="26"/>
      <c r="LXS69" s="26"/>
      <c r="LXT69" s="26"/>
      <c r="LXU69" s="26"/>
      <c r="LXV69" s="26"/>
      <c r="LXW69" s="26"/>
      <c r="LXX69" s="26"/>
      <c r="LXY69" s="26"/>
      <c r="LXZ69" s="26"/>
      <c r="LYA69" s="26"/>
      <c r="LYB69" s="26"/>
      <c r="LYC69" s="26"/>
      <c r="LYD69" s="26"/>
      <c r="LYE69" s="26"/>
      <c r="LYF69" s="26"/>
      <c r="LYG69" s="26"/>
      <c r="LYH69" s="26"/>
      <c r="LYI69" s="26"/>
      <c r="LYJ69" s="26"/>
      <c r="LYK69" s="26"/>
      <c r="LYL69" s="26"/>
      <c r="LYM69" s="26"/>
      <c r="LYN69" s="26"/>
      <c r="LYO69" s="26"/>
      <c r="LYP69" s="26"/>
      <c r="LYQ69" s="26"/>
      <c r="LYR69" s="26"/>
      <c r="LYS69" s="26"/>
      <c r="LYT69" s="26"/>
      <c r="LYU69" s="26"/>
      <c r="LYV69" s="26"/>
      <c r="LYW69" s="26"/>
      <c r="LYX69" s="26"/>
      <c r="LYY69" s="26"/>
      <c r="LYZ69" s="26"/>
      <c r="LZA69" s="26"/>
      <c r="LZB69" s="26"/>
      <c r="LZC69" s="26"/>
      <c r="LZD69" s="26"/>
      <c r="LZE69" s="26"/>
      <c r="LZF69" s="26"/>
      <c r="LZG69" s="26"/>
      <c r="LZH69" s="26"/>
      <c r="LZI69" s="26"/>
      <c r="LZJ69" s="26"/>
      <c r="LZK69" s="26"/>
      <c r="LZL69" s="26"/>
      <c r="LZM69" s="26"/>
      <c r="LZN69" s="26"/>
      <c r="LZO69" s="26"/>
      <c r="LZP69" s="26"/>
      <c r="LZQ69" s="26"/>
      <c r="LZR69" s="26"/>
      <c r="LZS69" s="26"/>
      <c r="LZT69" s="26"/>
      <c r="LZU69" s="26"/>
      <c r="LZV69" s="26"/>
      <c r="LZW69" s="26"/>
      <c r="LZX69" s="26"/>
      <c r="LZY69" s="26"/>
      <c r="LZZ69" s="26"/>
      <c r="MAA69" s="26"/>
      <c r="MAB69" s="26"/>
      <c r="MAC69" s="26"/>
      <c r="MAD69" s="26"/>
      <c r="MAE69" s="26"/>
      <c r="MAF69" s="26"/>
      <c r="MAG69" s="26"/>
      <c r="MAH69" s="26"/>
      <c r="MAI69" s="26"/>
      <c r="MAJ69" s="26"/>
      <c r="MAK69" s="26"/>
      <c r="MAL69" s="26"/>
      <c r="MAM69" s="26"/>
      <c r="MAN69" s="26"/>
      <c r="MAO69" s="26"/>
      <c r="MAP69" s="26"/>
      <c r="MAQ69" s="26"/>
      <c r="MAR69" s="26"/>
      <c r="MAS69" s="26"/>
      <c r="MAT69" s="26"/>
      <c r="MAU69" s="26"/>
      <c r="MAV69" s="26"/>
      <c r="MAW69" s="26"/>
      <c r="MAX69" s="26"/>
      <c r="MAY69" s="26"/>
      <c r="MAZ69" s="26"/>
      <c r="MBA69" s="26"/>
      <c r="MBB69" s="26"/>
      <c r="MBC69" s="26"/>
      <c r="MBD69" s="26"/>
      <c r="MBE69" s="26"/>
      <c r="MBF69" s="26"/>
      <c r="MBG69" s="26"/>
      <c r="MBH69" s="26"/>
      <c r="MBI69" s="26"/>
      <c r="MBJ69" s="26"/>
      <c r="MBK69" s="26"/>
      <c r="MBL69" s="26"/>
      <c r="MBM69" s="26"/>
      <c r="MBN69" s="26"/>
      <c r="MBO69" s="26"/>
      <c r="MBP69" s="26"/>
      <c r="MBQ69" s="26"/>
      <c r="MBR69" s="26"/>
      <c r="MBS69" s="26"/>
      <c r="MBT69" s="26"/>
      <c r="MBU69" s="26"/>
      <c r="MBV69" s="26"/>
      <c r="MBW69" s="26"/>
      <c r="MBX69" s="26"/>
      <c r="MBY69" s="26"/>
      <c r="MBZ69" s="26"/>
      <c r="MCA69" s="26"/>
      <c r="MCB69" s="26"/>
      <c r="MCC69" s="26"/>
      <c r="MCD69" s="26"/>
      <c r="MCE69" s="26"/>
      <c r="MCF69" s="26"/>
      <c r="MCG69" s="26"/>
      <c r="MCH69" s="26"/>
      <c r="MCI69" s="26"/>
      <c r="MCJ69" s="26"/>
      <c r="MCK69" s="26"/>
      <c r="MCL69" s="26"/>
      <c r="MCM69" s="26"/>
      <c r="MCN69" s="26"/>
      <c r="MCO69" s="26"/>
      <c r="MCP69" s="26"/>
      <c r="MCQ69" s="26"/>
      <c r="MCR69" s="26"/>
      <c r="MCS69" s="26"/>
      <c r="MCT69" s="26"/>
      <c r="MCU69" s="26"/>
      <c r="MCV69" s="26"/>
      <c r="MCW69" s="26"/>
      <c r="MCX69" s="26"/>
      <c r="MCY69" s="26"/>
      <c r="MCZ69" s="26"/>
      <c r="MDA69" s="26"/>
      <c r="MDB69" s="26"/>
      <c r="MDC69" s="26"/>
      <c r="MDD69" s="26"/>
      <c r="MDE69" s="26"/>
      <c r="MDF69" s="26"/>
      <c r="MDG69" s="26"/>
      <c r="MDH69" s="26"/>
      <c r="MDI69" s="26"/>
      <c r="MDJ69" s="26"/>
      <c r="MDK69" s="26"/>
      <c r="MDL69" s="26"/>
      <c r="MDM69" s="26"/>
      <c r="MDN69" s="26"/>
      <c r="MDO69" s="26"/>
      <c r="MDP69" s="26"/>
      <c r="MDQ69" s="26"/>
      <c r="MDR69" s="26"/>
      <c r="MDS69" s="26"/>
      <c r="MDT69" s="26"/>
      <c r="MDU69" s="26"/>
      <c r="MDV69" s="26"/>
      <c r="MDW69" s="26"/>
      <c r="MDX69" s="26"/>
      <c r="MDY69" s="26"/>
      <c r="MDZ69" s="26"/>
      <c r="MEA69" s="26"/>
      <c r="MEB69" s="26"/>
      <c r="MEC69" s="26"/>
      <c r="MED69" s="26"/>
      <c r="MEE69" s="26"/>
      <c r="MEF69" s="26"/>
      <c r="MEG69" s="26"/>
      <c r="MEH69" s="26"/>
      <c r="MEI69" s="26"/>
      <c r="MEJ69" s="26"/>
      <c r="MEK69" s="26"/>
      <c r="MEL69" s="26"/>
      <c r="MEM69" s="26"/>
      <c r="MEN69" s="26"/>
      <c r="MEO69" s="26"/>
      <c r="MEP69" s="26"/>
      <c r="MEQ69" s="26"/>
      <c r="MER69" s="26"/>
      <c r="MES69" s="26"/>
      <c r="MET69" s="26"/>
      <c r="MEU69" s="26"/>
      <c r="MEV69" s="26"/>
      <c r="MEW69" s="26"/>
      <c r="MEX69" s="26"/>
      <c r="MEY69" s="26"/>
      <c r="MEZ69" s="26"/>
      <c r="MFA69" s="26"/>
      <c r="MFB69" s="26"/>
      <c r="MFC69" s="26"/>
      <c r="MFD69" s="26"/>
      <c r="MFE69" s="26"/>
      <c r="MFF69" s="26"/>
      <c r="MFG69" s="26"/>
      <c r="MFH69" s="26"/>
      <c r="MFI69" s="26"/>
      <c r="MFJ69" s="26"/>
      <c r="MFK69" s="26"/>
      <c r="MFL69" s="26"/>
      <c r="MFM69" s="26"/>
      <c r="MFN69" s="26"/>
      <c r="MFO69" s="26"/>
      <c r="MFP69" s="26"/>
      <c r="MFQ69" s="26"/>
      <c r="MFR69" s="26"/>
      <c r="MFS69" s="26"/>
      <c r="MFT69" s="26"/>
      <c r="MFU69" s="26"/>
      <c r="MFV69" s="26"/>
      <c r="MFW69" s="26"/>
      <c r="MFX69" s="26"/>
      <c r="MFY69" s="26"/>
      <c r="MFZ69" s="26"/>
      <c r="MGA69" s="26"/>
      <c r="MGB69" s="26"/>
      <c r="MGC69" s="26"/>
      <c r="MGD69" s="26"/>
      <c r="MGE69" s="26"/>
      <c r="MGF69" s="26"/>
      <c r="MGG69" s="26"/>
      <c r="MGH69" s="26"/>
      <c r="MGI69" s="26"/>
      <c r="MGJ69" s="26"/>
      <c r="MGK69" s="26"/>
      <c r="MGL69" s="26"/>
      <c r="MGM69" s="26"/>
      <c r="MGN69" s="26"/>
      <c r="MGO69" s="26"/>
      <c r="MGP69" s="26"/>
      <c r="MGQ69" s="26"/>
      <c r="MGR69" s="26"/>
      <c r="MGS69" s="26"/>
      <c r="MGT69" s="26"/>
      <c r="MGU69" s="26"/>
      <c r="MGV69" s="26"/>
      <c r="MGW69" s="26"/>
      <c r="MGX69" s="26"/>
      <c r="MGY69" s="26"/>
      <c r="MGZ69" s="26"/>
      <c r="MHA69" s="26"/>
      <c r="MHB69" s="26"/>
      <c r="MHC69" s="26"/>
      <c r="MHD69" s="26"/>
      <c r="MHE69" s="26"/>
      <c r="MHF69" s="26"/>
      <c r="MHG69" s="26"/>
      <c r="MHH69" s="26"/>
      <c r="MHI69" s="26"/>
      <c r="MHJ69" s="26"/>
      <c r="MHK69" s="26"/>
      <c r="MHL69" s="26"/>
      <c r="MHM69" s="26"/>
      <c r="MHN69" s="26"/>
      <c r="MHO69" s="26"/>
      <c r="MHP69" s="26"/>
      <c r="MHQ69" s="26"/>
      <c r="MHR69" s="26"/>
      <c r="MHS69" s="26"/>
      <c r="MHT69" s="26"/>
      <c r="MHU69" s="26"/>
      <c r="MHV69" s="26"/>
      <c r="MHW69" s="26"/>
      <c r="MHX69" s="26"/>
      <c r="MHY69" s="26"/>
      <c r="MHZ69" s="26"/>
      <c r="MIA69" s="26"/>
      <c r="MIB69" s="26"/>
      <c r="MIC69" s="26"/>
      <c r="MID69" s="26"/>
      <c r="MIE69" s="26"/>
      <c r="MIF69" s="26"/>
      <c r="MIG69" s="26"/>
      <c r="MIH69" s="26"/>
      <c r="MII69" s="26"/>
      <c r="MIJ69" s="26"/>
      <c r="MIK69" s="26"/>
      <c r="MIL69" s="26"/>
      <c r="MIM69" s="26"/>
      <c r="MIN69" s="26"/>
      <c r="MIO69" s="26"/>
      <c r="MIP69" s="26"/>
      <c r="MIQ69" s="26"/>
      <c r="MIR69" s="26"/>
      <c r="MIS69" s="26"/>
      <c r="MIT69" s="26"/>
      <c r="MIU69" s="26"/>
      <c r="MIV69" s="26"/>
      <c r="MIW69" s="26"/>
      <c r="MIX69" s="26"/>
      <c r="MIY69" s="26"/>
      <c r="MIZ69" s="26"/>
      <c r="MJA69" s="26"/>
      <c r="MJB69" s="26"/>
      <c r="MJC69" s="26"/>
      <c r="MJD69" s="26"/>
      <c r="MJE69" s="26"/>
      <c r="MJF69" s="26"/>
      <c r="MJG69" s="26"/>
      <c r="MJH69" s="26"/>
      <c r="MJI69" s="26"/>
      <c r="MJJ69" s="26"/>
      <c r="MJK69" s="26"/>
      <c r="MJL69" s="26"/>
      <c r="MJM69" s="26"/>
      <c r="MJN69" s="26"/>
      <c r="MJO69" s="26"/>
      <c r="MJP69" s="26"/>
      <c r="MJQ69" s="26"/>
      <c r="MJR69" s="26"/>
      <c r="MJS69" s="26"/>
      <c r="MJT69" s="26"/>
      <c r="MJU69" s="26"/>
      <c r="MJV69" s="26"/>
      <c r="MJW69" s="26"/>
      <c r="MJX69" s="26"/>
      <c r="MJY69" s="26"/>
      <c r="MJZ69" s="26"/>
      <c r="MKA69" s="26"/>
      <c r="MKB69" s="26"/>
      <c r="MKC69" s="26"/>
      <c r="MKD69" s="26"/>
      <c r="MKE69" s="26"/>
      <c r="MKF69" s="26"/>
      <c r="MKG69" s="26"/>
      <c r="MKH69" s="26"/>
      <c r="MKI69" s="26"/>
      <c r="MKJ69" s="26"/>
      <c r="MKK69" s="26"/>
      <c r="MKL69" s="26"/>
      <c r="MKM69" s="26"/>
      <c r="MKN69" s="26"/>
      <c r="MKO69" s="26"/>
      <c r="MKP69" s="26"/>
      <c r="MKQ69" s="26"/>
      <c r="MKR69" s="26"/>
      <c r="MKS69" s="26"/>
      <c r="MKT69" s="26"/>
      <c r="MKU69" s="26"/>
      <c r="MKV69" s="26"/>
      <c r="MKW69" s="26"/>
      <c r="MKX69" s="26"/>
      <c r="MKY69" s="26"/>
      <c r="MKZ69" s="26"/>
      <c r="MLA69" s="26"/>
      <c r="MLB69" s="26"/>
      <c r="MLC69" s="26"/>
      <c r="MLD69" s="26"/>
      <c r="MLE69" s="26"/>
      <c r="MLF69" s="26"/>
      <c r="MLG69" s="26"/>
      <c r="MLH69" s="26"/>
      <c r="MLI69" s="26"/>
      <c r="MLJ69" s="26"/>
      <c r="MLK69" s="26"/>
      <c r="MLL69" s="26"/>
      <c r="MLM69" s="26"/>
      <c r="MLN69" s="26"/>
      <c r="MLO69" s="26"/>
      <c r="MLP69" s="26"/>
      <c r="MLQ69" s="26"/>
      <c r="MLR69" s="26"/>
      <c r="MLS69" s="26"/>
      <c r="MLT69" s="26"/>
      <c r="MLU69" s="26"/>
      <c r="MLV69" s="26"/>
      <c r="MLW69" s="26"/>
      <c r="MLX69" s="26"/>
      <c r="MLY69" s="26"/>
      <c r="MLZ69" s="26"/>
      <c r="MMA69" s="26"/>
      <c r="MMB69" s="26"/>
      <c r="MMC69" s="26"/>
      <c r="MMD69" s="26"/>
      <c r="MME69" s="26"/>
      <c r="MMF69" s="26"/>
      <c r="MMG69" s="26"/>
      <c r="MMH69" s="26"/>
      <c r="MMI69" s="26"/>
      <c r="MMJ69" s="26"/>
      <c r="MMK69" s="26"/>
      <c r="MML69" s="26"/>
      <c r="MMM69" s="26"/>
      <c r="MMN69" s="26"/>
      <c r="MMO69" s="26"/>
      <c r="MMP69" s="26"/>
      <c r="MMQ69" s="26"/>
      <c r="MMR69" s="26"/>
      <c r="MMS69" s="26"/>
      <c r="MMT69" s="26"/>
      <c r="MMU69" s="26"/>
      <c r="MMV69" s="26"/>
      <c r="MMW69" s="26"/>
      <c r="MMX69" s="26"/>
      <c r="MMY69" s="26"/>
      <c r="MMZ69" s="26"/>
      <c r="MNA69" s="26"/>
      <c r="MNB69" s="26"/>
      <c r="MNC69" s="26"/>
      <c r="MND69" s="26"/>
      <c r="MNE69" s="26"/>
      <c r="MNF69" s="26"/>
      <c r="MNG69" s="26"/>
      <c r="MNH69" s="26"/>
      <c r="MNI69" s="26"/>
      <c r="MNJ69" s="26"/>
      <c r="MNK69" s="26"/>
      <c r="MNL69" s="26"/>
      <c r="MNM69" s="26"/>
      <c r="MNN69" s="26"/>
      <c r="MNO69" s="26"/>
      <c r="MNP69" s="26"/>
      <c r="MNQ69" s="26"/>
      <c r="MNR69" s="26"/>
      <c r="MNS69" s="26"/>
      <c r="MNT69" s="26"/>
      <c r="MNU69" s="26"/>
      <c r="MNV69" s="26"/>
      <c r="MNW69" s="26"/>
      <c r="MNX69" s="26"/>
      <c r="MNY69" s="26"/>
      <c r="MNZ69" s="26"/>
      <c r="MOA69" s="26"/>
      <c r="MOB69" s="26"/>
      <c r="MOC69" s="26"/>
      <c r="MOD69" s="26"/>
      <c r="MOE69" s="26"/>
      <c r="MOF69" s="26"/>
      <c r="MOG69" s="26"/>
      <c r="MOH69" s="26"/>
      <c r="MOI69" s="26"/>
      <c r="MOJ69" s="26"/>
      <c r="MOK69" s="26"/>
      <c r="MOL69" s="26"/>
      <c r="MOM69" s="26"/>
      <c r="MON69" s="26"/>
      <c r="MOO69" s="26"/>
      <c r="MOP69" s="26"/>
      <c r="MOQ69" s="26"/>
      <c r="MOR69" s="26"/>
      <c r="MOS69" s="26"/>
      <c r="MOT69" s="26"/>
      <c r="MOU69" s="26"/>
      <c r="MOV69" s="26"/>
      <c r="MOW69" s="26"/>
      <c r="MOX69" s="26"/>
      <c r="MOY69" s="26"/>
      <c r="MOZ69" s="26"/>
      <c r="MPA69" s="26"/>
      <c r="MPB69" s="26"/>
      <c r="MPC69" s="26"/>
      <c r="MPD69" s="26"/>
      <c r="MPE69" s="26"/>
      <c r="MPF69" s="26"/>
      <c r="MPG69" s="26"/>
      <c r="MPH69" s="26"/>
      <c r="MPI69" s="26"/>
      <c r="MPJ69" s="26"/>
      <c r="MPK69" s="26"/>
      <c r="MPL69" s="26"/>
      <c r="MPM69" s="26"/>
      <c r="MPN69" s="26"/>
      <c r="MPO69" s="26"/>
      <c r="MPP69" s="26"/>
      <c r="MPQ69" s="26"/>
      <c r="MPR69" s="26"/>
      <c r="MPS69" s="26"/>
      <c r="MPT69" s="26"/>
      <c r="MPU69" s="26"/>
      <c r="MPV69" s="26"/>
      <c r="MPW69" s="26"/>
      <c r="MPX69" s="26"/>
      <c r="MPY69" s="26"/>
      <c r="MPZ69" s="26"/>
      <c r="MQA69" s="26"/>
      <c r="MQB69" s="26"/>
      <c r="MQC69" s="26"/>
      <c r="MQD69" s="26"/>
      <c r="MQE69" s="26"/>
      <c r="MQF69" s="26"/>
      <c r="MQG69" s="26"/>
      <c r="MQH69" s="26"/>
      <c r="MQI69" s="26"/>
      <c r="MQJ69" s="26"/>
      <c r="MQK69" s="26"/>
      <c r="MQL69" s="26"/>
      <c r="MQM69" s="26"/>
      <c r="MQN69" s="26"/>
      <c r="MQO69" s="26"/>
      <c r="MQP69" s="26"/>
      <c r="MQQ69" s="26"/>
      <c r="MQR69" s="26"/>
      <c r="MQS69" s="26"/>
      <c r="MQT69" s="26"/>
      <c r="MQU69" s="26"/>
      <c r="MQV69" s="26"/>
      <c r="MQW69" s="26"/>
      <c r="MQX69" s="26"/>
      <c r="MQY69" s="26"/>
      <c r="MQZ69" s="26"/>
      <c r="MRA69" s="26"/>
      <c r="MRB69" s="26"/>
      <c r="MRC69" s="26"/>
      <c r="MRD69" s="26"/>
      <c r="MRE69" s="26"/>
      <c r="MRF69" s="26"/>
      <c r="MRG69" s="26"/>
      <c r="MRH69" s="26"/>
      <c r="MRI69" s="26"/>
      <c r="MRJ69" s="26"/>
      <c r="MRK69" s="26"/>
      <c r="MRL69" s="26"/>
      <c r="MRM69" s="26"/>
      <c r="MRN69" s="26"/>
      <c r="MRO69" s="26"/>
      <c r="MRP69" s="26"/>
      <c r="MRQ69" s="26"/>
      <c r="MRR69" s="26"/>
      <c r="MRS69" s="26"/>
      <c r="MRT69" s="26"/>
      <c r="MRU69" s="26"/>
      <c r="MRV69" s="26"/>
      <c r="MRW69" s="26"/>
      <c r="MRX69" s="26"/>
      <c r="MRY69" s="26"/>
      <c r="MRZ69" s="26"/>
      <c r="MSA69" s="26"/>
      <c r="MSB69" s="26"/>
      <c r="MSC69" s="26"/>
      <c r="MSD69" s="26"/>
      <c r="MSE69" s="26"/>
      <c r="MSF69" s="26"/>
      <c r="MSG69" s="26"/>
      <c r="MSH69" s="26"/>
      <c r="MSI69" s="26"/>
      <c r="MSJ69" s="26"/>
      <c r="MSK69" s="26"/>
      <c r="MSL69" s="26"/>
      <c r="MSM69" s="26"/>
      <c r="MSN69" s="26"/>
      <c r="MSO69" s="26"/>
      <c r="MSP69" s="26"/>
      <c r="MSQ69" s="26"/>
      <c r="MSR69" s="26"/>
      <c r="MSS69" s="26"/>
      <c r="MST69" s="26"/>
      <c r="MSU69" s="26"/>
      <c r="MSV69" s="26"/>
      <c r="MSW69" s="26"/>
      <c r="MSX69" s="26"/>
      <c r="MSY69" s="26"/>
      <c r="MSZ69" s="26"/>
      <c r="MTA69" s="26"/>
      <c r="MTB69" s="26"/>
      <c r="MTC69" s="26"/>
      <c r="MTD69" s="26"/>
      <c r="MTE69" s="26"/>
      <c r="MTF69" s="26"/>
      <c r="MTG69" s="26"/>
      <c r="MTH69" s="26"/>
      <c r="MTI69" s="26"/>
      <c r="MTJ69" s="26"/>
      <c r="MTK69" s="26"/>
      <c r="MTL69" s="26"/>
      <c r="MTM69" s="26"/>
      <c r="MTN69" s="26"/>
      <c r="MTO69" s="26"/>
      <c r="MTP69" s="26"/>
      <c r="MTQ69" s="26"/>
      <c r="MTR69" s="26"/>
      <c r="MTS69" s="26"/>
      <c r="MTT69" s="26"/>
      <c r="MTU69" s="26"/>
      <c r="MTV69" s="26"/>
      <c r="MTW69" s="26"/>
      <c r="MTX69" s="26"/>
      <c r="MTY69" s="26"/>
      <c r="MTZ69" s="26"/>
      <c r="MUA69" s="26"/>
      <c r="MUB69" s="26"/>
      <c r="MUC69" s="26"/>
      <c r="MUD69" s="26"/>
      <c r="MUE69" s="26"/>
      <c r="MUF69" s="26"/>
      <c r="MUG69" s="26"/>
      <c r="MUH69" s="26"/>
      <c r="MUI69" s="26"/>
      <c r="MUJ69" s="26"/>
      <c r="MUK69" s="26"/>
      <c r="MUL69" s="26"/>
      <c r="MUM69" s="26"/>
      <c r="MUN69" s="26"/>
      <c r="MUO69" s="26"/>
      <c r="MUP69" s="26"/>
      <c r="MUQ69" s="26"/>
      <c r="MUR69" s="26"/>
      <c r="MUS69" s="26"/>
      <c r="MUT69" s="26"/>
      <c r="MUU69" s="26"/>
      <c r="MUV69" s="26"/>
      <c r="MUW69" s="26"/>
      <c r="MUX69" s="26"/>
      <c r="MUY69" s="26"/>
      <c r="MUZ69" s="26"/>
      <c r="MVA69" s="26"/>
      <c r="MVB69" s="26"/>
      <c r="MVC69" s="26"/>
      <c r="MVD69" s="26"/>
      <c r="MVE69" s="26"/>
      <c r="MVF69" s="26"/>
      <c r="MVG69" s="26"/>
      <c r="MVH69" s="26"/>
      <c r="MVI69" s="26"/>
      <c r="MVJ69" s="26"/>
      <c r="MVK69" s="26"/>
      <c r="MVL69" s="26"/>
      <c r="MVM69" s="26"/>
      <c r="MVN69" s="26"/>
      <c r="MVO69" s="26"/>
      <c r="MVP69" s="26"/>
      <c r="MVQ69" s="26"/>
      <c r="MVR69" s="26"/>
      <c r="MVS69" s="26"/>
      <c r="MVT69" s="26"/>
      <c r="MVU69" s="26"/>
      <c r="MVV69" s="26"/>
      <c r="MVW69" s="26"/>
      <c r="MVX69" s="26"/>
      <c r="MVY69" s="26"/>
      <c r="MVZ69" s="26"/>
      <c r="MWA69" s="26"/>
      <c r="MWB69" s="26"/>
      <c r="MWC69" s="26"/>
      <c r="MWD69" s="26"/>
      <c r="MWE69" s="26"/>
      <c r="MWF69" s="26"/>
      <c r="MWG69" s="26"/>
      <c r="MWH69" s="26"/>
      <c r="MWI69" s="26"/>
      <c r="MWJ69" s="26"/>
      <c r="MWK69" s="26"/>
      <c r="MWL69" s="26"/>
      <c r="MWM69" s="26"/>
      <c r="MWN69" s="26"/>
      <c r="MWO69" s="26"/>
      <c r="MWP69" s="26"/>
      <c r="MWQ69" s="26"/>
      <c r="MWR69" s="26"/>
      <c r="MWS69" s="26"/>
      <c r="MWT69" s="26"/>
      <c r="MWU69" s="26"/>
      <c r="MWV69" s="26"/>
      <c r="MWW69" s="26"/>
      <c r="MWX69" s="26"/>
      <c r="MWY69" s="26"/>
      <c r="MWZ69" s="26"/>
      <c r="MXA69" s="26"/>
      <c r="MXB69" s="26"/>
      <c r="MXC69" s="26"/>
      <c r="MXD69" s="26"/>
      <c r="MXE69" s="26"/>
      <c r="MXF69" s="26"/>
      <c r="MXG69" s="26"/>
      <c r="MXH69" s="26"/>
      <c r="MXI69" s="26"/>
      <c r="MXJ69" s="26"/>
      <c r="MXK69" s="26"/>
      <c r="MXL69" s="26"/>
      <c r="MXM69" s="26"/>
      <c r="MXN69" s="26"/>
      <c r="MXO69" s="26"/>
      <c r="MXP69" s="26"/>
      <c r="MXQ69" s="26"/>
      <c r="MXR69" s="26"/>
      <c r="MXS69" s="26"/>
      <c r="MXT69" s="26"/>
      <c r="MXU69" s="26"/>
      <c r="MXV69" s="26"/>
      <c r="MXW69" s="26"/>
      <c r="MXX69" s="26"/>
      <c r="MXY69" s="26"/>
      <c r="MXZ69" s="26"/>
      <c r="MYA69" s="26"/>
      <c r="MYB69" s="26"/>
      <c r="MYC69" s="26"/>
      <c r="MYD69" s="26"/>
      <c r="MYE69" s="26"/>
      <c r="MYF69" s="26"/>
      <c r="MYG69" s="26"/>
      <c r="MYH69" s="26"/>
      <c r="MYI69" s="26"/>
      <c r="MYJ69" s="26"/>
      <c r="MYK69" s="26"/>
      <c r="MYL69" s="26"/>
      <c r="MYM69" s="26"/>
      <c r="MYN69" s="26"/>
      <c r="MYO69" s="26"/>
      <c r="MYP69" s="26"/>
      <c r="MYQ69" s="26"/>
      <c r="MYR69" s="26"/>
      <c r="MYS69" s="26"/>
      <c r="MYT69" s="26"/>
      <c r="MYU69" s="26"/>
      <c r="MYV69" s="26"/>
      <c r="MYW69" s="26"/>
      <c r="MYX69" s="26"/>
      <c r="MYY69" s="26"/>
      <c r="MYZ69" s="26"/>
      <c r="MZA69" s="26"/>
      <c r="MZB69" s="26"/>
      <c r="MZC69" s="26"/>
      <c r="MZD69" s="26"/>
      <c r="MZE69" s="26"/>
      <c r="MZF69" s="26"/>
      <c r="MZG69" s="26"/>
      <c r="MZH69" s="26"/>
      <c r="MZI69" s="26"/>
      <c r="MZJ69" s="26"/>
      <c r="MZK69" s="26"/>
      <c r="MZL69" s="26"/>
      <c r="MZM69" s="26"/>
      <c r="MZN69" s="26"/>
      <c r="MZO69" s="26"/>
      <c r="MZP69" s="26"/>
      <c r="MZQ69" s="26"/>
      <c r="MZR69" s="26"/>
      <c r="MZS69" s="26"/>
      <c r="MZT69" s="26"/>
      <c r="MZU69" s="26"/>
      <c r="MZV69" s="26"/>
      <c r="MZW69" s="26"/>
      <c r="MZX69" s="26"/>
      <c r="MZY69" s="26"/>
      <c r="MZZ69" s="26"/>
      <c r="NAA69" s="26"/>
      <c r="NAB69" s="26"/>
      <c r="NAC69" s="26"/>
      <c r="NAD69" s="26"/>
      <c r="NAE69" s="26"/>
      <c r="NAF69" s="26"/>
      <c r="NAG69" s="26"/>
      <c r="NAH69" s="26"/>
      <c r="NAI69" s="26"/>
      <c r="NAJ69" s="26"/>
      <c r="NAK69" s="26"/>
      <c r="NAL69" s="26"/>
      <c r="NAM69" s="26"/>
      <c r="NAN69" s="26"/>
      <c r="NAO69" s="26"/>
      <c r="NAP69" s="26"/>
      <c r="NAQ69" s="26"/>
      <c r="NAR69" s="26"/>
      <c r="NAS69" s="26"/>
      <c r="NAT69" s="26"/>
      <c r="NAU69" s="26"/>
      <c r="NAV69" s="26"/>
      <c r="NAW69" s="26"/>
      <c r="NAX69" s="26"/>
      <c r="NAY69" s="26"/>
      <c r="NAZ69" s="26"/>
      <c r="NBA69" s="26"/>
      <c r="NBB69" s="26"/>
      <c r="NBC69" s="26"/>
      <c r="NBD69" s="26"/>
      <c r="NBE69" s="26"/>
      <c r="NBF69" s="26"/>
      <c r="NBG69" s="26"/>
      <c r="NBH69" s="26"/>
      <c r="NBI69" s="26"/>
      <c r="NBJ69" s="26"/>
      <c r="NBK69" s="26"/>
      <c r="NBL69" s="26"/>
      <c r="NBM69" s="26"/>
      <c r="NBN69" s="26"/>
      <c r="NBO69" s="26"/>
      <c r="NBP69" s="26"/>
      <c r="NBQ69" s="26"/>
      <c r="NBR69" s="26"/>
      <c r="NBS69" s="26"/>
      <c r="NBT69" s="26"/>
      <c r="NBU69" s="26"/>
      <c r="NBV69" s="26"/>
      <c r="NBW69" s="26"/>
      <c r="NBX69" s="26"/>
      <c r="NBY69" s="26"/>
      <c r="NBZ69" s="26"/>
      <c r="NCA69" s="26"/>
      <c r="NCB69" s="26"/>
      <c r="NCC69" s="26"/>
      <c r="NCD69" s="26"/>
      <c r="NCE69" s="26"/>
      <c r="NCF69" s="26"/>
      <c r="NCG69" s="26"/>
      <c r="NCH69" s="26"/>
      <c r="NCI69" s="26"/>
      <c r="NCJ69" s="26"/>
      <c r="NCK69" s="26"/>
      <c r="NCL69" s="26"/>
      <c r="NCM69" s="26"/>
      <c r="NCN69" s="26"/>
      <c r="NCO69" s="26"/>
      <c r="NCP69" s="26"/>
      <c r="NCQ69" s="26"/>
      <c r="NCR69" s="26"/>
      <c r="NCS69" s="26"/>
      <c r="NCT69" s="26"/>
      <c r="NCU69" s="26"/>
      <c r="NCV69" s="26"/>
      <c r="NCW69" s="26"/>
      <c r="NCX69" s="26"/>
      <c r="NCY69" s="26"/>
      <c r="NCZ69" s="26"/>
      <c r="NDA69" s="26"/>
      <c r="NDB69" s="26"/>
      <c r="NDC69" s="26"/>
      <c r="NDD69" s="26"/>
      <c r="NDE69" s="26"/>
      <c r="NDF69" s="26"/>
      <c r="NDG69" s="26"/>
      <c r="NDH69" s="26"/>
      <c r="NDI69" s="26"/>
      <c r="NDJ69" s="26"/>
      <c r="NDK69" s="26"/>
      <c r="NDL69" s="26"/>
      <c r="NDM69" s="26"/>
      <c r="NDN69" s="26"/>
      <c r="NDO69" s="26"/>
      <c r="NDP69" s="26"/>
      <c r="NDQ69" s="26"/>
      <c r="NDR69" s="26"/>
      <c r="NDS69" s="26"/>
      <c r="NDT69" s="26"/>
      <c r="NDU69" s="26"/>
      <c r="NDV69" s="26"/>
      <c r="NDW69" s="26"/>
      <c r="NDX69" s="26"/>
      <c r="NDY69" s="26"/>
      <c r="NDZ69" s="26"/>
      <c r="NEA69" s="26"/>
      <c r="NEB69" s="26"/>
      <c r="NEC69" s="26"/>
      <c r="NED69" s="26"/>
      <c r="NEE69" s="26"/>
      <c r="NEF69" s="26"/>
      <c r="NEG69" s="26"/>
      <c r="NEH69" s="26"/>
      <c r="NEI69" s="26"/>
      <c r="NEJ69" s="26"/>
      <c r="NEK69" s="26"/>
      <c r="NEL69" s="26"/>
      <c r="NEM69" s="26"/>
      <c r="NEN69" s="26"/>
      <c r="NEO69" s="26"/>
      <c r="NEP69" s="26"/>
      <c r="NEQ69" s="26"/>
      <c r="NER69" s="26"/>
      <c r="NES69" s="26"/>
      <c r="NET69" s="26"/>
      <c r="NEU69" s="26"/>
      <c r="NEV69" s="26"/>
      <c r="NEW69" s="26"/>
      <c r="NEX69" s="26"/>
      <c r="NEY69" s="26"/>
      <c r="NEZ69" s="26"/>
      <c r="NFA69" s="26"/>
      <c r="NFB69" s="26"/>
      <c r="NFC69" s="26"/>
      <c r="NFD69" s="26"/>
      <c r="NFE69" s="26"/>
      <c r="NFF69" s="26"/>
      <c r="NFG69" s="26"/>
      <c r="NFH69" s="26"/>
      <c r="NFI69" s="26"/>
      <c r="NFJ69" s="26"/>
      <c r="NFK69" s="26"/>
      <c r="NFL69" s="26"/>
      <c r="NFM69" s="26"/>
      <c r="NFN69" s="26"/>
      <c r="NFO69" s="26"/>
      <c r="NFP69" s="26"/>
      <c r="NFQ69" s="26"/>
      <c r="NFR69" s="26"/>
      <c r="NFS69" s="26"/>
      <c r="NFT69" s="26"/>
      <c r="NFU69" s="26"/>
      <c r="NFV69" s="26"/>
      <c r="NFW69" s="26"/>
      <c r="NFX69" s="26"/>
      <c r="NFY69" s="26"/>
      <c r="NFZ69" s="26"/>
      <c r="NGA69" s="26"/>
      <c r="NGB69" s="26"/>
      <c r="NGC69" s="26"/>
      <c r="NGD69" s="26"/>
      <c r="NGE69" s="26"/>
      <c r="NGF69" s="26"/>
      <c r="NGG69" s="26"/>
      <c r="NGH69" s="26"/>
      <c r="NGI69" s="26"/>
      <c r="NGJ69" s="26"/>
      <c r="NGK69" s="26"/>
      <c r="NGL69" s="26"/>
      <c r="NGM69" s="26"/>
      <c r="NGN69" s="26"/>
      <c r="NGO69" s="26"/>
      <c r="NGP69" s="26"/>
      <c r="NGQ69" s="26"/>
      <c r="NGR69" s="26"/>
      <c r="NGS69" s="26"/>
      <c r="NGT69" s="26"/>
      <c r="NGU69" s="26"/>
      <c r="NGV69" s="26"/>
      <c r="NGW69" s="26"/>
      <c r="NGX69" s="26"/>
      <c r="NGY69" s="26"/>
      <c r="NGZ69" s="26"/>
      <c r="NHA69" s="26"/>
      <c r="NHB69" s="26"/>
      <c r="NHC69" s="26"/>
      <c r="NHD69" s="26"/>
      <c r="NHE69" s="26"/>
      <c r="NHF69" s="26"/>
      <c r="NHG69" s="26"/>
      <c r="NHH69" s="26"/>
      <c r="NHI69" s="26"/>
      <c r="NHJ69" s="26"/>
      <c r="NHK69" s="26"/>
      <c r="NHL69" s="26"/>
      <c r="NHM69" s="26"/>
      <c r="NHN69" s="26"/>
      <c r="NHO69" s="26"/>
      <c r="NHP69" s="26"/>
      <c r="NHQ69" s="26"/>
      <c r="NHR69" s="26"/>
      <c r="NHS69" s="26"/>
      <c r="NHT69" s="26"/>
      <c r="NHU69" s="26"/>
      <c r="NHV69" s="26"/>
      <c r="NHW69" s="26"/>
      <c r="NHX69" s="26"/>
      <c r="NHY69" s="26"/>
      <c r="NHZ69" s="26"/>
      <c r="NIA69" s="26"/>
      <c r="NIB69" s="26"/>
      <c r="NIC69" s="26"/>
      <c r="NID69" s="26"/>
      <c r="NIE69" s="26"/>
      <c r="NIF69" s="26"/>
      <c r="NIG69" s="26"/>
      <c r="NIH69" s="26"/>
      <c r="NII69" s="26"/>
      <c r="NIJ69" s="26"/>
      <c r="NIK69" s="26"/>
      <c r="NIL69" s="26"/>
      <c r="NIM69" s="26"/>
      <c r="NIN69" s="26"/>
      <c r="NIO69" s="26"/>
      <c r="NIP69" s="26"/>
      <c r="NIQ69" s="26"/>
      <c r="NIR69" s="26"/>
      <c r="NIS69" s="26"/>
      <c r="NIT69" s="26"/>
      <c r="NIU69" s="26"/>
      <c r="NIV69" s="26"/>
      <c r="NIW69" s="26"/>
      <c r="NIX69" s="26"/>
      <c r="NIY69" s="26"/>
      <c r="NIZ69" s="26"/>
      <c r="NJA69" s="26"/>
      <c r="NJB69" s="26"/>
      <c r="NJC69" s="26"/>
      <c r="NJD69" s="26"/>
      <c r="NJE69" s="26"/>
      <c r="NJF69" s="26"/>
      <c r="NJG69" s="26"/>
      <c r="NJH69" s="26"/>
      <c r="NJI69" s="26"/>
      <c r="NJJ69" s="26"/>
      <c r="NJK69" s="26"/>
      <c r="NJL69" s="26"/>
      <c r="NJM69" s="26"/>
      <c r="NJN69" s="26"/>
      <c r="NJO69" s="26"/>
      <c r="NJP69" s="26"/>
      <c r="NJQ69" s="26"/>
      <c r="NJR69" s="26"/>
      <c r="NJS69" s="26"/>
      <c r="NJT69" s="26"/>
      <c r="NJU69" s="26"/>
      <c r="NJV69" s="26"/>
      <c r="NJW69" s="26"/>
      <c r="NJX69" s="26"/>
      <c r="NJY69" s="26"/>
      <c r="NJZ69" s="26"/>
      <c r="NKA69" s="26"/>
      <c r="NKB69" s="26"/>
      <c r="NKC69" s="26"/>
      <c r="NKD69" s="26"/>
      <c r="NKE69" s="26"/>
      <c r="NKF69" s="26"/>
      <c r="NKG69" s="26"/>
      <c r="NKH69" s="26"/>
      <c r="NKI69" s="26"/>
      <c r="NKJ69" s="26"/>
      <c r="NKK69" s="26"/>
      <c r="NKL69" s="26"/>
      <c r="NKM69" s="26"/>
      <c r="NKN69" s="26"/>
      <c r="NKO69" s="26"/>
      <c r="NKP69" s="26"/>
      <c r="NKQ69" s="26"/>
      <c r="NKR69" s="26"/>
      <c r="NKS69" s="26"/>
      <c r="NKT69" s="26"/>
      <c r="NKU69" s="26"/>
      <c r="NKV69" s="26"/>
      <c r="NKW69" s="26"/>
      <c r="NKX69" s="26"/>
      <c r="NKY69" s="26"/>
      <c r="NKZ69" s="26"/>
      <c r="NLA69" s="26"/>
      <c r="NLB69" s="26"/>
      <c r="NLC69" s="26"/>
      <c r="NLD69" s="26"/>
      <c r="NLE69" s="26"/>
      <c r="NLF69" s="26"/>
      <c r="NLG69" s="26"/>
      <c r="NLH69" s="26"/>
      <c r="NLI69" s="26"/>
      <c r="NLJ69" s="26"/>
      <c r="NLK69" s="26"/>
      <c r="NLL69" s="26"/>
      <c r="NLM69" s="26"/>
      <c r="NLN69" s="26"/>
      <c r="NLO69" s="26"/>
      <c r="NLP69" s="26"/>
      <c r="NLQ69" s="26"/>
      <c r="NLR69" s="26"/>
      <c r="NLS69" s="26"/>
      <c r="NLT69" s="26"/>
      <c r="NLU69" s="26"/>
      <c r="NLV69" s="26"/>
      <c r="NLW69" s="26"/>
      <c r="NLX69" s="26"/>
      <c r="NLY69" s="26"/>
      <c r="NLZ69" s="26"/>
      <c r="NMA69" s="26"/>
      <c r="NMB69" s="26"/>
      <c r="NMC69" s="26"/>
      <c r="NMD69" s="26"/>
      <c r="NME69" s="26"/>
      <c r="NMF69" s="26"/>
      <c r="NMG69" s="26"/>
      <c r="NMH69" s="26"/>
      <c r="NMI69" s="26"/>
      <c r="NMJ69" s="26"/>
      <c r="NMK69" s="26"/>
      <c r="NML69" s="26"/>
      <c r="NMM69" s="26"/>
      <c r="NMN69" s="26"/>
      <c r="NMO69" s="26"/>
      <c r="NMP69" s="26"/>
      <c r="NMQ69" s="26"/>
      <c r="NMR69" s="26"/>
      <c r="NMS69" s="26"/>
      <c r="NMT69" s="26"/>
      <c r="NMU69" s="26"/>
      <c r="NMV69" s="26"/>
      <c r="NMW69" s="26"/>
      <c r="NMX69" s="26"/>
      <c r="NMY69" s="26"/>
      <c r="NMZ69" s="26"/>
      <c r="NNA69" s="26"/>
      <c r="NNB69" s="26"/>
      <c r="NNC69" s="26"/>
      <c r="NND69" s="26"/>
      <c r="NNE69" s="26"/>
      <c r="NNF69" s="26"/>
      <c r="NNG69" s="26"/>
      <c r="NNH69" s="26"/>
      <c r="NNI69" s="26"/>
      <c r="NNJ69" s="26"/>
      <c r="NNK69" s="26"/>
      <c r="NNL69" s="26"/>
      <c r="NNM69" s="26"/>
      <c r="NNN69" s="26"/>
      <c r="NNO69" s="26"/>
      <c r="NNP69" s="26"/>
      <c r="NNQ69" s="26"/>
      <c r="NNR69" s="26"/>
      <c r="NNS69" s="26"/>
      <c r="NNT69" s="26"/>
      <c r="NNU69" s="26"/>
      <c r="NNV69" s="26"/>
      <c r="NNW69" s="26"/>
      <c r="NNX69" s="26"/>
      <c r="NNY69" s="26"/>
      <c r="NNZ69" s="26"/>
      <c r="NOA69" s="26"/>
      <c r="NOB69" s="26"/>
      <c r="NOC69" s="26"/>
      <c r="NOD69" s="26"/>
      <c r="NOE69" s="26"/>
      <c r="NOF69" s="26"/>
      <c r="NOG69" s="26"/>
      <c r="NOH69" s="26"/>
      <c r="NOI69" s="26"/>
      <c r="NOJ69" s="26"/>
      <c r="NOK69" s="26"/>
      <c r="NOL69" s="26"/>
      <c r="NOM69" s="26"/>
      <c r="NON69" s="26"/>
      <c r="NOO69" s="26"/>
      <c r="NOP69" s="26"/>
      <c r="NOQ69" s="26"/>
      <c r="NOR69" s="26"/>
      <c r="NOS69" s="26"/>
      <c r="NOT69" s="26"/>
      <c r="NOU69" s="26"/>
      <c r="NOV69" s="26"/>
      <c r="NOW69" s="26"/>
      <c r="NOX69" s="26"/>
      <c r="NOY69" s="26"/>
      <c r="NOZ69" s="26"/>
      <c r="NPA69" s="26"/>
      <c r="NPB69" s="26"/>
      <c r="NPC69" s="26"/>
      <c r="NPD69" s="26"/>
      <c r="NPE69" s="26"/>
      <c r="NPF69" s="26"/>
      <c r="NPG69" s="26"/>
      <c r="NPH69" s="26"/>
      <c r="NPI69" s="26"/>
      <c r="NPJ69" s="26"/>
      <c r="NPK69" s="26"/>
      <c r="NPL69" s="26"/>
      <c r="NPM69" s="26"/>
      <c r="NPN69" s="26"/>
      <c r="NPO69" s="26"/>
      <c r="NPP69" s="26"/>
      <c r="NPQ69" s="26"/>
      <c r="NPR69" s="26"/>
      <c r="NPS69" s="26"/>
      <c r="NPT69" s="26"/>
      <c r="NPU69" s="26"/>
      <c r="NPV69" s="26"/>
      <c r="NPW69" s="26"/>
      <c r="NPX69" s="26"/>
      <c r="NPY69" s="26"/>
      <c r="NPZ69" s="26"/>
      <c r="NQA69" s="26"/>
      <c r="NQB69" s="26"/>
      <c r="NQC69" s="26"/>
      <c r="NQD69" s="26"/>
      <c r="NQE69" s="26"/>
      <c r="NQF69" s="26"/>
      <c r="NQG69" s="26"/>
      <c r="NQH69" s="26"/>
      <c r="NQI69" s="26"/>
      <c r="NQJ69" s="26"/>
      <c r="NQK69" s="26"/>
      <c r="NQL69" s="26"/>
      <c r="NQM69" s="26"/>
      <c r="NQN69" s="26"/>
      <c r="NQO69" s="26"/>
      <c r="NQP69" s="26"/>
      <c r="NQQ69" s="26"/>
      <c r="NQR69" s="26"/>
      <c r="NQS69" s="26"/>
      <c r="NQT69" s="26"/>
      <c r="NQU69" s="26"/>
      <c r="NQV69" s="26"/>
      <c r="NQW69" s="26"/>
      <c r="NQX69" s="26"/>
      <c r="NQY69" s="26"/>
      <c r="NQZ69" s="26"/>
      <c r="NRA69" s="26"/>
      <c r="NRB69" s="26"/>
      <c r="NRC69" s="26"/>
      <c r="NRD69" s="26"/>
      <c r="NRE69" s="26"/>
      <c r="NRF69" s="26"/>
      <c r="NRG69" s="26"/>
      <c r="NRH69" s="26"/>
      <c r="NRI69" s="26"/>
      <c r="NRJ69" s="26"/>
      <c r="NRK69" s="26"/>
      <c r="NRL69" s="26"/>
      <c r="NRM69" s="26"/>
      <c r="NRN69" s="26"/>
      <c r="NRO69" s="26"/>
      <c r="NRP69" s="26"/>
      <c r="NRQ69" s="26"/>
      <c r="NRR69" s="26"/>
      <c r="NRS69" s="26"/>
      <c r="NRT69" s="26"/>
      <c r="NRU69" s="26"/>
      <c r="NRV69" s="26"/>
      <c r="NRW69" s="26"/>
      <c r="NRX69" s="26"/>
      <c r="NRY69" s="26"/>
      <c r="NRZ69" s="26"/>
      <c r="NSA69" s="26"/>
      <c r="NSB69" s="26"/>
      <c r="NSC69" s="26"/>
      <c r="NSD69" s="26"/>
      <c r="NSE69" s="26"/>
      <c r="NSF69" s="26"/>
      <c r="NSG69" s="26"/>
      <c r="NSH69" s="26"/>
      <c r="NSI69" s="26"/>
      <c r="NSJ69" s="26"/>
      <c r="NSK69" s="26"/>
      <c r="NSL69" s="26"/>
      <c r="NSM69" s="26"/>
      <c r="NSN69" s="26"/>
      <c r="NSO69" s="26"/>
      <c r="NSP69" s="26"/>
      <c r="NSQ69" s="26"/>
      <c r="NSR69" s="26"/>
      <c r="NSS69" s="26"/>
      <c r="NST69" s="26"/>
      <c r="NSU69" s="26"/>
      <c r="NSV69" s="26"/>
      <c r="NSW69" s="26"/>
      <c r="NSX69" s="26"/>
      <c r="NSY69" s="26"/>
      <c r="NSZ69" s="26"/>
      <c r="NTA69" s="26"/>
      <c r="NTB69" s="26"/>
      <c r="NTC69" s="26"/>
      <c r="NTD69" s="26"/>
      <c r="NTE69" s="26"/>
      <c r="NTF69" s="26"/>
      <c r="NTG69" s="26"/>
      <c r="NTH69" s="26"/>
      <c r="NTI69" s="26"/>
      <c r="NTJ69" s="26"/>
      <c r="NTK69" s="26"/>
      <c r="NTL69" s="26"/>
      <c r="NTM69" s="26"/>
      <c r="NTN69" s="26"/>
      <c r="NTO69" s="26"/>
      <c r="NTP69" s="26"/>
      <c r="NTQ69" s="26"/>
      <c r="NTR69" s="26"/>
      <c r="NTS69" s="26"/>
      <c r="NTT69" s="26"/>
      <c r="NTU69" s="26"/>
      <c r="NTV69" s="26"/>
      <c r="NTW69" s="26"/>
      <c r="NTX69" s="26"/>
      <c r="NTY69" s="26"/>
      <c r="NTZ69" s="26"/>
      <c r="NUA69" s="26"/>
      <c r="NUB69" s="26"/>
      <c r="NUC69" s="26"/>
      <c r="NUD69" s="26"/>
      <c r="NUE69" s="26"/>
      <c r="NUF69" s="26"/>
      <c r="NUG69" s="26"/>
      <c r="NUH69" s="26"/>
      <c r="NUI69" s="26"/>
      <c r="NUJ69" s="26"/>
      <c r="NUK69" s="26"/>
      <c r="NUL69" s="26"/>
      <c r="NUM69" s="26"/>
      <c r="NUN69" s="26"/>
      <c r="NUO69" s="26"/>
      <c r="NUP69" s="26"/>
      <c r="NUQ69" s="26"/>
      <c r="NUR69" s="26"/>
      <c r="NUS69" s="26"/>
      <c r="NUT69" s="26"/>
      <c r="NUU69" s="26"/>
      <c r="NUV69" s="26"/>
      <c r="NUW69" s="26"/>
      <c r="NUX69" s="26"/>
      <c r="NUY69" s="26"/>
      <c r="NUZ69" s="26"/>
      <c r="NVA69" s="26"/>
      <c r="NVB69" s="26"/>
      <c r="NVC69" s="26"/>
      <c r="NVD69" s="26"/>
      <c r="NVE69" s="26"/>
      <c r="NVF69" s="26"/>
      <c r="NVG69" s="26"/>
      <c r="NVH69" s="26"/>
      <c r="NVI69" s="26"/>
      <c r="NVJ69" s="26"/>
      <c r="NVK69" s="26"/>
      <c r="NVL69" s="26"/>
      <c r="NVM69" s="26"/>
      <c r="NVN69" s="26"/>
      <c r="NVO69" s="26"/>
      <c r="NVP69" s="26"/>
      <c r="NVQ69" s="26"/>
      <c r="NVR69" s="26"/>
      <c r="NVS69" s="26"/>
      <c r="NVT69" s="26"/>
      <c r="NVU69" s="26"/>
      <c r="NVV69" s="26"/>
      <c r="NVW69" s="26"/>
      <c r="NVX69" s="26"/>
      <c r="NVY69" s="26"/>
      <c r="NVZ69" s="26"/>
      <c r="NWA69" s="26"/>
      <c r="NWB69" s="26"/>
      <c r="NWC69" s="26"/>
      <c r="NWD69" s="26"/>
      <c r="NWE69" s="26"/>
      <c r="NWF69" s="26"/>
      <c r="NWG69" s="26"/>
      <c r="NWH69" s="26"/>
      <c r="NWI69" s="26"/>
      <c r="NWJ69" s="26"/>
      <c r="NWK69" s="26"/>
      <c r="NWL69" s="26"/>
      <c r="NWM69" s="26"/>
      <c r="NWN69" s="26"/>
      <c r="NWO69" s="26"/>
      <c r="NWP69" s="26"/>
      <c r="NWQ69" s="26"/>
      <c r="NWR69" s="26"/>
      <c r="NWS69" s="26"/>
      <c r="NWT69" s="26"/>
      <c r="NWU69" s="26"/>
      <c r="NWV69" s="26"/>
      <c r="NWW69" s="26"/>
      <c r="NWX69" s="26"/>
      <c r="NWY69" s="26"/>
      <c r="NWZ69" s="26"/>
      <c r="NXA69" s="26"/>
      <c r="NXB69" s="26"/>
      <c r="NXC69" s="26"/>
      <c r="NXD69" s="26"/>
      <c r="NXE69" s="26"/>
      <c r="NXF69" s="26"/>
      <c r="NXG69" s="26"/>
      <c r="NXH69" s="26"/>
      <c r="NXI69" s="26"/>
      <c r="NXJ69" s="26"/>
      <c r="NXK69" s="26"/>
      <c r="NXL69" s="26"/>
      <c r="NXM69" s="26"/>
      <c r="NXN69" s="26"/>
      <c r="NXO69" s="26"/>
      <c r="NXP69" s="26"/>
      <c r="NXQ69" s="26"/>
      <c r="NXR69" s="26"/>
      <c r="NXS69" s="26"/>
      <c r="NXT69" s="26"/>
      <c r="NXU69" s="26"/>
      <c r="NXV69" s="26"/>
      <c r="NXW69" s="26"/>
      <c r="NXX69" s="26"/>
      <c r="NXY69" s="26"/>
      <c r="NXZ69" s="26"/>
      <c r="NYA69" s="26"/>
      <c r="NYB69" s="26"/>
      <c r="NYC69" s="26"/>
      <c r="NYD69" s="26"/>
      <c r="NYE69" s="26"/>
      <c r="NYF69" s="26"/>
      <c r="NYG69" s="26"/>
      <c r="NYH69" s="26"/>
      <c r="NYI69" s="26"/>
      <c r="NYJ69" s="26"/>
      <c r="NYK69" s="26"/>
      <c r="NYL69" s="26"/>
      <c r="NYM69" s="26"/>
      <c r="NYN69" s="26"/>
      <c r="NYO69" s="26"/>
      <c r="NYP69" s="26"/>
      <c r="NYQ69" s="26"/>
      <c r="NYR69" s="26"/>
      <c r="NYS69" s="26"/>
      <c r="NYT69" s="26"/>
      <c r="NYU69" s="26"/>
      <c r="NYV69" s="26"/>
      <c r="NYW69" s="26"/>
      <c r="NYX69" s="26"/>
      <c r="NYY69" s="26"/>
      <c r="NYZ69" s="26"/>
      <c r="NZA69" s="26"/>
      <c r="NZB69" s="26"/>
      <c r="NZC69" s="26"/>
      <c r="NZD69" s="26"/>
      <c r="NZE69" s="26"/>
      <c r="NZF69" s="26"/>
      <c r="NZG69" s="26"/>
      <c r="NZH69" s="26"/>
      <c r="NZI69" s="26"/>
      <c r="NZJ69" s="26"/>
      <c r="NZK69" s="26"/>
      <c r="NZL69" s="26"/>
      <c r="NZM69" s="26"/>
      <c r="NZN69" s="26"/>
      <c r="NZO69" s="26"/>
      <c r="NZP69" s="26"/>
      <c r="NZQ69" s="26"/>
      <c r="NZR69" s="26"/>
      <c r="NZS69" s="26"/>
      <c r="NZT69" s="26"/>
      <c r="NZU69" s="26"/>
      <c r="NZV69" s="26"/>
      <c r="NZW69" s="26"/>
      <c r="NZX69" s="26"/>
      <c r="NZY69" s="26"/>
      <c r="NZZ69" s="26"/>
      <c r="OAA69" s="26"/>
      <c r="OAB69" s="26"/>
      <c r="OAC69" s="26"/>
      <c r="OAD69" s="26"/>
      <c r="OAE69" s="26"/>
      <c r="OAF69" s="26"/>
      <c r="OAG69" s="26"/>
      <c r="OAH69" s="26"/>
      <c r="OAI69" s="26"/>
      <c r="OAJ69" s="26"/>
      <c r="OAK69" s="26"/>
      <c r="OAL69" s="26"/>
      <c r="OAM69" s="26"/>
      <c r="OAN69" s="26"/>
      <c r="OAO69" s="26"/>
      <c r="OAP69" s="26"/>
      <c r="OAQ69" s="26"/>
      <c r="OAR69" s="26"/>
      <c r="OAS69" s="26"/>
      <c r="OAT69" s="26"/>
      <c r="OAU69" s="26"/>
      <c r="OAV69" s="26"/>
      <c r="OAW69" s="26"/>
      <c r="OAX69" s="26"/>
      <c r="OAY69" s="26"/>
      <c r="OAZ69" s="26"/>
      <c r="OBA69" s="26"/>
      <c r="OBB69" s="26"/>
      <c r="OBC69" s="26"/>
      <c r="OBD69" s="26"/>
      <c r="OBE69" s="26"/>
      <c r="OBF69" s="26"/>
      <c r="OBG69" s="26"/>
      <c r="OBH69" s="26"/>
      <c r="OBI69" s="26"/>
      <c r="OBJ69" s="26"/>
      <c r="OBK69" s="26"/>
      <c r="OBL69" s="26"/>
      <c r="OBM69" s="26"/>
      <c r="OBN69" s="26"/>
      <c r="OBO69" s="26"/>
      <c r="OBP69" s="26"/>
      <c r="OBQ69" s="26"/>
      <c r="OBR69" s="26"/>
      <c r="OBS69" s="26"/>
      <c r="OBT69" s="26"/>
      <c r="OBU69" s="26"/>
      <c r="OBV69" s="26"/>
      <c r="OBW69" s="26"/>
      <c r="OBX69" s="26"/>
      <c r="OBY69" s="26"/>
      <c r="OBZ69" s="26"/>
      <c r="OCA69" s="26"/>
      <c r="OCB69" s="26"/>
      <c r="OCC69" s="26"/>
      <c r="OCD69" s="26"/>
      <c r="OCE69" s="26"/>
      <c r="OCF69" s="26"/>
      <c r="OCG69" s="26"/>
      <c r="OCH69" s="26"/>
      <c r="OCI69" s="26"/>
      <c r="OCJ69" s="26"/>
      <c r="OCK69" s="26"/>
      <c r="OCL69" s="26"/>
      <c r="OCM69" s="26"/>
      <c r="OCN69" s="26"/>
      <c r="OCO69" s="26"/>
      <c r="OCP69" s="26"/>
      <c r="OCQ69" s="26"/>
      <c r="OCR69" s="26"/>
      <c r="OCS69" s="26"/>
      <c r="OCT69" s="26"/>
      <c r="OCU69" s="26"/>
      <c r="OCV69" s="26"/>
      <c r="OCW69" s="26"/>
      <c r="OCX69" s="26"/>
      <c r="OCY69" s="26"/>
      <c r="OCZ69" s="26"/>
      <c r="ODA69" s="26"/>
      <c r="ODB69" s="26"/>
      <c r="ODC69" s="26"/>
      <c r="ODD69" s="26"/>
      <c r="ODE69" s="26"/>
      <c r="ODF69" s="26"/>
      <c r="ODG69" s="26"/>
      <c r="ODH69" s="26"/>
      <c r="ODI69" s="26"/>
      <c r="ODJ69" s="26"/>
      <c r="ODK69" s="26"/>
      <c r="ODL69" s="26"/>
      <c r="ODM69" s="26"/>
      <c r="ODN69" s="26"/>
      <c r="ODO69" s="26"/>
      <c r="ODP69" s="26"/>
      <c r="ODQ69" s="26"/>
      <c r="ODR69" s="26"/>
      <c r="ODS69" s="26"/>
      <c r="ODT69" s="26"/>
      <c r="ODU69" s="26"/>
      <c r="ODV69" s="26"/>
      <c r="ODW69" s="26"/>
      <c r="ODX69" s="26"/>
      <c r="ODY69" s="26"/>
      <c r="ODZ69" s="26"/>
      <c r="OEA69" s="26"/>
      <c r="OEB69" s="26"/>
      <c r="OEC69" s="26"/>
      <c r="OED69" s="26"/>
      <c r="OEE69" s="26"/>
      <c r="OEF69" s="26"/>
      <c r="OEG69" s="26"/>
      <c r="OEH69" s="26"/>
      <c r="OEI69" s="26"/>
      <c r="OEJ69" s="26"/>
      <c r="OEK69" s="26"/>
      <c r="OEL69" s="26"/>
      <c r="OEM69" s="26"/>
      <c r="OEN69" s="26"/>
      <c r="OEO69" s="26"/>
      <c r="OEP69" s="26"/>
      <c r="OEQ69" s="26"/>
      <c r="OER69" s="26"/>
      <c r="OES69" s="26"/>
      <c r="OET69" s="26"/>
      <c r="OEU69" s="26"/>
      <c r="OEV69" s="26"/>
      <c r="OEW69" s="26"/>
      <c r="OEX69" s="26"/>
      <c r="OEY69" s="26"/>
      <c r="OEZ69" s="26"/>
      <c r="OFA69" s="26"/>
      <c r="OFB69" s="26"/>
      <c r="OFC69" s="26"/>
      <c r="OFD69" s="26"/>
      <c r="OFE69" s="26"/>
      <c r="OFF69" s="26"/>
      <c r="OFG69" s="26"/>
      <c r="OFH69" s="26"/>
      <c r="OFI69" s="26"/>
      <c r="OFJ69" s="26"/>
      <c r="OFK69" s="26"/>
      <c r="OFL69" s="26"/>
      <c r="OFM69" s="26"/>
      <c r="OFN69" s="26"/>
      <c r="OFO69" s="26"/>
      <c r="OFP69" s="26"/>
      <c r="OFQ69" s="26"/>
      <c r="OFR69" s="26"/>
      <c r="OFS69" s="26"/>
      <c r="OFT69" s="26"/>
      <c r="OFU69" s="26"/>
      <c r="OFV69" s="26"/>
      <c r="OFW69" s="26"/>
      <c r="OFX69" s="26"/>
      <c r="OFY69" s="26"/>
      <c r="OFZ69" s="26"/>
      <c r="OGA69" s="26"/>
      <c r="OGB69" s="26"/>
      <c r="OGC69" s="26"/>
      <c r="OGD69" s="26"/>
      <c r="OGE69" s="26"/>
      <c r="OGF69" s="26"/>
      <c r="OGG69" s="26"/>
      <c r="OGH69" s="26"/>
      <c r="OGI69" s="26"/>
      <c r="OGJ69" s="26"/>
      <c r="OGK69" s="26"/>
      <c r="OGL69" s="26"/>
      <c r="OGM69" s="26"/>
      <c r="OGN69" s="26"/>
      <c r="OGO69" s="26"/>
      <c r="OGP69" s="26"/>
      <c r="OGQ69" s="26"/>
      <c r="OGR69" s="26"/>
      <c r="OGS69" s="26"/>
      <c r="OGT69" s="26"/>
      <c r="OGU69" s="26"/>
      <c r="OGV69" s="26"/>
      <c r="OGW69" s="26"/>
      <c r="OGX69" s="26"/>
      <c r="OGY69" s="26"/>
      <c r="OGZ69" s="26"/>
      <c r="OHA69" s="26"/>
      <c r="OHB69" s="26"/>
      <c r="OHC69" s="26"/>
      <c r="OHD69" s="26"/>
      <c r="OHE69" s="26"/>
      <c r="OHF69" s="26"/>
      <c r="OHG69" s="26"/>
      <c r="OHH69" s="26"/>
      <c r="OHI69" s="26"/>
      <c r="OHJ69" s="26"/>
      <c r="OHK69" s="26"/>
      <c r="OHL69" s="26"/>
      <c r="OHM69" s="26"/>
      <c r="OHN69" s="26"/>
      <c r="OHO69" s="26"/>
      <c r="OHP69" s="26"/>
      <c r="OHQ69" s="26"/>
      <c r="OHR69" s="26"/>
      <c r="OHS69" s="26"/>
      <c r="OHT69" s="26"/>
      <c r="OHU69" s="26"/>
      <c r="OHV69" s="26"/>
      <c r="OHW69" s="26"/>
      <c r="OHX69" s="26"/>
      <c r="OHY69" s="26"/>
      <c r="OHZ69" s="26"/>
      <c r="OIA69" s="26"/>
      <c r="OIB69" s="26"/>
      <c r="OIC69" s="26"/>
      <c r="OID69" s="26"/>
      <c r="OIE69" s="26"/>
      <c r="OIF69" s="26"/>
      <c r="OIG69" s="26"/>
      <c r="OIH69" s="26"/>
      <c r="OII69" s="26"/>
      <c r="OIJ69" s="26"/>
      <c r="OIK69" s="26"/>
      <c r="OIL69" s="26"/>
      <c r="OIM69" s="26"/>
      <c r="OIN69" s="26"/>
      <c r="OIO69" s="26"/>
      <c r="OIP69" s="26"/>
      <c r="OIQ69" s="26"/>
      <c r="OIR69" s="26"/>
      <c r="OIS69" s="26"/>
      <c r="OIT69" s="26"/>
      <c r="OIU69" s="26"/>
      <c r="OIV69" s="26"/>
      <c r="OIW69" s="26"/>
      <c r="OIX69" s="26"/>
      <c r="OIY69" s="26"/>
      <c r="OIZ69" s="26"/>
      <c r="OJA69" s="26"/>
      <c r="OJB69" s="26"/>
      <c r="OJC69" s="26"/>
      <c r="OJD69" s="26"/>
      <c r="OJE69" s="26"/>
      <c r="OJF69" s="26"/>
      <c r="OJG69" s="26"/>
      <c r="OJH69" s="26"/>
      <c r="OJI69" s="26"/>
      <c r="OJJ69" s="26"/>
      <c r="OJK69" s="26"/>
      <c r="OJL69" s="26"/>
      <c r="OJM69" s="26"/>
      <c r="OJN69" s="26"/>
      <c r="OJO69" s="26"/>
      <c r="OJP69" s="26"/>
      <c r="OJQ69" s="26"/>
      <c r="OJR69" s="26"/>
      <c r="OJS69" s="26"/>
      <c r="OJT69" s="26"/>
      <c r="OJU69" s="26"/>
      <c r="OJV69" s="26"/>
      <c r="OJW69" s="26"/>
      <c r="OJX69" s="26"/>
      <c r="OJY69" s="26"/>
      <c r="OJZ69" s="26"/>
      <c r="OKA69" s="26"/>
      <c r="OKB69" s="26"/>
      <c r="OKC69" s="26"/>
      <c r="OKD69" s="26"/>
      <c r="OKE69" s="26"/>
      <c r="OKF69" s="26"/>
      <c r="OKG69" s="26"/>
      <c r="OKH69" s="26"/>
      <c r="OKI69" s="26"/>
      <c r="OKJ69" s="26"/>
      <c r="OKK69" s="26"/>
      <c r="OKL69" s="26"/>
      <c r="OKM69" s="26"/>
      <c r="OKN69" s="26"/>
      <c r="OKO69" s="26"/>
      <c r="OKP69" s="26"/>
      <c r="OKQ69" s="26"/>
      <c r="OKR69" s="26"/>
      <c r="OKS69" s="26"/>
      <c r="OKT69" s="26"/>
      <c r="OKU69" s="26"/>
      <c r="OKV69" s="26"/>
      <c r="OKW69" s="26"/>
      <c r="OKX69" s="26"/>
      <c r="OKY69" s="26"/>
      <c r="OKZ69" s="26"/>
      <c r="OLA69" s="26"/>
      <c r="OLB69" s="26"/>
      <c r="OLC69" s="26"/>
      <c r="OLD69" s="26"/>
      <c r="OLE69" s="26"/>
      <c r="OLF69" s="26"/>
      <c r="OLG69" s="26"/>
      <c r="OLH69" s="26"/>
      <c r="OLI69" s="26"/>
      <c r="OLJ69" s="26"/>
      <c r="OLK69" s="26"/>
      <c r="OLL69" s="26"/>
      <c r="OLM69" s="26"/>
      <c r="OLN69" s="26"/>
      <c r="OLO69" s="26"/>
      <c r="OLP69" s="26"/>
      <c r="OLQ69" s="26"/>
      <c r="OLR69" s="26"/>
      <c r="OLS69" s="26"/>
      <c r="OLT69" s="26"/>
      <c r="OLU69" s="26"/>
      <c r="OLV69" s="26"/>
      <c r="OLW69" s="26"/>
      <c r="OLX69" s="26"/>
      <c r="OLY69" s="26"/>
      <c r="OLZ69" s="26"/>
      <c r="OMA69" s="26"/>
      <c r="OMB69" s="26"/>
      <c r="OMC69" s="26"/>
      <c r="OMD69" s="26"/>
      <c r="OME69" s="26"/>
      <c r="OMF69" s="26"/>
      <c r="OMG69" s="26"/>
      <c r="OMH69" s="26"/>
      <c r="OMI69" s="26"/>
      <c r="OMJ69" s="26"/>
      <c r="OMK69" s="26"/>
      <c r="OML69" s="26"/>
      <c r="OMM69" s="26"/>
      <c r="OMN69" s="26"/>
      <c r="OMO69" s="26"/>
      <c r="OMP69" s="26"/>
      <c r="OMQ69" s="26"/>
      <c r="OMR69" s="26"/>
      <c r="OMS69" s="26"/>
      <c r="OMT69" s="26"/>
      <c r="OMU69" s="26"/>
      <c r="OMV69" s="26"/>
      <c r="OMW69" s="26"/>
      <c r="OMX69" s="26"/>
      <c r="OMY69" s="26"/>
      <c r="OMZ69" s="26"/>
      <c r="ONA69" s="26"/>
      <c r="ONB69" s="26"/>
      <c r="ONC69" s="26"/>
      <c r="OND69" s="26"/>
      <c r="ONE69" s="26"/>
      <c r="ONF69" s="26"/>
      <c r="ONG69" s="26"/>
      <c r="ONH69" s="26"/>
      <c r="ONI69" s="26"/>
      <c r="ONJ69" s="26"/>
      <c r="ONK69" s="26"/>
      <c r="ONL69" s="26"/>
      <c r="ONM69" s="26"/>
      <c r="ONN69" s="26"/>
      <c r="ONO69" s="26"/>
      <c r="ONP69" s="26"/>
      <c r="ONQ69" s="26"/>
      <c r="ONR69" s="26"/>
      <c r="ONS69" s="26"/>
      <c r="ONT69" s="26"/>
      <c r="ONU69" s="26"/>
      <c r="ONV69" s="26"/>
      <c r="ONW69" s="26"/>
      <c r="ONX69" s="26"/>
      <c r="ONY69" s="26"/>
      <c r="ONZ69" s="26"/>
      <c r="OOA69" s="26"/>
      <c r="OOB69" s="26"/>
      <c r="OOC69" s="26"/>
      <c r="OOD69" s="26"/>
      <c r="OOE69" s="26"/>
      <c r="OOF69" s="26"/>
      <c r="OOG69" s="26"/>
      <c r="OOH69" s="26"/>
      <c r="OOI69" s="26"/>
      <c r="OOJ69" s="26"/>
      <c r="OOK69" s="26"/>
      <c r="OOL69" s="26"/>
      <c r="OOM69" s="26"/>
      <c r="OON69" s="26"/>
      <c r="OOO69" s="26"/>
      <c r="OOP69" s="26"/>
      <c r="OOQ69" s="26"/>
      <c r="OOR69" s="26"/>
      <c r="OOS69" s="26"/>
      <c r="OOT69" s="26"/>
      <c r="OOU69" s="26"/>
      <c r="OOV69" s="26"/>
      <c r="OOW69" s="26"/>
      <c r="OOX69" s="26"/>
      <c r="OOY69" s="26"/>
      <c r="OOZ69" s="26"/>
      <c r="OPA69" s="26"/>
      <c r="OPB69" s="26"/>
      <c r="OPC69" s="26"/>
      <c r="OPD69" s="26"/>
      <c r="OPE69" s="26"/>
      <c r="OPF69" s="26"/>
      <c r="OPG69" s="26"/>
      <c r="OPH69" s="26"/>
      <c r="OPI69" s="26"/>
      <c r="OPJ69" s="26"/>
      <c r="OPK69" s="26"/>
      <c r="OPL69" s="26"/>
      <c r="OPM69" s="26"/>
      <c r="OPN69" s="26"/>
      <c r="OPO69" s="26"/>
      <c r="OPP69" s="26"/>
      <c r="OPQ69" s="26"/>
      <c r="OPR69" s="26"/>
      <c r="OPS69" s="26"/>
      <c r="OPT69" s="26"/>
      <c r="OPU69" s="26"/>
      <c r="OPV69" s="26"/>
      <c r="OPW69" s="26"/>
      <c r="OPX69" s="26"/>
      <c r="OPY69" s="26"/>
      <c r="OPZ69" s="26"/>
      <c r="OQA69" s="26"/>
      <c r="OQB69" s="26"/>
      <c r="OQC69" s="26"/>
      <c r="OQD69" s="26"/>
      <c r="OQE69" s="26"/>
      <c r="OQF69" s="26"/>
      <c r="OQG69" s="26"/>
      <c r="OQH69" s="26"/>
      <c r="OQI69" s="26"/>
      <c r="OQJ69" s="26"/>
      <c r="OQK69" s="26"/>
      <c r="OQL69" s="26"/>
      <c r="OQM69" s="26"/>
      <c r="OQN69" s="26"/>
      <c r="OQO69" s="26"/>
      <c r="OQP69" s="26"/>
      <c r="OQQ69" s="26"/>
      <c r="OQR69" s="26"/>
      <c r="OQS69" s="26"/>
      <c r="OQT69" s="26"/>
      <c r="OQU69" s="26"/>
      <c r="OQV69" s="26"/>
      <c r="OQW69" s="26"/>
      <c r="OQX69" s="26"/>
      <c r="OQY69" s="26"/>
      <c r="OQZ69" s="26"/>
      <c r="ORA69" s="26"/>
      <c r="ORB69" s="26"/>
      <c r="ORC69" s="26"/>
      <c r="ORD69" s="26"/>
      <c r="ORE69" s="26"/>
      <c r="ORF69" s="26"/>
      <c r="ORG69" s="26"/>
      <c r="ORH69" s="26"/>
      <c r="ORI69" s="26"/>
      <c r="ORJ69" s="26"/>
      <c r="ORK69" s="26"/>
      <c r="ORL69" s="26"/>
      <c r="ORM69" s="26"/>
      <c r="ORN69" s="26"/>
      <c r="ORO69" s="26"/>
      <c r="ORP69" s="26"/>
      <c r="ORQ69" s="26"/>
      <c r="ORR69" s="26"/>
      <c r="ORS69" s="26"/>
      <c r="ORT69" s="26"/>
      <c r="ORU69" s="26"/>
      <c r="ORV69" s="26"/>
      <c r="ORW69" s="26"/>
      <c r="ORX69" s="26"/>
      <c r="ORY69" s="26"/>
      <c r="ORZ69" s="26"/>
      <c r="OSA69" s="26"/>
      <c r="OSB69" s="26"/>
      <c r="OSC69" s="26"/>
      <c r="OSD69" s="26"/>
      <c r="OSE69" s="26"/>
      <c r="OSF69" s="26"/>
      <c r="OSG69" s="26"/>
      <c r="OSH69" s="26"/>
      <c r="OSI69" s="26"/>
      <c r="OSJ69" s="26"/>
      <c r="OSK69" s="26"/>
      <c r="OSL69" s="26"/>
      <c r="OSM69" s="26"/>
      <c r="OSN69" s="26"/>
      <c r="OSO69" s="26"/>
      <c r="OSP69" s="26"/>
      <c r="OSQ69" s="26"/>
      <c r="OSR69" s="26"/>
      <c r="OSS69" s="26"/>
      <c r="OST69" s="26"/>
      <c r="OSU69" s="26"/>
      <c r="OSV69" s="26"/>
      <c r="OSW69" s="26"/>
      <c r="OSX69" s="26"/>
      <c r="OSY69" s="26"/>
      <c r="OSZ69" s="26"/>
      <c r="OTA69" s="26"/>
      <c r="OTB69" s="26"/>
      <c r="OTC69" s="26"/>
      <c r="OTD69" s="26"/>
      <c r="OTE69" s="26"/>
      <c r="OTF69" s="26"/>
      <c r="OTG69" s="26"/>
      <c r="OTH69" s="26"/>
      <c r="OTI69" s="26"/>
      <c r="OTJ69" s="26"/>
      <c r="OTK69" s="26"/>
      <c r="OTL69" s="26"/>
      <c r="OTM69" s="26"/>
      <c r="OTN69" s="26"/>
      <c r="OTO69" s="26"/>
      <c r="OTP69" s="26"/>
      <c r="OTQ69" s="26"/>
      <c r="OTR69" s="26"/>
      <c r="OTS69" s="26"/>
      <c r="OTT69" s="26"/>
      <c r="OTU69" s="26"/>
      <c r="OTV69" s="26"/>
      <c r="OTW69" s="26"/>
      <c r="OTX69" s="26"/>
      <c r="OTY69" s="26"/>
      <c r="OTZ69" s="26"/>
      <c r="OUA69" s="26"/>
      <c r="OUB69" s="26"/>
      <c r="OUC69" s="26"/>
      <c r="OUD69" s="26"/>
      <c r="OUE69" s="26"/>
      <c r="OUF69" s="26"/>
      <c r="OUG69" s="26"/>
      <c r="OUH69" s="26"/>
      <c r="OUI69" s="26"/>
      <c r="OUJ69" s="26"/>
      <c r="OUK69" s="26"/>
      <c r="OUL69" s="26"/>
      <c r="OUM69" s="26"/>
      <c r="OUN69" s="26"/>
      <c r="OUO69" s="26"/>
      <c r="OUP69" s="26"/>
      <c r="OUQ69" s="26"/>
      <c r="OUR69" s="26"/>
      <c r="OUS69" s="26"/>
      <c r="OUT69" s="26"/>
      <c r="OUU69" s="26"/>
      <c r="OUV69" s="26"/>
      <c r="OUW69" s="26"/>
      <c r="OUX69" s="26"/>
      <c r="OUY69" s="26"/>
      <c r="OUZ69" s="26"/>
      <c r="OVA69" s="26"/>
      <c r="OVB69" s="26"/>
      <c r="OVC69" s="26"/>
      <c r="OVD69" s="26"/>
      <c r="OVE69" s="26"/>
      <c r="OVF69" s="26"/>
      <c r="OVG69" s="26"/>
      <c r="OVH69" s="26"/>
      <c r="OVI69" s="26"/>
      <c r="OVJ69" s="26"/>
      <c r="OVK69" s="26"/>
      <c r="OVL69" s="26"/>
      <c r="OVM69" s="26"/>
      <c r="OVN69" s="26"/>
      <c r="OVO69" s="26"/>
      <c r="OVP69" s="26"/>
      <c r="OVQ69" s="26"/>
      <c r="OVR69" s="26"/>
      <c r="OVS69" s="26"/>
      <c r="OVT69" s="26"/>
      <c r="OVU69" s="26"/>
      <c r="OVV69" s="26"/>
      <c r="OVW69" s="26"/>
      <c r="OVX69" s="26"/>
      <c r="OVY69" s="26"/>
      <c r="OVZ69" s="26"/>
      <c r="OWA69" s="26"/>
      <c r="OWB69" s="26"/>
      <c r="OWC69" s="26"/>
      <c r="OWD69" s="26"/>
      <c r="OWE69" s="26"/>
      <c r="OWF69" s="26"/>
      <c r="OWG69" s="26"/>
      <c r="OWH69" s="26"/>
      <c r="OWI69" s="26"/>
      <c r="OWJ69" s="26"/>
      <c r="OWK69" s="26"/>
      <c r="OWL69" s="26"/>
      <c r="OWM69" s="26"/>
      <c r="OWN69" s="26"/>
      <c r="OWO69" s="26"/>
      <c r="OWP69" s="26"/>
      <c r="OWQ69" s="26"/>
      <c r="OWR69" s="26"/>
      <c r="OWS69" s="26"/>
      <c r="OWT69" s="26"/>
      <c r="OWU69" s="26"/>
      <c r="OWV69" s="26"/>
      <c r="OWW69" s="26"/>
      <c r="OWX69" s="26"/>
      <c r="OWY69" s="26"/>
      <c r="OWZ69" s="26"/>
      <c r="OXA69" s="26"/>
      <c r="OXB69" s="26"/>
      <c r="OXC69" s="26"/>
      <c r="OXD69" s="26"/>
      <c r="OXE69" s="26"/>
      <c r="OXF69" s="26"/>
      <c r="OXG69" s="26"/>
      <c r="OXH69" s="26"/>
      <c r="OXI69" s="26"/>
      <c r="OXJ69" s="26"/>
      <c r="OXK69" s="26"/>
      <c r="OXL69" s="26"/>
      <c r="OXM69" s="26"/>
      <c r="OXN69" s="26"/>
      <c r="OXO69" s="26"/>
      <c r="OXP69" s="26"/>
      <c r="OXQ69" s="26"/>
      <c r="OXR69" s="26"/>
      <c r="OXS69" s="26"/>
      <c r="OXT69" s="26"/>
      <c r="OXU69" s="26"/>
      <c r="OXV69" s="26"/>
      <c r="OXW69" s="26"/>
      <c r="OXX69" s="26"/>
      <c r="OXY69" s="26"/>
      <c r="OXZ69" s="26"/>
      <c r="OYA69" s="26"/>
      <c r="OYB69" s="26"/>
      <c r="OYC69" s="26"/>
      <c r="OYD69" s="26"/>
      <c r="OYE69" s="26"/>
      <c r="OYF69" s="26"/>
      <c r="OYG69" s="26"/>
      <c r="OYH69" s="26"/>
      <c r="OYI69" s="26"/>
      <c r="OYJ69" s="26"/>
      <c r="OYK69" s="26"/>
      <c r="OYL69" s="26"/>
      <c r="OYM69" s="26"/>
      <c r="OYN69" s="26"/>
      <c r="OYO69" s="26"/>
      <c r="OYP69" s="26"/>
      <c r="OYQ69" s="26"/>
      <c r="OYR69" s="26"/>
      <c r="OYS69" s="26"/>
      <c r="OYT69" s="26"/>
      <c r="OYU69" s="26"/>
      <c r="OYV69" s="26"/>
      <c r="OYW69" s="26"/>
      <c r="OYX69" s="26"/>
      <c r="OYY69" s="26"/>
      <c r="OYZ69" s="26"/>
      <c r="OZA69" s="26"/>
      <c r="OZB69" s="26"/>
      <c r="OZC69" s="26"/>
      <c r="OZD69" s="26"/>
      <c r="OZE69" s="26"/>
      <c r="OZF69" s="26"/>
      <c r="OZG69" s="26"/>
      <c r="OZH69" s="26"/>
      <c r="OZI69" s="26"/>
      <c r="OZJ69" s="26"/>
      <c r="OZK69" s="26"/>
      <c r="OZL69" s="26"/>
      <c r="OZM69" s="26"/>
      <c r="OZN69" s="26"/>
      <c r="OZO69" s="26"/>
      <c r="OZP69" s="26"/>
      <c r="OZQ69" s="26"/>
      <c r="OZR69" s="26"/>
      <c r="OZS69" s="26"/>
      <c r="OZT69" s="26"/>
      <c r="OZU69" s="26"/>
      <c r="OZV69" s="26"/>
      <c r="OZW69" s="26"/>
      <c r="OZX69" s="26"/>
      <c r="OZY69" s="26"/>
      <c r="OZZ69" s="26"/>
      <c r="PAA69" s="26"/>
      <c r="PAB69" s="26"/>
      <c r="PAC69" s="26"/>
      <c r="PAD69" s="26"/>
      <c r="PAE69" s="26"/>
      <c r="PAF69" s="26"/>
      <c r="PAG69" s="26"/>
      <c r="PAH69" s="26"/>
      <c r="PAI69" s="26"/>
      <c r="PAJ69" s="26"/>
      <c r="PAK69" s="26"/>
      <c r="PAL69" s="26"/>
      <c r="PAM69" s="26"/>
      <c r="PAN69" s="26"/>
      <c r="PAO69" s="26"/>
      <c r="PAP69" s="26"/>
      <c r="PAQ69" s="26"/>
      <c r="PAR69" s="26"/>
      <c r="PAS69" s="26"/>
      <c r="PAT69" s="26"/>
      <c r="PAU69" s="26"/>
      <c r="PAV69" s="26"/>
      <c r="PAW69" s="26"/>
      <c r="PAX69" s="26"/>
      <c r="PAY69" s="26"/>
      <c r="PAZ69" s="26"/>
      <c r="PBA69" s="26"/>
      <c r="PBB69" s="26"/>
      <c r="PBC69" s="26"/>
      <c r="PBD69" s="26"/>
      <c r="PBE69" s="26"/>
      <c r="PBF69" s="26"/>
      <c r="PBG69" s="26"/>
      <c r="PBH69" s="26"/>
      <c r="PBI69" s="26"/>
      <c r="PBJ69" s="26"/>
      <c r="PBK69" s="26"/>
      <c r="PBL69" s="26"/>
      <c r="PBM69" s="26"/>
      <c r="PBN69" s="26"/>
      <c r="PBO69" s="26"/>
      <c r="PBP69" s="26"/>
      <c r="PBQ69" s="26"/>
      <c r="PBR69" s="26"/>
      <c r="PBS69" s="26"/>
      <c r="PBT69" s="26"/>
      <c r="PBU69" s="26"/>
      <c r="PBV69" s="26"/>
      <c r="PBW69" s="26"/>
      <c r="PBX69" s="26"/>
      <c r="PBY69" s="26"/>
      <c r="PBZ69" s="26"/>
      <c r="PCA69" s="26"/>
      <c r="PCB69" s="26"/>
      <c r="PCC69" s="26"/>
      <c r="PCD69" s="26"/>
      <c r="PCE69" s="26"/>
      <c r="PCF69" s="26"/>
      <c r="PCG69" s="26"/>
      <c r="PCH69" s="26"/>
      <c r="PCI69" s="26"/>
      <c r="PCJ69" s="26"/>
      <c r="PCK69" s="26"/>
      <c r="PCL69" s="26"/>
      <c r="PCM69" s="26"/>
      <c r="PCN69" s="26"/>
      <c r="PCO69" s="26"/>
      <c r="PCP69" s="26"/>
      <c r="PCQ69" s="26"/>
      <c r="PCR69" s="26"/>
      <c r="PCS69" s="26"/>
      <c r="PCT69" s="26"/>
      <c r="PCU69" s="26"/>
      <c r="PCV69" s="26"/>
      <c r="PCW69" s="26"/>
      <c r="PCX69" s="26"/>
      <c r="PCY69" s="26"/>
      <c r="PCZ69" s="26"/>
      <c r="PDA69" s="26"/>
      <c r="PDB69" s="26"/>
      <c r="PDC69" s="26"/>
      <c r="PDD69" s="26"/>
      <c r="PDE69" s="26"/>
      <c r="PDF69" s="26"/>
      <c r="PDG69" s="26"/>
      <c r="PDH69" s="26"/>
      <c r="PDI69" s="26"/>
      <c r="PDJ69" s="26"/>
      <c r="PDK69" s="26"/>
      <c r="PDL69" s="26"/>
      <c r="PDM69" s="26"/>
      <c r="PDN69" s="26"/>
      <c r="PDO69" s="26"/>
      <c r="PDP69" s="26"/>
      <c r="PDQ69" s="26"/>
      <c r="PDR69" s="26"/>
      <c r="PDS69" s="26"/>
      <c r="PDT69" s="26"/>
      <c r="PDU69" s="26"/>
      <c r="PDV69" s="26"/>
      <c r="PDW69" s="26"/>
      <c r="PDX69" s="26"/>
      <c r="PDY69" s="26"/>
      <c r="PDZ69" s="26"/>
      <c r="PEA69" s="26"/>
      <c r="PEB69" s="26"/>
      <c r="PEC69" s="26"/>
      <c r="PED69" s="26"/>
      <c r="PEE69" s="26"/>
      <c r="PEF69" s="26"/>
      <c r="PEG69" s="26"/>
      <c r="PEH69" s="26"/>
      <c r="PEI69" s="26"/>
      <c r="PEJ69" s="26"/>
      <c r="PEK69" s="26"/>
      <c r="PEL69" s="26"/>
      <c r="PEM69" s="26"/>
      <c r="PEN69" s="26"/>
      <c r="PEO69" s="26"/>
      <c r="PEP69" s="26"/>
      <c r="PEQ69" s="26"/>
      <c r="PER69" s="26"/>
      <c r="PES69" s="26"/>
      <c r="PET69" s="26"/>
      <c r="PEU69" s="26"/>
      <c r="PEV69" s="26"/>
      <c r="PEW69" s="26"/>
      <c r="PEX69" s="26"/>
      <c r="PEY69" s="26"/>
      <c r="PEZ69" s="26"/>
      <c r="PFA69" s="26"/>
      <c r="PFB69" s="26"/>
      <c r="PFC69" s="26"/>
      <c r="PFD69" s="26"/>
      <c r="PFE69" s="26"/>
      <c r="PFF69" s="26"/>
      <c r="PFG69" s="26"/>
      <c r="PFH69" s="26"/>
      <c r="PFI69" s="26"/>
      <c r="PFJ69" s="26"/>
      <c r="PFK69" s="26"/>
      <c r="PFL69" s="26"/>
      <c r="PFM69" s="26"/>
      <c r="PFN69" s="26"/>
      <c r="PFO69" s="26"/>
      <c r="PFP69" s="26"/>
      <c r="PFQ69" s="26"/>
      <c r="PFR69" s="26"/>
      <c r="PFS69" s="26"/>
      <c r="PFT69" s="26"/>
      <c r="PFU69" s="26"/>
      <c r="PFV69" s="26"/>
      <c r="PFW69" s="26"/>
      <c r="PFX69" s="26"/>
      <c r="PFY69" s="26"/>
      <c r="PFZ69" s="26"/>
      <c r="PGA69" s="26"/>
      <c r="PGB69" s="26"/>
      <c r="PGC69" s="26"/>
      <c r="PGD69" s="26"/>
      <c r="PGE69" s="26"/>
      <c r="PGF69" s="26"/>
      <c r="PGG69" s="26"/>
      <c r="PGH69" s="26"/>
      <c r="PGI69" s="26"/>
      <c r="PGJ69" s="26"/>
      <c r="PGK69" s="26"/>
      <c r="PGL69" s="26"/>
      <c r="PGM69" s="26"/>
      <c r="PGN69" s="26"/>
      <c r="PGO69" s="26"/>
      <c r="PGP69" s="26"/>
      <c r="PGQ69" s="26"/>
      <c r="PGR69" s="26"/>
      <c r="PGS69" s="26"/>
      <c r="PGT69" s="26"/>
      <c r="PGU69" s="26"/>
      <c r="PGV69" s="26"/>
      <c r="PGW69" s="26"/>
      <c r="PGX69" s="26"/>
      <c r="PGY69" s="26"/>
      <c r="PGZ69" s="26"/>
      <c r="PHA69" s="26"/>
      <c r="PHB69" s="26"/>
      <c r="PHC69" s="26"/>
      <c r="PHD69" s="26"/>
      <c r="PHE69" s="26"/>
      <c r="PHF69" s="26"/>
      <c r="PHG69" s="26"/>
      <c r="PHH69" s="26"/>
      <c r="PHI69" s="26"/>
      <c r="PHJ69" s="26"/>
      <c r="PHK69" s="26"/>
      <c r="PHL69" s="26"/>
      <c r="PHM69" s="26"/>
      <c r="PHN69" s="26"/>
      <c r="PHO69" s="26"/>
      <c r="PHP69" s="26"/>
      <c r="PHQ69" s="26"/>
      <c r="PHR69" s="26"/>
      <c r="PHS69" s="26"/>
      <c r="PHT69" s="26"/>
      <c r="PHU69" s="26"/>
      <c r="PHV69" s="26"/>
      <c r="PHW69" s="26"/>
      <c r="PHX69" s="26"/>
      <c r="PHY69" s="26"/>
      <c r="PHZ69" s="26"/>
      <c r="PIA69" s="26"/>
      <c r="PIB69" s="26"/>
      <c r="PIC69" s="26"/>
      <c r="PID69" s="26"/>
      <c r="PIE69" s="26"/>
      <c r="PIF69" s="26"/>
      <c r="PIG69" s="26"/>
      <c r="PIH69" s="26"/>
      <c r="PII69" s="26"/>
      <c r="PIJ69" s="26"/>
      <c r="PIK69" s="26"/>
      <c r="PIL69" s="26"/>
      <c r="PIM69" s="26"/>
      <c r="PIN69" s="26"/>
      <c r="PIO69" s="26"/>
      <c r="PIP69" s="26"/>
      <c r="PIQ69" s="26"/>
      <c r="PIR69" s="26"/>
      <c r="PIS69" s="26"/>
      <c r="PIT69" s="26"/>
      <c r="PIU69" s="26"/>
      <c r="PIV69" s="26"/>
      <c r="PIW69" s="26"/>
      <c r="PIX69" s="26"/>
      <c r="PIY69" s="26"/>
      <c r="PIZ69" s="26"/>
      <c r="PJA69" s="26"/>
      <c r="PJB69" s="26"/>
      <c r="PJC69" s="26"/>
      <c r="PJD69" s="26"/>
      <c r="PJE69" s="26"/>
      <c r="PJF69" s="26"/>
      <c r="PJG69" s="26"/>
      <c r="PJH69" s="26"/>
      <c r="PJI69" s="26"/>
      <c r="PJJ69" s="26"/>
      <c r="PJK69" s="26"/>
      <c r="PJL69" s="26"/>
      <c r="PJM69" s="26"/>
      <c r="PJN69" s="26"/>
      <c r="PJO69" s="26"/>
      <c r="PJP69" s="26"/>
      <c r="PJQ69" s="26"/>
      <c r="PJR69" s="26"/>
      <c r="PJS69" s="26"/>
      <c r="PJT69" s="26"/>
      <c r="PJU69" s="26"/>
      <c r="PJV69" s="26"/>
      <c r="PJW69" s="26"/>
      <c r="PJX69" s="26"/>
      <c r="PJY69" s="26"/>
      <c r="PJZ69" s="26"/>
      <c r="PKA69" s="26"/>
      <c r="PKB69" s="26"/>
      <c r="PKC69" s="26"/>
      <c r="PKD69" s="26"/>
      <c r="PKE69" s="26"/>
      <c r="PKF69" s="26"/>
      <c r="PKG69" s="26"/>
      <c r="PKH69" s="26"/>
      <c r="PKI69" s="26"/>
      <c r="PKJ69" s="26"/>
      <c r="PKK69" s="26"/>
      <c r="PKL69" s="26"/>
      <c r="PKM69" s="26"/>
      <c r="PKN69" s="26"/>
      <c r="PKO69" s="26"/>
      <c r="PKP69" s="26"/>
      <c r="PKQ69" s="26"/>
      <c r="PKR69" s="26"/>
      <c r="PKS69" s="26"/>
      <c r="PKT69" s="26"/>
      <c r="PKU69" s="26"/>
      <c r="PKV69" s="26"/>
      <c r="PKW69" s="26"/>
      <c r="PKX69" s="26"/>
      <c r="PKY69" s="26"/>
      <c r="PKZ69" s="26"/>
      <c r="PLA69" s="26"/>
      <c r="PLB69" s="26"/>
      <c r="PLC69" s="26"/>
      <c r="PLD69" s="26"/>
      <c r="PLE69" s="26"/>
      <c r="PLF69" s="26"/>
      <c r="PLG69" s="26"/>
      <c r="PLH69" s="26"/>
      <c r="PLI69" s="26"/>
      <c r="PLJ69" s="26"/>
      <c r="PLK69" s="26"/>
      <c r="PLL69" s="26"/>
      <c r="PLM69" s="26"/>
      <c r="PLN69" s="26"/>
      <c r="PLO69" s="26"/>
      <c r="PLP69" s="26"/>
      <c r="PLQ69" s="26"/>
      <c r="PLR69" s="26"/>
      <c r="PLS69" s="26"/>
      <c r="PLT69" s="26"/>
      <c r="PLU69" s="26"/>
      <c r="PLV69" s="26"/>
      <c r="PLW69" s="26"/>
      <c r="PLX69" s="26"/>
      <c r="PLY69" s="26"/>
      <c r="PLZ69" s="26"/>
      <c r="PMA69" s="26"/>
      <c r="PMB69" s="26"/>
      <c r="PMC69" s="26"/>
      <c r="PMD69" s="26"/>
      <c r="PME69" s="26"/>
      <c r="PMF69" s="26"/>
      <c r="PMG69" s="26"/>
      <c r="PMH69" s="26"/>
      <c r="PMI69" s="26"/>
      <c r="PMJ69" s="26"/>
      <c r="PMK69" s="26"/>
      <c r="PML69" s="26"/>
      <c r="PMM69" s="26"/>
      <c r="PMN69" s="26"/>
      <c r="PMO69" s="26"/>
      <c r="PMP69" s="26"/>
      <c r="PMQ69" s="26"/>
      <c r="PMR69" s="26"/>
      <c r="PMS69" s="26"/>
      <c r="PMT69" s="26"/>
      <c r="PMU69" s="26"/>
      <c r="PMV69" s="26"/>
      <c r="PMW69" s="26"/>
      <c r="PMX69" s="26"/>
      <c r="PMY69" s="26"/>
      <c r="PMZ69" s="26"/>
      <c r="PNA69" s="26"/>
      <c r="PNB69" s="26"/>
      <c r="PNC69" s="26"/>
      <c r="PND69" s="26"/>
      <c r="PNE69" s="26"/>
      <c r="PNF69" s="26"/>
      <c r="PNG69" s="26"/>
      <c r="PNH69" s="26"/>
      <c r="PNI69" s="26"/>
      <c r="PNJ69" s="26"/>
      <c r="PNK69" s="26"/>
      <c r="PNL69" s="26"/>
      <c r="PNM69" s="26"/>
      <c r="PNN69" s="26"/>
      <c r="PNO69" s="26"/>
      <c r="PNP69" s="26"/>
      <c r="PNQ69" s="26"/>
      <c r="PNR69" s="26"/>
      <c r="PNS69" s="26"/>
      <c r="PNT69" s="26"/>
      <c r="PNU69" s="26"/>
      <c r="PNV69" s="26"/>
      <c r="PNW69" s="26"/>
      <c r="PNX69" s="26"/>
      <c r="PNY69" s="26"/>
      <c r="PNZ69" s="26"/>
      <c r="POA69" s="26"/>
      <c r="POB69" s="26"/>
      <c r="POC69" s="26"/>
      <c r="POD69" s="26"/>
      <c r="POE69" s="26"/>
      <c r="POF69" s="26"/>
      <c r="POG69" s="26"/>
      <c r="POH69" s="26"/>
      <c r="POI69" s="26"/>
      <c r="POJ69" s="26"/>
      <c r="POK69" s="26"/>
      <c r="POL69" s="26"/>
      <c r="POM69" s="26"/>
      <c r="PON69" s="26"/>
      <c r="POO69" s="26"/>
      <c r="POP69" s="26"/>
      <c r="POQ69" s="26"/>
      <c r="POR69" s="26"/>
      <c r="POS69" s="26"/>
      <c r="POT69" s="26"/>
      <c r="POU69" s="26"/>
      <c r="POV69" s="26"/>
      <c r="POW69" s="26"/>
      <c r="POX69" s="26"/>
      <c r="POY69" s="26"/>
      <c r="POZ69" s="26"/>
      <c r="PPA69" s="26"/>
      <c r="PPB69" s="26"/>
      <c r="PPC69" s="26"/>
      <c r="PPD69" s="26"/>
      <c r="PPE69" s="26"/>
      <c r="PPF69" s="26"/>
      <c r="PPG69" s="26"/>
      <c r="PPH69" s="26"/>
      <c r="PPI69" s="26"/>
      <c r="PPJ69" s="26"/>
      <c r="PPK69" s="26"/>
      <c r="PPL69" s="26"/>
      <c r="PPM69" s="26"/>
      <c r="PPN69" s="26"/>
      <c r="PPO69" s="26"/>
      <c r="PPP69" s="26"/>
      <c r="PPQ69" s="26"/>
      <c r="PPR69" s="26"/>
      <c r="PPS69" s="26"/>
      <c r="PPT69" s="26"/>
      <c r="PPU69" s="26"/>
      <c r="PPV69" s="26"/>
      <c r="PPW69" s="26"/>
      <c r="PPX69" s="26"/>
      <c r="PPY69" s="26"/>
      <c r="PPZ69" s="26"/>
      <c r="PQA69" s="26"/>
      <c r="PQB69" s="26"/>
      <c r="PQC69" s="26"/>
      <c r="PQD69" s="26"/>
      <c r="PQE69" s="26"/>
      <c r="PQF69" s="26"/>
      <c r="PQG69" s="26"/>
      <c r="PQH69" s="26"/>
      <c r="PQI69" s="26"/>
      <c r="PQJ69" s="26"/>
      <c r="PQK69" s="26"/>
      <c r="PQL69" s="26"/>
      <c r="PQM69" s="26"/>
      <c r="PQN69" s="26"/>
      <c r="PQO69" s="26"/>
      <c r="PQP69" s="26"/>
      <c r="PQQ69" s="26"/>
      <c r="PQR69" s="26"/>
      <c r="PQS69" s="26"/>
      <c r="PQT69" s="26"/>
      <c r="PQU69" s="26"/>
      <c r="PQV69" s="26"/>
      <c r="PQW69" s="26"/>
      <c r="PQX69" s="26"/>
      <c r="PQY69" s="26"/>
      <c r="PQZ69" s="26"/>
      <c r="PRA69" s="26"/>
      <c r="PRB69" s="26"/>
      <c r="PRC69" s="26"/>
      <c r="PRD69" s="26"/>
      <c r="PRE69" s="26"/>
      <c r="PRF69" s="26"/>
      <c r="PRG69" s="26"/>
      <c r="PRH69" s="26"/>
      <c r="PRI69" s="26"/>
      <c r="PRJ69" s="26"/>
      <c r="PRK69" s="26"/>
      <c r="PRL69" s="26"/>
      <c r="PRM69" s="26"/>
      <c r="PRN69" s="26"/>
      <c r="PRO69" s="26"/>
      <c r="PRP69" s="26"/>
      <c r="PRQ69" s="26"/>
      <c r="PRR69" s="26"/>
      <c r="PRS69" s="26"/>
      <c r="PRT69" s="26"/>
      <c r="PRU69" s="26"/>
      <c r="PRV69" s="26"/>
      <c r="PRW69" s="26"/>
      <c r="PRX69" s="26"/>
      <c r="PRY69" s="26"/>
      <c r="PRZ69" s="26"/>
      <c r="PSA69" s="26"/>
      <c r="PSB69" s="26"/>
      <c r="PSC69" s="26"/>
      <c r="PSD69" s="26"/>
      <c r="PSE69" s="26"/>
      <c r="PSF69" s="26"/>
      <c r="PSG69" s="26"/>
      <c r="PSH69" s="26"/>
      <c r="PSI69" s="26"/>
      <c r="PSJ69" s="26"/>
      <c r="PSK69" s="26"/>
      <c r="PSL69" s="26"/>
      <c r="PSM69" s="26"/>
      <c r="PSN69" s="26"/>
      <c r="PSO69" s="26"/>
      <c r="PSP69" s="26"/>
      <c r="PSQ69" s="26"/>
      <c r="PSR69" s="26"/>
      <c r="PSS69" s="26"/>
      <c r="PST69" s="26"/>
      <c r="PSU69" s="26"/>
      <c r="PSV69" s="26"/>
      <c r="PSW69" s="26"/>
      <c r="PSX69" s="26"/>
      <c r="PSY69" s="26"/>
      <c r="PSZ69" s="26"/>
      <c r="PTA69" s="26"/>
      <c r="PTB69" s="26"/>
      <c r="PTC69" s="26"/>
      <c r="PTD69" s="26"/>
      <c r="PTE69" s="26"/>
      <c r="PTF69" s="26"/>
      <c r="PTG69" s="26"/>
      <c r="PTH69" s="26"/>
      <c r="PTI69" s="26"/>
      <c r="PTJ69" s="26"/>
      <c r="PTK69" s="26"/>
      <c r="PTL69" s="26"/>
      <c r="PTM69" s="26"/>
      <c r="PTN69" s="26"/>
      <c r="PTO69" s="26"/>
      <c r="PTP69" s="26"/>
      <c r="PTQ69" s="26"/>
      <c r="PTR69" s="26"/>
      <c r="PTS69" s="26"/>
      <c r="PTT69" s="26"/>
      <c r="PTU69" s="26"/>
      <c r="PTV69" s="26"/>
      <c r="PTW69" s="26"/>
      <c r="PTX69" s="26"/>
      <c r="PTY69" s="26"/>
      <c r="PTZ69" s="26"/>
      <c r="PUA69" s="26"/>
      <c r="PUB69" s="26"/>
      <c r="PUC69" s="26"/>
      <c r="PUD69" s="26"/>
      <c r="PUE69" s="26"/>
      <c r="PUF69" s="26"/>
      <c r="PUG69" s="26"/>
      <c r="PUH69" s="26"/>
      <c r="PUI69" s="26"/>
      <c r="PUJ69" s="26"/>
      <c r="PUK69" s="26"/>
      <c r="PUL69" s="26"/>
      <c r="PUM69" s="26"/>
      <c r="PUN69" s="26"/>
      <c r="PUO69" s="26"/>
      <c r="PUP69" s="26"/>
      <c r="PUQ69" s="26"/>
      <c r="PUR69" s="26"/>
      <c r="PUS69" s="26"/>
      <c r="PUT69" s="26"/>
      <c r="PUU69" s="26"/>
      <c r="PUV69" s="26"/>
      <c r="PUW69" s="26"/>
      <c r="PUX69" s="26"/>
      <c r="PUY69" s="26"/>
      <c r="PUZ69" s="26"/>
      <c r="PVA69" s="26"/>
      <c r="PVB69" s="26"/>
      <c r="PVC69" s="26"/>
      <c r="PVD69" s="26"/>
      <c r="PVE69" s="26"/>
      <c r="PVF69" s="26"/>
      <c r="PVG69" s="26"/>
      <c r="PVH69" s="26"/>
      <c r="PVI69" s="26"/>
      <c r="PVJ69" s="26"/>
      <c r="PVK69" s="26"/>
      <c r="PVL69" s="26"/>
      <c r="PVM69" s="26"/>
      <c r="PVN69" s="26"/>
      <c r="PVO69" s="26"/>
      <c r="PVP69" s="26"/>
      <c r="PVQ69" s="26"/>
      <c r="PVR69" s="26"/>
      <c r="PVS69" s="26"/>
      <c r="PVT69" s="26"/>
      <c r="PVU69" s="26"/>
      <c r="PVV69" s="26"/>
      <c r="PVW69" s="26"/>
      <c r="PVX69" s="26"/>
      <c r="PVY69" s="26"/>
      <c r="PVZ69" s="26"/>
      <c r="PWA69" s="26"/>
      <c r="PWB69" s="26"/>
      <c r="PWC69" s="26"/>
      <c r="PWD69" s="26"/>
      <c r="PWE69" s="26"/>
      <c r="PWF69" s="26"/>
      <c r="PWG69" s="26"/>
      <c r="PWH69" s="26"/>
      <c r="PWI69" s="26"/>
      <c r="PWJ69" s="26"/>
      <c r="PWK69" s="26"/>
      <c r="PWL69" s="26"/>
      <c r="PWM69" s="26"/>
      <c r="PWN69" s="26"/>
      <c r="PWO69" s="26"/>
      <c r="PWP69" s="26"/>
      <c r="PWQ69" s="26"/>
      <c r="PWR69" s="26"/>
      <c r="PWS69" s="26"/>
      <c r="PWT69" s="26"/>
      <c r="PWU69" s="26"/>
      <c r="PWV69" s="26"/>
      <c r="PWW69" s="26"/>
      <c r="PWX69" s="26"/>
      <c r="PWY69" s="26"/>
      <c r="PWZ69" s="26"/>
      <c r="PXA69" s="26"/>
      <c r="PXB69" s="26"/>
      <c r="PXC69" s="26"/>
      <c r="PXD69" s="26"/>
      <c r="PXE69" s="26"/>
      <c r="PXF69" s="26"/>
      <c r="PXG69" s="26"/>
      <c r="PXH69" s="26"/>
      <c r="PXI69" s="26"/>
      <c r="PXJ69" s="26"/>
      <c r="PXK69" s="26"/>
      <c r="PXL69" s="26"/>
      <c r="PXM69" s="26"/>
      <c r="PXN69" s="26"/>
      <c r="PXO69" s="26"/>
      <c r="PXP69" s="26"/>
      <c r="PXQ69" s="26"/>
      <c r="PXR69" s="26"/>
      <c r="PXS69" s="26"/>
      <c r="PXT69" s="26"/>
      <c r="PXU69" s="26"/>
      <c r="PXV69" s="26"/>
      <c r="PXW69" s="26"/>
      <c r="PXX69" s="26"/>
      <c r="PXY69" s="26"/>
      <c r="PXZ69" s="26"/>
      <c r="PYA69" s="26"/>
      <c r="PYB69" s="26"/>
      <c r="PYC69" s="26"/>
      <c r="PYD69" s="26"/>
      <c r="PYE69" s="26"/>
      <c r="PYF69" s="26"/>
      <c r="PYG69" s="26"/>
      <c r="PYH69" s="26"/>
      <c r="PYI69" s="26"/>
      <c r="PYJ69" s="26"/>
      <c r="PYK69" s="26"/>
      <c r="PYL69" s="26"/>
      <c r="PYM69" s="26"/>
      <c r="PYN69" s="26"/>
      <c r="PYO69" s="26"/>
      <c r="PYP69" s="26"/>
      <c r="PYQ69" s="26"/>
      <c r="PYR69" s="26"/>
      <c r="PYS69" s="26"/>
      <c r="PYT69" s="26"/>
      <c r="PYU69" s="26"/>
      <c r="PYV69" s="26"/>
      <c r="PYW69" s="26"/>
      <c r="PYX69" s="26"/>
      <c r="PYY69" s="26"/>
      <c r="PYZ69" s="26"/>
      <c r="PZA69" s="26"/>
      <c r="PZB69" s="26"/>
      <c r="PZC69" s="26"/>
      <c r="PZD69" s="26"/>
      <c r="PZE69" s="26"/>
      <c r="PZF69" s="26"/>
      <c r="PZG69" s="26"/>
      <c r="PZH69" s="26"/>
      <c r="PZI69" s="26"/>
      <c r="PZJ69" s="26"/>
      <c r="PZK69" s="26"/>
      <c r="PZL69" s="26"/>
      <c r="PZM69" s="26"/>
      <c r="PZN69" s="26"/>
      <c r="PZO69" s="26"/>
      <c r="PZP69" s="26"/>
      <c r="PZQ69" s="26"/>
      <c r="PZR69" s="26"/>
      <c r="PZS69" s="26"/>
      <c r="PZT69" s="26"/>
      <c r="PZU69" s="26"/>
      <c r="PZV69" s="26"/>
      <c r="PZW69" s="26"/>
      <c r="PZX69" s="26"/>
      <c r="PZY69" s="26"/>
      <c r="PZZ69" s="26"/>
      <c r="QAA69" s="26"/>
      <c r="QAB69" s="26"/>
      <c r="QAC69" s="26"/>
      <c r="QAD69" s="26"/>
      <c r="QAE69" s="26"/>
      <c r="QAF69" s="26"/>
      <c r="QAG69" s="26"/>
      <c r="QAH69" s="26"/>
      <c r="QAI69" s="26"/>
      <c r="QAJ69" s="26"/>
      <c r="QAK69" s="26"/>
      <c r="QAL69" s="26"/>
      <c r="QAM69" s="26"/>
      <c r="QAN69" s="26"/>
      <c r="QAO69" s="26"/>
      <c r="QAP69" s="26"/>
      <c r="QAQ69" s="26"/>
      <c r="QAR69" s="26"/>
      <c r="QAS69" s="26"/>
      <c r="QAT69" s="26"/>
      <c r="QAU69" s="26"/>
      <c r="QAV69" s="26"/>
      <c r="QAW69" s="26"/>
      <c r="QAX69" s="26"/>
      <c r="QAY69" s="26"/>
      <c r="QAZ69" s="26"/>
      <c r="QBA69" s="26"/>
      <c r="QBB69" s="26"/>
      <c r="QBC69" s="26"/>
      <c r="QBD69" s="26"/>
      <c r="QBE69" s="26"/>
      <c r="QBF69" s="26"/>
      <c r="QBG69" s="26"/>
      <c r="QBH69" s="26"/>
      <c r="QBI69" s="26"/>
      <c r="QBJ69" s="26"/>
      <c r="QBK69" s="26"/>
      <c r="QBL69" s="26"/>
      <c r="QBM69" s="26"/>
      <c r="QBN69" s="26"/>
      <c r="QBO69" s="26"/>
      <c r="QBP69" s="26"/>
      <c r="QBQ69" s="26"/>
      <c r="QBR69" s="26"/>
      <c r="QBS69" s="26"/>
      <c r="QBT69" s="26"/>
      <c r="QBU69" s="26"/>
      <c r="QBV69" s="26"/>
      <c r="QBW69" s="26"/>
      <c r="QBX69" s="26"/>
      <c r="QBY69" s="26"/>
      <c r="QBZ69" s="26"/>
      <c r="QCA69" s="26"/>
      <c r="QCB69" s="26"/>
      <c r="QCC69" s="26"/>
      <c r="QCD69" s="26"/>
      <c r="QCE69" s="26"/>
      <c r="QCF69" s="26"/>
      <c r="QCG69" s="26"/>
      <c r="QCH69" s="26"/>
      <c r="QCI69" s="26"/>
      <c r="QCJ69" s="26"/>
      <c r="QCK69" s="26"/>
      <c r="QCL69" s="26"/>
      <c r="QCM69" s="26"/>
      <c r="QCN69" s="26"/>
      <c r="QCO69" s="26"/>
      <c r="QCP69" s="26"/>
      <c r="QCQ69" s="26"/>
      <c r="QCR69" s="26"/>
      <c r="QCS69" s="26"/>
      <c r="QCT69" s="26"/>
      <c r="QCU69" s="26"/>
      <c r="QCV69" s="26"/>
      <c r="QCW69" s="26"/>
      <c r="QCX69" s="26"/>
      <c r="QCY69" s="26"/>
      <c r="QCZ69" s="26"/>
      <c r="QDA69" s="26"/>
      <c r="QDB69" s="26"/>
      <c r="QDC69" s="26"/>
      <c r="QDD69" s="26"/>
      <c r="QDE69" s="26"/>
      <c r="QDF69" s="26"/>
      <c r="QDG69" s="26"/>
      <c r="QDH69" s="26"/>
      <c r="QDI69" s="26"/>
      <c r="QDJ69" s="26"/>
      <c r="QDK69" s="26"/>
      <c r="QDL69" s="26"/>
      <c r="QDM69" s="26"/>
      <c r="QDN69" s="26"/>
      <c r="QDO69" s="26"/>
      <c r="QDP69" s="26"/>
      <c r="QDQ69" s="26"/>
      <c r="QDR69" s="26"/>
      <c r="QDS69" s="26"/>
      <c r="QDT69" s="26"/>
      <c r="QDU69" s="26"/>
      <c r="QDV69" s="26"/>
      <c r="QDW69" s="26"/>
      <c r="QDX69" s="26"/>
      <c r="QDY69" s="26"/>
      <c r="QDZ69" s="26"/>
      <c r="QEA69" s="26"/>
      <c r="QEB69" s="26"/>
      <c r="QEC69" s="26"/>
      <c r="QED69" s="26"/>
      <c r="QEE69" s="26"/>
      <c r="QEF69" s="26"/>
      <c r="QEG69" s="26"/>
      <c r="QEH69" s="26"/>
      <c r="QEI69" s="26"/>
      <c r="QEJ69" s="26"/>
      <c r="QEK69" s="26"/>
      <c r="QEL69" s="26"/>
      <c r="QEM69" s="26"/>
      <c r="QEN69" s="26"/>
      <c r="QEO69" s="26"/>
      <c r="QEP69" s="26"/>
      <c r="QEQ69" s="26"/>
      <c r="QER69" s="26"/>
      <c r="QES69" s="26"/>
      <c r="QET69" s="26"/>
      <c r="QEU69" s="26"/>
      <c r="QEV69" s="26"/>
      <c r="QEW69" s="26"/>
      <c r="QEX69" s="26"/>
      <c r="QEY69" s="26"/>
      <c r="QEZ69" s="26"/>
      <c r="QFA69" s="26"/>
      <c r="QFB69" s="26"/>
      <c r="QFC69" s="26"/>
      <c r="QFD69" s="26"/>
      <c r="QFE69" s="26"/>
      <c r="QFF69" s="26"/>
      <c r="QFG69" s="26"/>
      <c r="QFH69" s="26"/>
      <c r="QFI69" s="26"/>
      <c r="QFJ69" s="26"/>
      <c r="QFK69" s="26"/>
      <c r="QFL69" s="26"/>
      <c r="QFM69" s="26"/>
      <c r="QFN69" s="26"/>
      <c r="QFO69" s="26"/>
      <c r="QFP69" s="26"/>
      <c r="QFQ69" s="26"/>
      <c r="QFR69" s="26"/>
      <c r="QFS69" s="26"/>
      <c r="QFT69" s="26"/>
      <c r="QFU69" s="26"/>
      <c r="QFV69" s="26"/>
      <c r="QFW69" s="26"/>
      <c r="QFX69" s="26"/>
      <c r="QFY69" s="26"/>
      <c r="QFZ69" s="26"/>
      <c r="QGA69" s="26"/>
      <c r="QGB69" s="26"/>
      <c r="QGC69" s="26"/>
      <c r="QGD69" s="26"/>
      <c r="QGE69" s="26"/>
      <c r="QGF69" s="26"/>
      <c r="QGG69" s="26"/>
      <c r="QGH69" s="26"/>
      <c r="QGI69" s="26"/>
      <c r="QGJ69" s="26"/>
      <c r="QGK69" s="26"/>
      <c r="QGL69" s="26"/>
      <c r="QGM69" s="26"/>
      <c r="QGN69" s="26"/>
      <c r="QGO69" s="26"/>
      <c r="QGP69" s="26"/>
      <c r="QGQ69" s="26"/>
      <c r="QGR69" s="26"/>
      <c r="QGS69" s="26"/>
      <c r="QGT69" s="26"/>
      <c r="QGU69" s="26"/>
      <c r="QGV69" s="26"/>
      <c r="QGW69" s="26"/>
      <c r="QGX69" s="26"/>
      <c r="QGY69" s="26"/>
      <c r="QGZ69" s="26"/>
      <c r="QHA69" s="26"/>
      <c r="QHB69" s="26"/>
      <c r="QHC69" s="26"/>
      <c r="QHD69" s="26"/>
      <c r="QHE69" s="26"/>
      <c r="QHF69" s="26"/>
      <c r="QHG69" s="26"/>
      <c r="QHH69" s="26"/>
      <c r="QHI69" s="26"/>
      <c r="QHJ69" s="26"/>
      <c r="QHK69" s="26"/>
      <c r="QHL69" s="26"/>
      <c r="QHM69" s="26"/>
      <c r="QHN69" s="26"/>
      <c r="QHO69" s="26"/>
      <c r="QHP69" s="26"/>
      <c r="QHQ69" s="26"/>
      <c r="QHR69" s="26"/>
      <c r="QHS69" s="26"/>
      <c r="QHT69" s="26"/>
      <c r="QHU69" s="26"/>
      <c r="QHV69" s="26"/>
      <c r="QHW69" s="26"/>
      <c r="QHX69" s="26"/>
      <c r="QHY69" s="26"/>
      <c r="QHZ69" s="26"/>
      <c r="QIA69" s="26"/>
      <c r="QIB69" s="26"/>
      <c r="QIC69" s="26"/>
      <c r="QID69" s="26"/>
      <c r="QIE69" s="26"/>
      <c r="QIF69" s="26"/>
      <c r="QIG69" s="26"/>
      <c r="QIH69" s="26"/>
      <c r="QII69" s="26"/>
      <c r="QIJ69" s="26"/>
      <c r="QIK69" s="26"/>
      <c r="QIL69" s="26"/>
      <c r="QIM69" s="26"/>
      <c r="QIN69" s="26"/>
      <c r="QIO69" s="26"/>
      <c r="QIP69" s="26"/>
      <c r="QIQ69" s="26"/>
      <c r="QIR69" s="26"/>
      <c r="QIS69" s="26"/>
      <c r="QIT69" s="26"/>
      <c r="QIU69" s="26"/>
      <c r="QIV69" s="26"/>
      <c r="QIW69" s="26"/>
      <c r="QIX69" s="26"/>
      <c r="QIY69" s="26"/>
      <c r="QIZ69" s="26"/>
      <c r="QJA69" s="26"/>
      <c r="QJB69" s="26"/>
      <c r="QJC69" s="26"/>
      <c r="QJD69" s="26"/>
      <c r="QJE69" s="26"/>
      <c r="QJF69" s="26"/>
      <c r="QJG69" s="26"/>
      <c r="QJH69" s="26"/>
      <c r="QJI69" s="26"/>
      <c r="QJJ69" s="26"/>
      <c r="QJK69" s="26"/>
      <c r="QJL69" s="26"/>
      <c r="QJM69" s="26"/>
      <c r="QJN69" s="26"/>
      <c r="QJO69" s="26"/>
      <c r="QJP69" s="26"/>
      <c r="QJQ69" s="26"/>
      <c r="QJR69" s="26"/>
      <c r="QJS69" s="26"/>
      <c r="QJT69" s="26"/>
      <c r="QJU69" s="26"/>
      <c r="QJV69" s="26"/>
      <c r="QJW69" s="26"/>
      <c r="QJX69" s="26"/>
      <c r="QJY69" s="26"/>
      <c r="QJZ69" s="26"/>
      <c r="QKA69" s="26"/>
      <c r="QKB69" s="26"/>
      <c r="QKC69" s="26"/>
      <c r="QKD69" s="26"/>
      <c r="QKE69" s="26"/>
      <c r="QKF69" s="26"/>
      <c r="QKG69" s="26"/>
      <c r="QKH69" s="26"/>
      <c r="QKI69" s="26"/>
      <c r="QKJ69" s="26"/>
      <c r="QKK69" s="26"/>
      <c r="QKL69" s="26"/>
      <c r="QKM69" s="26"/>
      <c r="QKN69" s="26"/>
      <c r="QKO69" s="26"/>
      <c r="QKP69" s="26"/>
      <c r="QKQ69" s="26"/>
      <c r="QKR69" s="26"/>
      <c r="QKS69" s="26"/>
      <c r="QKT69" s="26"/>
      <c r="QKU69" s="26"/>
      <c r="QKV69" s="26"/>
      <c r="QKW69" s="26"/>
      <c r="QKX69" s="26"/>
      <c r="QKY69" s="26"/>
      <c r="QKZ69" s="26"/>
      <c r="QLA69" s="26"/>
      <c r="QLB69" s="26"/>
      <c r="QLC69" s="26"/>
      <c r="QLD69" s="26"/>
      <c r="QLE69" s="26"/>
      <c r="QLF69" s="26"/>
      <c r="QLG69" s="26"/>
      <c r="QLH69" s="26"/>
      <c r="QLI69" s="26"/>
      <c r="QLJ69" s="26"/>
      <c r="QLK69" s="26"/>
      <c r="QLL69" s="26"/>
      <c r="QLM69" s="26"/>
      <c r="QLN69" s="26"/>
      <c r="QLO69" s="26"/>
      <c r="QLP69" s="26"/>
      <c r="QLQ69" s="26"/>
      <c r="QLR69" s="26"/>
      <c r="QLS69" s="26"/>
      <c r="QLT69" s="26"/>
      <c r="QLU69" s="26"/>
      <c r="QLV69" s="26"/>
      <c r="QLW69" s="26"/>
      <c r="QLX69" s="26"/>
      <c r="QLY69" s="26"/>
      <c r="QLZ69" s="26"/>
      <c r="QMA69" s="26"/>
      <c r="QMB69" s="26"/>
      <c r="QMC69" s="26"/>
      <c r="QMD69" s="26"/>
      <c r="QME69" s="26"/>
      <c r="QMF69" s="26"/>
      <c r="QMG69" s="26"/>
      <c r="QMH69" s="26"/>
      <c r="QMI69" s="26"/>
      <c r="QMJ69" s="26"/>
      <c r="QMK69" s="26"/>
      <c r="QML69" s="26"/>
      <c r="QMM69" s="26"/>
      <c r="QMN69" s="26"/>
      <c r="QMO69" s="26"/>
      <c r="QMP69" s="26"/>
      <c r="QMQ69" s="26"/>
      <c r="QMR69" s="26"/>
      <c r="QMS69" s="26"/>
      <c r="QMT69" s="26"/>
      <c r="QMU69" s="26"/>
      <c r="QMV69" s="26"/>
      <c r="QMW69" s="26"/>
      <c r="QMX69" s="26"/>
      <c r="QMY69" s="26"/>
      <c r="QMZ69" s="26"/>
      <c r="QNA69" s="26"/>
      <c r="QNB69" s="26"/>
      <c r="QNC69" s="26"/>
      <c r="QND69" s="26"/>
      <c r="QNE69" s="26"/>
      <c r="QNF69" s="26"/>
      <c r="QNG69" s="26"/>
      <c r="QNH69" s="26"/>
      <c r="QNI69" s="26"/>
      <c r="QNJ69" s="26"/>
      <c r="QNK69" s="26"/>
      <c r="QNL69" s="26"/>
      <c r="QNM69" s="26"/>
      <c r="QNN69" s="26"/>
      <c r="QNO69" s="26"/>
      <c r="QNP69" s="26"/>
      <c r="QNQ69" s="26"/>
      <c r="QNR69" s="26"/>
      <c r="QNS69" s="26"/>
      <c r="QNT69" s="26"/>
      <c r="QNU69" s="26"/>
      <c r="QNV69" s="26"/>
      <c r="QNW69" s="26"/>
      <c r="QNX69" s="26"/>
      <c r="QNY69" s="26"/>
      <c r="QNZ69" s="26"/>
      <c r="QOA69" s="26"/>
      <c r="QOB69" s="26"/>
      <c r="QOC69" s="26"/>
      <c r="QOD69" s="26"/>
      <c r="QOE69" s="26"/>
      <c r="QOF69" s="26"/>
      <c r="QOG69" s="26"/>
      <c r="QOH69" s="26"/>
      <c r="QOI69" s="26"/>
      <c r="QOJ69" s="26"/>
      <c r="QOK69" s="26"/>
      <c r="QOL69" s="26"/>
      <c r="QOM69" s="26"/>
      <c r="QON69" s="26"/>
      <c r="QOO69" s="26"/>
      <c r="QOP69" s="26"/>
      <c r="QOQ69" s="26"/>
      <c r="QOR69" s="26"/>
      <c r="QOS69" s="26"/>
      <c r="QOT69" s="26"/>
      <c r="QOU69" s="26"/>
      <c r="QOV69" s="26"/>
      <c r="QOW69" s="26"/>
      <c r="QOX69" s="26"/>
      <c r="QOY69" s="26"/>
      <c r="QOZ69" s="26"/>
      <c r="QPA69" s="26"/>
      <c r="QPB69" s="26"/>
      <c r="QPC69" s="26"/>
      <c r="QPD69" s="26"/>
      <c r="QPE69" s="26"/>
      <c r="QPF69" s="26"/>
      <c r="QPG69" s="26"/>
      <c r="QPH69" s="26"/>
      <c r="QPI69" s="26"/>
      <c r="QPJ69" s="26"/>
      <c r="QPK69" s="26"/>
      <c r="QPL69" s="26"/>
      <c r="QPM69" s="26"/>
      <c r="QPN69" s="26"/>
      <c r="QPO69" s="26"/>
      <c r="QPP69" s="26"/>
      <c r="QPQ69" s="26"/>
      <c r="QPR69" s="26"/>
      <c r="QPS69" s="26"/>
      <c r="QPT69" s="26"/>
      <c r="QPU69" s="26"/>
      <c r="QPV69" s="26"/>
      <c r="QPW69" s="26"/>
      <c r="QPX69" s="26"/>
      <c r="QPY69" s="26"/>
      <c r="QPZ69" s="26"/>
      <c r="QQA69" s="26"/>
      <c r="QQB69" s="26"/>
      <c r="QQC69" s="26"/>
      <c r="QQD69" s="26"/>
      <c r="QQE69" s="26"/>
      <c r="QQF69" s="26"/>
      <c r="QQG69" s="26"/>
      <c r="QQH69" s="26"/>
      <c r="QQI69" s="26"/>
      <c r="QQJ69" s="26"/>
      <c r="QQK69" s="26"/>
      <c r="QQL69" s="26"/>
      <c r="QQM69" s="26"/>
      <c r="QQN69" s="26"/>
      <c r="QQO69" s="26"/>
      <c r="QQP69" s="26"/>
      <c r="QQQ69" s="26"/>
      <c r="QQR69" s="26"/>
      <c r="QQS69" s="26"/>
      <c r="QQT69" s="26"/>
      <c r="QQU69" s="26"/>
      <c r="QQV69" s="26"/>
      <c r="QQW69" s="26"/>
      <c r="QQX69" s="26"/>
      <c r="QQY69" s="26"/>
      <c r="QQZ69" s="26"/>
      <c r="QRA69" s="26"/>
      <c r="QRB69" s="26"/>
      <c r="QRC69" s="26"/>
      <c r="QRD69" s="26"/>
      <c r="QRE69" s="26"/>
      <c r="QRF69" s="26"/>
      <c r="QRG69" s="26"/>
      <c r="QRH69" s="26"/>
      <c r="QRI69" s="26"/>
      <c r="QRJ69" s="26"/>
      <c r="QRK69" s="26"/>
      <c r="QRL69" s="26"/>
      <c r="QRM69" s="26"/>
      <c r="QRN69" s="26"/>
      <c r="QRO69" s="26"/>
      <c r="QRP69" s="26"/>
      <c r="QRQ69" s="26"/>
      <c r="QRR69" s="26"/>
      <c r="QRS69" s="26"/>
      <c r="QRT69" s="26"/>
      <c r="QRU69" s="26"/>
      <c r="QRV69" s="26"/>
      <c r="QRW69" s="26"/>
      <c r="QRX69" s="26"/>
      <c r="QRY69" s="26"/>
      <c r="QRZ69" s="26"/>
      <c r="QSA69" s="26"/>
      <c r="QSB69" s="26"/>
      <c r="QSC69" s="26"/>
      <c r="QSD69" s="26"/>
      <c r="QSE69" s="26"/>
      <c r="QSF69" s="26"/>
      <c r="QSG69" s="26"/>
      <c r="QSH69" s="26"/>
      <c r="QSI69" s="26"/>
      <c r="QSJ69" s="26"/>
      <c r="QSK69" s="26"/>
      <c r="QSL69" s="26"/>
      <c r="QSM69" s="26"/>
      <c r="QSN69" s="26"/>
      <c r="QSO69" s="26"/>
      <c r="QSP69" s="26"/>
      <c r="QSQ69" s="26"/>
      <c r="QSR69" s="26"/>
      <c r="QSS69" s="26"/>
      <c r="QST69" s="26"/>
      <c r="QSU69" s="26"/>
      <c r="QSV69" s="26"/>
      <c r="QSW69" s="26"/>
      <c r="QSX69" s="26"/>
      <c r="QSY69" s="26"/>
      <c r="QSZ69" s="26"/>
      <c r="QTA69" s="26"/>
      <c r="QTB69" s="26"/>
      <c r="QTC69" s="26"/>
      <c r="QTD69" s="26"/>
      <c r="QTE69" s="26"/>
      <c r="QTF69" s="26"/>
      <c r="QTG69" s="26"/>
      <c r="QTH69" s="26"/>
      <c r="QTI69" s="26"/>
      <c r="QTJ69" s="26"/>
      <c r="QTK69" s="26"/>
      <c r="QTL69" s="26"/>
      <c r="QTM69" s="26"/>
      <c r="QTN69" s="26"/>
      <c r="QTO69" s="26"/>
      <c r="QTP69" s="26"/>
      <c r="QTQ69" s="26"/>
      <c r="QTR69" s="26"/>
      <c r="QTS69" s="26"/>
      <c r="QTT69" s="26"/>
      <c r="QTU69" s="26"/>
      <c r="QTV69" s="26"/>
      <c r="QTW69" s="26"/>
      <c r="QTX69" s="26"/>
      <c r="QTY69" s="26"/>
      <c r="QTZ69" s="26"/>
      <c r="QUA69" s="26"/>
      <c r="QUB69" s="26"/>
      <c r="QUC69" s="26"/>
      <c r="QUD69" s="26"/>
      <c r="QUE69" s="26"/>
      <c r="QUF69" s="26"/>
      <c r="QUG69" s="26"/>
      <c r="QUH69" s="26"/>
      <c r="QUI69" s="26"/>
      <c r="QUJ69" s="26"/>
      <c r="QUK69" s="26"/>
      <c r="QUL69" s="26"/>
      <c r="QUM69" s="26"/>
      <c r="QUN69" s="26"/>
      <c r="QUO69" s="26"/>
      <c r="QUP69" s="26"/>
      <c r="QUQ69" s="26"/>
      <c r="QUR69" s="26"/>
      <c r="QUS69" s="26"/>
      <c r="QUT69" s="26"/>
      <c r="QUU69" s="26"/>
      <c r="QUV69" s="26"/>
      <c r="QUW69" s="26"/>
      <c r="QUX69" s="26"/>
      <c r="QUY69" s="26"/>
      <c r="QUZ69" s="26"/>
      <c r="QVA69" s="26"/>
      <c r="QVB69" s="26"/>
      <c r="QVC69" s="26"/>
      <c r="QVD69" s="26"/>
      <c r="QVE69" s="26"/>
      <c r="QVF69" s="26"/>
      <c r="QVG69" s="26"/>
      <c r="QVH69" s="26"/>
      <c r="QVI69" s="26"/>
      <c r="QVJ69" s="26"/>
      <c r="QVK69" s="26"/>
      <c r="QVL69" s="26"/>
      <c r="QVM69" s="26"/>
      <c r="QVN69" s="26"/>
      <c r="QVO69" s="26"/>
      <c r="QVP69" s="26"/>
      <c r="QVQ69" s="26"/>
      <c r="QVR69" s="26"/>
      <c r="QVS69" s="26"/>
      <c r="QVT69" s="26"/>
      <c r="QVU69" s="26"/>
      <c r="QVV69" s="26"/>
      <c r="QVW69" s="26"/>
      <c r="QVX69" s="26"/>
      <c r="QVY69" s="26"/>
      <c r="QVZ69" s="26"/>
      <c r="QWA69" s="26"/>
      <c r="QWB69" s="26"/>
      <c r="QWC69" s="26"/>
      <c r="QWD69" s="26"/>
      <c r="QWE69" s="26"/>
      <c r="QWF69" s="26"/>
      <c r="QWG69" s="26"/>
      <c r="QWH69" s="26"/>
      <c r="QWI69" s="26"/>
      <c r="QWJ69" s="26"/>
      <c r="QWK69" s="26"/>
      <c r="QWL69" s="26"/>
      <c r="QWM69" s="26"/>
      <c r="QWN69" s="26"/>
      <c r="QWO69" s="26"/>
      <c r="QWP69" s="26"/>
      <c r="QWQ69" s="26"/>
      <c r="QWR69" s="26"/>
      <c r="QWS69" s="26"/>
      <c r="QWT69" s="26"/>
      <c r="QWU69" s="26"/>
      <c r="QWV69" s="26"/>
      <c r="QWW69" s="26"/>
      <c r="QWX69" s="26"/>
      <c r="QWY69" s="26"/>
      <c r="QWZ69" s="26"/>
      <c r="QXA69" s="26"/>
      <c r="QXB69" s="26"/>
      <c r="QXC69" s="26"/>
      <c r="QXD69" s="26"/>
      <c r="QXE69" s="26"/>
      <c r="QXF69" s="26"/>
      <c r="QXG69" s="26"/>
      <c r="QXH69" s="26"/>
      <c r="QXI69" s="26"/>
      <c r="QXJ69" s="26"/>
      <c r="QXK69" s="26"/>
      <c r="QXL69" s="26"/>
      <c r="QXM69" s="26"/>
      <c r="QXN69" s="26"/>
      <c r="QXO69" s="26"/>
      <c r="QXP69" s="26"/>
      <c r="QXQ69" s="26"/>
      <c r="QXR69" s="26"/>
      <c r="QXS69" s="26"/>
      <c r="QXT69" s="26"/>
      <c r="QXU69" s="26"/>
      <c r="QXV69" s="26"/>
      <c r="QXW69" s="26"/>
      <c r="QXX69" s="26"/>
      <c r="QXY69" s="26"/>
      <c r="QXZ69" s="26"/>
      <c r="QYA69" s="26"/>
      <c r="QYB69" s="26"/>
      <c r="QYC69" s="26"/>
      <c r="QYD69" s="26"/>
      <c r="QYE69" s="26"/>
      <c r="QYF69" s="26"/>
      <c r="QYG69" s="26"/>
      <c r="QYH69" s="26"/>
      <c r="QYI69" s="26"/>
      <c r="QYJ69" s="26"/>
      <c r="QYK69" s="26"/>
      <c r="QYL69" s="26"/>
      <c r="QYM69" s="26"/>
      <c r="QYN69" s="26"/>
      <c r="QYO69" s="26"/>
      <c r="QYP69" s="26"/>
      <c r="QYQ69" s="26"/>
      <c r="QYR69" s="26"/>
      <c r="QYS69" s="26"/>
      <c r="QYT69" s="26"/>
      <c r="QYU69" s="26"/>
      <c r="QYV69" s="26"/>
      <c r="QYW69" s="26"/>
      <c r="QYX69" s="26"/>
      <c r="QYY69" s="26"/>
      <c r="QYZ69" s="26"/>
      <c r="QZA69" s="26"/>
      <c r="QZB69" s="26"/>
      <c r="QZC69" s="26"/>
      <c r="QZD69" s="26"/>
      <c r="QZE69" s="26"/>
      <c r="QZF69" s="26"/>
      <c r="QZG69" s="26"/>
      <c r="QZH69" s="26"/>
      <c r="QZI69" s="26"/>
      <c r="QZJ69" s="26"/>
      <c r="QZK69" s="26"/>
      <c r="QZL69" s="26"/>
      <c r="QZM69" s="26"/>
      <c r="QZN69" s="26"/>
      <c r="QZO69" s="26"/>
      <c r="QZP69" s="26"/>
      <c r="QZQ69" s="26"/>
      <c r="QZR69" s="26"/>
      <c r="QZS69" s="26"/>
      <c r="QZT69" s="26"/>
      <c r="QZU69" s="26"/>
      <c r="QZV69" s="26"/>
      <c r="QZW69" s="26"/>
      <c r="QZX69" s="26"/>
      <c r="QZY69" s="26"/>
      <c r="QZZ69" s="26"/>
      <c r="RAA69" s="26"/>
      <c r="RAB69" s="26"/>
      <c r="RAC69" s="26"/>
      <c r="RAD69" s="26"/>
      <c r="RAE69" s="26"/>
      <c r="RAF69" s="26"/>
      <c r="RAG69" s="26"/>
      <c r="RAH69" s="26"/>
      <c r="RAI69" s="26"/>
      <c r="RAJ69" s="26"/>
      <c r="RAK69" s="26"/>
      <c r="RAL69" s="26"/>
      <c r="RAM69" s="26"/>
      <c r="RAN69" s="26"/>
      <c r="RAO69" s="26"/>
      <c r="RAP69" s="26"/>
      <c r="RAQ69" s="26"/>
      <c r="RAR69" s="26"/>
      <c r="RAS69" s="26"/>
      <c r="RAT69" s="26"/>
      <c r="RAU69" s="26"/>
      <c r="RAV69" s="26"/>
      <c r="RAW69" s="26"/>
      <c r="RAX69" s="26"/>
      <c r="RAY69" s="26"/>
      <c r="RAZ69" s="26"/>
      <c r="RBA69" s="26"/>
      <c r="RBB69" s="26"/>
      <c r="RBC69" s="26"/>
      <c r="RBD69" s="26"/>
      <c r="RBE69" s="26"/>
      <c r="RBF69" s="26"/>
      <c r="RBG69" s="26"/>
      <c r="RBH69" s="26"/>
      <c r="RBI69" s="26"/>
      <c r="RBJ69" s="26"/>
      <c r="RBK69" s="26"/>
      <c r="RBL69" s="26"/>
      <c r="RBM69" s="26"/>
      <c r="RBN69" s="26"/>
      <c r="RBO69" s="26"/>
      <c r="RBP69" s="26"/>
      <c r="RBQ69" s="26"/>
      <c r="RBR69" s="26"/>
      <c r="RBS69" s="26"/>
      <c r="RBT69" s="26"/>
      <c r="RBU69" s="26"/>
      <c r="RBV69" s="26"/>
      <c r="RBW69" s="26"/>
      <c r="RBX69" s="26"/>
      <c r="RBY69" s="26"/>
      <c r="RBZ69" s="26"/>
      <c r="RCA69" s="26"/>
      <c r="RCB69" s="26"/>
      <c r="RCC69" s="26"/>
      <c r="RCD69" s="26"/>
      <c r="RCE69" s="26"/>
      <c r="RCF69" s="26"/>
      <c r="RCG69" s="26"/>
      <c r="RCH69" s="26"/>
      <c r="RCI69" s="26"/>
      <c r="RCJ69" s="26"/>
      <c r="RCK69" s="26"/>
      <c r="RCL69" s="26"/>
      <c r="RCM69" s="26"/>
      <c r="RCN69" s="26"/>
      <c r="RCO69" s="26"/>
      <c r="RCP69" s="26"/>
      <c r="RCQ69" s="26"/>
      <c r="RCR69" s="26"/>
      <c r="RCS69" s="26"/>
      <c r="RCT69" s="26"/>
      <c r="RCU69" s="26"/>
      <c r="RCV69" s="26"/>
      <c r="RCW69" s="26"/>
      <c r="RCX69" s="26"/>
      <c r="RCY69" s="26"/>
      <c r="RCZ69" s="26"/>
      <c r="RDA69" s="26"/>
      <c r="RDB69" s="26"/>
      <c r="RDC69" s="26"/>
      <c r="RDD69" s="26"/>
      <c r="RDE69" s="26"/>
      <c r="RDF69" s="26"/>
      <c r="RDG69" s="26"/>
      <c r="RDH69" s="26"/>
      <c r="RDI69" s="26"/>
      <c r="RDJ69" s="26"/>
      <c r="RDK69" s="26"/>
      <c r="RDL69" s="26"/>
      <c r="RDM69" s="26"/>
      <c r="RDN69" s="26"/>
      <c r="RDO69" s="26"/>
      <c r="RDP69" s="26"/>
      <c r="RDQ69" s="26"/>
      <c r="RDR69" s="26"/>
      <c r="RDS69" s="26"/>
      <c r="RDT69" s="26"/>
      <c r="RDU69" s="26"/>
      <c r="RDV69" s="26"/>
      <c r="RDW69" s="26"/>
      <c r="RDX69" s="26"/>
      <c r="RDY69" s="26"/>
      <c r="RDZ69" s="26"/>
      <c r="REA69" s="26"/>
      <c r="REB69" s="26"/>
      <c r="REC69" s="26"/>
      <c r="RED69" s="26"/>
      <c r="REE69" s="26"/>
      <c r="REF69" s="26"/>
      <c r="REG69" s="26"/>
      <c r="REH69" s="26"/>
      <c r="REI69" s="26"/>
      <c r="REJ69" s="26"/>
      <c r="REK69" s="26"/>
      <c r="REL69" s="26"/>
      <c r="REM69" s="26"/>
      <c r="REN69" s="26"/>
      <c r="REO69" s="26"/>
      <c r="REP69" s="26"/>
      <c r="REQ69" s="26"/>
      <c r="RER69" s="26"/>
      <c r="RES69" s="26"/>
      <c r="RET69" s="26"/>
      <c r="REU69" s="26"/>
      <c r="REV69" s="26"/>
      <c r="REW69" s="26"/>
      <c r="REX69" s="26"/>
      <c r="REY69" s="26"/>
      <c r="REZ69" s="26"/>
      <c r="RFA69" s="26"/>
      <c r="RFB69" s="26"/>
      <c r="RFC69" s="26"/>
      <c r="RFD69" s="26"/>
      <c r="RFE69" s="26"/>
      <c r="RFF69" s="26"/>
      <c r="RFG69" s="26"/>
      <c r="RFH69" s="26"/>
      <c r="RFI69" s="26"/>
      <c r="RFJ69" s="26"/>
      <c r="RFK69" s="26"/>
      <c r="RFL69" s="26"/>
      <c r="RFM69" s="26"/>
      <c r="RFN69" s="26"/>
      <c r="RFO69" s="26"/>
      <c r="RFP69" s="26"/>
      <c r="RFQ69" s="26"/>
      <c r="RFR69" s="26"/>
      <c r="RFS69" s="26"/>
      <c r="RFT69" s="26"/>
      <c r="RFU69" s="26"/>
      <c r="RFV69" s="26"/>
      <c r="RFW69" s="26"/>
      <c r="RFX69" s="26"/>
      <c r="RFY69" s="26"/>
      <c r="RFZ69" s="26"/>
      <c r="RGA69" s="26"/>
      <c r="RGB69" s="26"/>
      <c r="RGC69" s="26"/>
      <c r="RGD69" s="26"/>
      <c r="RGE69" s="26"/>
      <c r="RGF69" s="26"/>
      <c r="RGG69" s="26"/>
      <c r="RGH69" s="26"/>
      <c r="RGI69" s="26"/>
      <c r="RGJ69" s="26"/>
      <c r="RGK69" s="26"/>
      <c r="RGL69" s="26"/>
      <c r="RGM69" s="26"/>
      <c r="RGN69" s="26"/>
      <c r="RGO69" s="26"/>
      <c r="RGP69" s="26"/>
      <c r="RGQ69" s="26"/>
      <c r="RGR69" s="26"/>
      <c r="RGS69" s="26"/>
      <c r="RGT69" s="26"/>
      <c r="RGU69" s="26"/>
      <c r="RGV69" s="26"/>
      <c r="RGW69" s="26"/>
      <c r="RGX69" s="26"/>
      <c r="RGY69" s="26"/>
      <c r="RGZ69" s="26"/>
      <c r="RHA69" s="26"/>
      <c r="RHB69" s="26"/>
      <c r="RHC69" s="26"/>
      <c r="RHD69" s="26"/>
      <c r="RHE69" s="26"/>
      <c r="RHF69" s="26"/>
      <c r="RHG69" s="26"/>
      <c r="RHH69" s="26"/>
      <c r="RHI69" s="26"/>
      <c r="RHJ69" s="26"/>
      <c r="RHK69" s="26"/>
      <c r="RHL69" s="26"/>
      <c r="RHM69" s="26"/>
      <c r="RHN69" s="26"/>
      <c r="RHO69" s="26"/>
      <c r="RHP69" s="26"/>
      <c r="RHQ69" s="26"/>
      <c r="RHR69" s="26"/>
      <c r="RHS69" s="26"/>
      <c r="RHT69" s="26"/>
      <c r="RHU69" s="26"/>
      <c r="RHV69" s="26"/>
      <c r="RHW69" s="26"/>
      <c r="RHX69" s="26"/>
      <c r="RHY69" s="26"/>
      <c r="RHZ69" s="26"/>
      <c r="RIA69" s="26"/>
      <c r="RIB69" s="26"/>
      <c r="RIC69" s="26"/>
      <c r="RID69" s="26"/>
      <c r="RIE69" s="26"/>
      <c r="RIF69" s="26"/>
      <c r="RIG69" s="26"/>
      <c r="RIH69" s="26"/>
      <c r="RII69" s="26"/>
      <c r="RIJ69" s="26"/>
      <c r="RIK69" s="26"/>
      <c r="RIL69" s="26"/>
      <c r="RIM69" s="26"/>
      <c r="RIN69" s="26"/>
      <c r="RIO69" s="26"/>
      <c r="RIP69" s="26"/>
      <c r="RIQ69" s="26"/>
      <c r="RIR69" s="26"/>
      <c r="RIS69" s="26"/>
      <c r="RIT69" s="26"/>
      <c r="RIU69" s="26"/>
      <c r="RIV69" s="26"/>
      <c r="RIW69" s="26"/>
      <c r="RIX69" s="26"/>
      <c r="RIY69" s="26"/>
      <c r="RIZ69" s="26"/>
      <c r="RJA69" s="26"/>
      <c r="RJB69" s="26"/>
      <c r="RJC69" s="26"/>
      <c r="RJD69" s="26"/>
      <c r="RJE69" s="26"/>
      <c r="RJF69" s="26"/>
      <c r="RJG69" s="26"/>
      <c r="RJH69" s="26"/>
      <c r="RJI69" s="26"/>
      <c r="RJJ69" s="26"/>
      <c r="RJK69" s="26"/>
      <c r="RJL69" s="26"/>
      <c r="RJM69" s="26"/>
      <c r="RJN69" s="26"/>
      <c r="RJO69" s="26"/>
      <c r="RJP69" s="26"/>
      <c r="RJQ69" s="26"/>
      <c r="RJR69" s="26"/>
      <c r="RJS69" s="26"/>
      <c r="RJT69" s="26"/>
      <c r="RJU69" s="26"/>
      <c r="RJV69" s="26"/>
      <c r="RJW69" s="26"/>
      <c r="RJX69" s="26"/>
      <c r="RJY69" s="26"/>
      <c r="RJZ69" s="26"/>
      <c r="RKA69" s="26"/>
      <c r="RKB69" s="26"/>
      <c r="RKC69" s="26"/>
      <c r="RKD69" s="26"/>
      <c r="RKE69" s="26"/>
      <c r="RKF69" s="26"/>
      <c r="RKG69" s="26"/>
      <c r="RKH69" s="26"/>
      <c r="RKI69" s="26"/>
      <c r="RKJ69" s="26"/>
      <c r="RKK69" s="26"/>
      <c r="RKL69" s="26"/>
      <c r="RKM69" s="26"/>
      <c r="RKN69" s="26"/>
      <c r="RKO69" s="26"/>
      <c r="RKP69" s="26"/>
      <c r="RKQ69" s="26"/>
      <c r="RKR69" s="26"/>
      <c r="RKS69" s="26"/>
      <c r="RKT69" s="26"/>
      <c r="RKU69" s="26"/>
      <c r="RKV69" s="26"/>
      <c r="RKW69" s="26"/>
      <c r="RKX69" s="26"/>
      <c r="RKY69" s="26"/>
      <c r="RKZ69" s="26"/>
      <c r="RLA69" s="26"/>
      <c r="RLB69" s="26"/>
      <c r="RLC69" s="26"/>
      <c r="RLD69" s="26"/>
      <c r="RLE69" s="26"/>
      <c r="RLF69" s="26"/>
      <c r="RLG69" s="26"/>
      <c r="RLH69" s="26"/>
      <c r="RLI69" s="26"/>
      <c r="RLJ69" s="26"/>
      <c r="RLK69" s="26"/>
      <c r="RLL69" s="26"/>
      <c r="RLM69" s="26"/>
      <c r="RLN69" s="26"/>
      <c r="RLO69" s="26"/>
      <c r="RLP69" s="26"/>
      <c r="RLQ69" s="26"/>
      <c r="RLR69" s="26"/>
      <c r="RLS69" s="26"/>
      <c r="RLT69" s="26"/>
      <c r="RLU69" s="26"/>
      <c r="RLV69" s="26"/>
      <c r="RLW69" s="26"/>
      <c r="RLX69" s="26"/>
      <c r="RLY69" s="26"/>
      <c r="RLZ69" s="26"/>
      <c r="RMA69" s="26"/>
      <c r="RMB69" s="26"/>
      <c r="RMC69" s="26"/>
      <c r="RMD69" s="26"/>
      <c r="RME69" s="26"/>
      <c r="RMF69" s="26"/>
      <c r="RMG69" s="26"/>
      <c r="RMH69" s="26"/>
      <c r="RMI69" s="26"/>
      <c r="RMJ69" s="26"/>
      <c r="RMK69" s="26"/>
      <c r="RML69" s="26"/>
      <c r="RMM69" s="26"/>
      <c r="RMN69" s="26"/>
      <c r="RMO69" s="26"/>
      <c r="RMP69" s="26"/>
      <c r="RMQ69" s="26"/>
      <c r="RMR69" s="26"/>
      <c r="RMS69" s="26"/>
      <c r="RMT69" s="26"/>
      <c r="RMU69" s="26"/>
      <c r="RMV69" s="26"/>
      <c r="RMW69" s="26"/>
      <c r="RMX69" s="26"/>
      <c r="RMY69" s="26"/>
      <c r="RMZ69" s="26"/>
      <c r="RNA69" s="26"/>
      <c r="RNB69" s="26"/>
      <c r="RNC69" s="26"/>
      <c r="RND69" s="26"/>
      <c r="RNE69" s="26"/>
      <c r="RNF69" s="26"/>
      <c r="RNG69" s="26"/>
      <c r="RNH69" s="26"/>
      <c r="RNI69" s="26"/>
      <c r="RNJ69" s="26"/>
      <c r="RNK69" s="26"/>
      <c r="RNL69" s="26"/>
      <c r="RNM69" s="26"/>
      <c r="RNN69" s="26"/>
      <c r="RNO69" s="26"/>
      <c r="RNP69" s="26"/>
      <c r="RNQ69" s="26"/>
      <c r="RNR69" s="26"/>
      <c r="RNS69" s="26"/>
      <c r="RNT69" s="26"/>
      <c r="RNU69" s="26"/>
      <c r="RNV69" s="26"/>
      <c r="RNW69" s="26"/>
      <c r="RNX69" s="26"/>
      <c r="RNY69" s="26"/>
      <c r="RNZ69" s="26"/>
      <c r="ROA69" s="26"/>
      <c r="ROB69" s="26"/>
      <c r="ROC69" s="26"/>
      <c r="ROD69" s="26"/>
      <c r="ROE69" s="26"/>
      <c r="ROF69" s="26"/>
      <c r="ROG69" s="26"/>
      <c r="ROH69" s="26"/>
      <c r="ROI69" s="26"/>
      <c r="ROJ69" s="26"/>
      <c r="ROK69" s="26"/>
      <c r="ROL69" s="26"/>
      <c r="ROM69" s="26"/>
      <c r="RON69" s="26"/>
      <c r="ROO69" s="26"/>
      <c r="ROP69" s="26"/>
      <c r="ROQ69" s="26"/>
      <c r="ROR69" s="26"/>
      <c r="ROS69" s="26"/>
      <c r="ROT69" s="26"/>
      <c r="ROU69" s="26"/>
      <c r="ROV69" s="26"/>
      <c r="ROW69" s="26"/>
      <c r="ROX69" s="26"/>
      <c r="ROY69" s="26"/>
      <c r="ROZ69" s="26"/>
      <c r="RPA69" s="26"/>
      <c r="RPB69" s="26"/>
      <c r="RPC69" s="26"/>
      <c r="RPD69" s="26"/>
      <c r="RPE69" s="26"/>
      <c r="RPF69" s="26"/>
      <c r="RPG69" s="26"/>
      <c r="RPH69" s="26"/>
      <c r="RPI69" s="26"/>
      <c r="RPJ69" s="26"/>
      <c r="RPK69" s="26"/>
      <c r="RPL69" s="26"/>
      <c r="RPM69" s="26"/>
      <c r="RPN69" s="26"/>
      <c r="RPO69" s="26"/>
      <c r="RPP69" s="26"/>
      <c r="RPQ69" s="26"/>
      <c r="RPR69" s="26"/>
      <c r="RPS69" s="26"/>
      <c r="RPT69" s="26"/>
      <c r="RPU69" s="26"/>
      <c r="RPV69" s="26"/>
      <c r="RPW69" s="26"/>
      <c r="RPX69" s="26"/>
      <c r="RPY69" s="26"/>
      <c r="RPZ69" s="26"/>
      <c r="RQA69" s="26"/>
      <c r="RQB69" s="26"/>
      <c r="RQC69" s="26"/>
      <c r="RQD69" s="26"/>
      <c r="RQE69" s="26"/>
      <c r="RQF69" s="26"/>
      <c r="RQG69" s="26"/>
      <c r="RQH69" s="26"/>
      <c r="RQI69" s="26"/>
      <c r="RQJ69" s="26"/>
      <c r="RQK69" s="26"/>
      <c r="RQL69" s="26"/>
      <c r="RQM69" s="26"/>
      <c r="RQN69" s="26"/>
      <c r="RQO69" s="26"/>
      <c r="RQP69" s="26"/>
      <c r="RQQ69" s="26"/>
      <c r="RQR69" s="26"/>
      <c r="RQS69" s="26"/>
      <c r="RQT69" s="26"/>
      <c r="RQU69" s="26"/>
      <c r="RQV69" s="26"/>
      <c r="RQW69" s="26"/>
      <c r="RQX69" s="26"/>
      <c r="RQY69" s="26"/>
      <c r="RQZ69" s="26"/>
      <c r="RRA69" s="26"/>
      <c r="RRB69" s="26"/>
      <c r="RRC69" s="26"/>
      <c r="RRD69" s="26"/>
      <c r="RRE69" s="26"/>
      <c r="RRF69" s="26"/>
      <c r="RRG69" s="26"/>
      <c r="RRH69" s="26"/>
      <c r="RRI69" s="26"/>
      <c r="RRJ69" s="26"/>
      <c r="RRK69" s="26"/>
      <c r="RRL69" s="26"/>
      <c r="RRM69" s="26"/>
      <c r="RRN69" s="26"/>
      <c r="RRO69" s="26"/>
      <c r="RRP69" s="26"/>
      <c r="RRQ69" s="26"/>
      <c r="RRR69" s="26"/>
      <c r="RRS69" s="26"/>
      <c r="RRT69" s="26"/>
      <c r="RRU69" s="26"/>
      <c r="RRV69" s="26"/>
      <c r="RRW69" s="26"/>
      <c r="RRX69" s="26"/>
      <c r="RRY69" s="26"/>
      <c r="RRZ69" s="26"/>
      <c r="RSA69" s="26"/>
      <c r="RSB69" s="26"/>
      <c r="RSC69" s="26"/>
      <c r="RSD69" s="26"/>
      <c r="RSE69" s="26"/>
      <c r="RSF69" s="26"/>
      <c r="RSG69" s="26"/>
      <c r="RSH69" s="26"/>
      <c r="RSI69" s="26"/>
      <c r="RSJ69" s="26"/>
      <c r="RSK69" s="26"/>
      <c r="RSL69" s="26"/>
      <c r="RSM69" s="26"/>
      <c r="RSN69" s="26"/>
      <c r="RSO69" s="26"/>
      <c r="RSP69" s="26"/>
      <c r="RSQ69" s="26"/>
      <c r="RSR69" s="26"/>
      <c r="RSS69" s="26"/>
      <c r="RST69" s="26"/>
      <c r="RSU69" s="26"/>
      <c r="RSV69" s="26"/>
      <c r="RSW69" s="26"/>
      <c r="RSX69" s="26"/>
      <c r="RSY69" s="26"/>
      <c r="RSZ69" s="26"/>
      <c r="RTA69" s="26"/>
      <c r="RTB69" s="26"/>
      <c r="RTC69" s="26"/>
      <c r="RTD69" s="26"/>
      <c r="RTE69" s="26"/>
      <c r="RTF69" s="26"/>
      <c r="RTG69" s="26"/>
      <c r="RTH69" s="26"/>
      <c r="RTI69" s="26"/>
      <c r="RTJ69" s="26"/>
      <c r="RTK69" s="26"/>
      <c r="RTL69" s="26"/>
      <c r="RTM69" s="26"/>
      <c r="RTN69" s="26"/>
      <c r="RTO69" s="26"/>
      <c r="RTP69" s="26"/>
      <c r="RTQ69" s="26"/>
      <c r="RTR69" s="26"/>
      <c r="RTS69" s="26"/>
      <c r="RTT69" s="26"/>
      <c r="RTU69" s="26"/>
      <c r="RTV69" s="26"/>
      <c r="RTW69" s="26"/>
      <c r="RTX69" s="26"/>
      <c r="RTY69" s="26"/>
      <c r="RTZ69" s="26"/>
      <c r="RUA69" s="26"/>
      <c r="RUB69" s="26"/>
      <c r="RUC69" s="26"/>
      <c r="RUD69" s="26"/>
      <c r="RUE69" s="26"/>
      <c r="RUF69" s="26"/>
      <c r="RUG69" s="26"/>
      <c r="RUH69" s="26"/>
      <c r="RUI69" s="26"/>
      <c r="RUJ69" s="26"/>
      <c r="RUK69" s="26"/>
      <c r="RUL69" s="26"/>
      <c r="RUM69" s="26"/>
      <c r="RUN69" s="26"/>
      <c r="RUO69" s="26"/>
      <c r="RUP69" s="26"/>
      <c r="RUQ69" s="26"/>
      <c r="RUR69" s="26"/>
      <c r="RUS69" s="26"/>
      <c r="RUT69" s="26"/>
      <c r="RUU69" s="26"/>
      <c r="RUV69" s="26"/>
      <c r="RUW69" s="26"/>
      <c r="RUX69" s="26"/>
      <c r="RUY69" s="26"/>
      <c r="RUZ69" s="26"/>
      <c r="RVA69" s="26"/>
      <c r="RVB69" s="26"/>
      <c r="RVC69" s="26"/>
      <c r="RVD69" s="26"/>
      <c r="RVE69" s="26"/>
      <c r="RVF69" s="26"/>
      <c r="RVG69" s="26"/>
      <c r="RVH69" s="26"/>
      <c r="RVI69" s="26"/>
      <c r="RVJ69" s="26"/>
      <c r="RVK69" s="26"/>
      <c r="RVL69" s="26"/>
      <c r="RVM69" s="26"/>
      <c r="RVN69" s="26"/>
      <c r="RVO69" s="26"/>
      <c r="RVP69" s="26"/>
      <c r="RVQ69" s="26"/>
      <c r="RVR69" s="26"/>
      <c r="RVS69" s="26"/>
      <c r="RVT69" s="26"/>
      <c r="RVU69" s="26"/>
      <c r="RVV69" s="26"/>
      <c r="RVW69" s="26"/>
      <c r="RVX69" s="26"/>
      <c r="RVY69" s="26"/>
      <c r="RVZ69" s="26"/>
      <c r="RWA69" s="26"/>
      <c r="RWB69" s="26"/>
      <c r="RWC69" s="26"/>
      <c r="RWD69" s="26"/>
      <c r="RWE69" s="26"/>
      <c r="RWF69" s="26"/>
      <c r="RWG69" s="26"/>
      <c r="RWH69" s="26"/>
      <c r="RWI69" s="26"/>
      <c r="RWJ69" s="26"/>
      <c r="RWK69" s="26"/>
      <c r="RWL69" s="26"/>
      <c r="RWM69" s="26"/>
      <c r="RWN69" s="26"/>
      <c r="RWO69" s="26"/>
      <c r="RWP69" s="26"/>
      <c r="RWQ69" s="26"/>
      <c r="RWR69" s="26"/>
      <c r="RWS69" s="26"/>
      <c r="RWT69" s="26"/>
      <c r="RWU69" s="26"/>
      <c r="RWV69" s="26"/>
      <c r="RWW69" s="26"/>
      <c r="RWX69" s="26"/>
      <c r="RWY69" s="26"/>
      <c r="RWZ69" s="26"/>
      <c r="RXA69" s="26"/>
      <c r="RXB69" s="26"/>
      <c r="RXC69" s="26"/>
      <c r="RXD69" s="26"/>
      <c r="RXE69" s="26"/>
      <c r="RXF69" s="26"/>
      <c r="RXG69" s="26"/>
      <c r="RXH69" s="26"/>
      <c r="RXI69" s="26"/>
      <c r="RXJ69" s="26"/>
      <c r="RXK69" s="26"/>
      <c r="RXL69" s="26"/>
      <c r="RXM69" s="26"/>
      <c r="RXN69" s="26"/>
      <c r="RXO69" s="26"/>
      <c r="RXP69" s="26"/>
      <c r="RXQ69" s="26"/>
      <c r="RXR69" s="26"/>
      <c r="RXS69" s="26"/>
      <c r="RXT69" s="26"/>
      <c r="RXU69" s="26"/>
      <c r="RXV69" s="26"/>
      <c r="RXW69" s="26"/>
      <c r="RXX69" s="26"/>
      <c r="RXY69" s="26"/>
      <c r="RXZ69" s="26"/>
      <c r="RYA69" s="26"/>
      <c r="RYB69" s="26"/>
      <c r="RYC69" s="26"/>
      <c r="RYD69" s="26"/>
      <c r="RYE69" s="26"/>
      <c r="RYF69" s="26"/>
      <c r="RYG69" s="26"/>
      <c r="RYH69" s="26"/>
      <c r="RYI69" s="26"/>
      <c r="RYJ69" s="26"/>
      <c r="RYK69" s="26"/>
      <c r="RYL69" s="26"/>
      <c r="RYM69" s="26"/>
      <c r="RYN69" s="26"/>
      <c r="RYO69" s="26"/>
      <c r="RYP69" s="26"/>
      <c r="RYQ69" s="26"/>
      <c r="RYR69" s="26"/>
      <c r="RYS69" s="26"/>
      <c r="RYT69" s="26"/>
      <c r="RYU69" s="26"/>
      <c r="RYV69" s="26"/>
      <c r="RYW69" s="26"/>
      <c r="RYX69" s="26"/>
      <c r="RYY69" s="26"/>
      <c r="RYZ69" s="26"/>
      <c r="RZA69" s="26"/>
      <c r="RZB69" s="26"/>
      <c r="RZC69" s="26"/>
      <c r="RZD69" s="26"/>
      <c r="RZE69" s="26"/>
      <c r="RZF69" s="26"/>
      <c r="RZG69" s="26"/>
      <c r="RZH69" s="26"/>
      <c r="RZI69" s="26"/>
      <c r="RZJ69" s="26"/>
      <c r="RZK69" s="26"/>
      <c r="RZL69" s="26"/>
      <c r="RZM69" s="26"/>
      <c r="RZN69" s="26"/>
      <c r="RZO69" s="26"/>
      <c r="RZP69" s="26"/>
      <c r="RZQ69" s="26"/>
      <c r="RZR69" s="26"/>
      <c r="RZS69" s="26"/>
      <c r="RZT69" s="26"/>
      <c r="RZU69" s="26"/>
      <c r="RZV69" s="26"/>
      <c r="RZW69" s="26"/>
      <c r="RZX69" s="26"/>
      <c r="RZY69" s="26"/>
      <c r="RZZ69" s="26"/>
      <c r="SAA69" s="26"/>
      <c r="SAB69" s="26"/>
      <c r="SAC69" s="26"/>
      <c r="SAD69" s="26"/>
      <c r="SAE69" s="26"/>
      <c r="SAF69" s="26"/>
      <c r="SAG69" s="26"/>
      <c r="SAH69" s="26"/>
      <c r="SAI69" s="26"/>
      <c r="SAJ69" s="26"/>
      <c r="SAK69" s="26"/>
      <c r="SAL69" s="26"/>
      <c r="SAM69" s="26"/>
      <c r="SAN69" s="26"/>
      <c r="SAO69" s="26"/>
      <c r="SAP69" s="26"/>
      <c r="SAQ69" s="26"/>
      <c r="SAR69" s="26"/>
      <c r="SAS69" s="26"/>
      <c r="SAT69" s="26"/>
      <c r="SAU69" s="26"/>
      <c r="SAV69" s="26"/>
      <c r="SAW69" s="26"/>
      <c r="SAX69" s="26"/>
      <c r="SAY69" s="26"/>
      <c r="SAZ69" s="26"/>
      <c r="SBA69" s="26"/>
      <c r="SBB69" s="26"/>
      <c r="SBC69" s="26"/>
      <c r="SBD69" s="26"/>
      <c r="SBE69" s="26"/>
      <c r="SBF69" s="26"/>
      <c r="SBG69" s="26"/>
      <c r="SBH69" s="26"/>
      <c r="SBI69" s="26"/>
      <c r="SBJ69" s="26"/>
      <c r="SBK69" s="26"/>
      <c r="SBL69" s="26"/>
      <c r="SBM69" s="26"/>
      <c r="SBN69" s="26"/>
      <c r="SBO69" s="26"/>
      <c r="SBP69" s="26"/>
      <c r="SBQ69" s="26"/>
      <c r="SBR69" s="26"/>
      <c r="SBS69" s="26"/>
      <c r="SBT69" s="26"/>
      <c r="SBU69" s="26"/>
      <c r="SBV69" s="26"/>
      <c r="SBW69" s="26"/>
      <c r="SBX69" s="26"/>
      <c r="SBY69" s="26"/>
      <c r="SBZ69" s="26"/>
      <c r="SCA69" s="26"/>
      <c r="SCB69" s="26"/>
      <c r="SCC69" s="26"/>
      <c r="SCD69" s="26"/>
      <c r="SCE69" s="26"/>
      <c r="SCF69" s="26"/>
      <c r="SCG69" s="26"/>
      <c r="SCH69" s="26"/>
      <c r="SCI69" s="26"/>
      <c r="SCJ69" s="26"/>
      <c r="SCK69" s="26"/>
      <c r="SCL69" s="26"/>
      <c r="SCM69" s="26"/>
      <c r="SCN69" s="26"/>
      <c r="SCO69" s="26"/>
      <c r="SCP69" s="26"/>
      <c r="SCQ69" s="26"/>
      <c r="SCR69" s="26"/>
      <c r="SCS69" s="26"/>
      <c r="SCT69" s="26"/>
      <c r="SCU69" s="26"/>
      <c r="SCV69" s="26"/>
      <c r="SCW69" s="26"/>
      <c r="SCX69" s="26"/>
      <c r="SCY69" s="26"/>
      <c r="SCZ69" s="26"/>
      <c r="SDA69" s="26"/>
      <c r="SDB69" s="26"/>
      <c r="SDC69" s="26"/>
      <c r="SDD69" s="26"/>
      <c r="SDE69" s="26"/>
      <c r="SDF69" s="26"/>
      <c r="SDG69" s="26"/>
      <c r="SDH69" s="26"/>
      <c r="SDI69" s="26"/>
      <c r="SDJ69" s="26"/>
      <c r="SDK69" s="26"/>
      <c r="SDL69" s="26"/>
      <c r="SDM69" s="26"/>
      <c r="SDN69" s="26"/>
      <c r="SDO69" s="26"/>
      <c r="SDP69" s="26"/>
      <c r="SDQ69" s="26"/>
      <c r="SDR69" s="26"/>
      <c r="SDS69" s="26"/>
      <c r="SDT69" s="26"/>
      <c r="SDU69" s="26"/>
      <c r="SDV69" s="26"/>
      <c r="SDW69" s="26"/>
      <c r="SDX69" s="26"/>
      <c r="SDY69" s="26"/>
      <c r="SDZ69" s="26"/>
      <c r="SEA69" s="26"/>
      <c r="SEB69" s="26"/>
      <c r="SEC69" s="26"/>
      <c r="SED69" s="26"/>
      <c r="SEE69" s="26"/>
      <c r="SEF69" s="26"/>
      <c r="SEG69" s="26"/>
      <c r="SEH69" s="26"/>
      <c r="SEI69" s="26"/>
      <c r="SEJ69" s="26"/>
      <c r="SEK69" s="26"/>
      <c r="SEL69" s="26"/>
      <c r="SEM69" s="26"/>
      <c r="SEN69" s="26"/>
      <c r="SEO69" s="26"/>
      <c r="SEP69" s="26"/>
      <c r="SEQ69" s="26"/>
      <c r="SER69" s="26"/>
      <c r="SES69" s="26"/>
      <c r="SET69" s="26"/>
      <c r="SEU69" s="26"/>
      <c r="SEV69" s="26"/>
      <c r="SEW69" s="26"/>
      <c r="SEX69" s="26"/>
      <c r="SEY69" s="26"/>
      <c r="SEZ69" s="26"/>
      <c r="SFA69" s="26"/>
      <c r="SFB69" s="26"/>
      <c r="SFC69" s="26"/>
      <c r="SFD69" s="26"/>
      <c r="SFE69" s="26"/>
      <c r="SFF69" s="26"/>
      <c r="SFG69" s="26"/>
      <c r="SFH69" s="26"/>
      <c r="SFI69" s="26"/>
      <c r="SFJ69" s="26"/>
      <c r="SFK69" s="26"/>
      <c r="SFL69" s="26"/>
      <c r="SFM69" s="26"/>
      <c r="SFN69" s="26"/>
      <c r="SFO69" s="26"/>
      <c r="SFP69" s="26"/>
      <c r="SFQ69" s="26"/>
      <c r="SFR69" s="26"/>
      <c r="SFS69" s="26"/>
      <c r="SFT69" s="26"/>
      <c r="SFU69" s="26"/>
      <c r="SFV69" s="26"/>
      <c r="SFW69" s="26"/>
      <c r="SFX69" s="26"/>
      <c r="SFY69" s="26"/>
      <c r="SFZ69" s="26"/>
      <c r="SGA69" s="26"/>
      <c r="SGB69" s="26"/>
      <c r="SGC69" s="26"/>
      <c r="SGD69" s="26"/>
      <c r="SGE69" s="26"/>
      <c r="SGF69" s="26"/>
      <c r="SGG69" s="26"/>
      <c r="SGH69" s="26"/>
      <c r="SGI69" s="26"/>
      <c r="SGJ69" s="26"/>
      <c r="SGK69" s="26"/>
      <c r="SGL69" s="26"/>
      <c r="SGM69" s="26"/>
      <c r="SGN69" s="26"/>
      <c r="SGO69" s="26"/>
      <c r="SGP69" s="26"/>
      <c r="SGQ69" s="26"/>
      <c r="SGR69" s="26"/>
      <c r="SGS69" s="26"/>
      <c r="SGT69" s="26"/>
      <c r="SGU69" s="26"/>
      <c r="SGV69" s="26"/>
      <c r="SGW69" s="26"/>
      <c r="SGX69" s="26"/>
      <c r="SGY69" s="26"/>
      <c r="SGZ69" s="26"/>
      <c r="SHA69" s="26"/>
      <c r="SHB69" s="26"/>
      <c r="SHC69" s="26"/>
      <c r="SHD69" s="26"/>
      <c r="SHE69" s="26"/>
      <c r="SHF69" s="26"/>
      <c r="SHG69" s="26"/>
      <c r="SHH69" s="26"/>
      <c r="SHI69" s="26"/>
      <c r="SHJ69" s="26"/>
      <c r="SHK69" s="26"/>
      <c r="SHL69" s="26"/>
      <c r="SHM69" s="26"/>
      <c r="SHN69" s="26"/>
      <c r="SHO69" s="26"/>
      <c r="SHP69" s="26"/>
      <c r="SHQ69" s="26"/>
      <c r="SHR69" s="26"/>
      <c r="SHS69" s="26"/>
      <c r="SHT69" s="26"/>
      <c r="SHU69" s="26"/>
      <c r="SHV69" s="26"/>
      <c r="SHW69" s="26"/>
      <c r="SHX69" s="26"/>
      <c r="SHY69" s="26"/>
      <c r="SHZ69" s="26"/>
      <c r="SIA69" s="26"/>
      <c r="SIB69" s="26"/>
      <c r="SIC69" s="26"/>
      <c r="SID69" s="26"/>
      <c r="SIE69" s="26"/>
      <c r="SIF69" s="26"/>
      <c r="SIG69" s="26"/>
      <c r="SIH69" s="26"/>
      <c r="SII69" s="26"/>
      <c r="SIJ69" s="26"/>
      <c r="SIK69" s="26"/>
      <c r="SIL69" s="26"/>
      <c r="SIM69" s="26"/>
      <c r="SIN69" s="26"/>
      <c r="SIO69" s="26"/>
      <c r="SIP69" s="26"/>
      <c r="SIQ69" s="26"/>
      <c r="SIR69" s="26"/>
      <c r="SIS69" s="26"/>
      <c r="SIT69" s="26"/>
      <c r="SIU69" s="26"/>
      <c r="SIV69" s="26"/>
      <c r="SIW69" s="26"/>
      <c r="SIX69" s="26"/>
      <c r="SIY69" s="26"/>
      <c r="SIZ69" s="26"/>
      <c r="SJA69" s="26"/>
      <c r="SJB69" s="26"/>
      <c r="SJC69" s="26"/>
      <c r="SJD69" s="26"/>
      <c r="SJE69" s="26"/>
      <c r="SJF69" s="26"/>
      <c r="SJG69" s="26"/>
      <c r="SJH69" s="26"/>
      <c r="SJI69" s="26"/>
      <c r="SJJ69" s="26"/>
      <c r="SJK69" s="26"/>
      <c r="SJL69" s="26"/>
      <c r="SJM69" s="26"/>
      <c r="SJN69" s="26"/>
      <c r="SJO69" s="26"/>
      <c r="SJP69" s="26"/>
      <c r="SJQ69" s="26"/>
      <c r="SJR69" s="26"/>
      <c r="SJS69" s="26"/>
      <c r="SJT69" s="26"/>
      <c r="SJU69" s="26"/>
      <c r="SJV69" s="26"/>
      <c r="SJW69" s="26"/>
      <c r="SJX69" s="26"/>
      <c r="SJY69" s="26"/>
      <c r="SJZ69" s="26"/>
      <c r="SKA69" s="26"/>
      <c r="SKB69" s="26"/>
      <c r="SKC69" s="26"/>
      <c r="SKD69" s="26"/>
      <c r="SKE69" s="26"/>
      <c r="SKF69" s="26"/>
      <c r="SKG69" s="26"/>
      <c r="SKH69" s="26"/>
      <c r="SKI69" s="26"/>
      <c r="SKJ69" s="26"/>
      <c r="SKK69" s="26"/>
      <c r="SKL69" s="26"/>
      <c r="SKM69" s="26"/>
      <c r="SKN69" s="26"/>
      <c r="SKO69" s="26"/>
      <c r="SKP69" s="26"/>
      <c r="SKQ69" s="26"/>
      <c r="SKR69" s="26"/>
      <c r="SKS69" s="26"/>
      <c r="SKT69" s="26"/>
      <c r="SKU69" s="26"/>
      <c r="SKV69" s="26"/>
      <c r="SKW69" s="26"/>
      <c r="SKX69" s="26"/>
      <c r="SKY69" s="26"/>
      <c r="SKZ69" s="26"/>
      <c r="SLA69" s="26"/>
      <c r="SLB69" s="26"/>
      <c r="SLC69" s="26"/>
      <c r="SLD69" s="26"/>
      <c r="SLE69" s="26"/>
      <c r="SLF69" s="26"/>
      <c r="SLG69" s="26"/>
      <c r="SLH69" s="26"/>
      <c r="SLI69" s="26"/>
      <c r="SLJ69" s="26"/>
      <c r="SLK69" s="26"/>
      <c r="SLL69" s="26"/>
      <c r="SLM69" s="26"/>
      <c r="SLN69" s="26"/>
      <c r="SLO69" s="26"/>
      <c r="SLP69" s="26"/>
      <c r="SLQ69" s="26"/>
      <c r="SLR69" s="26"/>
      <c r="SLS69" s="26"/>
      <c r="SLT69" s="26"/>
      <c r="SLU69" s="26"/>
      <c r="SLV69" s="26"/>
      <c r="SLW69" s="26"/>
      <c r="SLX69" s="26"/>
      <c r="SLY69" s="26"/>
      <c r="SLZ69" s="26"/>
      <c r="SMA69" s="26"/>
      <c r="SMB69" s="26"/>
      <c r="SMC69" s="26"/>
      <c r="SMD69" s="26"/>
      <c r="SME69" s="26"/>
      <c r="SMF69" s="26"/>
      <c r="SMG69" s="26"/>
      <c r="SMH69" s="26"/>
      <c r="SMI69" s="26"/>
      <c r="SMJ69" s="26"/>
      <c r="SMK69" s="26"/>
      <c r="SML69" s="26"/>
      <c r="SMM69" s="26"/>
      <c r="SMN69" s="26"/>
      <c r="SMO69" s="26"/>
      <c r="SMP69" s="26"/>
      <c r="SMQ69" s="26"/>
      <c r="SMR69" s="26"/>
      <c r="SMS69" s="26"/>
      <c r="SMT69" s="26"/>
      <c r="SMU69" s="26"/>
      <c r="SMV69" s="26"/>
      <c r="SMW69" s="26"/>
      <c r="SMX69" s="26"/>
      <c r="SMY69" s="26"/>
      <c r="SMZ69" s="26"/>
      <c r="SNA69" s="26"/>
      <c r="SNB69" s="26"/>
      <c r="SNC69" s="26"/>
      <c r="SND69" s="26"/>
      <c r="SNE69" s="26"/>
      <c r="SNF69" s="26"/>
      <c r="SNG69" s="26"/>
      <c r="SNH69" s="26"/>
      <c r="SNI69" s="26"/>
      <c r="SNJ69" s="26"/>
      <c r="SNK69" s="26"/>
      <c r="SNL69" s="26"/>
      <c r="SNM69" s="26"/>
      <c r="SNN69" s="26"/>
      <c r="SNO69" s="26"/>
      <c r="SNP69" s="26"/>
      <c r="SNQ69" s="26"/>
      <c r="SNR69" s="26"/>
      <c r="SNS69" s="26"/>
      <c r="SNT69" s="26"/>
      <c r="SNU69" s="26"/>
      <c r="SNV69" s="26"/>
      <c r="SNW69" s="26"/>
      <c r="SNX69" s="26"/>
      <c r="SNY69" s="26"/>
      <c r="SNZ69" s="26"/>
      <c r="SOA69" s="26"/>
      <c r="SOB69" s="26"/>
      <c r="SOC69" s="26"/>
      <c r="SOD69" s="26"/>
      <c r="SOE69" s="26"/>
      <c r="SOF69" s="26"/>
      <c r="SOG69" s="26"/>
      <c r="SOH69" s="26"/>
      <c r="SOI69" s="26"/>
      <c r="SOJ69" s="26"/>
      <c r="SOK69" s="26"/>
      <c r="SOL69" s="26"/>
      <c r="SOM69" s="26"/>
      <c r="SON69" s="26"/>
      <c r="SOO69" s="26"/>
      <c r="SOP69" s="26"/>
      <c r="SOQ69" s="26"/>
      <c r="SOR69" s="26"/>
      <c r="SOS69" s="26"/>
      <c r="SOT69" s="26"/>
      <c r="SOU69" s="26"/>
      <c r="SOV69" s="26"/>
      <c r="SOW69" s="26"/>
      <c r="SOX69" s="26"/>
      <c r="SOY69" s="26"/>
      <c r="SOZ69" s="26"/>
      <c r="SPA69" s="26"/>
      <c r="SPB69" s="26"/>
      <c r="SPC69" s="26"/>
      <c r="SPD69" s="26"/>
      <c r="SPE69" s="26"/>
      <c r="SPF69" s="26"/>
      <c r="SPG69" s="26"/>
      <c r="SPH69" s="26"/>
      <c r="SPI69" s="26"/>
      <c r="SPJ69" s="26"/>
      <c r="SPK69" s="26"/>
      <c r="SPL69" s="26"/>
      <c r="SPM69" s="26"/>
      <c r="SPN69" s="26"/>
      <c r="SPO69" s="26"/>
      <c r="SPP69" s="26"/>
      <c r="SPQ69" s="26"/>
      <c r="SPR69" s="26"/>
      <c r="SPS69" s="26"/>
      <c r="SPT69" s="26"/>
      <c r="SPU69" s="26"/>
      <c r="SPV69" s="26"/>
      <c r="SPW69" s="26"/>
      <c r="SPX69" s="26"/>
      <c r="SPY69" s="26"/>
      <c r="SPZ69" s="26"/>
      <c r="SQA69" s="26"/>
      <c r="SQB69" s="26"/>
      <c r="SQC69" s="26"/>
      <c r="SQD69" s="26"/>
      <c r="SQE69" s="26"/>
      <c r="SQF69" s="26"/>
      <c r="SQG69" s="26"/>
      <c r="SQH69" s="26"/>
      <c r="SQI69" s="26"/>
      <c r="SQJ69" s="26"/>
      <c r="SQK69" s="26"/>
      <c r="SQL69" s="26"/>
      <c r="SQM69" s="26"/>
      <c r="SQN69" s="26"/>
      <c r="SQO69" s="26"/>
      <c r="SQP69" s="26"/>
      <c r="SQQ69" s="26"/>
      <c r="SQR69" s="26"/>
      <c r="SQS69" s="26"/>
      <c r="SQT69" s="26"/>
      <c r="SQU69" s="26"/>
      <c r="SQV69" s="26"/>
      <c r="SQW69" s="26"/>
      <c r="SQX69" s="26"/>
      <c r="SQY69" s="26"/>
      <c r="SQZ69" s="26"/>
      <c r="SRA69" s="26"/>
      <c r="SRB69" s="26"/>
      <c r="SRC69" s="26"/>
      <c r="SRD69" s="26"/>
      <c r="SRE69" s="26"/>
      <c r="SRF69" s="26"/>
      <c r="SRG69" s="26"/>
      <c r="SRH69" s="26"/>
      <c r="SRI69" s="26"/>
      <c r="SRJ69" s="26"/>
      <c r="SRK69" s="26"/>
      <c r="SRL69" s="26"/>
      <c r="SRM69" s="26"/>
      <c r="SRN69" s="26"/>
      <c r="SRO69" s="26"/>
      <c r="SRP69" s="26"/>
      <c r="SRQ69" s="26"/>
      <c r="SRR69" s="26"/>
      <c r="SRS69" s="26"/>
      <c r="SRT69" s="26"/>
      <c r="SRU69" s="26"/>
      <c r="SRV69" s="26"/>
      <c r="SRW69" s="26"/>
      <c r="SRX69" s="26"/>
      <c r="SRY69" s="26"/>
      <c r="SRZ69" s="26"/>
      <c r="SSA69" s="26"/>
      <c r="SSB69" s="26"/>
      <c r="SSC69" s="26"/>
      <c r="SSD69" s="26"/>
      <c r="SSE69" s="26"/>
      <c r="SSF69" s="26"/>
      <c r="SSG69" s="26"/>
      <c r="SSH69" s="26"/>
      <c r="SSI69" s="26"/>
      <c r="SSJ69" s="26"/>
      <c r="SSK69" s="26"/>
      <c r="SSL69" s="26"/>
      <c r="SSM69" s="26"/>
      <c r="SSN69" s="26"/>
      <c r="SSO69" s="26"/>
      <c r="SSP69" s="26"/>
      <c r="SSQ69" s="26"/>
      <c r="SSR69" s="26"/>
      <c r="SSS69" s="26"/>
      <c r="SST69" s="26"/>
      <c r="SSU69" s="26"/>
      <c r="SSV69" s="26"/>
      <c r="SSW69" s="26"/>
      <c r="SSX69" s="26"/>
      <c r="SSY69" s="26"/>
      <c r="SSZ69" s="26"/>
      <c r="STA69" s="26"/>
      <c r="STB69" s="26"/>
      <c r="STC69" s="26"/>
      <c r="STD69" s="26"/>
      <c r="STE69" s="26"/>
      <c r="STF69" s="26"/>
      <c r="STG69" s="26"/>
      <c r="STH69" s="26"/>
      <c r="STI69" s="26"/>
      <c r="STJ69" s="26"/>
      <c r="STK69" s="26"/>
      <c r="STL69" s="26"/>
      <c r="STM69" s="26"/>
      <c r="STN69" s="26"/>
      <c r="STO69" s="26"/>
      <c r="STP69" s="26"/>
      <c r="STQ69" s="26"/>
      <c r="STR69" s="26"/>
      <c r="STS69" s="26"/>
      <c r="STT69" s="26"/>
      <c r="STU69" s="26"/>
      <c r="STV69" s="26"/>
      <c r="STW69" s="26"/>
      <c r="STX69" s="26"/>
      <c r="STY69" s="26"/>
      <c r="STZ69" s="26"/>
      <c r="SUA69" s="26"/>
      <c r="SUB69" s="26"/>
      <c r="SUC69" s="26"/>
      <c r="SUD69" s="26"/>
      <c r="SUE69" s="26"/>
      <c r="SUF69" s="26"/>
      <c r="SUG69" s="26"/>
      <c r="SUH69" s="26"/>
      <c r="SUI69" s="26"/>
      <c r="SUJ69" s="26"/>
      <c r="SUK69" s="26"/>
      <c r="SUL69" s="26"/>
      <c r="SUM69" s="26"/>
      <c r="SUN69" s="26"/>
      <c r="SUO69" s="26"/>
      <c r="SUP69" s="26"/>
      <c r="SUQ69" s="26"/>
      <c r="SUR69" s="26"/>
      <c r="SUS69" s="26"/>
      <c r="SUT69" s="26"/>
      <c r="SUU69" s="26"/>
      <c r="SUV69" s="26"/>
      <c r="SUW69" s="26"/>
      <c r="SUX69" s="26"/>
      <c r="SUY69" s="26"/>
      <c r="SUZ69" s="26"/>
      <c r="SVA69" s="26"/>
      <c r="SVB69" s="26"/>
      <c r="SVC69" s="26"/>
      <c r="SVD69" s="26"/>
      <c r="SVE69" s="26"/>
      <c r="SVF69" s="26"/>
      <c r="SVG69" s="26"/>
      <c r="SVH69" s="26"/>
      <c r="SVI69" s="26"/>
      <c r="SVJ69" s="26"/>
      <c r="SVK69" s="26"/>
      <c r="SVL69" s="26"/>
      <c r="SVM69" s="26"/>
      <c r="SVN69" s="26"/>
      <c r="SVO69" s="26"/>
      <c r="SVP69" s="26"/>
      <c r="SVQ69" s="26"/>
      <c r="SVR69" s="26"/>
      <c r="SVS69" s="26"/>
      <c r="SVT69" s="26"/>
      <c r="SVU69" s="26"/>
      <c r="SVV69" s="26"/>
      <c r="SVW69" s="26"/>
      <c r="SVX69" s="26"/>
      <c r="SVY69" s="26"/>
      <c r="SVZ69" s="26"/>
      <c r="SWA69" s="26"/>
      <c r="SWB69" s="26"/>
      <c r="SWC69" s="26"/>
      <c r="SWD69" s="26"/>
      <c r="SWE69" s="26"/>
      <c r="SWF69" s="26"/>
      <c r="SWG69" s="26"/>
      <c r="SWH69" s="26"/>
      <c r="SWI69" s="26"/>
      <c r="SWJ69" s="26"/>
      <c r="SWK69" s="26"/>
      <c r="SWL69" s="26"/>
      <c r="SWM69" s="26"/>
      <c r="SWN69" s="26"/>
      <c r="SWO69" s="26"/>
      <c r="SWP69" s="26"/>
      <c r="SWQ69" s="26"/>
      <c r="SWR69" s="26"/>
      <c r="SWS69" s="26"/>
      <c r="SWT69" s="26"/>
      <c r="SWU69" s="26"/>
      <c r="SWV69" s="26"/>
      <c r="SWW69" s="26"/>
      <c r="SWX69" s="26"/>
      <c r="SWY69" s="26"/>
      <c r="SWZ69" s="26"/>
      <c r="SXA69" s="26"/>
      <c r="SXB69" s="26"/>
      <c r="SXC69" s="26"/>
      <c r="SXD69" s="26"/>
      <c r="SXE69" s="26"/>
      <c r="SXF69" s="26"/>
      <c r="SXG69" s="26"/>
      <c r="SXH69" s="26"/>
      <c r="SXI69" s="26"/>
      <c r="SXJ69" s="26"/>
      <c r="SXK69" s="26"/>
      <c r="SXL69" s="26"/>
      <c r="SXM69" s="26"/>
      <c r="SXN69" s="26"/>
      <c r="SXO69" s="26"/>
      <c r="SXP69" s="26"/>
      <c r="SXQ69" s="26"/>
      <c r="SXR69" s="26"/>
      <c r="SXS69" s="26"/>
      <c r="SXT69" s="26"/>
      <c r="SXU69" s="26"/>
      <c r="SXV69" s="26"/>
      <c r="SXW69" s="26"/>
      <c r="SXX69" s="26"/>
      <c r="SXY69" s="26"/>
      <c r="SXZ69" s="26"/>
      <c r="SYA69" s="26"/>
      <c r="SYB69" s="26"/>
      <c r="SYC69" s="26"/>
      <c r="SYD69" s="26"/>
      <c r="SYE69" s="26"/>
      <c r="SYF69" s="26"/>
      <c r="SYG69" s="26"/>
      <c r="SYH69" s="26"/>
      <c r="SYI69" s="26"/>
      <c r="SYJ69" s="26"/>
      <c r="SYK69" s="26"/>
      <c r="SYL69" s="26"/>
      <c r="SYM69" s="26"/>
      <c r="SYN69" s="26"/>
      <c r="SYO69" s="26"/>
      <c r="SYP69" s="26"/>
      <c r="SYQ69" s="26"/>
      <c r="SYR69" s="26"/>
      <c r="SYS69" s="26"/>
      <c r="SYT69" s="26"/>
      <c r="SYU69" s="26"/>
      <c r="SYV69" s="26"/>
      <c r="SYW69" s="26"/>
      <c r="SYX69" s="26"/>
      <c r="SYY69" s="26"/>
      <c r="SYZ69" s="26"/>
      <c r="SZA69" s="26"/>
      <c r="SZB69" s="26"/>
      <c r="SZC69" s="26"/>
      <c r="SZD69" s="26"/>
      <c r="SZE69" s="26"/>
      <c r="SZF69" s="26"/>
      <c r="SZG69" s="26"/>
      <c r="SZH69" s="26"/>
      <c r="SZI69" s="26"/>
      <c r="SZJ69" s="26"/>
      <c r="SZK69" s="26"/>
      <c r="SZL69" s="26"/>
      <c r="SZM69" s="26"/>
      <c r="SZN69" s="26"/>
      <c r="SZO69" s="26"/>
      <c r="SZP69" s="26"/>
      <c r="SZQ69" s="26"/>
      <c r="SZR69" s="26"/>
      <c r="SZS69" s="26"/>
      <c r="SZT69" s="26"/>
      <c r="SZU69" s="26"/>
      <c r="SZV69" s="26"/>
      <c r="SZW69" s="26"/>
      <c r="SZX69" s="26"/>
      <c r="SZY69" s="26"/>
      <c r="SZZ69" s="26"/>
      <c r="TAA69" s="26"/>
      <c r="TAB69" s="26"/>
      <c r="TAC69" s="26"/>
      <c r="TAD69" s="26"/>
      <c r="TAE69" s="26"/>
      <c r="TAF69" s="26"/>
      <c r="TAG69" s="26"/>
      <c r="TAH69" s="26"/>
      <c r="TAI69" s="26"/>
      <c r="TAJ69" s="26"/>
      <c r="TAK69" s="26"/>
      <c r="TAL69" s="26"/>
      <c r="TAM69" s="26"/>
      <c r="TAN69" s="26"/>
      <c r="TAO69" s="26"/>
      <c r="TAP69" s="26"/>
      <c r="TAQ69" s="26"/>
      <c r="TAR69" s="26"/>
      <c r="TAS69" s="26"/>
      <c r="TAT69" s="26"/>
      <c r="TAU69" s="26"/>
      <c r="TAV69" s="26"/>
      <c r="TAW69" s="26"/>
      <c r="TAX69" s="26"/>
      <c r="TAY69" s="26"/>
      <c r="TAZ69" s="26"/>
      <c r="TBA69" s="26"/>
      <c r="TBB69" s="26"/>
      <c r="TBC69" s="26"/>
      <c r="TBD69" s="26"/>
      <c r="TBE69" s="26"/>
      <c r="TBF69" s="26"/>
      <c r="TBG69" s="26"/>
      <c r="TBH69" s="26"/>
      <c r="TBI69" s="26"/>
      <c r="TBJ69" s="26"/>
      <c r="TBK69" s="26"/>
      <c r="TBL69" s="26"/>
      <c r="TBM69" s="26"/>
      <c r="TBN69" s="26"/>
      <c r="TBO69" s="26"/>
      <c r="TBP69" s="26"/>
      <c r="TBQ69" s="26"/>
      <c r="TBR69" s="26"/>
      <c r="TBS69" s="26"/>
      <c r="TBT69" s="26"/>
      <c r="TBU69" s="26"/>
      <c r="TBV69" s="26"/>
      <c r="TBW69" s="26"/>
      <c r="TBX69" s="26"/>
      <c r="TBY69" s="26"/>
      <c r="TBZ69" s="26"/>
      <c r="TCA69" s="26"/>
      <c r="TCB69" s="26"/>
      <c r="TCC69" s="26"/>
      <c r="TCD69" s="26"/>
      <c r="TCE69" s="26"/>
      <c r="TCF69" s="26"/>
      <c r="TCG69" s="26"/>
      <c r="TCH69" s="26"/>
      <c r="TCI69" s="26"/>
      <c r="TCJ69" s="26"/>
      <c r="TCK69" s="26"/>
      <c r="TCL69" s="26"/>
      <c r="TCM69" s="26"/>
      <c r="TCN69" s="26"/>
      <c r="TCO69" s="26"/>
      <c r="TCP69" s="26"/>
      <c r="TCQ69" s="26"/>
      <c r="TCR69" s="26"/>
      <c r="TCS69" s="26"/>
      <c r="TCT69" s="26"/>
      <c r="TCU69" s="26"/>
      <c r="TCV69" s="26"/>
      <c r="TCW69" s="26"/>
      <c r="TCX69" s="26"/>
      <c r="TCY69" s="26"/>
      <c r="TCZ69" s="26"/>
      <c r="TDA69" s="26"/>
      <c r="TDB69" s="26"/>
      <c r="TDC69" s="26"/>
      <c r="TDD69" s="26"/>
      <c r="TDE69" s="26"/>
      <c r="TDF69" s="26"/>
      <c r="TDG69" s="26"/>
      <c r="TDH69" s="26"/>
      <c r="TDI69" s="26"/>
      <c r="TDJ69" s="26"/>
      <c r="TDK69" s="26"/>
      <c r="TDL69" s="26"/>
      <c r="TDM69" s="26"/>
      <c r="TDN69" s="26"/>
      <c r="TDO69" s="26"/>
      <c r="TDP69" s="26"/>
      <c r="TDQ69" s="26"/>
      <c r="TDR69" s="26"/>
      <c r="TDS69" s="26"/>
      <c r="TDT69" s="26"/>
      <c r="TDU69" s="26"/>
      <c r="TDV69" s="26"/>
      <c r="TDW69" s="26"/>
      <c r="TDX69" s="26"/>
      <c r="TDY69" s="26"/>
      <c r="TDZ69" s="26"/>
      <c r="TEA69" s="26"/>
      <c r="TEB69" s="26"/>
      <c r="TEC69" s="26"/>
      <c r="TED69" s="26"/>
      <c r="TEE69" s="26"/>
      <c r="TEF69" s="26"/>
      <c r="TEG69" s="26"/>
      <c r="TEH69" s="26"/>
      <c r="TEI69" s="26"/>
      <c r="TEJ69" s="26"/>
      <c r="TEK69" s="26"/>
      <c r="TEL69" s="26"/>
      <c r="TEM69" s="26"/>
      <c r="TEN69" s="26"/>
      <c r="TEO69" s="26"/>
      <c r="TEP69" s="26"/>
      <c r="TEQ69" s="26"/>
      <c r="TER69" s="26"/>
      <c r="TES69" s="26"/>
      <c r="TET69" s="26"/>
      <c r="TEU69" s="26"/>
      <c r="TEV69" s="26"/>
      <c r="TEW69" s="26"/>
      <c r="TEX69" s="26"/>
      <c r="TEY69" s="26"/>
      <c r="TEZ69" s="26"/>
      <c r="TFA69" s="26"/>
      <c r="TFB69" s="26"/>
      <c r="TFC69" s="26"/>
      <c r="TFD69" s="26"/>
      <c r="TFE69" s="26"/>
      <c r="TFF69" s="26"/>
      <c r="TFG69" s="26"/>
      <c r="TFH69" s="26"/>
      <c r="TFI69" s="26"/>
      <c r="TFJ69" s="26"/>
      <c r="TFK69" s="26"/>
      <c r="TFL69" s="26"/>
      <c r="TFM69" s="26"/>
      <c r="TFN69" s="26"/>
      <c r="TFO69" s="26"/>
      <c r="TFP69" s="26"/>
      <c r="TFQ69" s="26"/>
      <c r="TFR69" s="26"/>
      <c r="TFS69" s="26"/>
      <c r="TFT69" s="26"/>
      <c r="TFU69" s="26"/>
      <c r="TFV69" s="26"/>
      <c r="TFW69" s="26"/>
      <c r="TFX69" s="26"/>
      <c r="TFY69" s="26"/>
      <c r="TFZ69" s="26"/>
      <c r="TGA69" s="26"/>
      <c r="TGB69" s="26"/>
      <c r="TGC69" s="26"/>
      <c r="TGD69" s="26"/>
      <c r="TGE69" s="26"/>
      <c r="TGF69" s="26"/>
      <c r="TGG69" s="26"/>
      <c r="TGH69" s="26"/>
      <c r="TGI69" s="26"/>
      <c r="TGJ69" s="26"/>
      <c r="TGK69" s="26"/>
      <c r="TGL69" s="26"/>
      <c r="TGM69" s="26"/>
      <c r="TGN69" s="26"/>
      <c r="TGO69" s="26"/>
      <c r="TGP69" s="26"/>
      <c r="TGQ69" s="26"/>
      <c r="TGR69" s="26"/>
      <c r="TGS69" s="26"/>
      <c r="TGT69" s="26"/>
      <c r="TGU69" s="26"/>
      <c r="TGV69" s="26"/>
      <c r="TGW69" s="26"/>
      <c r="TGX69" s="26"/>
      <c r="TGY69" s="26"/>
      <c r="TGZ69" s="26"/>
      <c r="THA69" s="26"/>
      <c r="THB69" s="26"/>
      <c r="THC69" s="26"/>
      <c r="THD69" s="26"/>
      <c r="THE69" s="26"/>
      <c r="THF69" s="26"/>
      <c r="THG69" s="26"/>
      <c r="THH69" s="26"/>
      <c r="THI69" s="26"/>
      <c r="THJ69" s="26"/>
      <c r="THK69" s="26"/>
      <c r="THL69" s="26"/>
      <c r="THM69" s="26"/>
      <c r="THN69" s="26"/>
      <c r="THO69" s="26"/>
      <c r="THP69" s="26"/>
      <c r="THQ69" s="26"/>
      <c r="THR69" s="26"/>
      <c r="THS69" s="26"/>
      <c r="THT69" s="26"/>
      <c r="THU69" s="26"/>
      <c r="THV69" s="26"/>
      <c r="THW69" s="26"/>
      <c r="THX69" s="26"/>
      <c r="THY69" s="26"/>
      <c r="THZ69" s="26"/>
      <c r="TIA69" s="26"/>
      <c r="TIB69" s="26"/>
      <c r="TIC69" s="26"/>
      <c r="TID69" s="26"/>
      <c r="TIE69" s="26"/>
      <c r="TIF69" s="26"/>
      <c r="TIG69" s="26"/>
      <c r="TIH69" s="26"/>
      <c r="TII69" s="26"/>
      <c r="TIJ69" s="26"/>
      <c r="TIK69" s="26"/>
      <c r="TIL69" s="26"/>
      <c r="TIM69" s="26"/>
      <c r="TIN69" s="26"/>
      <c r="TIO69" s="26"/>
      <c r="TIP69" s="26"/>
      <c r="TIQ69" s="26"/>
      <c r="TIR69" s="26"/>
      <c r="TIS69" s="26"/>
      <c r="TIT69" s="26"/>
      <c r="TIU69" s="26"/>
      <c r="TIV69" s="26"/>
      <c r="TIW69" s="26"/>
      <c r="TIX69" s="26"/>
      <c r="TIY69" s="26"/>
      <c r="TIZ69" s="26"/>
      <c r="TJA69" s="26"/>
      <c r="TJB69" s="26"/>
      <c r="TJC69" s="26"/>
      <c r="TJD69" s="26"/>
      <c r="TJE69" s="26"/>
      <c r="TJF69" s="26"/>
      <c r="TJG69" s="26"/>
      <c r="TJH69" s="26"/>
      <c r="TJI69" s="26"/>
      <c r="TJJ69" s="26"/>
      <c r="TJK69" s="26"/>
      <c r="TJL69" s="26"/>
      <c r="TJM69" s="26"/>
      <c r="TJN69" s="26"/>
      <c r="TJO69" s="26"/>
      <c r="TJP69" s="26"/>
      <c r="TJQ69" s="26"/>
      <c r="TJR69" s="26"/>
      <c r="TJS69" s="26"/>
      <c r="TJT69" s="26"/>
      <c r="TJU69" s="26"/>
      <c r="TJV69" s="26"/>
      <c r="TJW69" s="26"/>
      <c r="TJX69" s="26"/>
      <c r="TJY69" s="26"/>
      <c r="TJZ69" s="26"/>
      <c r="TKA69" s="26"/>
      <c r="TKB69" s="26"/>
      <c r="TKC69" s="26"/>
      <c r="TKD69" s="26"/>
      <c r="TKE69" s="26"/>
      <c r="TKF69" s="26"/>
      <c r="TKG69" s="26"/>
      <c r="TKH69" s="26"/>
      <c r="TKI69" s="26"/>
      <c r="TKJ69" s="26"/>
      <c r="TKK69" s="26"/>
      <c r="TKL69" s="26"/>
      <c r="TKM69" s="26"/>
      <c r="TKN69" s="26"/>
      <c r="TKO69" s="26"/>
      <c r="TKP69" s="26"/>
      <c r="TKQ69" s="26"/>
      <c r="TKR69" s="26"/>
      <c r="TKS69" s="26"/>
      <c r="TKT69" s="26"/>
      <c r="TKU69" s="26"/>
      <c r="TKV69" s="26"/>
      <c r="TKW69" s="26"/>
      <c r="TKX69" s="26"/>
      <c r="TKY69" s="26"/>
      <c r="TKZ69" s="26"/>
      <c r="TLA69" s="26"/>
      <c r="TLB69" s="26"/>
      <c r="TLC69" s="26"/>
      <c r="TLD69" s="26"/>
      <c r="TLE69" s="26"/>
      <c r="TLF69" s="26"/>
      <c r="TLG69" s="26"/>
      <c r="TLH69" s="26"/>
      <c r="TLI69" s="26"/>
      <c r="TLJ69" s="26"/>
      <c r="TLK69" s="26"/>
      <c r="TLL69" s="26"/>
      <c r="TLM69" s="26"/>
      <c r="TLN69" s="26"/>
      <c r="TLO69" s="26"/>
      <c r="TLP69" s="26"/>
      <c r="TLQ69" s="26"/>
      <c r="TLR69" s="26"/>
      <c r="TLS69" s="26"/>
      <c r="TLT69" s="26"/>
      <c r="TLU69" s="26"/>
      <c r="TLV69" s="26"/>
      <c r="TLW69" s="26"/>
      <c r="TLX69" s="26"/>
      <c r="TLY69" s="26"/>
      <c r="TLZ69" s="26"/>
      <c r="TMA69" s="26"/>
      <c r="TMB69" s="26"/>
      <c r="TMC69" s="26"/>
      <c r="TMD69" s="26"/>
      <c r="TME69" s="26"/>
      <c r="TMF69" s="26"/>
      <c r="TMG69" s="26"/>
      <c r="TMH69" s="26"/>
      <c r="TMI69" s="26"/>
      <c r="TMJ69" s="26"/>
      <c r="TMK69" s="26"/>
      <c r="TML69" s="26"/>
      <c r="TMM69" s="26"/>
      <c r="TMN69" s="26"/>
      <c r="TMO69" s="26"/>
      <c r="TMP69" s="26"/>
      <c r="TMQ69" s="26"/>
      <c r="TMR69" s="26"/>
      <c r="TMS69" s="26"/>
      <c r="TMT69" s="26"/>
      <c r="TMU69" s="26"/>
      <c r="TMV69" s="26"/>
      <c r="TMW69" s="26"/>
      <c r="TMX69" s="26"/>
      <c r="TMY69" s="26"/>
      <c r="TMZ69" s="26"/>
      <c r="TNA69" s="26"/>
      <c r="TNB69" s="26"/>
      <c r="TNC69" s="26"/>
      <c r="TND69" s="26"/>
      <c r="TNE69" s="26"/>
      <c r="TNF69" s="26"/>
      <c r="TNG69" s="26"/>
      <c r="TNH69" s="26"/>
      <c r="TNI69" s="26"/>
      <c r="TNJ69" s="26"/>
      <c r="TNK69" s="26"/>
      <c r="TNL69" s="26"/>
      <c r="TNM69" s="26"/>
      <c r="TNN69" s="26"/>
      <c r="TNO69" s="26"/>
      <c r="TNP69" s="26"/>
      <c r="TNQ69" s="26"/>
      <c r="TNR69" s="26"/>
      <c r="TNS69" s="26"/>
      <c r="TNT69" s="26"/>
      <c r="TNU69" s="26"/>
      <c r="TNV69" s="26"/>
      <c r="TNW69" s="26"/>
      <c r="TNX69" s="26"/>
      <c r="TNY69" s="26"/>
      <c r="TNZ69" s="26"/>
      <c r="TOA69" s="26"/>
      <c r="TOB69" s="26"/>
      <c r="TOC69" s="26"/>
      <c r="TOD69" s="26"/>
      <c r="TOE69" s="26"/>
      <c r="TOF69" s="26"/>
      <c r="TOG69" s="26"/>
      <c r="TOH69" s="26"/>
      <c r="TOI69" s="26"/>
      <c r="TOJ69" s="26"/>
      <c r="TOK69" s="26"/>
      <c r="TOL69" s="26"/>
      <c r="TOM69" s="26"/>
      <c r="TON69" s="26"/>
      <c r="TOO69" s="26"/>
      <c r="TOP69" s="26"/>
      <c r="TOQ69" s="26"/>
      <c r="TOR69" s="26"/>
      <c r="TOS69" s="26"/>
      <c r="TOT69" s="26"/>
      <c r="TOU69" s="26"/>
      <c r="TOV69" s="26"/>
      <c r="TOW69" s="26"/>
      <c r="TOX69" s="26"/>
      <c r="TOY69" s="26"/>
      <c r="TOZ69" s="26"/>
      <c r="TPA69" s="26"/>
      <c r="TPB69" s="26"/>
      <c r="TPC69" s="26"/>
      <c r="TPD69" s="26"/>
      <c r="TPE69" s="26"/>
      <c r="TPF69" s="26"/>
      <c r="TPG69" s="26"/>
      <c r="TPH69" s="26"/>
      <c r="TPI69" s="26"/>
      <c r="TPJ69" s="26"/>
      <c r="TPK69" s="26"/>
      <c r="TPL69" s="26"/>
      <c r="TPM69" s="26"/>
      <c r="TPN69" s="26"/>
      <c r="TPO69" s="26"/>
      <c r="TPP69" s="26"/>
      <c r="TPQ69" s="26"/>
      <c r="TPR69" s="26"/>
      <c r="TPS69" s="26"/>
      <c r="TPT69" s="26"/>
      <c r="TPU69" s="26"/>
      <c r="TPV69" s="26"/>
      <c r="TPW69" s="26"/>
      <c r="TPX69" s="26"/>
      <c r="TPY69" s="26"/>
      <c r="TPZ69" s="26"/>
      <c r="TQA69" s="26"/>
      <c r="TQB69" s="26"/>
      <c r="TQC69" s="26"/>
      <c r="TQD69" s="26"/>
      <c r="TQE69" s="26"/>
      <c r="TQF69" s="26"/>
      <c r="TQG69" s="26"/>
      <c r="TQH69" s="26"/>
      <c r="TQI69" s="26"/>
      <c r="TQJ69" s="26"/>
      <c r="TQK69" s="26"/>
      <c r="TQL69" s="26"/>
      <c r="TQM69" s="26"/>
      <c r="TQN69" s="26"/>
      <c r="TQO69" s="26"/>
      <c r="TQP69" s="26"/>
      <c r="TQQ69" s="26"/>
      <c r="TQR69" s="26"/>
      <c r="TQS69" s="26"/>
      <c r="TQT69" s="26"/>
      <c r="TQU69" s="26"/>
      <c r="TQV69" s="26"/>
      <c r="TQW69" s="26"/>
      <c r="TQX69" s="26"/>
      <c r="TQY69" s="26"/>
      <c r="TQZ69" s="26"/>
      <c r="TRA69" s="26"/>
      <c r="TRB69" s="26"/>
      <c r="TRC69" s="26"/>
      <c r="TRD69" s="26"/>
      <c r="TRE69" s="26"/>
      <c r="TRF69" s="26"/>
      <c r="TRG69" s="26"/>
      <c r="TRH69" s="26"/>
      <c r="TRI69" s="26"/>
      <c r="TRJ69" s="26"/>
      <c r="TRK69" s="26"/>
      <c r="TRL69" s="26"/>
      <c r="TRM69" s="26"/>
      <c r="TRN69" s="26"/>
      <c r="TRO69" s="26"/>
      <c r="TRP69" s="26"/>
      <c r="TRQ69" s="26"/>
      <c r="TRR69" s="26"/>
      <c r="TRS69" s="26"/>
      <c r="TRT69" s="26"/>
      <c r="TRU69" s="26"/>
      <c r="TRV69" s="26"/>
      <c r="TRW69" s="26"/>
      <c r="TRX69" s="26"/>
      <c r="TRY69" s="26"/>
      <c r="TRZ69" s="26"/>
      <c r="TSA69" s="26"/>
      <c r="TSB69" s="26"/>
      <c r="TSC69" s="26"/>
      <c r="TSD69" s="26"/>
      <c r="TSE69" s="26"/>
      <c r="TSF69" s="26"/>
      <c r="TSG69" s="26"/>
      <c r="TSH69" s="26"/>
      <c r="TSI69" s="26"/>
      <c r="TSJ69" s="26"/>
      <c r="TSK69" s="26"/>
      <c r="TSL69" s="26"/>
      <c r="TSM69" s="26"/>
      <c r="TSN69" s="26"/>
      <c r="TSO69" s="26"/>
      <c r="TSP69" s="26"/>
      <c r="TSQ69" s="26"/>
      <c r="TSR69" s="26"/>
      <c r="TSS69" s="26"/>
      <c r="TST69" s="26"/>
      <c r="TSU69" s="26"/>
      <c r="TSV69" s="26"/>
      <c r="TSW69" s="26"/>
      <c r="TSX69" s="26"/>
      <c r="TSY69" s="26"/>
      <c r="TSZ69" s="26"/>
      <c r="TTA69" s="26"/>
      <c r="TTB69" s="26"/>
      <c r="TTC69" s="26"/>
      <c r="TTD69" s="26"/>
      <c r="TTE69" s="26"/>
      <c r="TTF69" s="26"/>
      <c r="TTG69" s="26"/>
      <c r="TTH69" s="26"/>
      <c r="TTI69" s="26"/>
      <c r="TTJ69" s="26"/>
      <c r="TTK69" s="26"/>
      <c r="TTL69" s="26"/>
      <c r="TTM69" s="26"/>
      <c r="TTN69" s="26"/>
      <c r="TTO69" s="26"/>
      <c r="TTP69" s="26"/>
      <c r="TTQ69" s="26"/>
      <c r="TTR69" s="26"/>
      <c r="TTS69" s="26"/>
      <c r="TTT69" s="26"/>
      <c r="TTU69" s="26"/>
      <c r="TTV69" s="26"/>
      <c r="TTW69" s="26"/>
      <c r="TTX69" s="26"/>
      <c r="TTY69" s="26"/>
      <c r="TTZ69" s="26"/>
      <c r="TUA69" s="26"/>
      <c r="TUB69" s="26"/>
      <c r="TUC69" s="26"/>
      <c r="TUD69" s="26"/>
      <c r="TUE69" s="26"/>
      <c r="TUF69" s="26"/>
      <c r="TUG69" s="26"/>
      <c r="TUH69" s="26"/>
      <c r="TUI69" s="26"/>
      <c r="TUJ69" s="26"/>
      <c r="TUK69" s="26"/>
      <c r="TUL69" s="26"/>
      <c r="TUM69" s="26"/>
      <c r="TUN69" s="26"/>
      <c r="TUO69" s="26"/>
      <c r="TUP69" s="26"/>
      <c r="TUQ69" s="26"/>
      <c r="TUR69" s="26"/>
      <c r="TUS69" s="26"/>
      <c r="TUT69" s="26"/>
      <c r="TUU69" s="26"/>
      <c r="TUV69" s="26"/>
      <c r="TUW69" s="26"/>
      <c r="TUX69" s="26"/>
      <c r="TUY69" s="26"/>
      <c r="TUZ69" s="26"/>
      <c r="TVA69" s="26"/>
      <c r="TVB69" s="26"/>
      <c r="TVC69" s="26"/>
      <c r="TVD69" s="26"/>
      <c r="TVE69" s="26"/>
      <c r="TVF69" s="26"/>
      <c r="TVG69" s="26"/>
      <c r="TVH69" s="26"/>
      <c r="TVI69" s="26"/>
      <c r="TVJ69" s="26"/>
      <c r="TVK69" s="26"/>
      <c r="TVL69" s="26"/>
      <c r="TVM69" s="26"/>
      <c r="TVN69" s="26"/>
      <c r="TVO69" s="26"/>
      <c r="TVP69" s="26"/>
      <c r="TVQ69" s="26"/>
      <c r="TVR69" s="26"/>
      <c r="TVS69" s="26"/>
      <c r="TVT69" s="26"/>
      <c r="TVU69" s="26"/>
      <c r="TVV69" s="26"/>
      <c r="TVW69" s="26"/>
      <c r="TVX69" s="26"/>
      <c r="TVY69" s="26"/>
      <c r="TVZ69" s="26"/>
      <c r="TWA69" s="26"/>
      <c r="TWB69" s="26"/>
      <c r="TWC69" s="26"/>
      <c r="TWD69" s="26"/>
      <c r="TWE69" s="26"/>
      <c r="TWF69" s="26"/>
      <c r="TWG69" s="26"/>
      <c r="TWH69" s="26"/>
      <c r="TWI69" s="26"/>
      <c r="TWJ69" s="26"/>
      <c r="TWK69" s="26"/>
      <c r="TWL69" s="26"/>
      <c r="TWM69" s="26"/>
      <c r="TWN69" s="26"/>
      <c r="TWO69" s="26"/>
      <c r="TWP69" s="26"/>
      <c r="TWQ69" s="26"/>
      <c r="TWR69" s="26"/>
      <c r="TWS69" s="26"/>
      <c r="TWT69" s="26"/>
      <c r="TWU69" s="26"/>
      <c r="TWV69" s="26"/>
      <c r="TWW69" s="26"/>
      <c r="TWX69" s="26"/>
      <c r="TWY69" s="26"/>
      <c r="TWZ69" s="26"/>
      <c r="TXA69" s="26"/>
      <c r="TXB69" s="26"/>
      <c r="TXC69" s="26"/>
      <c r="TXD69" s="26"/>
      <c r="TXE69" s="26"/>
      <c r="TXF69" s="26"/>
      <c r="TXG69" s="26"/>
      <c r="TXH69" s="26"/>
      <c r="TXI69" s="26"/>
      <c r="TXJ69" s="26"/>
      <c r="TXK69" s="26"/>
      <c r="TXL69" s="26"/>
      <c r="TXM69" s="26"/>
      <c r="TXN69" s="26"/>
      <c r="TXO69" s="26"/>
      <c r="TXP69" s="26"/>
      <c r="TXQ69" s="26"/>
      <c r="TXR69" s="26"/>
      <c r="TXS69" s="26"/>
      <c r="TXT69" s="26"/>
      <c r="TXU69" s="26"/>
      <c r="TXV69" s="26"/>
      <c r="TXW69" s="26"/>
      <c r="TXX69" s="26"/>
      <c r="TXY69" s="26"/>
      <c r="TXZ69" s="26"/>
      <c r="TYA69" s="26"/>
      <c r="TYB69" s="26"/>
      <c r="TYC69" s="26"/>
      <c r="TYD69" s="26"/>
      <c r="TYE69" s="26"/>
      <c r="TYF69" s="26"/>
      <c r="TYG69" s="26"/>
      <c r="TYH69" s="26"/>
      <c r="TYI69" s="26"/>
      <c r="TYJ69" s="26"/>
      <c r="TYK69" s="26"/>
      <c r="TYL69" s="26"/>
      <c r="TYM69" s="26"/>
      <c r="TYN69" s="26"/>
      <c r="TYO69" s="26"/>
      <c r="TYP69" s="26"/>
      <c r="TYQ69" s="26"/>
      <c r="TYR69" s="26"/>
      <c r="TYS69" s="26"/>
      <c r="TYT69" s="26"/>
      <c r="TYU69" s="26"/>
      <c r="TYV69" s="26"/>
      <c r="TYW69" s="26"/>
      <c r="TYX69" s="26"/>
      <c r="TYY69" s="26"/>
      <c r="TYZ69" s="26"/>
      <c r="TZA69" s="26"/>
      <c r="TZB69" s="26"/>
      <c r="TZC69" s="26"/>
      <c r="TZD69" s="26"/>
      <c r="TZE69" s="26"/>
      <c r="TZF69" s="26"/>
      <c r="TZG69" s="26"/>
      <c r="TZH69" s="26"/>
      <c r="TZI69" s="26"/>
      <c r="TZJ69" s="26"/>
      <c r="TZK69" s="26"/>
      <c r="TZL69" s="26"/>
      <c r="TZM69" s="26"/>
      <c r="TZN69" s="26"/>
      <c r="TZO69" s="26"/>
      <c r="TZP69" s="26"/>
      <c r="TZQ69" s="26"/>
      <c r="TZR69" s="26"/>
      <c r="TZS69" s="26"/>
      <c r="TZT69" s="26"/>
      <c r="TZU69" s="26"/>
      <c r="TZV69" s="26"/>
      <c r="TZW69" s="26"/>
      <c r="TZX69" s="26"/>
      <c r="TZY69" s="26"/>
      <c r="TZZ69" s="26"/>
      <c r="UAA69" s="26"/>
      <c r="UAB69" s="26"/>
      <c r="UAC69" s="26"/>
      <c r="UAD69" s="26"/>
      <c r="UAE69" s="26"/>
      <c r="UAF69" s="26"/>
      <c r="UAG69" s="26"/>
      <c r="UAH69" s="26"/>
      <c r="UAI69" s="26"/>
      <c r="UAJ69" s="26"/>
      <c r="UAK69" s="26"/>
      <c r="UAL69" s="26"/>
      <c r="UAM69" s="26"/>
      <c r="UAN69" s="26"/>
      <c r="UAO69" s="26"/>
      <c r="UAP69" s="26"/>
      <c r="UAQ69" s="26"/>
      <c r="UAR69" s="26"/>
      <c r="UAS69" s="26"/>
      <c r="UAT69" s="26"/>
      <c r="UAU69" s="26"/>
      <c r="UAV69" s="26"/>
      <c r="UAW69" s="26"/>
      <c r="UAX69" s="26"/>
      <c r="UAY69" s="26"/>
      <c r="UAZ69" s="26"/>
      <c r="UBA69" s="26"/>
      <c r="UBB69" s="26"/>
      <c r="UBC69" s="26"/>
      <c r="UBD69" s="26"/>
      <c r="UBE69" s="26"/>
      <c r="UBF69" s="26"/>
      <c r="UBG69" s="26"/>
      <c r="UBH69" s="26"/>
      <c r="UBI69" s="26"/>
      <c r="UBJ69" s="26"/>
      <c r="UBK69" s="26"/>
      <c r="UBL69" s="26"/>
      <c r="UBM69" s="26"/>
      <c r="UBN69" s="26"/>
      <c r="UBO69" s="26"/>
      <c r="UBP69" s="26"/>
      <c r="UBQ69" s="26"/>
      <c r="UBR69" s="26"/>
      <c r="UBS69" s="26"/>
      <c r="UBT69" s="26"/>
      <c r="UBU69" s="26"/>
      <c r="UBV69" s="26"/>
      <c r="UBW69" s="26"/>
      <c r="UBX69" s="26"/>
      <c r="UBY69" s="26"/>
      <c r="UBZ69" s="26"/>
      <c r="UCA69" s="26"/>
      <c r="UCB69" s="26"/>
      <c r="UCC69" s="26"/>
      <c r="UCD69" s="26"/>
      <c r="UCE69" s="26"/>
      <c r="UCF69" s="26"/>
      <c r="UCG69" s="26"/>
      <c r="UCH69" s="26"/>
      <c r="UCI69" s="26"/>
      <c r="UCJ69" s="26"/>
      <c r="UCK69" s="26"/>
      <c r="UCL69" s="26"/>
      <c r="UCM69" s="26"/>
      <c r="UCN69" s="26"/>
      <c r="UCO69" s="26"/>
      <c r="UCP69" s="26"/>
      <c r="UCQ69" s="26"/>
      <c r="UCR69" s="26"/>
      <c r="UCS69" s="26"/>
      <c r="UCT69" s="26"/>
      <c r="UCU69" s="26"/>
      <c r="UCV69" s="26"/>
      <c r="UCW69" s="26"/>
      <c r="UCX69" s="26"/>
      <c r="UCY69" s="26"/>
      <c r="UCZ69" s="26"/>
      <c r="UDA69" s="26"/>
      <c r="UDB69" s="26"/>
      <c r="UDC69" s="26"/>
      <c r="UDD69" s="26"/>
      <c r="UDE69" s="26"/>
      <c r="UDF69" s="26"/>
      <c r="UDG69" s="26"/>
      <c r="UDH69" s="26"/>
      <c r="UDI69" s="26"/>
      <c r="UDJ69" s="26"/>
      <c r="UDK69" s="26"/>
      <c r="UDL69" s="26"/>
      <c r="UDM69" s="26"/>
      <c r="UDN69" s="26"/>
      <c r="UDO69" s="26"/>
      <c r="UDP69" s="26"/>
      <c r="UDQ69" s="26"/>
      <c r="UDR69" s="26"/>
      <c r="UDS69" s="26"/>
      <c r="UDT69" s="26"/>
      <c r="UDU69" s="26"/>
      <c r="UDV69" s="26"/>
      <c r="UDW69" s="26"/>
      <c r="UDX69" s="26"/>
      <c r="UDY69" s="26"/>
      <c r="UDZ69" s="26"/>
      <c r="UEA69" s="26"/>
      <c r="UEB69" s="26"/>
      <c r="UEC69" s="26"/>
      <c r="UED69" s="26"/>
      <c r="UEE69" s="26"/>
      <c r="UEF69" s="26"/>
      <c r="UEG69" s="26"/>
      <c r="UEH69" s="26"/>
      <c r="UEI69" s="26"/>
      <c r="UEJ69" s="26"/>
      <c r="UEK69" s="26"/>
      <c r="UEL69" s="26"/>
      <c r="UEM69" s="26"/>
      <c r="UEN69" s="26"/>
      <c r="UEO69" s="26"/>
      <c r="UEP69" s="26"/>
      <c r="UEQ69" s="26"/>
      <c r="UER69" s="26"/>
      <c r="UES69" s="26"/>
      <c r="UET69" s="26"/>
      <c r="UEU69" s="26"/>
      <c r="UEV69" s="26"/>
      <c r="UEW69" s="26"/>
      <c r="UEX69" s="26"/>
      <c r="UEY69" s="26"/>
      <c r="UEZ69" s="26"/>
      <c r="UFA69" s="26"/>
      <c r="UFB69" s="26"/>
      <c r="UFC69" s="26"/>
      <c r="UFD69" s="26"/>
      <c r="UFE69" s="26"/>
      <c r="UFF69" s="26"/>
      <c r="UFG69" s="26"/>
      <c r="UFH69" s="26"/>
      <c r="UFI69" s="26"/>
      <c r="UFJ69" s="26"/>
      <c r="UFK69" s="26"/>
      <c r="UFL69" s="26"/>
      <c r="UFM69" s="26"/>
      <c r="UFN69" s="26"/>
      <c r="UFO69" s="26"/>
      <c r="UFP69" s="26"/>
      <c r="UFQ69" s="26"/>
      <c r="UFR69" s="26"/>
      <c r="UFS69" s="26"/>
      <c r="UFT69" s="26"/>
      <c r="UFU69" s="26"/>
      <c r="UFV69" s="26"/>
      <c r="UFW69" s="26"/>
      <c r="UFX69" s="26"/>
      <c r="UFY69" s="26"/>
      <c r="UFZ69" s="26"/>
      <c r="UGA69" s="26"/>
      <c r="UGB69" s="26"/>
      <c r="UGC69" s="26"/>
      <c r="UGD69" s="26"/>
      <c r="UGE69" s="26"/>
      <c r="UGF69" s="26"/>
      <c r="UGG69" s="26"/>
      <c r="UGH69" s="26"/>
      <c r="UGI69" s="26"/>
      <c r="UGJ69" s="26"/>
      <c r="UGK69" s="26"/>
      <c r="UGL69" s="26"/>
      <c r="UGM69" s="26"/>
      <c r="UGN69" s="26"/>
      <c r="UGO69" s="26"/>
      <c r="UGP69" s="26"/>
      <c r="UGQ69" s="26"/>
      <c r="UGR69" s="26"/>
      <c r="UGS69" s="26"/>
      <c r="UGT69" s="26"/>
      <c r="UGU69" s="26"/>
      <c r="UGV69" s="26"/>
      <c r="UGW69" s="26"/>
      <c r="UGX69" s="26"/>
      <c r="UGY69" s="26"/>
      <c r="UGZ69" s="26"/>
      <c r="UHA69" s="26"/>
      <c r="UHB69" s="26"/>
      <c r="UHC69" s="26"/>
      <c r="UHD69" s="26"/>
      <c r="UHE69" s="26"/>
      <c r="UHF69" s="26"/>
      <c r="UHG69" s="26"/>
      <c r="UHH69" s="26"/>
      <c r="UHI69" s="26"/>
      <c r="UHJ69" s="26"/>
      <c r="UHK69" s="26"/>
      <c r="UHL69" s="26"/>
      <c r="UHM69" s="26"/>
      <c r="UHN69" s="26"/>
      <c r="UHO69" s="26"/>
      <c r="UHP69" s="26"/>
      <c r="UHQ69" s="26"/>
      <c r="UHR69" s="26"/>
      <c r="UHS69" s="26"/>
      <c r="UHT69" s="26"/>
      <c r="UHU69" s="26"/>
      <c r="UHV69" s="26"/>
      <c r="UHW69" s="26"/>
      <c r="UHX69" s="26"/>
      <c r="UHY69" s="26"/>
      <c r="UHZ69" s="26"/>
      <c r="UIA69" s="26"/>
      <c r="UIB69" s="26"/>
      <c r="UIC69" s="26"/>
      <c r="UID69" s="26"/>
      <c r="UIE69" s="26"/>
      <c r="UIF69" s="26"/>
      <c r="UIG69" s="26"/>
      <c r="UIH69" s="26"/>
      <c r="UII69" s="26"/>
      <c r="UIJ69" s="26"/>
      <c r="UIK69" s="26"/>
      <c r="UIL69" s="26"/>
      <c r="UIM69" s="26"/>
      <c r="UIN69" s="26"/>
      <c r="UIO69" s="26"/>
      <c r="UIP69" s="26"/>
      <c r="UIQ69" s="26"/>
      <c r="UIR69" s="26"/>
      <c r="UIS69" s="26"/>
      <c r="UIT69" s="26"/>
      <c r="UIU69" s="26"/>
      <c r="UIV69" s="26"/>
      <c r="UIW69" s="26"/>
      <c r="UIX69" s="26"/>
      <c r="UIY69" s="26"/>
      <c r="UIZ69" s="26"/>
      <c r="UJA69" s="26"/>
      <c r="UJB69" s="26"/>
      <c r="UJC69" s="26"/>
      <c r="UJD69" s="26"/>
      <c r="UJE69" s="26"/>
      <c r="UJF69" s="26"/>
      <c r="UJG69" s="26"/>
      <c r="UJH69" s="26"/>
      <c r="UJI69" s="26"/>
      <c r="UJJ69" s="26"/>
      <c r="UJK69" s="26"/>
      <c r="UJL69" s="26"/>
      <c r="UJM69" s="26"/>
      <c r="UJN69" s="26"/>
      <c r="UJO69" s="26"/>
      <c r="UJP69" s="26"/>
      <c r="UJQ69" s="26"/>
      <c r="UJR69" s="26"/>
      <c r="UJS69" s="26"/>
      <c r="UJT69" s="26"/>
      <c r="UJU69" s="26"/>
      <c r="UJV69" s="26"/>
      <c r="UJW69" s="26"/>
      <c r="UJX69" s="26"/>
      <c r="UJY69" s="26"/>
      <c r="UJZ69" s="26"/>
      <c r="UKA69" s="26"/>
      <c r="UKB69" s="26"/>
      <c r="UKC69" s="26"/>
      <c r="UKD69" s="26"/>
      <c r="UKE69" s="26"/>
      <c r="UKF69" s="26"/>
      <c r="UKG69" s="26"/>
      <c r="UKH69" s="26"/>
      <c r="UKI69" s="26"/>
      <c r="UKJ69" s="26"/>
      <c r="UKK69" s="26"/>
      <c r="UKL69" s="26"/>
      <c r="UKM69" s="26"/>
      <c r="UKN69" s="26"/>
      <c r="UKO69" s="26"/>
      <c r="UKP69" s="26"/>
      <c r="UKQ69" s="26"/>
      <c r="UKR69" s="26"/>
      <c r="UKS69" s="26"/>
      <c r="UKT69" s="26"/>
      <c r="UKU69" s="26"/>
      <c r="UKV69" s="26"/>
      <c r="UKW69" s="26"/>
      <c r="UKX69" s="26"/>
      <c r="UKY69" s="26"/>
      <c r="UKZ69" s="26"/>
      <c r="ULA69" s="26"/>
      <c r="ULB69" s="26"/>
      <c r="ULC69" s="26"/>
      <c r="ULD69" s="26"/>
      <c r="ULE69" s="26"/>
      <c r="ULF69" s="26"/>
      <c r="ULG69" s="26"/>
      <c r="ULH69" s="26"/>
      <c r="ULI69" s="26"/>
      <c r="ULJ69" s="26"/>
      <c r="ULK69" s="26"/>
      <c r="ULL69" s="26"/>
      <c r="ULM69" s="26"/>
      <c r="ULN69" s="26"/>
      <c r="ULO69" s="26"/>
      <c r="ULP69" s="26"/>
      <c r="ULQ69" s="26"/>
      <c r="ULR69" s="26"/>
      <c r="ULS69" s="26"/>
      <c r="ULT69" s="26"/>
      <c r="ULU69" s="26"/>
      <c r="ULV69" s="26"/>
      <c r="ULW69" s="26"/>
      <c r="ULX69" s="26"/>
      <c r="ULY69" s="26"/>
      <c r="ULZ69" s="26"/>
      <c r="UMA69" s="26"/>
      <c r="UMB69" s="26"/>
      <c r="UMC69" s="26"/>
      <c r="UMD69" s="26"/>
      <c r="UME69" s="26"/>
      <c r="UMF69" s="26"/>
      <c r="UMG69" s="26"/>
      <c r="UMH69" s="26"/>
      <c r="UMI69" s="26"/>
      <c r="UMJ69" s="26"/>
      <c r="UMK69" s="26"/>
      <c r="UML69" s="26"/>
      <c r="UMM69" s="26"/>
      <c r="UMN69" s="26"/>
      <c r="UMO69" s="26"/>
      <c r="UMP69" s="26"/>
      <c r="UMQ69" s="26"/>
      <c r="UMR69" s="26"/>
      <c r="UMS69" s="26"/>
      <c r="UMT69" s="26"/>
      <c r="UMU69" s="26"/>
      <c r="UMV69" s="26"/>
      <c r="UMW69" s="26"/>
      <c r="UMX69" s="26"/>
      <c r="UMY69" s="26"/>
      <c r="UMZ69" s="26"/>
      <c r="UNA69" s="26"/>
      <c r="UNB69" s="26"/>
      <c r="UNC69" s="26"/>
      <c r="UND69" s="26"/>
      <c r="UNE69" s="26"/>
      <c r="UNF69" s="26"/>
      <c r="UNG69" s="26"/>
      <c r="UNH69" s="26"/>
      <c r="UNI69" s="26"/>
      <c r="UNJ69" s="26"/>
      <c r="UNK69" s="26"/>
      <c r="UNL69" s="26"/>
      <c r="UNM69" s="26"/>
      <c r="UNN69" s="26"/>
      <c r="UNO69" s="26"/>
      <c r="UNP69" s="26"/>
      <c r="UNQ69" s="26"/>
      <c r="UNR69" s="26"/>
      <c r="UNS69" s="26"/>
      <c r="UNT69" s="26"/>
      <c r="UNU69" s="26"/>
      <c r="UNV69" s="26"/>
      <c r="UNW69" s="26"/>
      <c r="UNX69" s="26"/>
      <c r="UNY69" s="26"/>
      <c r="UNZ69" s="26"/>
      <c r="UOA69" s="26"/>
      <c r="UOB69" s="26"/>
      <c r="UOC69" s="26"/>
      <c r="UOD69" s="26"/>
      <c r="UOE69" s="26"/>
      <c r="UOF69" s="26"/>
      <c r="UOG69" s="26"/>
      <c r="UOH69" s="26"/>
      <c r="UOI69" s="26"/>
      <c r="UOJ69" s="26"/>
      <c r="UOK69" s="26"/>
      <c r="UOL69" s="26"/>
      <c r="UOM69" s="26"/>
      <c r="UON69" s="26"/>
      <c r="UOO69" s="26"/>
      <c r="UOP69" s="26"/>
      <c r="UOQ69" s="26"/>
      <c r="UOR69" s="26"/>
      <c r="UOS69" s="26"/>
      <c r="UOT69" s="26"/>
      <c r="UOU69" s="26"/>
      <c r="UOV69" s="26"/>
      <c r="UOW69" s="26"/>
      <c r="UOX69" s="26"/>
      <c r="UOY69" s="26"/>
      <c r="UOZ69" s="26"/>
      <c r="UPA69" s="26"/>
      <c r="UPB69" s="26"/>
      <c r="UPC69" s="26"/>
      <c r="UPD69" s="26"/>
      <c r="UPE69" s="26"/>
      <c r="UPF69" s="26"/>
      <c r="UPG69" s="26"/>
      <c r="UPH69" s="26"/>
      <c r="UPI69" s="26"/>
      <c r="UPJ69" s="26"/>
      <c r="UPK69" s="26"/>
      <c r="UPL69" s="26"/>
      <c r="UPM69" s="26"/>
      <c r="UPN69" s="26"/>
      <c r="UPO69" s="26"/>
      <c r="UPP69" s="26"/>
      <c r="UPQ69" s="26"/>
      <c r="UPR69" s="26"/>
      <c r="UPS69" s="26"/>
      <c r="UPT69" s="26"/>
      <c r="UPU69" s="26"/>
      <c r="UPV69" s="26"/>
      <c r="UPW69" s="26"/>
      <c r="UPX69" s="26"/>
      <c r="UPY69" s="26"/>
      <c r="UPZ69" s="26"/>
      <c r="UQA69" s="26"/>
      <c r="UQB69" s="26"/>
      <c r="UQC69" s="26"/>
      <c r="UQD69" s="26"/>
      <c r="UQE69" s="26"/>
      <c r="UQF69" s="26"/>
      <c r="UQG69" s="26"/>
      <c r="UQH69" s="26"/>
      <c r="UQI69" s="26"/>
      <c r="UQJ69" s="26"/>
      <c r="UQK69" s="26"/>
      <c r="UQL69" s="26"/>
      <c r="UQM69" s="26"/>
      <c r="UQN69" s="26"/>
      <c r="UQO69" s="26"/>
      <c r="UQP69" s="26"/>
      <c r="UQQ69" s="26"/>
      <c r="UQR69" s="26"/>
      <c r="UQS69" s="26"/>
      <c r="UQT69" s="26"/>
      <c r="UQU69" s="26"/>
      <c r="UQV69" s="26"/>
      <c r="UQW69" s="26"/>
      <c r="UQX69" s="26"/>
      <c r="UQY69" s="26"/>
      <c r="UQZ69" s="26"/>
      <c r="URA69" s="26"/>
      <c r="URB69" s="26"/>
      <c r="URC69" s="26"/>
      <c r="URD69" s="26"/>
      <c r="URE69" s="26"/>
      <c r="URF69" s="26"/>
      <c r="URG69" s="26"/>
      <c r="URH69" s="26"/>
      <c r="URI69" s="26"/>
      <c r="URJ69" s="26"/>
      <c r="URK69" s="26"/>
      <c r="URL69" s="26"/>
      <c r="URM69" s="26"/>
      <c r="URN69" s="26"/>
      <c r="URO69" s="26"/>
      <c r="URP69" s="26"/>
      <c r="URQ69" s="26"/>
      <c r="URR69" s="26"/>
      <c r="URS69" s="26"/>
      <c r="URT69" s="26"/>
      <c r="URU69" s="26"/>
      <c r="URV69" s="26"/>
      <c r="URW69" s="26"/>
      <c r="URX69" s="26"/>
      <c r="URY69" s="26"/>
      <c r="URZ69" s="26"/>
      <c r="USA69" s="26"/>
      <c r="USB69" s="26"/>
      <c r="USC69" s="26"/>
      <c r="USD69" s="26"/>
      <c r="USE69" s="26"/>
      <c r="USF69" s="26"/>
      <c r="USG69" s="26"/>
      <c r="USH69" s="26"/>
      <c r="USI69" s="26"/>
      <c r="USJ69" s="26"/>
      <c r="USK69" s="26"/>
      <c r="USL69" s="26"/>
      <c r="USM69" s="26"/>
      <c r="USN69" s="26"/>
      <c r="USO69" s="26"/>
      <c r="USP69" s="26"/>
      <c r="USQ69" s="26"/>
      <c r="USR69" s="26"/>
      <c r="USS69" s="26"/>
      <c r="UST69" s="26"/>
      <c r="USU69" s="26"/>
      <c r="USV69" s="26"/>
      <c r="USW69" s="26"/>
      <c r="USX69" s="26"/>
      <c r="USY69" s="26"/>
      <c r="USZ69" s="26"/>
      <c r="UTA69" s="26"/>
      <c r="UTB69" s="26"/>
      <c r="UTC69" s="26"/>
      <c r="UTD69" s="26"/>
      <c r="UTE69" s="26"/>
      <c r="UTF69" s="26"/>
      <c r="UTG69" s="26"/>
      <c r="UTH69" s="26"/>
      <c r="UTI69" s="26"/>
      <c r="UTJ69" s="26"/>
      <c r="UTK69" s="26"/>
      <c r="UTL69" s="26"/>
      <c r="UTM69" s="26"/>
      <c r="UTN69" s="26"/>
      <c r="UTO69" s="26"/>
      <c r="UTP69" s="26"/>
      <c r="UTQ69" s="26"/>
      <c r="UTR69" s="26"/>
      <c r="UTS69" s="26"/>
      <c r="UTT69" s="26"/>
      <c r="UTU69" s="26"/>
      <c r="UTV69" s="26"/>
      <c r="UTW69" s="26"/>
      <c r="UTX69" s="26"/>
      <c r="UTY69" s="26"/>
      <c r="UTZ69" s="26"/>
      <c r="UUA69" s="26"/>
      <c r="UUB69" s="26"/>
      <c r="UUC69" s="26"/>
      <c r="UUD69" s="26"/>
      <c r="UUE69" s="26"/>
      <c r="UUF69" s="26"/>
      <c r="UUG69" s="26"/>
      <c r="UUH69" s="26"/>
      <c r="UUI69" s="26"/>
      <c r="UUJ69" s="26"/>
      <c r="UUK69" s="26"/>
      <c r="UUL69" s="26"/>
      <c r="UUM69" s="26"/>
      <c r="UUN69" s="26"/>
      <c r="UUO69" s="26"/>
      <c r="UUP69" s="26"/>
      <c r="UUQ69" s="26"/>
      <c r="UUR69" s="26"/>
      <c r="UUS69" s="26"/>
      <c r="UUT69" s="26"/>
      <c r="UUU69" s="26"/>
      <c r="UUV69" s="26"/>
      <c r="UUW69" s="26"/>
      <c r="UUX69" s="26"/>
      <c r="UUY69" s="26"/>
      <c r="UUZ69" s="26"/>
      <c r="UVA69" s="26"/>
      <c r="UVB69" s="26"/>
      <c r="UVC69" s="26"/>
      <c r="UVD69" s="26"/>
      <c r="UVE69" s="26"/>
      <c r="UVF69" s="26"/>
      <c r="UVG69" s="26"/>
      <c r="UVH69" s="26"/>
      <c r="UVI69" s="26"/>
      <c r="UVJ69" s="26"/>
      <c r="UVK69" s="26"/>
      <c r="UVL69" s="26"/>
      <c r="UVM69" s="26"/>
      <c r="UVN69" s="26"/>
      <c r="UVO69" s="26"/>
      <c r="UVP69" s="26"/>
      <c r="UVQ69" s="26"/>
      <c r="UVR69" s="26"/>
      <c r="UVS69" s="26"/>
      <c r="UVT69" s="26"/>
      <c r="UVU69" s="26"/>
      <c r="UVV69" s="26"/>
      <c r="UVW69" s="26"/>
      <c r="UVX69" s="26"/>
      <c r="UVY69" s="26"/>
      <c r="UVZ69" s="26"/>
      <c r="UWA69" s="26"/>
      <c r="UWB69" s="26"/>
      <c r="UWC69" s="26"/>
      <c r="UWD69" s="26"/>
      <c r="UWE69" s="26"/>
      <c r="UWF69" s="26"/>
      <c r="UWG69" s="26"/>
      <c r="UWH69" s="26"/>
      <c r="UWI69" s="26"/>
      <c r="UWJ69" s="26"/>
      <c r="UWK69" s="26"/>
      <c r="UWL69" s="26"/>
      <c r="UWM69" s="26"/>
      <c r="UWN69" s="26"/>
      <c r="UWO69" s="26"/>
      <c r="UWP69" s="26"/>
      <c r="UWQ69" s="26"/>
      <c r="UWR69" s="26"/>
      <c r="UWS69" s="26"/>
      <c r="UWT69" s="26"/>
      <c r="UWU69" s="26"/>
      <c r="UWV69" s="26"/>
      <c r="UWW69" s="26"/>
      <c r="UWX69" s="26"/>
      <c r="UWY69" s="26"/>
      <c r="UWZ69" s="26"/>
      <c r="UXA69" s="26"/>
      <c r="UXB69" s="26"/>
      <c r="UXC69" s="26"/>
      <c r="UXD69" s="26"/>
      <c r="UXE69" s="26"/>
      <c r="UXF69" s="26"/>
      <c r="UXG69" s="26"/>
      <c r="UXH69" s="26"/>
      <c r="UXI69" s="26"/>
      <c r="UXJ69" s="26"/>
      <c r="UXK69" s="26"/>
      <c r="UXL69" s="26"/>
      <c r="UXM69" s="26"/>
      <c r="UXN69" s="26"/>
      <c r="UXO69" s="26"/>
      <c r="UXP69" s="26"/>
      <c r="UXQ69" s="26"/>
      <c r="UXR69" s="26"/>
      <c r="UXS69" s="26"/>
      <c r="UXT69" s="26"/>
      <c r="UXU69" s="26"/>
      <c r="UXV69" s="26"/>
      <c r="UXW69" s="26"/>
      <c r="UXX69" s="26"/>
      <c r="UXY69" s="26"/>
      <c r="UXZ69" s="26"/>
      <c r="UYA69" s="26"/>
      <c r="UYB69" s="26"/>
      <c r="UYC69" s="26"/>
      <c r="UYD69" s="26"/>
      <c r="UYE69" s="26"/>
      <c r="UYF69" s="26"/>
      <c r="UYG69" s="26"/>
      <c r="UYH69" s="26"/>
      <c r="UYI69" s="26"/>
      <c r="UYJ69" s="26"/>
      <c r="UYK69" s="26"/>
      <c r="UYL69" s="26"/>
      <c r="UYM69" s="26"/>
      <c r="UYN69" s="26"/>
      <c r="UYO69" s="26"/>
      <c r="UYP69" s="26"/>
      <c r="UYQ69" s="26"/>
      <c r="UYR69" s="26"/>
      <c r="UYS69" s="26"/>
      <c r="UYT69" s="26"/>
      <c r="UYU69" s="26"/>
      <c r="UYV69" s="26"/>
      <c r="UYW69" s="26"/>
      <c r="UYX69" s="26"/>
      <c r="UYY69" s="26"/>
      <c r="UYZ69" s="26"/>
      <c r="UZA69" s="26"/>
      <c r="UZB69" s="26"/>
      <c r="UZC69" s="26"/>
      <c r="UZD69" s="26"/>
      <c r="UZE69" s="26"/>
      <c r="UZF69" s="26"/>
      <c r="UZG69" s="26"/>
      <c r="UZH69" s="26"/>
      <c r="UZI69" s="26"/>
      <c r="UZJ69" s="26"/>
      <c r="UZK69" s="26"/>
      <c r="UZL69" s="26"/>
      <c r="UZM69" s="26"/>
      <c r="UZN69" s="26"/>
      <c r="UZO69" s="26"/>
      <c r="UZP69" s="26"/>
      <c r="UZQ69" s="26"/>
      <c r="UZR69" s="26"/>
      <c r="UZS69" s="26"/>
      <c r="UZT69" s="26"/>
      <c r="UZU69" s="26"/>
      <c r="UZV69" s="26"/>
      <c r="UZW69" s="26"/>
      <c r="UZX69" s="26"/>
      <c r="UZY69" s="26"/>
      <c r="UZZ69" s="26"/>
      <c r="VAA69" s="26"/>
      <c r="VAB69" s="26"/>
      <c r="VAC69" s="26"/>
      <c r="VAD69" s="26"/>
      <c r="VAE69" s="26"/>
      <c r="VAF69" s="26"/>
      <c r="VAG69" s="26"/>
      <c r="VAH69" s="26"/>
      <c r="VAI69" s="26"/>
      <c r="VAJ69" s="26"/>
      <c r="VAK69" s="26"/>
      <c r="VAL69" s="26"/>
      <c r="VAM69" s="26"/>
      <c r="VAN69" s="26"/>
      <c r="VAO69" s="26"/>
      <c r="VAP69" s="26"/>
      <c r="VAQ69" s="26"/>
      <c r="VAR69" s="26"/>
      <c r="VAS69" s="26"/>
      <c r="VAT69" s="26"/>
      <c r="VAU69" s="26"/>
      <c r="VAV69" s="26"/>
      <c r="VAW69" s="26"/>
      <c r="VAX69" s="26"/>
      <c r="VAY69" s="26"/>
      <c r="VAZ69" s="26"/>
      <c r="VBA69" s="26"/>
      <c r="VBB69" s="26"/>
      <c r="VBC69" s="26"/>
      <c r="VBD69" s="26"/>
      <c r="VBE69" s="26"/>
      <c r="VBF69" s="26"/>
      <c r="VBG69" s="26"/>
      <c r="VBH69" s="26"/>
      <c r="VBI69" s="26"/>
      <c r="VBJ69" s="26"/>
      <c r="VBK69" s="26"/>
      <c r="VBL69" s="26"/>
      <c r="VBM69" s="26"/>
      <c r="VBN69" s="26"/>
      <c r="VBO69" s="26"/>
      <c r="VBP69" s="26"/>
      <c r="VBQ69" s="26"/>
      <c r="VBR69" s="26"/>
      <c r="VBS69" s="26"/>
      <c r="VBT69" s="26"/>
      <c r="VBU69" s="26"/>
      <c r="VBV69" s="26"/>
      <c r="VBW69" s="26"/>
      <c r="VBX69" s="26"/>
      <c r="VBY69" s="26"/>
      <c r="VBZ69" s="26"/>
      <c r="VCA69" s="26"/>
      <c r="VCB69" s="26"/>
      <c r="VCC69" s="26"/>
      <c r="VCD69" s="26"/>
      <c r="VCE69" s="26"/>
      <c r="VCF69" s="26"/>
      <c r="VCG69" s="26"/>
      <c r="VCH69" s="26"/>
      <c r="VCI69" s="26"/>
      <c r="VCJ69" s="26"/>
      <c r="VCK69" s="26"/>
      <c r="VCL69" s="26"/>
      <c r="VCM69" s="26"/>
      <c r="VCN69" s="26"/>
      <c r="VCO69" s="26"/>
      <c r="VCP69" s="26"/>
      <c r="VCQ69" s="26"/>
      <c r="VCR69" s="26"/>
      <c r="VCS69" s="26"/>
      <c r="VCT69" s="26"/>
      <c r="VCU69" s="26"/>
      <c r="VCV69" s="26"/>
      <c r="VCW69" s="26"/>
      <c r="VCX69" s="26"/>
      <c r="VCY69" s="26"/>
      <c r="VCZ69" s="26"/>
      <c r="VDA69" s="26"/>
      <c r="VDB69" s="26"/>
      <c r="VDC69" s="26"/>
      <c r="VDD69" s="26"/>
      <c r="VDE69" s="26"/>
      <c r="VDF69" s="26"/>
      <c r="VDG69" s="26"/>
      <c r="VDH69" s="26"/>
      <c r="VDI69" s="26"/>
      <c r="VDJ69" s="26"/>
      <c r="VDK69" s="26"/>
      <c r="VDL69" s="26"/>
      <c r="VDM69" s="26"/>
      <c r="VDN69" s="26"/>
      <c r="VDO69" s="26"/>
      <c r="VDP69" s="26"/>
      <c r="VDQ69" s="26"/>
      <c r="VDR69" s="26"/>
      <c r="VDS69" s="26"/>
      <c r="VDT69" s="26"/>
      <c r="VDU69" s="26"/>
      <c r="VDV69" s="26"/>
      <c r="VDW69" s="26"/>
      <c r="VDX69" s="26"/>
      <c r="VDY69" s="26"/>
      <c r="VDZ69" s="26"/>
      <c r="VEA69" s="26"/>
      <c r="VEB69" s="26"/>
      <c r="VEC69" s="26"/>
      <c r="VED69" s="26"/>
      <c r="VEE69" s="26"/>
      <c r="VEF69" s="26"/>
      <c r="VEG69" s="26"/>
      <c r="VEH69" s="26"/>
      <c r="VEI69" s="26"/>
      <c r="VEJ69" s="26"/>
      <c r="VEK69" s="26"/>
      <c r="VEL69" s="26"/>
      <c r="VEM69" s="26"/>
      <c r="VEN69" s="26"/>
      <c r="VEO69" s="26"/>
      <c r="VEP69" s="26"/>
      <c r="VEQ69" s="26"/>
      <c r="VER69" s="26"/>
      <c r="VES69" s="26"/>
      <c r="VET69" s="26"/>
      <c r="VEU69" s="26"/>
      <c r="VEV69" s="26"/>
      <c r="VEW69" s="26"/>
      <c r="VEX69" s="26"/>
      <c r="VEY69" s="26"/>
      <c r="VEZ69" s="26"/>
      <c r="VFA69" s="26"/>
      <c r="VFB69" s="26"/>
      <c r="VFC69" s="26"/>
      <c r="VFD69" s="26"/>
      <c r="VFE69" s="26"/>
      <c r="VFF69" s="26"/>
      <c r="VFG69" s="26"/>
      <c r="VFH69" s="26"/>
      <c r="VFI69" s="26"/>
      <c r="VFJ69" s="26"/>
      <c r="VFK69" s="26"/>
      <c r="VFL69" s="26"/>
      <c r="VFM69" s="26"/>
      <c r="VFN69" s="26"/>
      <c r="VFO69" s="26"/>
      <c r="VFP69" s="26"/>
      <c r="VFQ69" s="26"/>
      <c r="VFR69" s="26"/>
      <c r="VFS69" s="26"/>
      <c r="VFT69" s="26"/>
      <c r="VFU69" s="26"/>
      <c r="VFV69" s="26"/>
      <c r="VFW69" s="26"/>
      <c r="VFX69" s="26"/>
      <c r="VFY69" s="26"/>
      <c r="VFZ69" s="26"/>
      <c r="VGA69" s="26"/>
      <c r="VGB69" s="26"/>
      <c r="VGC69" s="26"/>
      <c r="VGD69" s="26"/>
      <c r="VGE69" s="26"/>
      <c r="VGF69" s="26"/>
      <c r="VGG69" s="26"/>
      <c r="VGH69" s="26"/>
      <c r="VGI69" s="26"/>
      <c r="VGJ69" s="26"/>
      <c r="VGK69" s="26"/>
      <c r="VGL69" s="26"/>
      <c r="VGM69" s="26"/>
      <c r="VGN69" s="26"/>
      <c r="VGO69" s="26"/>
      <c r="VGP69" s="26"/>
      <c r="VGQ69" s="26"/>
      <c r="VGR69" s="26"/>
      <c r="VGS69" s="26"/>
      <c r="VGT69" s="26"/>
      <c r="VGU69" s="26"/>
      <c r="VGV69" s="26"/>
      <c r="VGW69" s="26"/>
      <c r="VGX69" s="26"/>
      <c r="VGY69" s="26"/>
      <c r="VGZ69" s="26"/>
      <c r="VHA69" s="26"/>
      <c r="VHB69" s="26"/>
      <c r="VHC69" s="26"/>
      <c r="VHD69" s="26"/>
      <c r="VHE69" s="26"/>
      <c r="VHF69" s="26"/>
      <c r="VHG69" s="26"/>
      <c r="VHH69" s="26"/>
      <c r="VHI69" s="26"/>
      <c r="VHJ69" s="26"/>
      <c r="VHK69" s="26"/>
      <c r="VHL69" s="26"/>
      <c r="VHM69" s="26"/>
      <c r="VHN69" s="26"/>
      <c r="VHO69" s="26"/>
      <c r="VHP69" s="26"/>
      <c r="VHQ69" s="26"/>
      <c r="VHR69" s="26"/>
      <c r="VHS69" s="26"/>
      <c r="VHT69" s="26"/>
      <c r="VHU69" s="26"/>
      <c r="VHV69" s="26"/>
      <c r="VHW69" s="26"/>
      <c r="VHX69" s="26"/>
      <c r="VHY69" s="26"/>
      <c r="VHZ69" s="26"/>
      <c r="VIA69" s="26"/>
      <c r="VIB69" s="26"/>
      <c r="VIC69" s="26"/>
      <c r="VID69" s="26"/>
      <c r="VIE69" s="26"/>
      <c r="VIF69" s="26"/>
      <c r="VIG69" s="26"/>
      <c r="VIH69" s="26"/>
      <c r="VII69" s="26"/>
      <c r="VIJ69" s="26"/>
      <c r="VIK69" s="26"/>
      <c r="VIL69" s="26"/>
      <c r="VIM69" s="26"/>
      <c r="VIN69" s="26"/>
      <c r="VIO69" s="26"/>
      <c r="VIP69" s="26"/>
      <c r="VIQ69" s="26"/>
      <c r="VIR69" s="26"/>
      <c r="VIS69" s="26"/>
      <c r="VIT69" s="26"/>
      <c r="VIU69" s="26"/>
      <c r="VIV69" s="26"/>
      <c r="VIW69" s="26"/>
      <c r="VIX69" s="26"/>
      <c r="VIY69" s="26"/>
      <c r="VIZ69" s="26"/>
      <c r="VJA69" s="26"/>
      <c r="VJB69" s="26"/>
      <c r="VJC69" s="26"/>
      <c r="VJD69" s="26"/>
      <c r="VJE69" s="26"/>
      <c r="VJF69" s="26"/>
      <c r="VJG69" s="26"/>
      <c r="VJH69" s="26"/>
      <c r="VJI69" s="26"/>
      <c r="VJJ69" s="26"/>
      <c r="VJK69" s="26"/>
      <c r="VJL69" s="26"/>
      <c r="VJM69" s="26"/>
      <c r="VJN69" s="26"/>
      <c r="VJO69" s="26"/>
      <c r="VJP69" s="26"/>
      <c r="VJQ69" s="26"/>
      <c r="VJR69" s="26"/>
      <c r="VJS69" s="26"/>
      <c r="VJT69" s="26"/>
      <c r="VJU69" s="26"/>
      <c r="VJV69" s="26"/>
      <c r="VJW69" s="26"/>
      <c r="VJX69" s="26"/>
      <c r="VJY69" s="26"/>
      <c r="VJZ69" s="26"/>
      <c r="VKA69" s="26"/>
      <c r="VKB69" s="26"/>
      <c r="VKC69" s="26"/>
      <c r="VKD69" s="26"/>
      <c r="VKE69" s="26"/>
      <c r="VKF69" s="26"/>
      <c r="VKG69" s="26"/>
      <c r="VKH69" s="26"/>
      <c r="VKI69" s="26"/>
      <c r="VKJ69" s="26"/>
      <c r="VKK69" s="26"/>
      <c r="VKL69" s="26"/>
      <c r="VKM69" s="26"/>
      <c r="VKN69" s="26"/>
      <c r="VKO69" s="26"/>
      <c r="VKP69" s="26"/>
      <c r="VKQ69" s="26"/>
      <c r="VKR69" s="26"/>
      <c r="VKS69" s="26"/>
      <c r="VKT69" s="26"/>
      <c r="VKU69" s="26"/>
      <c r="VKV69" s="26"/>
      <c r="VKW69" s="26"/>
      <c r="VKX69" s="26"/>
      <c r="VKY69" s="26"/>
      <c r="VKZ69" s="26"/>
      <c r="VLA69" s="26"/>
      <c r="VLB69" s="26"/>
      <c r="VLC69" s="26"/>
      <c r="VLD69" s="26"/>
      <c r="VLE69" s="26"/>
      <c r="VLF69" s="26"/>
      <c r="VLG69" s="26"/>
      <c r="VLH69" s="26"/>
      <c r="VLI69" s="26"/>
      <c r="VLJ69" s="26"/>
      <c r="VLK69" s="26"/>
      <c r="VLL69" s="26"/>
      <c r="VLM69" s="26"/>
      <c r="VLN69" s="26"/>
      <c r="VLO69" s="26"/>
      <c r="VLP69" s="26"/>
      <c r="VLQ69" s="26"/>
      <c r="VLR69" s="26"/>
      <c r="VLS69" s="26"/>
      <c r="VLT69" s="26"/>
      <c r="VLU69" s="26"/>
      <c r="VLV69" s="26"/>
      <c r="VLW69" s="26"/>
      <c r="VLX69" s="26"/>
      <c r="VLY69" s="26"/>
      <c r="VLZ69" s="26"/>
      <c r="VMA69" s="26"/>
      <c r="VMB69" s="26"/>
      <c r="VMC69" s="26"/>
      <c r="VMD69" s="26"/>
      <c r="VME69" s="26"/>
      <c r="VMF69" s="26"/>
      <c r="VMG69" s="26"/>
      <c r="VMH69" s="26"/>
      <c r="VMI69" s="26"/>
      <c r="VMJ69" s="26"/>
      <c r="VMK69" s="26"/>
      <c r="VML69" s="26"/>
      <c r="VMM69" s="26"/>
      <c r="VMN69" s="26"/>
      <c r="VMO69" s="26"/>
      <c r="VMP69" s="26"/>
      <c r="VMQ69" s="26"/>
      <c r="VMR69" s="26"/>
      <c r="VMS69" s="26"/>
      <c r="VMT69" s="26"/>
      <c r="VMU69" s="26"/>
      <c r="VMV69" s="26"/>
      <c r="VMW69" s="26"/>
      <c r="VMX69" s="26"/>
      <c r="VMY69" s="26"/>
      <c r="VMZ69" s="26"/>
      <c r="VNA69" s="26"/>
      <c r="VNB69" s="26"/>
      <c r="VNC69" s="26"/>
      <c r="VND69" s="26"/>
      <c r="VNE69" s="26"/>
      <c r="VNF69" s="26"/>
      <c r="VNG69" s="26"/>
      <c r="VNH69" s="26"/>
      <c r="VNI69" s="26"/>
      <c r="VNJ69" s="26"/>
      <c r="VNK69" s="26"/>
      <c r="VNL69" s="26"/>
      <c r="VNM69" s="26"/>
      <c r="VNN69" s="26"/>
      <c r="VNO69" s="26"/>
      <c r="VNP69" s="26"/>
      <c r="VNQ69" s="26"/>
      <c r="VNR69" s="26"/>
      <c r="VNS69" s="26"/>
      <c r="VNT69" s="26"/>
      <c r="VNU69" s="26"/>
      <c r="VNV69" s="26"/>
      <c r="VNW69" s="26"/>
      <c r="VNX69" s="26"/>
      <c r="VNY69" s="26"/>
      <c r="VNZ69" s="26"/>
      <c r="VOA69" s="26"/>
      <c r="VOB69" s="26"/>
      <c r="VOC69" s="26"/>
      <c r="VOD69" s="26"/>
      <c r="VOE69" s="26"/>
      <c r="VOF69" s="26"/>
      <c r="VOG69" s="26"/>
      <c r="VOH69" s="26"/>
      <c r="VOI69" s="26"/>
      <c r="VOJ69" s="26"/>
      <c r="VOK69" s="26"/>
      <c r="VOL69" s="26"/>
      <c r="VOM69" s="26"/>
      <c r="VON69" s="26"/>
      <c r="VOO69" s="26"/>
      <c r="VOP69" s="26"/>
      <c r="VOQ69" s="26"/>
      <c r="VOR69" s="26"/>
      <c r="VOS69" s="26"/>
      <c r="VOT69" s="26"/>
      <c r="VOU69" s="26"/>
      <c r="VOV69" s="26"/>
      <c r="VOW69" s="26"/>
      <c r="VOX69" s="26"/>
      <c r="VOY69" s="26"/>
      <c r="VOZ69" s="26"/>
      <c r="VPA69" s="26"/>
      <c r="VPB69" s="26"/>
      <c r="VPC69" s="26"/>
      <c r="VPD69" s="26"/>
      <c r="VPE69" s="26"/>
      <c r="VPF69" s="26"/>
      <c r="VPG69" s="26"/>
      <c r="VPH69" s="26"/>
      <c r="VPI69" s="26"/>
      <c r="VPJ69" s="26"/>
      <c r="VPK69" s="26"/>
      <c r="VPL69" s="26"/>
      <c r="VPM69" s="26"/>
      <c r="VPN69" s="26"/>
      <c r="VPO69" s="26"/>
      <c r="VPP69" s="26"/>
      <c r="VPQ69" s="26"/>
      <c r="VPR69" s="26"/>
      <c r="VPS69" s="26"/>
      <c r="VPT69" s="26"/>
      <c r="VPU69" s="26"/>
      <c r="VPV69" s="26"/>
      <c r="VPW69" s="26"/>
      <c r="VPX69" s="26"/>
      <c r="VPY69" s="26"/>
      <c r="VPZ69" s="26"/>
      <c r="VQA69" s="26"/>
      <c r="VQB69" s="26"/>
      <c r="VQC69" s="26"/>
      <c r="VQD69" s="26"/>
      <c r="VQE69" s="26"/>
      <c r="VQF69" s="26"/>
      <c r="VQG69" s="26"/>
      <c r="VQH69" s="26"/>
      <c r="VQI69" s="26"/>
      <c r="VQJ69" s="26"/>
      <c r="VQK69" s="26"/>
      <c r="VQL69" s="26"/>
      <c r="VQM69" s="26"/>
      <c r="VQN69" s="26"/>
      <c r="VQO69" s="26"/>
      <c r="VQP69" s="26"/>
      <c r="VQQ69" s="26"/>
      <c r="VQR69" s="26"/>
      <c r="VQS69" s="26"/>
      <c r="VQT69" s="26"/>
      <c r="VQU69" s="26"/>
      <c r="VQV69" s="26"/>
      <c r="VQW69" s="26"/>
      <c r="VQX69" s="26"/>
      <c r="VQY69" s="26"/>
      <c r="VQZ69" s="26"/>
      <c r="VRA69" s="26"/>
      <c r="VRB69" s="26"/>
      <c r="VRC69" s="26"/>
      <c r="VRD69" s="26"/>
      <c r="VRE69" s="26"/>
      <c r="VRF69" s="26"/>
      <c r="VRG69" s="26"/>
      <c r="VRH69" s="26"/>
      <c r="VRI69" s="26"/>
      <c r="VRJ69" s="26"/>
      <c r="VRK69" s="26"/>
      <c r="VRL69" s="26"/>
      <c r="VRM69" s="26"/>
      <c r="VRN69" s="26"/>
      <c r="VRO69" s="26"/>
      <c r="VRP69" s="26"/>
      <c r="VRQ69" s="26"/>
      <c r="VRR69" s="26"/>
      <c r="VRS69" s="26"/>
      <c r="VRT69" s="26"/>
      <c r="VRU69" s="26"/>
      <c r="VRV69" s="26"/>
      <c r="VRW69" s="26"/>
      <c r="VRX69" s="26"/>
      <c r="VRY69" s="26"/>
      <c r="VRZ69" s="26"/>
      <c r="VSA69" s="26"/>
      <c r="VSB69" s="26"/>
      <c r="VSC69" s="26"/>
      <c r="VSD69" s="26"/>
      <c r="VSE69" s="26"/>
      <c r="VSF69" s="26"/>
      <c r="VSG69" s="26"/>
      <c r="VSH69" s="26"/>
      <c r="VSI69" s="26"/>
      <c r="VSJ69" s="26"/>
      <c r="VSK69" s="26"/>
      <c r="VSL69" s="26"/>
      <c r="VSM69" s="26"/>
      <c r="VSN69" s="26"/>
      <c r="VSO69" s="26"/>
      <c r="VSP69" s="26"/>
      <c r="VSQ69" s="26"/>
      <c r="VSR69" s="26"/>
      <c r="VSS69" s="26"/>
      <c r="VST69" s="26"/>
      <c r="VSU69" s="26"/>
      <c r="VSV69" s="26"/>
      <c r="VSW69" s="26"/>
      <c r="VSX69" s="26"/>
      <c r="VSY69" s="26"/>
      <c r="VSZ69" s="26"/>
      <c r="VTA69" s="26"/>
      <c r="VTB69" s="26"/>
      <c r="VTC69" s="26"/>
      <c r="VTD69" s="26"/>
      <c r="VTE69" s="26"/>
      <c r="VTF69" s="26"/>
      <c r="VTG69" s="26"/>
      <c r="VTH69" s="26"/>
      <c r="VTI69" s="26"/>
      <c r="VTJ69" s="26"/>
      <c r="VTK69" s="26"/>
      <c r="VTL69" s="26"/>
      <c r="VTM69" s="26"/>
      <c r="VTN69" s="26"/>
      <c r="VTO69" s="26"/>
      <c r="VTP69" s="26"/>
      <c r="VTQ69" s="26"/>
      <c r="VTR69" s="26"/>
      <c r="VTS69" s="26"/>
      <c r="VTT69" s="26"/>
      <c r="VTU69" s="26"/>
      <c r="VTV69" s="26"/>
      <c r="VTW69" s="26"/>
      <c r="VTX69" s="26"/>
      <c r="VTY69" s="26"/>
      <c r="VTZ69" s="26"/>
      <c r="VUA69" s="26"/>
      <c r="VUB69" s="26"/>
      <c r="VUC69" s="26"/>
      <c r="VUD69" s="26"/>
      <c r="VUE69" s="26"/>
      <c r="VUF69" s="26"/>
      <c r="VUG69" s="26"/>
      <c r="VUH69" s="26"/>
      <c r="VUI69" s="26"/>
      <c r="VUJ69" s="26"/>
      <c r="VUK69" s="26"/>
      <c r="VUL69" s="26"/>
      <c r="VUM69" s="26"/>
      <c r="VUN69" s="26"/>
      <c r="VUO69" s="26"/>
      <c r="VUP69" s="26"/>
      <c r="VUQ69" s="26"/>
      <c r="VUR69" s="26"/>
      <c r="VUS69" s="26"/>
      <c r="VUT69" s="26"/>
      <c r="VUU69" s="26"/>
      <c r="VUV69" s="26"/>
      <c r="VUW69" s="26"/>
      <c r="VUX69" s="26"/>
      <c r="VUY69" s="26"/>
      <c r="VUZ69" s="26"/>
      <c r="VVA69" s="26"/>
      <c r="VVB69" s="26"/>
      <c r="VVC69" s="26"/>
      <c r="VVD69" s="26"/>
      <c r="VVE69" s="26"/>
      <c r="VVF69" s="26"/>
      <c r="VVG69" s="26"/>
      <c r="VVH69" s="26"/>
      <c r="VVI69" s="26"/>
      <c r="VVJ69" s="26"/>
      <c r="VVK69" s="26"/>
      <c r="VVL69" s="26"/>
      <c r="VVM69" s="26"/>
      <c r="VVN69" s="26"/>
      <c r="VVO69" s="26"/>
      <c r="VVP69" s="26"/>
      <c r="VVQ69" s="26"/>
      <c r="VVR69" s="26"/>
      <c r="VVS69" s="26"/>
      <c r="VVT69" s="26"/>
      <c r="VVU69" s="26"/>
      <c r="VVV69" s="26"/>
      <c r="VVW69" s="26"/>
      <c r="VVX69" s="26"/>
      <c r="VVY69" s="26"/>
      <c r="VVZ69" s="26"/>
      <c r="VWA69" s="26"/>
      <c r="VWB69" s="26"/>
      <c r="VWC69" s="26"/>
      <c r="VWD69" s="26"/>
      <c r="VWE69" s="26"/>
      <c r="VWF69" s="26"/>
      <c r="VWG69" s="26"/>
      <c r="VWH69" s="26"/>
      <c r="VWI69" s="26"/>
      <c r="VWJ69" s="26"/>
      <c r="VWK69" s="26"/>
      <c r="VWL69" s="26"/>
      <c r="VWM69" s="26"/>
      <c r="VWN69" s="26"/>
      <c r="VWO69" s="26"/>
      <c r="VWP69" s="26"/>
      <c r="VWQ69" s="26"/>
      <c r="VWR69" s="26"/>
      <c r="VWS69" s="26"/>
      <c r="VWT69" s="26"/>
      <c r="VWU69" s="26"/>
      <c r="VWV69" s="26"/>
      <c r="VWW69" s="26"/>
      <c r="VWX69" s="26"/>
      <c r="VWY69" s="26"/>
      <c r="VWZ69" s="26"/>
      <c r="VXA69" s="26"/>
      <c r="VXB69" s="26"/>
      <c r="VXC69" s="26"/>
      <c r="VXD69" s="26"/>
      <c r="VXE69" s="26"/>
      <c r="VXF69" s="26"/>
      <c r="VXG69" s="26"/>
      <c r="VXH69" s="26"/>
      <c r="VXI69" s="26"/>
      <c r="VXJ69" s="26"/>
      <c r="VXK69" s="26"/>
      <c r="VXL69" s="26"/>
      <c r="VXM69" s="26"/>
      <c r="VXN69" s="26"/>
      <c r="VXO69" s="26"/>
      <c r="VXP69" s="26"/>
      <c r="VXQ69" s="26"/>
      <c r="VXR69" s="26"/>
      <c r="VXS69" s="26"/>
      <c r="VXT69" s="26"/>
      <c r="VXU69" s="26"/>
      <c r="VXV69" s="26"/>
      <c r="VXW69" s="26"/>
      <c r="VXX69" s="26"/>
      <c r="VXY69" s="26"/>
      <c r="VXZ69" s="26"/>
      <c r="VYA69" s="26"/>
      <c r="VYB69" s="26"/>
      <c r="VYC69" s="26"/>
      <c r="VYD69" s="26"/>
      <c r="VYE69" s="26"/>
      <c r="VYF69" s="26"/>
      <c r="VYG69" s="26"/>
      <c r="VYH69" s="26"/>
      <c r="VYI69" s="26"/>
      <c r="VYJ69" s="26"/>
      <c r="VYK69" s="26"/>
      <c r="VYL69" s="26"/>
      <c r="VYM69" s="26"/>
      <c r="VYN69" s="26"/>
      <c r="VYO69" s="26"/>
      <c r="VYP69" s="26"/>
      <c r="VYQ69" s="26"/>
      <c r="VYR69" s="26"/>
      <c r="VYS69" s="26"/>
      <c r="VYT69" s="26"/>
      <c r="VYU69" s="26"/>
      <c r="VYV69" s="26"/>
      <c r="VYW69" s="26"/>
      <c r="VYX69" s="26"/>
      <c r="VYY69" s="26"/>
      <c r="VYZ69" s="26"/>
      <c r="VZA69" s="26"/>
      <c r="VZB69" s="26"/>
      <c r="VZC69" s="26"/>
      <c r="VZD69" s="26"/>
      <c r="VZE69" s="26"/>
      <c r="VZF69" s="26"/>
      <c r="VZG69" s="26"/>
      <c r="VZH69" s="26"/>
      <c r="VZI69" s="26"/>
      <c r="VZJ69" s="26"/>
      <c r="VZK69" s="26"/>
      <c r="VZL69" s="26"/>
      <c r="VZM69" s="26"/>
      <c r="VZN69" s="26"/>
      <c r="VZO69" s="26"/>
      <c r="VZP69" s="26"/>
      <c r="VZQ69" s="26"/>
      <c r="VZR69" s="26"/>
      <c r="VZS69" s="26"/>
      <c r="VZT69" s="26"/>
      <c r="VZU69" s="26"/>
      <c r="VZV69" s="26"/>
      <c r="VZW69" s="26"/>
      <c r="VZX69" s="26"/>
      <c r="VZY69" s="26"/>
      <c r="VZZ69" s="26"/>
      <c r="WAA69" s="26"/>
      <c r="WAB69" s="26"/>
      <c r="WAC69" s="26"/>
      <c r="WAD69" s="26"/>
      <c r="WAE69" s="26"/>
      <c r="WAF69" s="26"/>
      <c r="WAG69" s="26"/>
      <c r="WAH69" s="26"/>
      <c r="WAI69" s="26"/>
      <c r="WAJ69" s="26"/>
      <c r="WAK69" s="26"/>
      <c r="WAL69" s="26"/>
      <c r="WAM69" s="26"/>
      <c r="WAN69" s="26"/>
      <c r="WAO69" s="26"/>
      <c r="WAP69" s="26"/>
      <c r="WAQ69" s="26"/>
      <c r="WAR69" s="26"/>
      <c r="WAS69" s="26"/>
      <c r="WAT69" s="26"/>
      <c r="WAU69" s="26"/>
      <c r="WAV69" s="26"/>
      <c r="WAW69" s="26"/>
      <c r="WAX69" s="26"/>
      <c r="WAY69" s="26"/>
      <c r="WAZ69" s="26"/>
      <c r="WBA69" s="26"/>
      <c r="WBB69" s="26"/>
      <c r="WBC69" s="26"/>
      <c r="WBD69" s="26"/>
      <c r="WBE69" s="26"/>
      <c r="WBF69" s="26"/>
      <c r="WBG69" s="26"/>
      <c r="WBH69" s="26"/>
      <c r="WBI69" s="26"/>
      <c r="WBJ69" s="26"/>
      <c r="WBK69" s="26"/>
      <c r="WBL69" s="26"/>
      <c r="WBM69" s="26"/>
      <c r="WBN69" s="26"/>
      <c r="WBO69" s="26"/>
      <c r="WBP69" s="26"/>
      <c r="WBQ69" s="26"/>
      <c r="WBR69" s="26"/>
      <c r="WBS69" s="26"/>
      <c r="WBT69" s="26"/>
      <c r="WBU69" s="26"/>
      <c r="WBV69" s="26"/>
      <c r="WBW69" s="26"/>
      <c r="WBX69" s="26"/>
      <c r="WBY69" s="26"/>
      <c r="WBZ69" s="26"/>
      <c r="WCA69" s="26"/>
      <c r="WCB69" s="26"/>
      <c r="WCC69" s="26"/>
      <c r="WCD69" s="26"/>
      <c r="WCE69" s="26"/>
      <c r="WCF69" s="26"/>
      <c r="WCG69" s="26"/>
      <c r="WCH69" s="26"/>
      <c r="WCI69" s="26"/>
      <c r="WCJ69" s="26"/>
      <c r="WCK69" s="26"/>
      <c r="WCL69" s="26"/>
      <c r="WCM69" s="26"/>
      <c r="WCN69" s="26"/>
      <c r="WCO69" s="26"/>
      <c r="WCP69" s="26"/>
      <c r="WCQ69" s="26"/>
      <c r="WCR69" s="26"/>
      <c r="WCS69" s="26"/>
      <c r="WCT69" s="26"/>
      <c r="WCU69" s="26"/>
      <c r="WCV69" s="26"/>
      <c r="WCW69" s="26"/>
      <c r="WCX69" s="26"/>
      <c r="WCY69" s="26"/>
      <c r="WCZ69" s="26"/>
      <c r="WDA69" s="26"/>
      <c r="WDB69" s="26"/>
      <c r="WDC69" s="26"/>
      <c r="WDD69" s="26"/>
      <c r="WDE69" s="26"/>
      <c r="WDF69" s="26"/>
      <c r="WDG69" s="26"/>
      <c r="WDH69" s="26"/>
      <c r="WDI69" s="26"/>
      <c r="WDJ69" s="26"/>
      <c r="WDK69" s="26"/>
      <c r="WDL69" s="26"/>
      <c r="WDM69" s="26"/>
      <c r="WDN69" s="26"/>
      <c r="WDO69" s="26"/>
      <c r="WDP69" s="26"/>
      <c r="WDQ69" s="26"/>
      <c r="WDR69" s="26"/>
      <c r="WDS69" s="26"/>
      <c r="WDT69" s="26"/>
      <c r="WDU69" s="26"/>
      <c r="WDV69" s="26"/>
      <c r="WDW69" s="26"/>
      <c r="WDX69" s="26"/>
      <c r="WDY69" s="26"/>
      <c r="WDZ69" s="26"/>
      <c r="WEA69" s="26"/>
      <c r="WEB69" s="26"/>
      <c r="WEC69" s="26"/>
      <c r="WED69" s="26"/>
      <c r="WEE69" s="26"/>
      <c r="WEF69" s="26"/>
      <c r="WEG69" s="26"/>
      <c r="WEH69" s="26"/>
      <c r="WEI69" s="26"/>
      <c r="WEJ69" s="26"/>
      <c r="WEK69" s="26"/>
      <c r="WEL69" s="26"/>
      <c r="WEM69" s="26"/>
      <c r="WEN69" s="26"/>
      <c r="WEO69" s="26"/>
      <c r="WEP69" s="26"/>
      <c r="WEQ69" s="26"/>
      <c r="WER69" s="26"/>
      <c r="WES69" s="26"/>
      <c r="WET69" s="26"/>
      <c r="WEU69" s="26"/>
      <c r="WEV69" s="26"/>
      <c r="WEW69" s="26"/>
      <c r="WEX69" s="26"/>
      <c r="WEY69" s="26"/>
      <c r="WEZ69" s="26"/>
      <c r="WFA69" s="26"/>
      <c r="WFB69" s="26"/>
      <c r="WFC69" s="26"/>
      <c r="WFD69" s="26"/>
      <c r="WFE69" s="26"/>
      <c r="WFF69" s="26"/>
      <c r="WFG69" s="26"/>
      <c r="WFH69" s="26"/>
      <c r="WFI69" s="26"/>
      <c r="WFJ69" s="26"/>
      <c r="WFK69" s="26"/>
      <c r="WFL69" s="26"/>
      <c r="WFM69" s="26"/>
      <c r="WFN69" s="26"/>
      <c r="WFO69" s="26"/>
      <c r="WFP69" s="26"/>
      <c r="WFQ69" s="26"/>
      <c r="WFR69" s="26"/>
      <c r="WFS69" s="26"/>
      <c r="WFT69" s="26"/>
      <c r="WFU69" s="26"/>
      <c r="WFV69" s="26"/>
      <c r="WFW69" s="26"/>
      <c r="WFX69" s="26"/>
      <c r="WFY69" s="26"/>
      <c r="WFZ69" s="26"/>
      <c r="WGA69" s="26"/>
      <c r="WGB69" s="26"/>
      <c r="WGC69" s="26"/>
      <c r="WGD69" s="26"/>
      <c r="WGE69" s="26"/>
      <c r="WGF69" s="26"/>
      <c r="WGG69" s="26"/>
      <c r="WGH69" s="26"/>
      <c r="WGI69" s="26"/>
      <c r="WGJ69" s="26"/>
      <c r="WGK69" s="26"/>
      <c r="WGL69" s="26"/>
      <c r="WGM69" s="26"/>
      <c r="WGN69" s="26"/>
      <c r="WGO69" s="26"/>
      <c r="WGP69" s="26"/>
      <c r="WGQ69" s="26"/>
      <c r="WGR69" s="26"/>
      <c r="WGS69" s="26"/>
      <c r="WGT69" s="26"/>
      <c r="WGU69" s="26"/>
      <c r="WGV69" s="26"/>
      <c r="WGW69" s="26"/>
      <c r="WGX69" s="26"/>
      <c r="WGY69" s="26"/>
      <c r="WGZ69" s="26"/>
      <c r="WHA69" s="26"/>
      <c r="WHB69" s="26"/>
      <c r="WHC69" s="26"/>
      <c r="WHD69" s="26"/>
      <c r="WHE69" s="26"/>
      <c r="WHF69" s="26"/>
      <c r="WHG69" s="26"/>
      <c r="WHH69" s="26"/>
      <c r="WHI69" s="26"/>
      <c r="WHJ69" s="26"/>
      <c r="WHK69" s="26"/>
      <c r="WHL69" s="26"/>
      <c r="WHM69" s="26"/>
      <c r="WHN69" s="26"/>
      <c r="WHO69" s="26"/>
      <c r="WHP69" s="26"/>
      <c r="WHQ69" s="26"/>
      <c r="WHR69" s="26"/>
      <c r="WHS69" s="26"/>
      <c r="WHT69" s="26"/>
      <c r="WHU69" s="26"/>
      <c r="WHV69" s="26"/>
      <c r="WHW69" s="26"/>
      <c r="WHX69" s="26"/>
      <c r="WHY69" s="26"/>
      <c r="WHZ69" s="26"/>
      <c r="WIA69" s="26"/>
      <c r="WIB69" s="26"/>
      <c r="WIC69" s="26"/>
      <c r="WID69" s="26"/>
      <c r="WIE69" s="26"/>
      <c r="WIF69" s="26"/>
      <c r="WIG69" s="26"/>
      <c r="WIH69" s="26"/>
      <c r="WII69" s="26"/>
      <c r="WIJ69" s="26"/>
      <c r="WIK69" s="26"/>
      <c r="WIL69" s="26"/>
      <c r="WIM69" s="26"/>
      <c r="WIN69" s="26"/>
      <c r="WIO69" s="26"/>
      <c r="WIP69" s="26"/>
      <c r="WIQ69" s="26"/>
      <c r="WIR69" s="26"/>
      <c r="WIS69" s="26"/>
      <c r="WIT69" s="26"/>
      <c r="WIU69" s="26"/>
      <c r="WIV69" s="26"/>
      <c r="WIW69" s="26"/>
      <c r="WIX69" s="26"/>
      <c r="WIY69" s="26"/>
      <c r="WIZ69" s="26"/>
      <c r="WJA69" s="26"/>
      <c r="WJB69" s="26"/>
      <c r="WJC69" s="26"/>
      <c r="WJD69" s="26"/>
      <c r="WJE69" s="26"/>
      <c r="WJF69" s="26"/>
      <c r="WJG69" s="26"/>
      <c r="WJH69" s="26"/>
      <c r="WJI69" s="26"/>
      <c r="WJJ69" s="26"/>
      <c r="WJK69" s="26"/>
      <c r="WJL69" s="26"/>
      <c r="WJM69" s="26"/>
      <c r="WJN69" s="26"/>
      <c r="WJO69" s="26"/>
      <c r="WJP69" s="26"/>
      <c r="WJQ69" s="26"/>
      <c r="WJR69" s="26"/>
      <c r="WJS69" s="26"/>
      <c r="WJT69" s="26"/>
      <c r="WJU69" s="26"/>
      <c r="WJV69" s="26"/>
      <c r="WJW69" s="26"/>
      <c r="WJX69" s="26"/>
      <c r="WJY69" s="26"/>
      <c r="WJZ69" s="26"/>
      <c r="WKA69" s="26"/>
      <c r="WKB69" s="26"/>
      <c r="WKC69" s="26"/>
      <c r="WKD69" s="26"/>
      <c r="WKE69" s="26"/>
      <c r="WKF69" s="26"/>
      <c r="WKG69" s="26"/>
      <c r="WKH69" s="26"/>
      <c r="WKI69" s="26"/>
      <c r="WKJ69" s="26"/>
      <c r="WKK69" s="26"/>
      <c r="WKL69" s="26"/>
      <c r="WKM69" s="26"/>
      <c r="WKN69" s="26"/>
      <c r="WKO69" s="26"/>
      <c r="WKP69" s="26"/>
      <c r="WKQ69" s="26"/>
      <c r="WKR69" s="26"/>
      <c r="WKS69" s="26"/>
      <c r="WKT69" s="26"/>
      <c r="WKU69" s="26"/>
      <c r="WKV69" s="26"/>
      <c r="WKW69" s="26"/>
      <c r="WKX69" s="26"/>
      <c r="WKY69" s="26"/>
      <c r="WKZ69" s="26"/>
      <c r="WLA69" s="26"/>
      <c r="WLB69" s="26"/>
      <c r="WLC69" s="26"/>
      <c r="WLD69" s="26"/>
      <c r="WLE69" s="26"/>
      <c r="WLF69" s="26"/>
      <c r="WLG69" s="26"/>
      <c r="WLH69" s="26"/>
      <c r="WLI69" s="26"/>
      <c r="WLJ69" s="26"/>
      <c r="WLK69" s="26"/>
      <c r="WLL69" s="26"/>
      <c r="WLM69" s="26"/>
      <c r="WLN69" s="26"/>
      <c r="WLO69" s="26"/>
      <c r="WLP69" s="26"/>
      <c r="WLQ69" s="26"/>
      <c r="WLR69" s="26"/>
      <c r="WLS69" s="26"/>
      <c r="WLT69" s="26"/>
      <c r="WLU69" s="26"/>
      <c r="WLV69" s="26"/>
      <c r="WLW69" s="26"/>
      <c r="WLX69" s="26"/>
      <c r="WLY69" s="26"/>
      <c r="WLZ69" s="26"/>
      <c r="WMA69" s="26"/>
      <c r="WMB69" s="26"/>
      <c r="WMC69" s="26"/>
      <c r="WMD69" s="26"/>
      <c r="WME69" s="26"/>
      <c r="WMF69" s="26"/>
      <c r="WMG69" s="26"/>
      <c r="WMH69" s="26"/>
      <c r="WMI69" s="26"/>
      <c r="WMJ69" s="26"/>
      <c r="WMK69" s="26"/>
      <c r="WML69" s="26"/>
      <c r="WMM69" s="26"/>
      <c r="WMN69" s="26"/>
      <c r="WMO69" s="26"/>
      <c r="WMP69" s="26"/>
      <c r="WMQ69" s="26"/>
      <c r="WMR69" s="26"/>
      <c r="WMS69" s="26"/>
      <c r="WMT69" s="26"/>
      <c r="WMU69" s="26"/>
      <c r="WMV69" s="26"/>
      <c r="WMW69" s="26"/>
      <c r="WMX69" s="26"/>
      <c r="WMY69" s="26"/>
      <c r="WMZ69" s="26"/>
      <c r="WNA69" s="26"/>
      <c r="WNB69" s="26"/>
      <c r="WNC69" s="26"/>
      <c r="WND69" s="26"/>
      <c r="WNE69" s="26"/>
      <c r="WNF69" s="26"/>
      <c r="WNG69" s="26"/>
      <c r="WNH69" s="26"/>
      <c r="WNI69" s="26"/>
      <c r="WNJ69" s="26"/>
      <c r="WNK69" s="26"/>
      <c r="WNL69" s="26"/>
      <c r="WNM69" s="26"/>
      <c r="WNN69" s="26"/>
      <c r="WNO69" s="26"/>
      <c r="WNP69" s="26"/>
      <c r="WNQ69" s="26"/>
      <c r="WNR69" s="26"/>
      <c r="WNS69" s="26"/>
      <c r="WNT69" s="26"/>
      <c r="WNU69" s="26"/>
      <c r="WNV69" s="26"/>
      <c r="WNW69" s="26"/>
      <c r="WNX69" s="26"/>
      <c r="WNY69" s="26"/>
      <c r="WNZ69" s="26"/>
      <c r="WOA69" s="26"/>
      <c r="WOB69" s="26"/>
      <c r="WOC69" s="26"/>
      <c r="WOD69" s="26"/>
      <c r="WOE69" s="26"/>
      <c r="WOF69" s="26"/>
      <c r="WOG69" s="26"/>
      <c r="WOH69" s="26"/>
      <c r="WOI69" s="26"/>
      <c r="WOJ69" s="26"/>
      <c r="WOK69" s="26"/>
      <c r="WOL69" s="26"/>
      <c r="WOM69" s="26"/>
      <c r="WON69" s="26"/>
      <c r="WOO69" s="26"/>
      <c r="WOP69" s="26"/>
      <c r="WOQ69" s="26"/>
      <c r="WOR69" s="26"/>
      <c r="WOS69" s="26"/>
      <c r="WOT69" s="26"/>
      <c r="WOU69" s="26"/>
      <c r="WOV69" s="26"/>
      <c r="WOW69" s="26"/>
      <c r="WOX69" s="26"/>
      <c r="WOY69" s="26"/>
      <c r="WOZ69" s="26"/>
      <c r="WPA69" s="26"/>
      <c r="WPB69" s="26"/>
      <c r="WPC69" s="26"/>
      <c r="WPD69" s="26"/>
      <c r="WPE69" s="26"/>
      <c r="WPF69" s="26"/>
      <c r="WPG69" s="26"/>
      <c r="WPH69" s="26"/>
      <c r="WPI69" s="26"/>
      <c r="WPJ69" s="26"/>
      <c r="WPK69" s="26"/>
      <c r="WPL69" s="26"/>
      <c r="WPM69" s="26"/>
      <c r="WPN69" s="26"/>
      <c r="WPO69" s="26"/>
      <c r="WPP69" s="26"/>
      <c r="WPQ69" s="26"/>
      <c r="WPR69" s="26"/>
      <c r="WPS69" s="26"/>
      <c r="WPT69" s="26"/>
      <c r="WPU69" s="26"/>
      <c r="WPV69" s="26"/>
      <c r="WPW69" s="26"/>
      <c r="WPX69" s="26"/>
      <c r="WPY69" s="26"/>
      <c r="WPZ69" s="26"/>
      <c r="WQA69" s="26"/>
      <c r="WQB69" s="26"/>
      <c r="WQC69" s="26"/>
      <c r="WQD69" s="26"/>
      <c r="WQE69" s="26"/>
      <c r="WQF69" s="26"/>
      <c r="WQG69" s="26"/>
      <c r="WQH69" s="26"/>
      <c r="WQI69" s="26"/>
      <c r="WQJ69" s="26"/>
      <c r="WQK69" s="26"/>
      <c r="WQL69" s="26"/>
      <c r="WQM69" s="26"/>
      <c r="WQN69" s="26"/>
      <c r="WQO69" s="26"/>
      <c r="WQP69" s="26"/>
      <c r="WQQ69" s="26"/>
      <c r="WQR69" s="26"/>
      <c r="WQS69" s="26"/>
      <c r="WQT69" s="26"/>
      <c r="WQU69" s="26"/>
      <c r="WQV69" s="26"/>
      <c r="WQW69" s="26"/>
      <c r="WQX69" s="26"/>
      <c r="WQY69" s="26"/>
      <c r="WQZ69" s="26"/>
      <c r="WRA69" s="26"/>
      <c r="WRB69" s="26"/>
      <c r="WRC69" s="26"/>
      <c r="WRD69" s="26"/>
      <c r="WRE69" s="26"/>
      <c r="WRF69" s="26"/>
      <c r="WRG69" s="26"/>
      <c r="WRH69" s="26"/>
      <c r="WRI69" s="26"/>
      <c r="WRJ69" s="26"/>
      <c r="WRK69" s="26"/>
      <c r="WRL69" s="26"/>
      <c r="WRM69" s="26"/>
      <c r="WRN69" s="26"/>
      <c r="WRO69" s="26"/>
      <c r="WRP69" s="26"/>
      <c r="WRQ69" s="26"/>
      <c r="WRR69" s="26"/>
      <c r="WRS69" s="26"/>
      <c r="WRT69" s="26"/>
      <c r="WRU69" s="26"/>
      <c r="WRV69" s="26"/>
      <c r="WRW69" s="26"/>
      <c r="WRX69" s="26"/>
      <c r="WRY69" s="26"/>
      <c r="WRZ69" s="26"/>
      <c r="WSA69" s="26"/>
      <c r="WSB69" s="26"/>
      <c r="WSC69" s="26"/>
      <c r="WSD69" s="26"/>
      <c r="WSE69" s="26"/>
      <c r="WSF69" s="26"/>
      <c r="WSG69" s="26"/>
      <c r="WSH69" s="26"/>
      <c r="WSI69" s="26"/>
      <c r="WSJ69" s="26"/>
      <c r="WSK69" s="26"/>
      <c r="WSL69" s="26"/>
      <c r="WSM69" s="26"/>
      <c r="WSN69" s="26"/>
      <c r="WSO69" s="26"/>
      <c r="WSP69" s="26"/>
      <c r="WSQ69" s="26"/>
      <c r="WSR69" s="26"/>
      <c r="WSS69" s="26"/>
      <c r="WST69" s="26"/>
      <c r="WSU69" s="26"/>
      <c r="WSV69" s="26"/>
      <c r="WSW69" s="26"/>
      <c r="WSX69" s="26"/>
      <c r="WSY69" s="26"/>
      <c r="WSZ69" s="26"/>
      <c r="WTA69" s="26"/>
      <c r="WTB69" s="26"/>
      <c r="WTC69" s="26"/>
      <c r="WTD69" s="26"/>
      <c r="WTE69" s="26"/>
      <c r="WTF69" s="26"/>
      <c r="WTG69" s="26"/>
      <c r="WTH69" s="26"/>
      <c r="WTI69" s="26"/>
      <c r="WTJ69" s="26"/>
      <c r="WTK69" s="26"/>
      <c r="WTL69" s="26"/>
      <c r="WTM69" s="26"/>
      <c r="WTN69" s="26"/>
      <c r="WTO69" s="26"/>
      <c r="WTP69" s="26"/>
      <c r="WTQ69" s="26"/>
      <c r="WTR69" s="26"/>
      <c r="WTS69" s="26"/>
      <c r="WTT69" s="26"/>
      <c r="WTU69" s="26"/>
      <c r="WTV69" s="26"/>
      <c r="WTW69" s="26"/>
      <c r="WTX69" s="26"/>
      <c r="WTY69" s="26"/>
      <c r="WTZ69" s="26"/>
      <c r="WUA69" s="26"/>
      <c r="WUB69" s="26"/>
      <c r="WUC69" s="26"/>
      <c r="WUD69" s="26"/>
      <c r="WUE69" s="26"/>
      <c r="WUF69" s="26"/>
      <c r="WUG69" s="26"/>
      <c r="WUH69" s="26"/>
      <c r="WUI69" s="26"/>
      <c r="WUJ69" s="26"/>
      <c r="WUK69" s="26"/>
      <c r="WUL69" s="26"/>
      <c r="WUM69" s="26"/>
      <c r="WUN69" s="26"/>
      <c r="WUO69" s="26"/>
      <c r="WUP69" s="26"/>
      <c r="WUQ69" s="26"/>
      <c r="WUR69" s="26"/>
      <c r="WUS69" s="26"/>
      <c r="WUT69" s="26"/>
      <c r="WUU69" s="26"/>
      <c r="WUV69" s="26"/>
      <c r="WUW69" s="26"/>
      <c r="WUX69" s="26"/>
      <c r="WUY69" s="26"/>
      <c r="WUZ69" s="26"/>
      <c r="WVA69" s="26"/>
      <c r="WVB69" s="26"/>
      <c r="WVC69" s="26"/>
      <c r="WVD69" s="26"/>
      <c r="WVE69" s="26"/>
      <c r="WVF69" s="26"/>
      <c r="WVG69" s="26"/>
      <c r="WVH69" s="26"/>
      <c r="WVI69" s="26"/>
      <c r="WVJ69" s="26"/>
      <c r="WVK69" s="26"/>
      <c r="WVL69" s="26"/>
      <c r="WVM69" s="26"/>
      <c r="WVN69" s="26"/>
      <c r="WVO69" s="26"/>
      <c r="WVP69" s="26"/>
      <c r="WVQ69" s="26"/>
      <c r="WVR69" s="26"/>
      <c r="WVS69" s="26"/>
      <c r="WVT69" s="26"/>
      <c r="WVU69" s="26"/>
      <c r="WVV69" s="26"/>
      <c r="WVW69" s="26"/>
      <c r="WVX69" s="26"/>
      <c r="WVY69" s="26"/>
      <c r="WVZ69" s="26"/>
      <c r="WWA69" s="26"/>
      <c r="WWB69" s="26"/>
      <c r="WWC69" s="26"/>
      <c r="WWD69" s="26"/>
      <c r="WWE69" s="26"/>
      <c r="WWF69" s="26"/>
      <c r="WWG69" s="26"/>
      <c r="WWH69" s="26"/>
      <c r="WWI69" s="26"/>
      <c r="WWJ69" s="26"/>
      <c r="WWK69" s="26"/>
      <c r="WWL69" s="26"/>
      <c r="WWM69" s="26"/>
      <c r="WWN69" s="26"/>
      <c r="WWO69" s="26"/>
      <c r="WWP69" s="26"/>
      <c r="WWQ69" s="26"/>
      <c r="WWR69" s="26"/>
      <c r="WWS69" s="26"/>
      <c r="WWT69" s="26"/>
      <c r="WWU69" s="26"/>
      <c r="WWV69" s="26"/>
      <c r="WWW69" s="26"/>
      <c r="WWX69" s="26"/>
      <c r="WWY69" s="26"/>
      <c r="WWZ69" s="26"/>
      <c r="WXA69" s="26"/>
      <c r="WXB69" s="26"/>
      <c r="WXC69" s="26"/>
      <c r="WXD69" s="26"/>
      <c r="WXE69" s="26"/>
      <c r="WXF69" s="26"/>
      <c r="WXG69" s="26"/>
      <c r="WXH69" s="26"/>
      <c r="WXI69" s="26"/>
      <c r="WXJ69" s="26"/>
      <c r="WXK69" s="26"/>
      <c r="WXL69" s="26"/>
      <c r="WXM69" s="26"/>
      <c r="WXN69" s="26"/>
      <c r="WXO69" s="26"/>
      <c r="WXP69" s="26"/>
      <c r="WXQ69" s="26"/>
      <c r="WXR69" s="26"/>
      <c r="WXS69" s="26"/>
      <c r="WXT69" s="26"/>
      <c r="WXU69" s="26"/>
      <c r="WXV69" s="26"/>
      <c r="WXW69" s="26"/>
      <c r="WXX69" s="26"/>
      <c r="WXY69" s="26"/>
      <c r="WXZ69" s="26"/>
      <c r="WYA69" s="26"/>
      <c r="WYB69" s="26"/>
      <c r="WYC69" s="26"/>
      <c r="WYD69" s="26"/>
      <c r="WYE69" s="26"/>
      <c r="WYF69" s="26"/>
      <c r="WYG69" s="26"/>
      <c r="WYH69" s="26"/>
      <c r="WYI69" s="26"/>
      <c r="WYJ69" s="26"/>
      <c r="WYK69" s="26"/>
      <c r="WYL69" s="26"/>
      <c r="WYM69" s="26"/>
      <c r="WYN69" s="26"/>
      <c r="WYO69" s="26"/>
      <c r="WYP69" s="26"/>
      <c r="WYQ69" s="26"/>
      <c r="WYR69" s="26"/>
      <c r="WYS69" s="26"/>
      <c r="WYT69" s="26"/>
      <c r="WYU69" s="26"/>
      <c r="WYV69" s="26"/>
      <c r="WYW69" s="26"/>
      <c r="WYX69" s="26"/>
      <c r="WYY69" s="26"/>
      <c r="WYZ69" s="26"/>
      <c r="WZA69" s="26"/>
      <c r="WZB69" s="26"/>
      <c r="WZC69" s="26"/>
      <c r="WZD69" s="26"/>
      <c r="WZE69" s="26"/>
      <c r="WZF69" s="26"/>
      <c r="WZG69" s="26"/>
      <c r="WZH69" s="26"/>
      <c r="WZI69" s="26"/>
      <c r="WZJ69" s="26"/>
      <c r="WZK69" s="26"/>
      <c r="WZL69" s="26"/>
      <c r="WZM69" s="26"/>
      <c r="WZN69" s="26"/>
      <c r="WZO69" s="26"/>
      <c r="WZP69" s="26"/>
      <c r="WZQ69" s="26"/>
      <c r="WZR69" s="26"/>
      <c r="WZS69" s="26"/>
      <c r="WZT69" s="26"/>
      <c r="WZU69" s="26"/>
      <c r="WZV69" s="26"/>
      <c r="WZW69" s="26"/>
      <c r="WZX69" s="26"/>
      <c r="WZY69" s="26"/>
      <c r="WZZ69" s="26"/>
      <c r="XAA69" s="26"/>
      <c r="XAB69" s="26"/>
      <c r="XAC69" s="26"/>
      <c r="XAD69" s="26"/>
      <c r="XAE69" s="26"/>
      <c r="XAF69" s="26"/>
      <c r="XAG69" s="26"/>
      <c r="XAH69" s="26"/>
      <c r="XAI69" s="26"/>
      <c r="XAJ69" s="26"/>
      <c r="XAK69" s="26"/>
      <c r="XAL69" s="26"/>
      <c r="XAM69" s="26"/>
      <c r="XAN69" s="26"/>
      <c r="XAO69" s="26"/>
      <c r="XAP69" s="26"/>
      <c r="XAQ69" s="26"/>
      <c r="XAR69" s="26"/>
      <c r="XAS69" s="26"/>
      <c r="XAT69" s="26"/>
      <c r="XAU69" s="26"/>
      <c r="XAV69" s="26"/>
      <c r="XAW69" s="26"/>
      <c r="XAX69" s="26"/>
      <c r="XAY69" s="26"/>
      <c r="XAZ69" s="26"/>
      <c r="XBA69" s="26"/>
      <c r="XBB69" s="26"/>
      <c r="XBC69" s="26"/>
      <c r="XBD69" s="26"/>
      <c r="XBE69" s="26"/>
      <c r="XBF69" s="26"/>
      <c r="XBG69" s="26"/>
      <c r="XBH69" s="26"/>
      <c r="XBI69" s="26"/>
      <c r="XBJ69" s="26"/>
      <c r="XBK69" s="26"/>
      <c r="XBL69" s="26"/>
      <c r="XBM69" s="26"/>
      <c r="XBN69" s="26"/>
      <c r="XBO69" s="26"/>
      <c r="XBP69" s="26"/>
      <c r="XBQ69" s="26"/>
      <c r="XBR69" s="26"/>
      <c r="XBS69" s="26"/>
      <c r="XBT69" s="26"/>
      <c r="XBU69" s="26"/>
      <c r="XBV69" s="26"/>
      <c r="XBW69" s="26"/>
      <c r="XBX69" s="26"/>
      <c r="XBY69" s="26"/>
      <c r="XBZ69" s="26"/>
      <c r="XCA69" s="26"/>
      <c r="XCB69" s="26"/>
      <c r="XCC69" s="26"/>
      <c r="XCD69" s="26"/>
      <c r="XCE69" s="26"/>
      <c r="XCF69" s="26"/>
      <c r="XCG69" s="26"/>
      <c r="XCH69" s="26"/>
      <c r="XCI69" s="26"/>
      <c r="XCJ69" s="26"/>
      <c r="XCK69" s="26"/>
      <c r="XCL69" s="26"/>
      <c r="XCM69" s="26"/>
      <c r="XCN69" s="26"/>
      <c r="XCO69" s="26"/>
      <c r="XCP69" s="26"/>
      <c r="XCQ69" s="26"/>
      <c r="XCR69" s="26"/>
      <c r="XCS69" s="26"/>
      <c r="XCT69" s="26"/>
      <c r="XCU69" s="26"/>
      <c r="XCV69" s="26"/>
      <c r="XCW69" s="26"/>
      <c r="XCX69" s="26"/>
      <c r="XCY69" s="26"/>
      <c r="XCZ69" s="26"/>
      <c r="XDA69" s="26"/>
      <c r="XDB69" s="26"/>
      <c r="XDC69" s="26"/>
      <c r="XDD69" s="26"/>
      <c r="XDE69" s="26"/>
      <c r="XDF69" s="26"/>
      <c r="XDG69" s="26"/>
      <c r="XDH69" s="26"/>
      <c r="XDI69" s="26"/>
      <c r="XDJ69" s="26"/>
      <c r="XDK69" s="26"/>
      <c r="XDL69" s="26"/>
      <c r="XDM69" s="26"/>
      <c r="XDN69" s="26"/>
      <c r="XDO69" s="26"/>
      <c r="XDP69" s="26"/>
      <c r="XDQ69" s="26"/>
      <c r="XDR69" s="26"/>
      <c r="XDS69" s="26"/>
      <c r="XDT69" s="26"/>
      <c r="XDU69" s="26"/>
      <c r="XDV69" s="26"/>
      <c r="XDW69" s="26"/>
      <c r="XDX69" s="26"/>
      <c r="XDY69" s="26"/>
      <c r="XDZ69" s="26"/>
      <c r="XEA69" s="26"/>
      <c r="XEB69" s="26"/>
      <c r="XEC69" s="26"/>
      <c r="XED69" s="26"/>
      <c r="XEE69" s="26"/>
      <c r="XEF69" s="26"/>
      <c r="XEG69" s="26"/>
      <c r="XEH69" s="26"/>
      <c r="XEI69" s="26"/>
      <c r="XEJ69" s="26"/>
      <c r="XEK69" s="26"/>
      <c r="XEL69" s="26"/>
      <c r="XEM69" s="26"/>
      <c r="XEN69" s="26"/>
      <c r="XEO69" s="26"/>
      <c r="XEP69" s="26"/>
      <c r="XEQ69" s="26"/>
      <c r="XER69" s="26"/>
      <c r="XES69" s="26"/>
      <c r="XET69" s="26"/>
      <c r="XEU69" s="26"/>
      <c r="XEV69" s="26"/>
      <c r="XEW69" s="26"/>
      <c r="XEX69" s="26"/>
      <c r="XEY69" s="26"/>
      <c r="XEZ69" s="26"/>
      <c r="XFA69" s="26"/>
      <c r="XFB69" s="26"/>
      <c r="XFC69" s="26"/>
    </row>
    <row r="70" spans="1:16383">
      <c r="A70" s="24" t="s">
        <v>258</v>
      </c>
      <c r="B70" s="24" t="s">
        <v>84</v>
      </c>
      <c r="C70" s="24" t="s">
        <v>260</v>
      </c>
      <c r="D70" s="27">
        <v>45141</v>
      </c>
      <c r="E70" s="24"/>
      <c r="F70" s="24"/>
      <c r="G70" s="24"/>
      <c r="H70" s="24"/>
      <c r="I70" s="24"/>
      <c r="J70" s="24"/>
      <c r="K70" s="24"/>
      <c r="L70" s="2" t="s">
        <v>48</v>
      </c>
      <c r="M70" s="24"/>
      <c r="N70" s="24"/>
      <c r="O70" s="24">
        <v>12000</v>
      </c>
      <c r="P70" s="24"/>
      <c r="Q70" s="24"/>
      <c r="R70" s="24" t="s">
        <v>195</v>
      </c>
      <c r="S70" s="24"/>
      <c r="T70" s="24"/>
      <c r="U70" s="24"/>
      <c r="V70" s="37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4"/>
      <c r="DV70" s="24"/>
      <c r="DW70" s="24"/>
      <c r="DX70" s="24"/>
      <c r="DY70" s="24"/>
      <c r="DZ70" s="24"/>
      <c r="EA70" s="24"/>
      <c r="EB70" s="24"/>
      <c r="EC70" s="24"/>
      <c r="ED70" s="24"/>
      <c r="EE70" s="24"/>
      <c r="EF70" s="24"/>
      <c r="EG70" s="24"/>
      <c r="EH70" s="24"/>
      <c r="EI70" s="24"/>
      <c r="EJ70" s="24"/>
      <c r="EK70" s="24"/>
      <c r="EL70" s="24"/>
      <c r="EM70" s="24"/>
      <c r="EN70" s="24"/>
      <c r="EO70" s="24"/>
      <c r="EP70" s="24"/>
      <c r="EQ70" s="24"/>
      <c r="ER70" s="24"/>
      <c r="ES70" s="24"/>
      <c r="ET70" s="24"/>
      <c r="EU70" s="24"/>
      <c r="EV70" s="24"/>
      <c r="EW70" s="24"/>
      <c r="EX70" s="24"/>
      <c r="EY70" s="24"/>
      <c r="EZ70" s="24"/>
      <c r="FA70" s="24"/>
      <c r="FB70" s="24"/>
      <c r="FC70" s="24"/>
      <c r="FD70" s="24"/>
      <c r="FE70" s="24"/>
      <c r="FF70" s="24"/>
      <c r="FG70" s="24"/>
      <c r="FH70" s="24"/>
      <c r="FI70" s="24"/>
      <c r="FJ70" s="24"/>
      <c r="FK70" s="24"/>
      <c r="FL70" s="24"/>
      <c r="FM70" s="24"/>
      <c r="FN70" s="24"/>
      <c r="FO70" s="24"/>
      <c r="FP70" s="24"/>
      <c r="FQ70" s="24"/>
      <c r="FR70" s="24"/>
      <c r="FS70" s="24"/>
      <c r="FT70" s="24"/>
      <c r="FU70" s="24"/>
      <c r="FV70" s="24"/>
      <c r="FW70" s="24"/>
      <c r="FX70" s="24"/>
      <c r="FY70" s="24"/>
      <c r="FZ70" s="24"/>
      <c r="GA70" s="24"/>
      <c r="GB70" s="24"/>
      <c r="GC70" s="24"/>
      <c r="GD70" s="24"/>
      <c r="GE70" s="24"/>
      <c r="GF70" s="24"/>
      <c r="GG70" s="24"/>
      <c r="GH70" s="24"/>
      <c r="GI70" s="24"/>
      <c r="GJ70" s="24"/>
      <c r="GK70" s="24"/>
      <c r="GL70" s="24"/>
      <c r="GM70" s="24"/>
      <c r="GN70" s="24"/>
      <c r="GO70" s="24"/>
      <c r="GP70" s="24"/>
      <c r="GQ70" s="24"/>
      <c r="GR70" s="24"/>
      <c r="GS70" s="24"/>
      <c r="GT70" s="24"/>
      <c r="GU70" s="24"/>
      <c r="GV70" s="24"/>
      <c r="GW70" s="24"/>
      <c r="GX70" s="24"/>
      <c r="GY70" s="24"/>
      <c r="GZ70" s="24"/>
      <c r="HA70" s="24"/>
      <c r="HB70" s="24"/>
      <c r="HC70" s="24"/>
      <c r="HD70" s="24"/>
      <c r="HE70" s="24"/>
      <c r="HF70" s="24"/>
      <c r="HG70" s="24"/>
      <c r="HH70" s="24"/>
      <c r="HI70" s="24"/>
      <c r="HJ70" s="24"/>
      <c r="HK70" s="24"/>
      <c r="HL70" s="24"/>
      <c r="HM70" s="24"/>
      <c r="HN70" s="24"/>
      <c r="HO70" s="24"/>
      <c r="HP70" s="24"/>
      <c r="HQ70" s="24"/>
      <c r="HR70" s="24"/>
      <c r="HS70" s="24"/>
      <c r="HT70" s="24"/>
      <c r="HU70" s="24"/>
      <c r="HV70" s="24"/>
      <c r="HW70" s="24"/>
      <c r="HX70" s="24"/>
      <c r="HY70" s="24"/>
      <c r="HZ70" s="24"/>
      <c r="IA70" s="24"/>
      <c r="IB70" s="24"/>
      <c r="IC70" s="24"/>
      <c r="ID70" s="24"/>
      <c r="IE70" s="24"/>
      <c r="IF70" s="24"/>
      <c r="IG70" s="24"/>
      <c r="IH70" s="24"/>
      <c r="II70" s="24"/>
      <c r="IJ70" s="24"/>
      <c r="IK70" s="24"/>
      <c r="IL70" s="24"/>
      <c r="IM70" s="24"/>
      <c r="IN70" s="24"/>
      <c r="IO70" s="24"/>
      <c r="IP70" s="24"/>
      <c r="IQ70" s="24"/>
      <c r="IR70" s="24"/>
      <c r="IS70" s="24"/>
      <c r="IT70" s="24"/>
      <c r="IU70" s="24"/>
      <c r="IV70" s="24"/>
      <c r="IW70" s="24"/>
      <c r="IX70" s="24"/>
      <c r="IY70" s="24"/>
      <c r="IZ70" s="24"/>
      <c r="JA70" s="24"/>
      <c r="JB70" s="24"/>
      <c r="JC70" s="24"/>
      <c r="JD70" s="24"/>
      <c r="JE70" s="24"/>
      <c r="JF70" s="24"/>
      <c r="JG70" s="24"/>
      <c r="JH70" s="24"/>
      <c r="JI70" s="24"/>
      <c r="JJ70" s="24"/>
      <c r="JK70" s="24"/>
      <c r="JL70" s="24"/>
      <c r="JM70" s="24"/>
      <c r="JN70" s="24"/>
      <c r="JO70" s="24"/>
      <c r="JP70" s="24"/>
      <c r="JQ70" s="24"/>
      <c r="JR70" s="24"/>
      <c r="JS70" s="24"/>
      <c r="JT70" s="24"/>
      <c r="JU70" s="24"/>
      <c r="JV70" s="24"/>
      <c r="JW70" s="24"/>
      <c r="JX70" s="24"/>
      <c r="JY70" s="24"/>
      <c r="JZ70" s="24"/>
      <c r="KA70" s="24"/>
      <c r="KB70" s="24"/>
      <c r="KC70" s="24"/>
      <c r="KD70" s="24"/>
      <c r="KE70" s="24"/>
      <c r="KF70" s="24"/>
      <c r="KG70" s="24"/>
      <c r="KH70" s="24"/>
      <c r="KI70" s="24"/>
      <c r="KJ70" s="24"/>
      <c r="KK70" s="24"/>
      <c r="KL70" s="24"/>
      <c r="KM70" s="24"/>
      <c r="KN70" s="24"/>
      <c r="KO70" s="24"/>
      <c r="KP70" s="24"/>
      <c r="KQ70" s="24"/>
      <c r="KR70" s="24"/>
      <c r="KS70" s="24"/>
      <c r="KT70" s="24"/>
      <c r="KU70" s="24"/>
      <c r="KV70" s="24"/>
      <c r="KW70" s="24"/>
      <c r="KX70" s="24"/>
      <c r="KY70" s="24"/>
      <c r="KZ70" s="24"/>
      <c r="LA70" s="24"/>
      <c r="LB70" s="24"/>
      <c r="LC70" s="24"/>
      <c r="LD70" s="24"/>
      <c r="LE70" s="24"/>
      <c r="LF70" s="24"/>
      <c r="LG70" s="24"/>
      <c r="LH70" s="24"/>
      <c r="LI70" s="24"/>
      <c r="LJ70" s="24"/>
      <c r="LK70" s="24"/>
      <c r="LL70" s="24"/>
      <c r="LM70" s="24"/>
      <c r="LN70" s="24"/>
      <c r="LO70" s="24"/>
      <c r="LP70" s="24"/>
      <c r="LQ70" s="24"/>
      <c r="LR70" s="24"/>
      <c r="LS70" s="24"/>
      <c r="LT70" s="24"/>
      <c r="LU70" s="24"/>
      <c r="LV70" s="24"/>
      <c r="LW70" s="24"/>
      <c r="LX70" s="24"/>
      <c r="LY70" s="24"/>
      <c r="LZ70" s="24"/>
      <c r="MA70" s="24"/>
      <c r="MB70" s="24"/>
      <c r="MC70" s="24"/>
      <c r="MD70" s="24"/>
      <c r="ME70" s="24"/>
      <c r="MF70" s="24"/>
      <c r="MG70" s="24"/>
      <c r="MH70" s="24"/>
      <c r="MI70" s="24"/>
      <c r="MJ70" s="24"/>
      <c r="MK70" s="24"/>
      <c r="ML70" s="24"/>
      <c r="MM70" s="24"/>
      <c r="MN70" s="24"/>
      <c r="MO70" s="24"/>
      <c r="MP70" s="24"/>
      <c r="MQ70" s="24"/>
      <c r="MR70" s="24"/>
      <c r="MS70" s="24"/>
      <c r="MT70" s="24"/>
      <c r="MU70" s="24"/>
      <c r="MV70" s="24"/>
      <c r="MW70" s="24"/>
      <c r="MX70" s="24"/>
      <c r="MY70" s="24"/>
      <c r="MZ70" s="24"/>
      <c r="NA70" s="24"/>
      <c r="NB70" s="24"/>
      <c r="NC70" s="24"/>
      <c r="ND70" s="24"/>
      <c r="NE70" s="24"/>
      <c r="NF70" s="24"/>
      <c r="NG70" s="24"/>
      <c r="NH70" s="24"/>
      <c r="NI70" s="24"/>
      <c r="NJ70" s="24"/>
      <c r="NK70" s="24"/>
      <c r="NL70" s="24"/>
      <c r="NM70" s="24"/>
      <c r="NN70" s="24"/>
      <c r="NO70" s="24"/>
      <c r="NP70" s="24"/>
      <c r="NQ70" s="24"/>
      <c r="NR70" s="24"/>
      <c r="NS70" s="24"/>
      <c r="NT70" s="24"/>
      <c r="NU70" s="24"/>
      <c r="NV70" s="24"/>
      <c r="NW70" s="24"/>
      <c r="NX70" s="24"/>
      <c r="NY70" s="24"/>
      <c r="NZ70" s="24"/>
      <c r="OA70" s="24"/>
      <c r="OB70" s="24"/>
      <c r="OC70" s="24"/>
      <c r="OD70" s="24"/>
      <c r="OE70" s="24"/>
      <c r="OF70" s="24"/>
      <c r="OG70" s="24"/>
      <c r="OH70" s="24"/>
      <c r="OI70" s="24"/>
      <c r="OJ70" s="24"/>
      <c r="OK70" s="24"/>
      <c r="OL70" s="24"/>
      <c r="OM70" s="24"/>
      <c r="ON70" s="24"/>
      <c r="OO70" s="24"/>
      <c r="OP70" s="24"/>
      <c r="OQ70" s="24"/>
      <c r="OR70" s="24"/>
      <c r="OS70" s="24"/>
      <c r="OT70" s="24"/>
      <c r="OU70" s="24"/>
      <c r="OV70" s="24"/>
      <c r="OW70" s="24"/>
      <c r="OX70" s="24"/>
      <c r="OY70" s="24"/>
      <c r="OZ70" s="24"/>
      <c r="PA70" s="24"/>
      <c r="PB70" s="24"/>
      <c r="PC70" s="24"/>
      <c r="PD70" s="24"/>
      <c r="PE70" s="24"/>
      <c r="PF70" s="24"/>
      <c r="PG70" s="24"/>
      <c r="PH70" s="24"/>
      <c r="PI70" s="24"/>
      <c r="PJ70" s="24"/>
      <c r="PK70" s="24"/>
      <c r="PL70" s="24"/>
      <c r="PM70" s="24"/>
      <c r="PN70" s="24"/>
      <c r="PO70" s="24"/>
      <c r="PP70" s="24"/>
      <c r="PQ70" s="24"/>
      <c r="PR70" s="24"/>
      <c r="PS70" s="24"/>
      <c r="PT70" s="24"/>
      <c r="PU70" s="24"/>
      <c r="PV70" s="24"/>
      <c r="PW70" s="24"/>
      <c r="PX70" s="24"/>
      <c r="PY70" s="24"/>
      <c r="PZ70" s="24"/>
      <c r="QA70" s="24"/>
      <c r="QB70" s="24"/>
      <c r="QC70" s="24"/>
      <c r="QD70" s="24"/>
      <c r="QE70" s="24"/>
      <c r="QF70" s="24"/>
      <c r="QG70" s="24"/>
      <c r="QH70" s="24"/>
      <c r="QI70" s="24"/>
      <c r="QJ70" s="24"/>
      <c r="QK70" s="24"/>
      <c r="QL70" s="24"/>
      <c r="QM70" s="24"/>
      <c r="QN70" s="24"/>
      <c r="QO70" s="24"/>
      <c r="QP70" s="24"/>
      <c r="QQ70" s="24"/>
      <c r="QR70" s="24"/>
      <c r="QS70" s="24"/>
      <c r="QT70" s="24"/>
      <c r="QU70" s="24"/>
      <c r="QV70" s="24"/>
      <c r="QW70" s="24"/>
      <c r="QX70" s="24"/>
      <c r="QY70" s="24"/>
      <c r="QZ70" s="24"/>
      <c r="RA70" s="24"/>
      <c r="RB70" s="24"/>
      <c r="RC70" s="24"/>
      <c r="RD70" s="24"/>
      <c r="RE70" s="24"/>
      <c r="RF70" s="24"/>
      <c r="RG70" s="24"/>
      <c r="RH70" s="24"/>
      <c r="RI70" s="24"/>
      <c r="RJ70" s="24"/>
      <c r="RK70" s="24"/>
      <c r="RL70" s="24"/>
      <c r="RM70" s="24"/>
      <c r="RN70" s="24"/>
      <c r="RO70" s="24"/>
      <c r="RP70" s="24"/>
      <c r="RQ70" s="24"/>
      <c r="RR70" s="24"/>
      <c r="RS70" s="24"/>
      <c r="RT70" s="24"/>
      <c r="RU70" s="24"/>
      <c r="RV70" s="24"/>
      <c r="RW70" s="24"/>
      <c r="RX70" s="24"/>
      <c r="RY70" s="24"/>
      <c r="RZ70" s="24"/>
      <c r="SA70" s="24"/>
      <c r="SB70" s="24"/>
      <c r="SC70" s="24"/>
      <c r="SD70" s="24"/>
      <c r="SE70" s="24"/>
      <c r="SF70" s="24"/>
      <c r="SG70" s="24"/>
      <c r="SH70" s="24"/>
      <c r="SI70" s="24"/>
      <c r="SJ70" s="24"/>
      <c r="SK70" s="24"/>
      <c r="SL70" s="24"/>
      <c r="SM70" s="24"/>
      <c r="SN70" s="24"/>
      <c r="SO70" s="24"/>
      <c r="SP70" s="24"/>
      <c r="SQ70" s="24"/>
      <c r="SR70" s="24"/>
      <c r="SS70" s="24"/>
      <c r="ST70" s="24"/>
      <c r="SU70" s="24"/>
      <c r="SV70" s="24"/>
      <c r="SW70" s="24"/>
      <c r="SX70" s="24"/>
      <c r="SY70" s="24"/>
      <c r="SZ70" s="24"/>
      <c r="TA70" s="24"/>
      <c r="TB70" s="24"/>
      <c r="TC70" s="24"/>
      <c r="TD70" s="24"/>
      <c r="TE70" s="24"/>
      <c r="TF70" s="24"/>
      <c r="TG70" s="24"/>
      <c r="TH70" s="24"/>
      <c r="TI70" s="24"/>
      <c r="TJ70" s="24"/>
      <c r="TK70" s="24"/>
      <c r="TL70" s="24"/>
      <c r="TM70" s="24"/>
      <c r="TN70" s="24"/>
      <c r="TO70" s="24"/>
      <c r="TP70" s="24"/>
      <c r="TQ70" s="24"/>
      <c r="TR70" s="24"/>
      <c r="TS70" s="24"/>
      <c r="TT70" s="24"/>
      <c r="TU70" s="24"/>
      <c r="TV70" s="24"/>
      <c r="TW70" s="24"/>
      <c r="TX70" s="24"/>
      <c r="TY70" s="24"/>
      <c r="TZ70" s="24"/>
      <c r="UA70" s="24"/>
      <c r="UB70" s="24"/>
      <c r="UC70" s="24"/>
      <c r="UD70" s="24"/>
      <c r="UE70" s="24"/>
      <c r="UF70" s="24"/>
      <c r="UG70" s="24"/>
      <c r="UH70" s="24"/>
      <c r="UI70" s="24"/>
      <c r="UJ70" s="24"/>
      <c r="UK70" s="24"/>
      <c r="UL70" s="24"/>
      <c r="UM70" s="24"/>
      <c r="UN70" s="24"/>
      <c r="UO70" s="24"/>
      <c r="UP70" s="24"/>
      <c r="UQ70" s="24"/>
      <c r="UR70" s="24"/>
      <c r="US70" s="24"/>
      <c r="UT70" s="24"/>
      <c r="UU70" s="24"/>
      <c r="UV70" s="24"/>
      <c r="UW70" s="24"/>
      <c r="UX70" s="24"/>
      <c r="UY70" s="24"/>
      <c r="UZ70" s="24"/>
      <c r="VA70" s="24"/>
      <c r="VB70" s="24"/>
      <c r="VC70" s="24"/>
      <c r="VD70" s="24"/>
      <c r="VE70" s="24"/>
      <c r="VF70" s="24"/>
      <c r="VG70" s="24"/>
      <c r="VH70" s="24"/>
      <c r="VI70" s="24"/>
      <c r="VJ70" s="24"/>
      <c r="VK70" s="24"/>
      <c r="VL70" s="24"/>
      <c r="VM70" s="24"/>
      <c r="VN70" s="24"/>
      <c r="VO70" s="24"/>
      <c r="VP70" s="24"/>
      <c r="VQ70" s="24"/>
      <c r="VR70" s="24"/>
      <c r="VS70" s="24"/>
      <c r="VT70" s="24"/>
      <c r="VU70" s="24"/>
      <c r="VV70" s="24"/>
      <c r="VW70" s="24"/>
      <c r="VX70" s="24"/>
      <c r="VY70" s="24"/>
      <c r="VZ70" s="24"/>
      <c r="WA70" s="24"/>
      <c r="WB70" s="24"/>
      <c r="WC70" s="24"/>
      <c r="WD70" s="24"/>
      <c r="WE70" s="24"/>
      <c r="WF70" s="24"/>
      <c r="WG70" s="24"/>
      <c r="WH70" s="24"/>
      <c r="WI70" s="24"/>
      <c r="WJ70" s="24"/>
      <c r="WK70" s="24"/>
      <c r="WL70" s="24"/>
      <c r="WM70" s="24"/>
      <c r="WN70" s="24"/>
      <c r="WO70" s="24"/>
      <c r="WP70" s="24"/>
      <c r="WQ70" s="24"/>
      <c r="WR70" s="24"/>
      <c r="WS70" s="24"/>
      <c r="WT70" s="24"/>
      <c r="WU70" s="24"/>
      <c r="WV70" s="24"/>
      <c r="WW70" s="24"/>
      <c r="WX70" s="24"/>
      <c r="WY70" s="24"/>
      <c r="WZ70" s="24"/>
      <c r="XA70" s="24"/>
      <c r="XB70" s="24"/>
      <c r="XC70" s="24"/>
      <c r="XD70" s="24"/>
      <c r="XE70" s="24"/>
      <c r="XF70" s="24"/>
      <c r="XG70" s="24"/>
      <c r="XH70" s="24"/>
      <c r="XI70" s="24"/>
      <c r="XJ70" s="24"/>
      <c r="XK70" s="24"/>
      <c r="XL70" s="24"/>
      <c r="XM70" s="24"/>
      <c r="XN70" s="24"/>
      <c r="XO70" s="24"/>
      <c r="XP70" s="24"/>
      <c r="XQ70" s="24"/>
      <c r="XR70" s="24"/>
      <c r="XS70" s="24"/>
      <c r="XT70" s="24"/>
      <c r="XU70" s="24"/>
      <c r="XV70" s="24"/>
      <c r="XW70" s="24"/>
      <c r="XX70" s="24"/>
      <c r="XY70" s="24"/>
      <c r="XZ70" s="24"/>
      <c r="YA70" s="24"/>
      <c r="YB70" s="24"/>
      <c r="YC70" s="24"/>
      <c r="YD70" s="24"/>
      <c r="YE70" s="24"/>
      <c r="YF70" s="24"/>
      <c r="YG70" s="24"/>
      <c r="YH70" s="24"/>
      <c r="YI70" s="24"/>
      <c r="YJ70" s="24"/>
      <c r="YK70" s="24"/>
      <c r="YL70" s="24"/>
      <c r="YM70" s="24"/>
      <c r="YN70" s="24"/>
      <c r="YO70" s="24"/>
      <c r="YP70" s="24"/>
      <c r="YQ70" s="24"/>
      <c r="YR70" s="24"/>
      <c r="YS70" s="24"/>
      <c r="YT70" s="24"/>
      <c r="YU70" s="24"/>
      <c r="YV70" s="24"/>
      <c r="YW70" s="24"/>
      <c r="YX70" s="24"/>
      <c r="YY70" s="24"/>
      <c r="YZ70" s="24"/>
      <c r="ZA70" s="24"/>
      <c r="ZB70" s="24"/>
      <c r="ZC70" s="24"/>
      <c r="ZD70" s="24"/>
      <c r="ZE70" s="24"/>
      <c r="ZF70" s="24"/>
      <c r="ZG70" s="24"/>
      <c r="ZH70" s="24"/>
      <c r="ZI70" s="24"/>
      <c r="ZJ70" s="24"/>
      <c r="ZK70" s="24"/>
      <c r="ZL70" s="24"/>
      <c r="ZM70" s="24"/>
      <c r="ZN70" s="24"/>
      <c r="ZO70" s="24"/>
      <c r="ZP70" s="24"/>
      <c r="ZQ70" s="24"/>
      <c r="ZR70" s="24"/>
      <c r="ZS70" s="24"/>
      <c r="ZT70" s="24"/>
      <c r="ZU70" s="24"/>
      <c r="ZV70" s="24"/>
      <c r="ZW70" s="24"/>
      <c r="ZX70" s="24"/>
      <c r="ZY70" s="24"/>
      <c r="ZZ70" s="24"/>
      <c r="AAA70" s="24"/>
      <c r="AAB70" s="24"/>
      <c r="AAC70" s="24"/>
      <c r="AAD70" s="24"/>
      <c r="AAE70" s="24"/>
      <c r="AAF70" s="24"/>
      <c r="AAG70" s="24"/>
      <c r="AAH70" s="24"/>
      <c r="AAI70" s="24"/>
      <c r="AAJ70" s="24"/>
      <c r="AAK70" s="24"/>
      <c r="AAL70" s="24"/>
      <c r="AAM70" s="24"/>
      <c r="AAN70" s="24"/>
      <c r="AAO70" s="24"/>
      <c r="AAP70" s="24"/>
      <c r="AAQ70" s="24"/>
      <c r="AAR70" s="24"/>
      <c r="AAS70" s="24"/>
      <c r="AAT70" s="24"/>
      <c r="AAU70" s="24"/>
      <c r="AAV70" s="24"/>
      <c r="AAW70" s="24"/>
      <c r="AAX70" s="24"/>
      <c r="AAY70" s="24"/>
      <c r="AAZ70" s="24"/>
      <c r="ABA70" s="24"/>
      <c r="ABB70" s="24"/>
      <c r="ABC70" s="24"/>
      <c r="ABD70" s="24"/>
      <c r="ABE70" s="24"/>
      <c r="ABF70" s="24"/>
      <c r="ABG70" s="24"/>
      <c r="ABH70" s="24"/>
      <c r="ABI70" s="24"/>
      <c r="ABJ70" s="24"/>
      <c r="ABK70" s="24"/>
      <c r="ABL70" s="24"/>
      <c r="ABM70" s="24"/>
      <c r="ABN70" s="24"/>
      <c r="ABO70" s="24"/>
      <c r="ABP70" s="24"/>
      <c r="ABQ70" s="24"/>
      <c r="ABR70" s="24"/>
      <c r="ABS70" s="24"/>
      <c r="ABT70" s="24"/>
      <c r="ABU70" s="24"/>
      <c r="ABV70" s="24"/>
      <c r="ABW70" s="24"/>
      <c r="ABX70" s="24"/>
      <c r="ABY70" s="24"/>
      <c r="ABZ70" s="24"/>
      <c r="ACA70" s="24"/>
      <c r="ACB70" s="24"/>
      <c r="ACC70" s="24"/>
      <c r="ACD70" s="24"/>
      <c r="ACE70" s="24"/>
      <c r="ACF70" s="24"/>
      <c r="ACG70" s="24"/>
      <c r="ACH70" s="24"/>
      <c r="ACI70" s="24"/>
      <c r="ACJ70" s="24"/>
      <c r="ACK70" s="24"/>
      <c r="ACL70" s="24"/>
      <c r="ACM70" s="24"/>
      <c r="ACN70" s="24"/>
      <c r="ACO70" s="24"/>
      <c r="ACP70" s="24"/>
      <c r="ACQ70" s="24"/>
      <c r="ACR70" s="24"/>
      <c r="ACS70" s="24"/>
      <c r="ACT70" s="24"/>
      <c r="ACU70" s="24"/>
      <c r="ACV70" s="24"/>
      <c r="ACW70" s="24"/>
      <c r="ACX70" s="24"/>
      <c r="ACY70" s="24"/>
      <c r="ACZ70" s="24"/>
      <c r="ADA70" s="24"/>
      <c r="ADB70" s="24"/>
      <c r="ADC70" s="24"/>
      <c r="ADD70" s="24"/>
      <c r="ADE70" s="24"/>
      <c r="ADF70" s="24"/>
      <c r="ADG70" s="24"/>
      <c r="ADH70" s="24"/>
      <c r="ADI70" s="24"/>
      <c r="ADJ70" s="24"/>
      <c r="ADK70" s="24"/>
      <c r="ADL70" s="24"/>
      <c r="ADM70" s="24"/>
      <c r="ADN70" s="24"/>
      <c r="ADO70" s="24"/>
      <c r="ADP70" s="24"/>
      <c r="ADQ70" s="24"/>
      <c r="ADR70" s="24"/>
      <c r="ADS70" s="24"/>
      <c r="ADT70" s="24"/>
      <c r="ADU70" s="24"/>
      <c r="ADV70" s="24"/>
      <c r="ADW70" s="24"/>
      <c r="ADX70" s="24"/>
      <c r="ADY70" s="24"/>
      <c r="ADZ70" s="24"/>
      <c r="AEA70" s="24"/>
      <c r="AEB70" s="24"/>
      <c r="AEC70" s="24"/>
      <c r="AED70" s="24"/>
      <c r="AEE70" s="24"/>
      <c r="AEF70" s="24"/>
      <c r="AEG70" s="24"/>
      <c r="AEH70" s="24"/>
      <c r="AEI70" s="24"/>
      <c r="AEJ70" s="24"/>
      <c r="AEK70" s="24"/>
      <c r="AEL70" s="24"/>
      <c r="AEM70" s="24"/>
      <c r="AEN70" s="24"/>
      <c r="AEO70" s="24"/>
      <c r="AEP70" s="24"/>
      <c r="AEQ70" s="24"/>
      <c r="AER70" s="24"/>
      <c r="AES70" s="24"/>
      <c r="AET70" s="24"/>
      <c r="AEU70" s="24"/>
      <c r="AEV70" s="24"/>
      <c r="AEW70" s="24"/>
      <c r="AEX70" s="24"/>
      <c r="AEY70" s="24"/>
      <c r="AEZ70" s="24"/>
      <c r="AFA70" s="24"/>
      <c r="AFB70" s="24"/>
      <c r="AFC70" s="24"/>
      <c r="AFD70" s="24"/>
      <c r="AFE70" s="24"/>
      <c r="AFF70" s="24"/>
      <c r="AFG70" s="24"/>
      <c r="AFH70" s="24"/>
      <c r="AFI70" s="24"/>
      <c r="AFJ70" s="24"/>
      <c r="AFK70" s="24"/>
      <c r="AFL70" s="24"/>
      <c r="AFM70" s="24"/>
      <c r="AFN70" s="24"/>
      <c r="AFO70" s="24"/>
      <c r="AFP70" s="24"/>
      <c r="AFQ70" s="24"/>
      <c r="AFR70" s="24"/>
      <c r="AFS70" s="24"/>
      <c r="AFT70" s="24"/>
      <c r="AFU70" s="24"/>
      <c r="AFV70" s="24"/>
      <c r="AFW70" s="24"/>
      <c r="AFX70" s="24"/>
      <c r="AFY70" s="24"/>
      <c r="AFZ70" s="24"/>
      <c r="AGA70" s="24"/>
      <c r="AGB70" s="24"/>
      <c r="AGC70" s="24"/>
      <c r="AGD70" s="24"/>
      <c r="AGE70" s="24"/>
      <c r="AGF70" s="24"/>
      <c r="AGG70" s="24"/>
      <c r="AGH70" s="24"/>
      <c r="AGI70" s="24"/>
      <c r="AGJ70" s="24"/>
      <c r="AGK70" s="24"/>
      <c r="AGL70" s="24"/>
      <c r="AGM70" s="24"/>
      <c r="AGN70" s="24"/>
      <c r="AGO70" s="24"/>
      <c r="AGP70" s="24"/>
      <c r="AGQ70" s="24"/>
      <c r="AGR70" s="24"/>
      <c r="AGS70" s="24"/>
      <c r="AGT70" s="24"/>
      <c r="AGU70" s="24"/>
      <c r="AGV70" s="24"/>
      <c r="AGW70" s="24"/>
      <c r="AGX70" s="24"/>
      <c r="AGY70" s="24"/>
      <c r="AGZ70" s="24"/>
      <c r="AHA70" s="24"/>
      <c r="AHB70" s="24"/>
      <c r="AHC70" s="24"/>
      <c r="AHD70" s="24"/>
      <c r="AHE70" s="24"/>
      <c r="AHF70" s="24"/>
      <c r="AHG70" s="24"/>
      <c r="AHH70" s="24"/>
      <c r="AHI70" s="24"/>
      <c r="AHJ70" s="24"/>
      <c r="AHK70" s="24"/>
      <c r="AHL70" s="24"/>
      <c r="AHM70" s="24"/>
      <c r="AHN70" s="24"/>
      <c r="AHO70" s="24"/>
      <c r="AHP70" s="24"/>
      <c r="AHQ70" s="24"/>
      <c r="AHR70" s="24"/>
      <c r="AHS70" s="24"/>
      <c r="AHT70" s="24"/>
      <c r="AHU70" s="24"/>
      <c r="AHV70" s="24"/>
      <c r="AHW70" s="24"/>
      <c r="AHX70" s="24"/>
      <c r="AHY70" s="24"/>
      <c r="AHZ70" s="24"/>
      <c r="AIA70" s="24"/>
      <c r="AIB70" s="24"/>
      <c r="AIC70" s="24"/>
      <c r="AID70" s="24"/>
      <c r="AIE70" s="24"/>
      <c r="AIF70" s="24"/>
      <c r="AIG70" s="24"/>
      <c r="AIH70" s="24"/>
      <c r="AII70" s="24"/>
      <c r="AIJ70" s="24"/>
      <c r="AIK70" s="24"/>
      <c r="AIL70" s="24"/>
      <c r="AIM70" s="24"/>
      <c r="AIN70" s="24"/>
      <c r="AIO70" s="24"/>
      <c r="AIP70" s="24"/>
      <c r="AIQ70" s="24"/>
      <c r="AIR70" s="24"/>
      <c r="AIS70" s="24"/>
      <c r="AIT70" s="24"/>
      <c r="AIU70" s="24"/>
      <c r="AIV70" s="24"/>
      <c r="AIW70" s="24"/>
      <c r="AIX70" s="24"/>
      <c r="AIY70" s="24"/>
      <c r="AIZ70" s="24"/>
      <c r="AJA70" s="24"/>
      <c r="AJB70" s="24"/>
      <c r="AJC70" s="24"/>
      <c r="AJD70" s="24"/>
      <c r="AJE70" s="24"/>
      <c r="AJF70" s="24"/>
      <c r="AJG70" s="24"/>
      <c r="AJH70" s="24"/>
      <c r="AJI70" s="24"/>
      <c r="AJJ70" s="24"/>
      <c r="AJK70" s="24"/>
      <c r="AJL70" s="24"/>
      <c r="AJM70" s="24"/>
      <c r="AJN70" s="24"/>
      <c r="AJO70" s="24"/>
      <c r="AJP70" s="24"/>
      <c r="AJQ70" s="24"/>
      <c r="AJR70" s="24"/>
      <c r="AJS70" s="24"/>
      <c r="AJT70" s="24"/>
      <c r="AJU70" s="24"/>
      <c r="AJV70" s="24"/>
      <c r="AJW70" s="24"/>
      <c r="AJX70" s="24"/>
      <c r="AJY70" s="24"/>
      <c r="AJZ70" s="24"/>
      <c r="AKA70" s="24"/>
      <c r="AKB70" s="24"/>
      <c r="AKC70" s="24"/>
      <c r="AKD70" s="24"/>
      <c r="AKE70" s="24"/>
      <c r="AKF70" s="24"/>
      <c r="AKG70" s="24"/>
      <c r="AKH70" s="24"/>
      <c r="AKI70" s="24"/>
      <c r="AKJ70" s="24"/>
      <c r="AKK70" s="24"/>
      <c r="AKL70" s="24"/>
      <c r="AKM70" s="24"/>
      <c r="AKN70" s="24"/>
      <c r="AKO70" s="24"/>
      <c r="AKP70" s="24"/>
      <c r="AKQ70" s="24"/>
      <c r="AKR70" s="24"/>
      <c r="AKS70" s="24"/>
      <c r="AKT70" s="24"/>
      <c r="AKU70" s="24"/>
      <c r="AKV70" s="24"/>
      <c r="AKW70" s="24"/>
      <c r="AKX70" s="24"/>
      <c r="AKY70" s="24"/>
      <c r="AKZ70" s="24"/>
      <c r="ALA70" s="24"/>
      <c r="ALB70" s="24"/>
      <c r="ALC70" s="24"/>
      <c r="ALD70" s="24"/>
      <c r="ALE70" s="24"/>
      <c r="ALF70" s="24"/>
      <c r="ALG70" s="24"/>
      <c r="ALH70" s="24"/>
      <c r="ALI70" s="24"/>
      <c r="ALJ70" s="24"/>
      <c r="ALK70" s="24"/>
      <c r="ALL70" s="24"/>
      <c r="ALM70" s="24"/>
      <c r="ALN70" s="24"/>
      <c r="ALO70" s="24"/>
      <c r="ALP70" s="24"/>
      <c r="ALQ70" s="24"/>
      <c r="ALR70" s="24"/>
      <c r="ALS70" s="24"/>
      <c r="ALT70" s="24"/>
      <c r="ALU70" s="24"/>
      <c r="ALV70" s="24"/>
      <c r="ALW70" s="24"/>
      <c r="ALX70" s="24"/>
      <c r="ALY70" s="24"/>
      <c r="ALZ70" s="24"/>
      <c r="AMA70" s="24"/>
      <c r="AMB70" s="24"/>
      <c r="AMC70" s="24"/>
      <c r="AMD70" s="24"/>
      <c r="AME70" s="24"/>
      <c r="AMF70" s="24"/>
      <c r="AMG70" s="24"/>
      <c r="AMH70" s="24"/>
      <c r="AMI70" s="24"/>
      <c r="AMJ70" s="24"/>
      <c r="AMK70" s="24"/>
      <c r="AML70" s="24"/>
      <c r="AMM70" s="24"/>
      <c r="AMN70" s="24"/>
      <c r="AMO70" s="24"/>
      <c r="AMP70" s="24"/>
      <c r="AMQ70" s="24"/>
      <c r="AMR70" s="24"/>
      <c r="AMS70" s="24"/>
      <c r="AMT70" s="24"/>
      <c r="AMU70" s="24"/>
      <c r="AMV70" s="24"/>
      <c r="AMW70" s="24"/>
      <c r="AMX70" s="24"/>
      <c r="AMY70" s="24"/>
      <c r="AMZ70" s="24"/>
      <c r="ANA70" s="24"/>
      <c r="ANB70" s="24"/>
      <c r="ANC70" s="24"/>
      <c r="AND70" s="24"/>
      <c r="ANE70" s="24"/>
      <c r="ANF70" s="24"/>
      <c r="ANG70" s="24"/>
      <c r="ANH70" s="24"/>
      <c r="ANI70" s="24"/>
      <c r="ANJ70" s="24"/>
      <c r="ANK70" s="24"/>
      <c r="ANL70" s="24"/>
      <c r="ANM70" s="24"/>
      <c r="ANN70" s="24"/>
      <c r="ANO70" s="24"/>
      <c r="ANP70" s="24"/>
      <c r="ANQ70" s="24"/>
      <c r="ANR70" s="24"/>
      <c r="ANS70" s="24"/>
      <c r="ANT70" s="24"/>
      <c r="ANU70" s="24"/>
      <c r="ANV70" s="24"/>
      <c r="ANW70" s="24"/>
      <c r="ANX70" s="24"/>
      <c r="ANY70" s="24"/>
      <c r="ANZ70" s="24"/>
      <c r="AOA70" s="24"/>
      <c r="AOB70" s="24"/>
      <c r="AOC70" s="24"/>
      <c r="AOD70" s="24"/>
      <c r="AOE70" s="24"/>
      <c r="AOF70" s="24"/>
      <c r="AOG70" s="24"/>
      <c r="AOH70" s="24"/>
      <c r="AOI70" s="24"/>
      <c r="AOJ70" s="24"/>
      <c r="AOK70" s="24"/>
      <c r="AOL70" s="24"/>
      <c r="AOM70" s="24"/>
      <c r="AON70" s="24"/>
      <c r="AOO70" s="24"/>
      <c r="AOP70" s="24"/>
      <c r="AOQ70" s="24"/>
      <c r="AOR70" s="24"/>
      <c r="AOS70" s="24"/>
      <c r="AOT70" s="24"/>
      <c r="AOU70" s="24"/>
      <c r="AOV70" s="24"/>
      <c r="AOW70" s="24"/>
      <c r="AOX70" s="24"/>
      <c r="AOY70" s="24"/>
      <c r="AOZ70" s="24"/>
      <c r="APA70" s="24"/>
      <c r="APB70" s="24"/>
      <c r="APC70" s="24"/>
      <c r="APD70" s="24"/>
      <c r="APE70" s="24"/>
      <c r="APF70" s="24"/>
      <c r="APG70" s="24"/>
      <c r="APH70" s="24"/>
      <c r="API70" s="24"/>
      <c r="APJ70" s="24"/>
      <c r="APK70" s="24"/>
      <c r="APL70" s="24"/>
      <c r="APM70" s="24"/>
      <c r="APN70" s="24"/>
      <c r="APO70" s="24"/>
      <c r="APP70" s="24"/>
      <c r="APQ70" s="24"/>
      <c r="APR70" s="24"/>
      <c r="APS70" s="24"/>
      <c r="APT70" s="24"/>
      <c r="APU70" s="24"/>
      <c r="APV70" s="24"/>
      <c r="APW70" s="24"/>
      <c r="APX70" s="24"/>
      <c r="APY70" s="24"/>
      <c r="APZ70" s="24"/>
      <c r="AQA70" s="24"/>
      <c r="AQB70" s="24"/>
      <c r="AQC70" s="24"/>
      <c r="AQD70" s="24"/>
      <c r="AQE70" s="24"/>
      <c r="AQF70" s="24"/>
      <c r="AQG70" s="24"/>
      <c r="AQH70" s="24"/>
      <c r="AQI70" s="24"/>
      <c r="AQJ70" s="24"/>
      <c r="AQK70" s="24"/>
      <c r="AQL70" s="24"/>
      <c r="AQM70" s="24"/>
      <c r="AQN70" s="24"/>
      <c r="AQO70" s="24"/>
      <c r="AQP70" s="24"/>
      <c r="AQQ70" s="24"/>
      <c r="AQR70" s="24"/>
      <c r="AQS70" s="24"/>
      <c r="AQT70" s="24"/>
      <c r="AQU70" s="24"/>
      <c r="AQV70" s="24"/>
      <c r="AQW70" s="24"/>
      <c r="AQX70" s="24"/>
      <c r="AQY70" s="24"/>
      <c r="AQZ70" s="24"/>
      <c r="ARA70" s="24"/>
      <c r="ARB70" s="24"/>
      <c r="ARC70" s="24"/>
      <c r="ARD70" s="24"/>
      <c r="ARE70" s="24"/>
      <c r="ARF70" s="24"/>
      <c r="ARG70" s="24"/>
      <c r="ARH70" s="24"/>
      <c r="ARI70" s="24"/>
      <c r="ARJ70" s="24"/>
      <c r="ARK70" s="24"/>
      <c r="ARL70" s="24"/>
      <c r="ARM70" s="24"/>
      <c r="ARN70" s="24"/>
      <c r="ARO70" s="24"/>
      <c r="ARP70" s="24"/>
      <c r="ARQ70" s="24"/>
      <c r="ARR70" s="24"/>
      <c r="ARS70" s="24"/>
      <c r="ART70" s="24"/>
      <c r="ARU70" s="24"/>
      <c r="ARV70" s="24"/>
      <c r="ARW70" s="24"/>
      <c r="ARX70" s="24"/>
      <c r="ARY70" s="24"/>
      <c r="ARZ70" s="24"/>
      <c r="ASA70" s="24"/>
      <c r="ASB70" s="24"/>
      <c r="ASC70" s="24"/>
      <c r="ASD70" s="24"/>
      <c r="ASE70" s="24"/>
      <c r="ASF70" s="24"/>
      <c r="ASG70" s="24"/>
      <c r="ASH70" s="24"/>
      <c r="ASI70" s="24"/>
      <c r="ASJ70" s="24"/>
      <c r="ASK70" s="24"/>
      <c r="ASL70" s="24"/>
      <c r="ASM70" s="24"/>
      <c r="ASN70" s="24"/>
      <c r="ASO70" s="24"/>
      <c r="ASP70" s="24"/>
      <c r="ASQ70" s="24"/>
      <c r="ASR70" s="24"/>
      <c r="ASS70" s="24"/>
      <c r="AST70" s="24"/>
      <c r="ASU70" s="24"/>
      <c r="ASV70" s="24"/>
      <c r="ASW70" s="24"/>
      <c r="ASX70" s="24"/>
      <c r="ASY70" s="24"/>
      <c r="ASZ70" s="24"/>
      <c r="ATA70" s="24"/>
      <c r="ATB70" s="24"/>
      <c r="ATC70" s="24"/>
      <c r="ATD70" s="24"/>
      <c r="ATE70" s="24"/>
      <c r="ATF70" s="24"/>
      <c r="ATG70" s="24"/>
      <c r="ATH70" s="24"/>
      <c r="ATI70" s="24"/>
      <c r="ATJ70" s="24"/>
      <c r="ATK70" s="24"/>
      <c r="ATL70" s="24"/>
      <c r="ATM70" s="24"/>
      <c r="ATN70" s="24"/>
      <c r="ATO70" s="24"/>
      <c r="ATP70" s="24"/>
      <c r="ATQ70" s="24"/>
      <c r="ATR70" s="24"/>
      <c r="ATS70" s="24"/>
      <c r="ATT70" s="24"/>
      <c r="ATU70" s="24"/>
      <c r="ATV70" s="24"/>
      <c r="ATW70" s="24"/>
      <c r="ATX70" s="24"/>
      <c r="ATY70" s="24"/>
      <c r="ATZ70" s="24"/>
      <c r="AUA70" s="24"/>
      <c r="AUB70" s="24"/>
      <c r="AUC70" s="24"/>
      <c r="AUD70" s="24"/>
      <c r="AUE70" s="24"/>
      <c r="AUF70" s="24"/>
      <c r="AUG70" s="24"/>
      <c r="AUH70" s="24"/>
      <c r="AUI70" s="24"/>
      <c r="AUJ70" s="24"/>
      <c r="AUK70" s="24"/>
      <c r="AUL70" s="24"/>
      <c r="AUM70" s="24"/>
      <c r="AUN70" s="24"/>
      <c r="AUO70" s="24"/>
      <c r="AUP70" s="24"/>
      <c r="AUQ70" s="24"/>
      <c r="AUR70" s="24"/>
      <c r="AUS70" s="24"/>
      <c r="AUT70" s="24"/>
      <c r="AUU70" s="24"/>
      <c r="AUV70" s="24"/>
      <c r="AUW70" s="24"/>
      <c r="AUX70" s="24"/>
      <c r="AUY70" s="24"/>
      <c r="AUZ70" s="24"/>
      <c r="AVA70" s="24"/>
      <c r="AVB70" s="24"/>
      <c r="AVC70" s="24"/>
      <c r="AVD70" s="24"/>
      <c r="AVE70" s="24"/>
      <c r="AVF70" s="24"/>
      <c r="AVG70" s="24"/>
      <c r="AVH70" s="24"/>
      <c r="AVI70" s="24"/>
      <c r="AVJ70" s="24"/>
      <c r="AVK70" s="24"/>
      <c r="AVL70" s="24"/>
      <c r="AVM70" s="24"/>
      <c r="AVN70" s="24"/>
      <c r="AVO70" s="24"/>
      <c r="AVP70" s="24"/>
      <c r="AVQ70" s="24"/>
      <c r="AVR70" s="24"/>
      <c r="AVS70" s="24"/>
      <c r="AVT70" s="24"/>
      <c r="AVU70" s="24"/>
      <c r="AVV70" s="24"/>
      <c r="AVW70" s="24"/>
      <c r="AVX70" s="24"/>
      <c r="AVY70" s="24"/>
      <c r="AVZ70" s="24"/>
      <c r="AWA70" s="24"/>
      <c r="AWB70" s="24"/>
      <c r="AWC70" s="24"/>
      <c r="AWD70" s="24"/>
      <c r="AWE70" s="24"/>
      <c r="AWF70" s="24"/>
      <c r="AWG70" s="24"/>
      <c r="AWH70" s="24"/>
      <c r="AWI70" s="24"/>
      <c r="AWJ70" s="24"/>
      <c r="AWK70" s="24"/>
      <c r="AWL70" s="24"/>
      <c r="AWM70" s="24"/>
      <c r="AWN70" s="24"/>
      <c r="AWO70" s="24"/>
      <c r="AWP70" s="24"/>
      <c r="AWQ70" s="24"/>
      <c r="AWR70" s="24"/>
      <c r="AWS70" s="24"/>
      <c r="AWT70" s="24"/>
      <c r="AWU70" s="24"/>
      <c r="AWV70" s="24"/>
      <c r="AWW70" s="24"/>
      <c r="AWX70" s="24"/>
      <c r="AWY70" s="24"/>
      <c r="AWZ70" s="24"/>
      <c r="AXA70" s="24"/>
      <c r="AXB70" s="24"/>
      <c r="AXC70" s="24"/>
      <c r="AXD70" s="24"/>
      <c r="AXE70" s="24"/>
      <c r="AXF70" s="24"/>
      <c r="AXG70" s="24"/>
      <c r="AXH70" s="24"/>
      <c r="AXI70" s="24"/>
      <c r="AXJ70" s="24"/>
      <c r="AXK70" s="24"/>
      <c r="AXL70" s="24"/>
      <c r="AXM70" s="24"/>
      <c r="AXN70" s="24"/>
      <c r="AXO70" s="24"/>
      <c r="AXP70" s="24"/>
      <c r="AXQ70" s="24"/>
      <c r="AXR70" s="24"/>
      <c r="AXS70" s="24"/>
      <c r="AXT70" s="24"/>
      <c r="AXU70" s="24"/>
      <c r="AXV70" s="24"/>
      <c r="AXW70" s="24"/>
      <c r="AXX70" s="24"/>
      <c r="AXY70" s="24"/>
      <c r="AXZ70" s="24"/>
      <c r="AYA70" s="24"/>
      <c r="AYB70" s="24"/>
      <c r="AYC70" s="24"/>
      <c r="AYD70" s="24"/>
      <c r="AYE70" s="24"/>
      <c r="AYF70" s="24"/>
      <c r="AYG70" s="24"/>
      <c r="AYH70" s="24"/>
      <c r="AYI70" s="24"/>
      <c r="AYJ70" s="24"/>
      <c r="AYK70" s="24"/>
      <c r="AYL70" s="24"/>
      <c r="AYM70" s="24"/>
      <c r="AYN70" s="24"/>
      <c r="AYO70" s="24"/>
      <c r="AYP70" s="24"/>
      <c r="AYQ70" s="24"/>
      <c r="AYR70" s="24"/>
      <c r="AYS70" s="24"/>
      <c r="AYT70" s="24"/>
      <c r="AYU70" s="24"/>
      <c r="AYV70" s="24"/>
      <c r="AYW70" s="24"/>
      <c r="AYX70" s="24"/>
      <c r="AYY70" s="24"/>
      <c r="AYZ70" s="24"/>
      <c r="AZA70" s="24"/>
      <c r="AZB70" s="24"/>
      <c r="AZC70" s="24"/>
      <c r="AZD70" s="24"/>
      <c r="AZE70" s="24"/>
      <c r="AZF70" s="24"/>
      <c r="AZG70" s="24"/>
      <c r="AZH70" s="24"/>
      <c r="AZI70" s="24"/>
      <c r="AZJ70" s="24"/>
      <c r="AZK70" s="24"/>
      <c r="AZL70" s="24"/>
      <c r="AZM70" s="24"/>
      <c r="AZN70" s="24"/>
      <c r="AZO70" s="24"/>
      <c r="AZP70" s="24"/>
      <c r="AZQ70" s="24"/>
      <c r="AZR70" s="24"/>
      <c r="AZS70" s="24"/>
      <c r="AZT70" s="24"/>
      <c r="AZU70" s="24"/>
      <c r="AZV70" s="24"/>
      <c r="AZW70" s="24"/>
      <c r="AZX70" s="24"/>
      <c r="AZY70" s="24"/>
      <c r="AZZ70" s="24"/>
      <c r="BAA70" s="24"/>
      <c r="BAB70" s="24"/>
      <c r="BAC70" s="24"/>
      <c r="BAD70" s="24"/>
      <c r="BAE70" s="24"/>
      <c r="BAF70" s="24"/>
      <c r="BAG70" s="24"/>
      <c r="BAH70" s="24"/>
      <c r="BAI70" s="24"/>
      <c r="BAJ70" s="24"/>
      <c r="BAK70" s="24"/>
      <c r="BAL70" s="24"/>
      <c r="BAM70" s="24"/>
      <c r="BAN70" s="24"/>
      <c r="BAO70" s="24"/>
      <c r="BAP70" s="24"/>
      <c r="BAQ70" s="24"/>
      <c r="BAR70" s="24"/>
      <c r="BAS70" s="24"/>
      <c r="BAT70" s="24"/>
      <c r="BAU70" s="24"/>
      <c r="BAV70" s="24"/>
      <c r="BAW70" s="24"/>
      <c r="BAX70" s="24"/>
      <c r="BAY70" s="24"/>
      <c r="BAZ70" s="24"/>
      <c r="BBA70" s="24"/>
      <c r="BBB70" s="24"/>
      <c r="BBC70" s="24"/>
      <c r="BBD70" s="24"/>
      <c r="BBE70" s="24"/>
      <c r="BBF70" s="24"/>
      <c r="BBG70" s="24"/>
      <c r="BBH70" s="24"/>
      <c r="BBI70" s="24"/>
      <c r="BBJ70" s="24"/>
      <c r="BBK70" s="24"/>
      <c r="BBL70" s="24"/>
      <c r="BBM70" s="24"/>
      <c r="BBN70" s="24"/>
      <c r="BBO70" s="24"/>
      <c r="BBP70" s="24"/>
      <c r="BBQ70" s="24"/>
      <c r="BBR70" s="24"/>
      <c r="BBS70" s="24"/>
      <c r="BBT70" s="24"/>
      <c r="BBU70" s="24"/>
      <c r="BBV70" s="24"/>
      <c r="BBW70" s="24"/>
      <c r="BBX70" s="24"/>
      <c r="BBY70" s="24"/>
      <c r="BBZ70" s="24"/>
      <c r="BCA70" s="24"/>
      <c r="BCB70" s="24"/>
      <c r="BCC70" s="24"/>
      <c r="BCD70" s="24"/>
      <c r="BCE70" s="24"/>
      <c r="BCF70" s="24"/>
      <c r="BCG70" s="24"/>
      <c r="BCH70" s="24"/>
      <c r="BCI70" s="24"/>
      <c r="BCJ70" s="24"/>
      <c r="BCK70" s="24"/>
      <c r="BCL70" s="24"/>
      <c r="BCM70" s="24"/>
      <c r="BCN70" s="24"/>
      <c r="BCO70" s="24"/>
      <c r="BCP70" s="24"/>
      <c r="BCQ70" s="24"/>
      <c r="BCR70" s="24"/>
      <c r="BCS70" s="24"/>
      <c r="BCT70" s="24"/>
      <c r="BCU70" s="24"/>
      <c r="BCV70" s="24"/>
      <c r="BCW70" s="24"/>
      <c r="BCX70" s="24"/>
      <c r="BCY70" s="24"/>
      <c r="BCZ70" s="24"/>
      <c r="BDA70" s="24"/>
      <c r="BDB70" s="24"/>
      <c r="BDC70" s="24"/>
      <c r="BDD70" s="24"/>
      <c r="BDE70" s="24"/>
      <c r="BDF70" s="24"/>
      <c r="BDG70" s="24"/>
      <c r="BDH70" s="24"/>
      <c r="BDI70" s="24"/>
      <c r="BDJ70" s="24"/>
      <c r="BDK70" s="24"/>
      <c r="BDL70" s="24"/>
      <c r="BDM70" s="24"/>
      <c r="BDN70" s="24"/>
      <c r="BDO70" s="24"/>
      <c r="BDP70" s="24"/>
      <c r="BDQ70" s="24"/>
      <c r="BDR70" s="24"/>
      <c r="BDS70" s="24"/>
      <c r="BDT70" s="24"/>
      <c r="BDU70" s="24"/>
      <c r="BDV70" s="24"/>
      <c r="BDW70" s="24"/>
      <c r="BDX70" s="24"/>
      <c r="BDY70" s="24"/>
      <c r="BDZ70" s="24"/>
      <c r="BEA70" s="24"/>
      <c r="BEB70" s="24"/>
      <c r="BEC70" s="24"/>
      <c r="BED70" s="24"/>
      <c r="BEE70" s="24"/>
      <c r="BEF70" s="24"/>
      <c r="BEG70" s="24"/>
      <c r="BEH70" s="24"/>
      <c r="BEI70" s="24"/>
      <c r="BEJ70" s="24"/>
      <c r="BEK70" s="24"/>
      <c r="BEL70" s="24"/>
      <c r="BEM70" s="24"/>
      <c r="BEN70" s="24"/>
      <c r="BEO70" s="24"/>
      <c r="BEP70" s="24"/>
      <c r="BEQ70" s="24"/>
      <c r="BER70" s="24"/>
      <c r="BES70" s="24"/>
      <c r="BET70" s="24"/>
      <c r="BEU70" s="24"/>
      <c r="BEV70" s="24"/>
      <c r="BEW70" s="24"/>
      <c r="BEX70" s="24"/>
      <c r="BEY70" s="24"/>
      <c r="BEZ70" s="24"/>
      <c r="BFA70" s="24"/>
      <c r="BFB70" s="24"/>
      <c r="BFC70" s="24"/>
      <c r="BFD70" s="24"/>
      <c r="BFE70" s="24"/>
      <c r="BFF70" s="24"/>
      <c r="BFG70" s="24"/>
      <c r="BFH70" s="24"/>
      <c r="BFI70" s="24"/>
      <c r="BFJ70" s="24"/>
      <c r="BFK70" s="24"/>
      <c r="BFL70" s="24"/>
      <c r="BFM70" s="24"/>
      <c r="BFN70" s="24"/>
      <c r="BFO70" s="24"/>
      <c r="BFP70" s="24"/>
      <c r="BFQ70" s="24"/>
      <c r="BFR70" s="24"/>
      <c r="BFS70" s="24"/>
      <c r="BFT70" s="24"/>
      <c r="BFU70" s="24"/>
      <c r="BFV70" s="24"/>
      <c r="BFW70" s="24"/>
      <c r="BFX70" s="24"/>
      <c r="BFY70" s="24"/>
      <c r="BFZ70" s="24"/>
      <c r="BGA70" s="24"/>
      <c r="BGB70" s="24"/>
      <c r="BGC70" s="24"/>
      <c r="BGD70" s="24"/>
      <c r="BGE70" s="24"/>
      <c r="BGF70" s="24"/>
      <c r="BGG70" s="24"/>
      <c r="BGH70" s="24"/>
      <c r="BGI70" s="24"/>
      <c r="BGJ70" s="24"/>
      <c r="BGK70" s="24"/>
      <c r="BGL70" s="24"/>
      <c r="BGM70" s="24"/>
      <c r="BGN70" s="24"/>
      <c r="BGO70" s="24"/>
      <c r="BGP70" s="24"/>
      <c r="BGQ70" s="24"/>
      <c r="BGR70" s="24"/>
      <c r="BGS70" s="24"/>
      <c r="BGT70" s="24"/>
      <c r="BGU70" s="24"/>
      <c r="BGV70" s="24"/>
      <c r="BGW70" s="24"/>
      <c r="BGX70" s="24"/>
      <c r="BGY70" s="24"/>
      <c r="BGZ70" s="24"/>
      <c r="BHA70" s="24"/>
      <c r="BHB70" s="24"/>
      <c r="BHC70" s="24"/>
      <c r="BHD70" s="24"/>
      <c r="BHE70" s="24"/>
      <c r="BHF70" s="24"/>
      <c r="BHG70" s="24"/>
      <c r="BHH70" s="24"/>
      <c r="BHI70" s="24"/>
      <c r="BHJ70" s="24"/>
      <c r="BHK70" s="24"/>
      <c r="BHL70" s="24"/>
      <c r="BHM70" s="24"/>
      <c r="BHN70" s="24"/>
      <c r="BHO70" s="24"/>
      <c r="BHP70" s="24"/>
      <c r="BHQ70" s="24"/>
      <c r="BHR70" s="24"/>
      <c r="BHS70" s="24"/>
      <c r="BHT70" s="24"/>
      <c r="BHU70" s="24"/>
      <c r="BHV70" s="24"/>
      <c r="BHW70" s="24"/>
      <c r="BHX70" s="24"/>
      <c r="BHY70" s="24"/>
      <c r="BHZ70" s="24"/>
      <c r="BIA70" s="24"/>
      <c r="BIB70" s="24"/>
      <c r="BIC70" s="24"/>
      <c r="BID70" s="24"/>
      <c r="BIE70" s="24"/>
      <c r="BIF70" s="24"/>
      <c r="BIG70" s="24"/>
      <c r="BIH70" s="24"/>
      <c r="BII70" s="24"/>
      <c r="BIJ70" s="24"/>
      <c r="BIK70" s="24"/>
      <c r="BIL70" s="24"/>
      <c r="BIM70" s="24"/>
      <c r="BIN70" s="24"/>
      <c r="BIO70" s="24"/>
      <c r="BIP70" s="24"/>
      <c r="BIQ70" s="24"/>
      <c r="BIR70" s="24"/>
      <c r="BIS70" s="24"/>
      <c r="BIT70" s="24"/>
      <c r="BIU70" s="24"/>
      <c r="BIV70" s="24"/>
      <c r="BIW70" s="24"/>
      <c r="BIX70" s="24"/>
      <c r="BIY70" s="24"/>
      <c r="BIZ70" s="24"/>
      <c r="BJA70" s="24"/>
      <c r="BJB70" s="24"/>
      <c r="BJC70" s="24"/>
      <c r="BJD70" s="24"/>
      <c r="BJE70" s="24"/>
      <c r="BJF70" s="24"/>
      <c r="BJG70" s="24"/>
      <c r="BJH70" s="24"/>
      <c r="BJI70" s="24"/>
      <c r="BJJ70" s="24"/>
      <c r="BJK70" s="24"/>
      <c r="BJL70" s="24"/>
      <c r="BJM70" s="24"/>
      <c r="BJN70" s="24"/>
      <c r="BJO70" s="24"/>
      <c r="BJP70" s="24"/>
      <c r="BJQ70" s="24"/>
      <c r="BJR70" s="24"/>
      <c r="BJS70" s="24"/>
      <c r="BJT70" s="24"/>
      <c r="BJU70" s="24"/>
      <c r="BJV70" s="24"/>
      <c r="BJW70" s="24"/>
      <c r="BJX70" s="24"/>
      <c r="BJY70" s="24"/>
      <c r="BJZ70" s="24"/>
      <c r="BKA70" s="24"/>
      <c r="BKB70" s="24"/>
      <c r="BKC70" s="24"/>
      <c r="BKD70" s="24"/>
      <c r="BKE70" s="24"/>
      <c r="BKF70" s="24"/>
      <c r="BKG70" s="24"/>
      <c r="BKH70" s="24"/>
      <c r="BKI70" s="24"/>
      <c r="BKJ70" s="24"/>
      <c r="BKK70" s="24"/>
      <c r="BKL70" s="24"/>
      <c r="BKM70" s="24"/>
      <c r="BKN70" s="24"/>
      <c r="BKO70" s="24"/>
      <c r="BKP70" s="24"/>
      <c r="BKQ70" s="24"/>
      <c r="BKR70" s="24"/>
      <c r="BKS70" s="24"/>
      <c r="BKT70" s="24"/>
      <c r="BKU70" s="24"/>
      <c r="BKV70" s="24"/>
      <c r="BKW70" s="24"/>
      <c r="BKX70" s="24"/>
      <c r="BKY70" s="24"/>
      <c r="BKZ70" s="24"/>
      <c r="BLA70" s="24"/>
      <c r="BLB70" s="24"/>
      <c r="BLC70" s="24"/>
      <c r="BLD70" s="24"/>
      <c r="BLE70" s="24"/>
      <c r="BLF70" s="24"/>
      <c r="BLG70" s="24"/>
      <c r="BLH70" s="24"/>
      <c r="BLI70" s="24"/>
      <c r="BLJ70" s="24"/>
      <c r="BLK70" s="24"/>
      <c r="BLL70" s="24"/>
      <c r="BLM70" s="24"/>
      <c r="BLN70" s="24"/>
      <c r="BLO70" s="24"/>
      <c r="BLP70" s="24"/>
      <c r="BLQ70" s="24"/>
      <c r="BLR70" s="24"/>
      <c r="BLS70" s="24"/>
      <c r="BLT70" s="24"/>
      <c r="BLU70" s="24"/>
      <c r="BLV70" s="24"/>
      <c r="BLW70" s="24"/>
      <c r="BLX70" s="24"/>
      <c r="BLY70" s="24"/>
      <c r="BLZ70" s="24"/>
      <c r="BMA70" s="24"/>
      <c r="BMB70" s="24"/>
      <c r="BMC70" s="24"/>
      <c r="BMD70" s="24"/>
      <c r="BME70" s="24"/>
      <c r="BMF70" s="24"/>
      <c r="BMG70" s="24"/>
      <c r="BMH70" s="24"/>
      <c r="BMI70" s="24"/>
      <c r="BMJ70" s="24"/>
      <c r="BMK70" s="24"/>
      <c r="BML70" s="24"/>
      <c r="BMM70" s="24"/>
      <c r="BMN70" s="24"/>
      <c r="BMO70" s="24"/>
      <c r="BMP70" s="24"/>
      <c r="BMQ70" s="24"/>
      <c r="BMR70" s="24"/>
      <c r="BMS70" s="24"/>
      <c r="BMT70" s="24"/>
      <c r="BMU70" s="24"/>
      <c r="BMV70" s="24"/>
      <c r="BMW70" s="24"/>
      <c r="BMX70" s="24"/>
      <c r="BMY70" s="24"/>
      <c r="BMZ70" s="24"/>
      <c r="BNA70" s="24"/>
      <c r="BNB70" s="24"/>
      <c r="BNC70" s="24"/>
      <c r="BND70" s="24"/>
      <c r="BNE70" s="24"/>
      <c r="BNF70" s="24"/>
      <c r="BNG70" s="24"/>
      <c r="BNH70" s="24"/>
      <c r="BNI70" s="24"/>
      <c r="BNJ70" s="24"/>
      <c r="BNK70" s="24"/>
      <c r="BNL70" s="24"/>
      <c r="BNM70" s="24"/>
      <c r="BNN70" s="24"/>
      <c r="BNO70" s="24"/>
      <c r="BNP70" s="24"/>
      <c r="BNQ70" s="24"/>
      <c r="BNR70" s="24"/>
      <c r="BNS70" s="24"/>
      <c r="BNT70" s="24"/>
      <c r="BNU70" s="24"/>
      <c r="BNV70" s="24"/>
      <c r="BNW70" s="24"/>
      <c r="BNX70" s="24"/>
      <c r="BNY70" s="24"/>
      <c r="BNZ70" s="24"/>
      <c r="BOA70" s="24"/>
      <c r="BOB70" s="24"/>
      <c r="BOC70" s="24"/>
      <c r="BOD70" s="24"/>
      <c r="BOE70" s="24"/>
      <c r="BOF70" s="24"/>
      <c r="BOG70" s="24"/>
      <c r="BOH70" s="24"/>
      <c r="BOI70" s="24"/>
      <c r="BOJ70" s="24"/>
      <c r="BOK70" s="24"/>
      <c r="BOL70" s="24"/>
      <c r="BOM70" s="24"/>
      <c r="BON70" s="24"/>
      <c r="BOO70" s="24"/>
      <c r="BOP70" s="24"/>
      <c r="BOQ70" s="24"/>
      <c r="BOR70" s="24"/>
      <c r="BOS70" s="24"/>
      <c r="BOT70" s="24"/>
      <c r="BOU70" s="24"/>
      <c r="BOV70" s="24"/>
      <c r="BOW70" s="24"/>
      <c r="BOX70" s="24"/>
      <c r="BOY70" s="24"/>
      <c r="BOZ70" s="24"/>
      <c r="BPA70" s="24"/>
      <c r="BPB70" s="24"/>
      <c r="BPC70" s="24"/>
      <c r="BPD70" s="24"/>
      <c r="BPE70" s="24"/>
      <c r="BPF70" s="24"/>
      <c r="BPG70" s="24"/>
      <c r="BPH70" s="24"/>
      <c r="BPI70" s="24"/>
      <c r="BPJ70" s="24"/>
      <c r="BPK70" s="24"/>
      <c r="BPL70" s="24"/>
      <c r="BPM70" s="24"/>
      <c r="BPN70" s="24"/>
      <c r="BPO70" s="24"/>
      <c r="BPP70" s="24"/>
      <c r="BPQ70" s="24"/>
      <c r="BPR70" s="24"/>
      <c r="BPS70" s="24"/>
      <c r="BPT70" s="24"/>
      <c r="BPU70" s="24"/>
      <c r="BPV70" s="24"/>
      <c r="BPW70" s="24"/>
      <c r="BPX70" s="24"/>
      <c r="BPY70" s="24"/>
      <c r="BPZ70" s="24"/>
      <c r="BQA70" s="24"/>
      <c r="BQB70" s="24"/>
      <c r="BQC70" s="24"/>
      <c r="BQD70" s="24"/>
      <c r="BQE70" s="24"/>
      <c r="BQF70" s="24"/>
      <c r="BQG70" s="24"/>
      <c r="BQH70" s="24"/>
      <c r="BQI70" s="24"/>
      <c r="BQJ70" s="24"/>
      <c r="BQK70" s="24"/>
      <c r="BQL70" s="24"/>
      <c r="BQM70" s="24"/>
      <c r="BQN70" s="24"/>
      <c r="BQO70" s="24"/>
      <c r="BQP70" s="24"/>
      <c r="BQQ70" s="24"/>
      <c r="BQR70" s="24"/>
      <c r="BQS70" s="24"/>
      <c r="BQT70" s="24"/>
      <c r="BQU70" s="24"/>
      <c r="BQV70" s="24"/>
      <c r="BQW70" s="24"/>
      <c r="BQX70" s="24"/>
      <c r="BQY70" s="24"/>
      <c r="BQZ70" s="24"/>
      <c r="BRA70" s="24"/>
      <c r="BRB70" s="24"/>
      <c r="BRC70" s="24"/>
      <c r="BRD70" s="24"/>
      <c r="BRE70" s="24"/>
      <c r="BRF70" s="24"/>
      <c r="BRG70" s="24"/>
      <c r="BRH70" s="24"/>
      <c r="BRI70" s="24"/>
      <c r="BRJ70" s="24"/>
      <c r="BRK70" s="24"/>
      <c r="BRL70" s="24"/>
      <c r="BRM70" s="24"/>
      <c r="BRN70" s="24"/>
      <c r="BRO70" s="24"/>
      <c r="BRP70" s="24"/>
      <c r="BRQ70" s="24"/>
      <c r="BRR70" s="24"/>
      <c r="BRS70" s="24"/>
      <c r="BRT70" s="24"/>
      <c r="BRU70" s="24"/>
      <c r="BRV70" s="24"/>
      <c r="BRW70" s="24"/>
      <c r="BRX70" s="24"/>
      <c r="BRY70" s="24"/>
      <c r="BRZ70" s="24"/>
      <c r="BSA70" s="24"/>
      <c r="BSB70" s="24"/>
      <c r="BSC70" s="24"/>
      <c r="BSD70" s="24"/>
      <c r="BSE70" s="24"/>
      <c r="BSF70" s="24"/>
      <c r="BSG70" s="24"/>
      <c r="BSH70" s="24"/>
      <c r="BSI70" s="24"/>
      <c r="BSJ70" s="24"/>
      <c r="BSK70" s="24"/>
      <c r="BSL70" s="24"/>
      <c r="BSM70" s="24"/>
      <c r="BSN70" s="24"/>
      <c r="BSO70" s="24"/>
      <c r="BSP70" s="24"/>
      <c r="BSQ70" s="24"/>
      <c r="BSR70" s="24"/>
      <c r="BSS70" s="24"/>
      <c r="BST70" s="24"/>
      <c r="BSU70" s="24"/>
      <c r="BSV70" s="24"/>
      <c r="BSW70" s="24"/>
      <c r="BSX70" s="24"/>
      <c r="BSY70" s="24"/>
      <c r="BSZ70" s="24"/>
      <c r="BTA70" s="24"/>
      <c r="BTB70" s="24"/>
      <c r="BTC70" s="24"/>
      <c r="BTD70" s="24"/>
      <c r="BTE70" s="24"/>
      <c r="BTF70" s="24"/>
      <c r="BTG70" s="24"/>
      <c r="BTH70" s="24"/>
      <c r="BTI70" s="24"/>
      <c r="BTJ70" s="24"/>
      <c r="BTK70" s="24"/>
      <c r="BTL70" s="24"/>
      <c r="BTM70" s="24"/>
      <c r="BTN70" s="24"/>
      <c r="BTO70" s="24"/>
      <c r="BTP70" s="24"/>
      <c r="BTQ70" s="24"/>
      <c r="BTR70" s="24"/>
      <c r="BTS70" s="24"/>
      <c r="BTT70" s="24"/>
      <c r="BTU70" s="24"/>
      <c r="BTV70" s="24"/>
      <c r="BTW70" s="24"/>
      <c r="BTX70" s="24"/>
      <c r="BTY70" s="24"/>
      <c r="BTZ70" s="24"/>
      <c r="BUA70" s="24"/>
      <c r="BUB70" s="24"/>
      <c r="BUC70" s="24"/>
      <c r="BUD70" s="24"/>
      <c r="BUE70" s="24"/>
      <c r="BUF70" s="24"/>
      <c r="BUG70" s="24"/>
      <c r="BUH70" s="24"/>
      <c r="BUI70" s="24"/>
      <c r="BUJ70" s="24"/>
      <c r="BUK70" s="24"/>
      <c r="BUL70" s="24"/>
      <c r="BUM70" s="24"/>
      <c r="BUN70" s="24"/>
      <c r="BUO70" s="24"/>
      <c r="BUP70" s="24"/>
      <c r="BUQ70" s="24"/>
      <c r="BUR70" s="24"/>
      <c r="BUS70" s="24"/>
      <c r="BUT70" s="24"/>
      <c r="BUU70" s="24"/>
      <c r="BUV70" s="24"/>
      <c r="BUW70" s="24"/>
      <c r="BUX70" s="24"/>
      <c r="BUY70" s="24"/>
      <c r="BUZ70" s="24"/>
      <c r="BVA70" s="24"/>
      <c r="BVB70" s="24"/>
      <c r="BVC70" s="24"/>
      <c r="BVD70" s="24"/>
      <c r="BVE70" s="24"/>
      <c r="BVF70" s="24"/>
      <c r="BVG70" s="24"/>
      <c r="BVH70" s="24"/>
      <c r="BVI70" s="24"/>
      <c r="BVJ70" s="24"/>
      <c r="BVK70" s="24"/>
      <c r="BVL70" s="24"/>
      <c r="BVM70" s="24"/>
      <c r="BVN70" s="24"/>
      <c r="BVO70" s="24"/>
      <c r="BVP70" s="24"/>
      <c r="BVQ70" s="24"/>
      <c r="BVR70" s="24"/>
      <c r="BVS70" s="24"/>
      <c r="BVT70" s="24"/>
      <c r="BVU70" s="24"/>
      <c r="BVV70" s="24"/>
      <c r="BVW70" s="24"/>
      <c r="BVX70" s="24"/>
      <c r="BVY70" s="24"/>
      <c r="BVZ70" s="24"/>
      <c r="BWA70" s="24"/>
      <c r="BWB70" s="24"/>
      <c r="BWC70" s="24"/>
      <c r="BWD70" s="24"/>
      <c r="BWE70" s="24"/>
      <c r="BWF70" s="24"/>
      <c r="BWG70" s="24"/>
      <c r="BWH70" s="24"/>
      <c r="BWI70" s="24"/>
      <c r="BWJ70" s="24"/>
      <c r="BWK70" s="24"/>
      <c r="BWL70" s="24"/>
      <c r="BWM70" s="24"/>
      <c r="BWN70" s="24"/>
      <c r="BWO70" s="24"/>
      <c r="BWP70" s="24"/>
      <c r="BWQ70" s="24"/>
      <c r="BWR70" s="24"/>
      <c r="BWS70" s="24"/>
      <c r="BWT70" s="24"/>
      <c r="BWU70" s="24"/>
      <c r="BWV70" s="24"/>
      <c r="BWW70" s="24"/>
      <c r="BWX70" s="24"/>
      <c r="BWY70" s="24"/>
      <c r="BWZ70" s="24"/>
      <c r="BXA70" s="24"/>
      <c r="BXB70" s="24"/>
      <c r="BXC70" s="24"/>
      <c r="BXD70" s="24"/>
      <c r="BXE70" s="24"/>
      <c r="BXF70" s="24"/>
      <c r="BXG70" s="24"/>
      <c r="BXH70" s="24"/>
      <c r="BXI70" s="24"/>
      <c r="BXJ70" s="24"/>
      <c r="BXK70" s="24"/>
      <c r="BXL70" s="24"/>
      <c r="BXM70" s="24"/>
      <c r="BXN70" s="24"/>
      <c r="BXO70" s="24"/>
      <c r="BXP70" s="24"/>
      <c r="BXQ70" s="24"/>
      <c r="BXR70" s="24"/>
      <c r="BXS70" s="24"/>
      <c r="BXT70" s="24"/>
      <c r="BXU70" s="24"/>
      <c r="BXV70" s="24"/>
      <c r="BXW70" s="24"/>
      <c r="BXX70" s="24"/>
      <c r="BXY70" s="24"/>
      <c r="BXZ70" s="24"/>
      <c r="BYA70" s="24"/>
      <c r="BYB70" s="24"/>
      <c r="BYC70" s="24"/>
      <c r="BYD70" s="24"/>
      <c r="BYE70" s="24"/>
      <c r="BYF70" s="24"/>
      <c r="BYG70" s="24"/>
      <c r="BYH70" s="24"/>
      <c r="BYI70" s="24"/>
      <c r="BYJ70" s="24"/>
      <c r="BYK70" s="24"/>
      <c r="BYL70" s="24"/>
      <c r="BYM70" s="24"/>
      <c r="BYN70" s="24"/>
      <c r="BYO70" s="24"/>
      <c r="BYP70" s="24"/>
      <c r="BYQ70" s="24"/>
      <c r="BYR70" s="24"/>
      <c r="BYS70" s="24"/>
      <c r="BYT70" s="24"/>
      <c r="BYU70" s="24"/>
      <c r="BYV70" s="24"/>
      <c r="BYW70" s="24"/>
      <c r="BYX70" s="24"/>
      <c r="BYY70" s="24"/>
      <c r="BYZ70" s="24"/>
      <c r="BZA70" s="24"/>
      <c r="BZB70" s="24"/>
      <c r="BZC70" s="24"/>
      <c r="BZD70" s="24"/>
      <c r="BZE70" s="24"/>
      <c r="BZF70" s="24"/>
      <c r="BZG70" s="24"/>
      <c r="BZH70" s="24"/>
      <c r="BZI70" s="24"/>
      <c r="BZJ70" s="24"/>
      <c r="BZK70" s="24"/>
      <c r="BZL70" s="24"/>
      <c r="BZM70" s="24"/>
      <c r="BZN70" s="24"/>
      <c r="BZO70" s="24"/>
      <c r="BZP70" s="24"/>
      <c r="BZQ70" s="24"/>
      <c r="BZR70" s="24"/>
      <c r="BZS70" s="24"/>
      <c r="BZT70" s="24"/>
      <c r="BZU70" s="24"/>
      <c r="BZV70" s="24"/>
      <c r="BZW70" s="24"/>
      <c r="BZX70" s="24"/>
      <c r="BZY70" s="24"/>
      <c r="BZZ70" s="24"/>
      <c r="CAA70" s="24"/>
      <c r="CAB70" s="24"/>
      <c r="CAC70" s="24"/>
      <c r="CAD70" s="24"/>
      <c r="CAE70" s="24"/>
      <c r="CAF70" s="24"/>
      <c r="CAG70" s="24"/>
      <c r="CAH70" s="24"/>
      <c r="CAI70" s="24"/>
      <c r="CAJ70" s="24"/>
      <c r="CAK70" s="24"/>
      <c r="CAL70" s="24"/>
      <c r="CAM70" s="24"/>
      <c r="CAN70" s="24"/>
      <c r="CAO70" s="24"/>
      <c r="CAP70" s="24"/>
      <c r="CAQ70" s="24"/>
      <c r="CAR70" s="24"/>
      <c r="CAS70" s="24"/>
      <c r="CAT70" s="24"/>
      <c r="CAU70" s="24"/>
      <c r="CAV70" s="24"/>
      <c r="CAW70" s="24"/>
      <c r="CAX70" s="24"/>
      <c r="CAY70" s="24"/>
      <c r="CAZ70" s="24"/>
      <c r="CBA70" s="24"/>
      <c r="CBB70" s="24"/>
      <c r="CBC70" s="24"/>
      <c r="CBD70" s="24"/>
      <c r="CBE70" s="24"/>
      <c r="CBF70" s="24"/>
      <c r="CBG70" s="24"/>
      <c r="CBH70" s="24"/>
      <c r="CBI70" s="24"/>
      <c r="CBJ70" s="24"/>
      <c r="CBK70" s="24"/>
      <c r="CBL70" s="24"/>
      <c r="CBM70" s="24"/>
      <c r="CBN70" s="24"/>
      <c r="CBO70" s="24"/>
      <c r="CBP70" s="24"/>
      <c r="CBQ70" s="24"/>
      <c r="CBR70" s="24"/>
      <c r="CBS70" s="24"/>
      <c r="CBT70" s="24"/>
      <c r="CBU70" s="24"/>
      <c r="CBV70" s="24"/>
      <c r="CBW70" s="24"/>
      <c r="CBX70" s="24"/>
      <c r="CBY70" s="24"/>
      <c r="CBZ70" s="24"/>
      <c r="CCA70" s="24"/>
      <c r="CCB70" s="24"/>
      <c r="CCC70" s="24"/>
      <c r="CCD70" s="24"/>
      <c r="CCE70" s="24"/>
      <c r="CCF70" s="24"/>
      <c r="CCG70" s="24"/>
      <c r="CCH70" s="24"/>
      <c r="CCI70" s="24"/>
      <c r="CCJ70" s="24"/>
      <c r="CCK70" s="24"/>
      <c r="CCL70" s="24"/>
      <c r="CCM70" s="24"/>
      <c r="CCN70" s="24"/>
      <c r="CCO70" s="24"/>
      <c r="CCP70" s="24"/>
      <c r="CCQ70" s="24"/>
      <c r="CCR70" s="24"/>
      <c r="CCS70" s="24"/>
      <c r="CCT70" s="24"/>
      <c r="CCU70" s="24"/>
      <c r="CCV70" s="24"/>
      <c r="CCW70" s="24"/>
      <c r="CCX70" s="24"/>
      <c r="CCY70" s="24"/>
      <c r="CCZ70" s="24"/>
      <c r="CDA70" s="24"/>
      <c r="CDB70" s="24"/>
      <c r="CDC70" s="24"/>
      <c r="CDD70" s="24"/>
      <c r="CDE70" s="24"/>
      <c r="CDF70" s="24"/>
      <c r="CDG70" s="24"/>
      <c r="CDH70" s="24"/>
      <c r="CDI70" s="24"/>
      <c r="CDJ70" s="24"/>
      <c r="CDK70" s="24"/>
      <c r="CDL70" s="24"/>
      <c r="CDM70" s="24"/>
      <c r="CDN70" s="24"/>
      <c r="CDO70" s="24"/>
      <c r="CDP70" s="24"/>
      <c r="CDQ70" s="24"/>
      <c r="CDR70" s="24"/>
      <c r="CDS70" s="24"/>
      <c r="CDT70" s="24"/>
      <c r="CDU70" s="24"/>
      <c r="CDV70" s="24"/>
      <c r="CDW70" s="24"/>
      <c r="CDX70" s="24"/>
      <c r="CDY70" s="24"/>
      <c r="CDZ70" s="24"/>
      <c r="CEA70" s="24"/>
      <c r="CEB70" s="24"/>
      <c r="CEC70" s="24"/>
      <c r="CED70" s="24"/>
      <c r="CEE70" s="24"/>
      <c r="CEF70" s="24"/>
      <c r="CEG70" s="24"/>
      <c r="CEH70" s="24"/>
      <c r="CEI70" s="24"/>
      <c r="CEJ70" s="24"/>
      <c r="CEK70" s="24"/>
      <c r="CEL70" s="24"/>
      <c r="CEM70" s="24"/>
      <c r="CEN70" s="24"/>
      <c r="CEO70" s="24"/>
      <c r="CEP70" s="24"/>
      <c r="CEQ70" s="24"/>
      <c r="CER70" s="24"/>
      <c r="CES70" s="24"/>
      <c r="CET70" s="24"/>
      <c r="CEU70" s="24"/>
      <c r="CEV70" s="24"/>
      <c r="CEW70" s="24"/>
      <c r="CEX70" s="24"/>
      <c r="CEY70" s="24"/>
      <c r="CEZ70" s="24"/>
      <c r="CFA70" s="24"/>
      <c r="CFB70" s="24"/>
      <c r="CFC70" s="24"/>
      <c r="CFD70" s="24"/>
      <c r="CFE70" s="24"/>
      <c r="CFF70" s="24"/>
      <c r="CFG70" s="24"/>
      <c r="CFH70" s="24"/>
      <c r="CFI70" s="24"/>
      <c r="CFJ70" s="24"/>
      <c r="CFK70" s="24"/>
      <c r="CFL70" s="24"/>
      <c r="CFM70" s="24"/>
      <c r="CFN70" s="24"/>
      <c r="CFO70" s="24"/>
      <c r="CFP70" s="24"/>
      <c r="CFQ70" s="24"/>
      <c r="CFR70" s="24"/>
      <c r="CFS70" s="24"/>
      <c r="CFT70" s="24"/>
      <c r="CFU70" s="24"/>
      <c r="CFV70" s="24"/>
      <c r="CFW70" s="24"/>
      <c r="CFX70" s="24"/>
      <c r="CFY70" s="24"/>
      <c r="CFZ70" s="24"/>
      <c r="CGA70" s="24"/>
      <c r="CGB70" s="24"/>
      <c r="CGC70" s="24"/>
      <c r="CGD70" s="24"/>
      <c r="CGE70" s="24"/>
      <c r="CGF70" s="24"/>
      <c r="CGG70" s="24"/>
      <c r="CGH70" s="24"/>
      <c r="CGI70" s="24"/>
      <c r="CGJ70" s="24"/>
      <c r="CGK70" s="24"/>
      <c r="CGL70" s="24"/>
      <c r="CGM70" s="24"/>
      <c r="CGN70" s="24"/>
      <c r="CGO70" s="24"/>
      <c r="CGP70" s="24"/>
      <c r="CGQ70" s="24"/>
      <c r="CGR70" s="24"/>
      <c r="CGS70" s="24"/>
      <c r="CGT70" s="24"/>
      <c r="CGU70" s="24"/>
      <c r="CGV70" s="24"/>
      <c r="CGW70" s="24"/>
      <c r="CGX70" s="24"/>
      <c r="CGY70" s="24"/>
      <c r="CGZ70" s="24"/>
      <c r="CHA70" s="24"/>
      <c r="CHB70" s="24"/>
      <c r="CHC70" s="24"/>
      <c r="CHD70" s="24"/>
      <c r="CHE70" s="24"/>
      <c r="CHF70" s="24"/>
      <c r="CHG70" s="24"/>
      <c r="CHH70" s="24"/>
      <c r="CHI70" s="24"/>
      <c r="CHJ70" s="24"/>
      <c r="CHK70" s="24"/>
      <c r="CHL70" s="24"/>
      <c r="CHM70" s="24"/>
      <c r="CHN70" s="24"/>
      <c r="CHO70" s="24"/>
      <c r="CHP70" s="24"/>
      <c r="CHQ70" s="24"/>
      <c r="CHR70" s="24"/>
      <c r="CHS70" s="24"/>
      <c r="CHT70" s="24"/>
      <c r="CHU70" s="24"/>
      <c r="CHV70" s="24"/>
      <c r="CHW70" s="24"/>
      <c r="CHX70" s="24"/>
      <c r="CHY70" s="24"/>
      <c r="CHZ70" s="24"/>
      <c r="CIA70" s="24"/>
      <c r="CIB70" s="24"/>
      <c r="CIC70" s="24"/>
      <c r="CID70" s="24"/>
      <c r="CIE70" s="24"/>
      <c r="CIF70" s="24"/>
      <c r="CIG70" s="24"/>
      <c r="CIH70" s="24"/>
      <c r="CII70" s="24"/>
      <c r="CIJ70" s="24"/>
      <c r="CIK70" s="24"/>
      <c r="CIL70" s="24"/>
      <c r="CIM70" s="24"/>
      <c r="CIN70" s="24"/>
      <c r="CIO70" s="24"/>
      <c r="CIP70" s="24"/>
      <c r="CIQ70" s="24"/>
      <c r="CIR70" s="24"/>
      <c r="CIS70" s="24"/>
      <c r="CIT70" s="24"/>
      <c r="CIU70" s="24"/>
      <c r="CIV70" s="24"/>
      <c r="CIW70" s="24"/>
      <c r="CIX70" s="24"/>
      <c r="CIY70" s="24"/>
      <c r="CIZ70" s="24"/>
      <c r="CJA70" s="24"/>
      <c r="CJB70" s="24"/>
      <c r="CJC70" s="24"/>
      <c r="CJD70" s="24"/>
      <c r="CJE70" s="24"/>
      <c r="CJF70" s="24"/>
      <c r="CJG70" s="24"/>
      <c r="CJH70" s="24"/>
      <c r="CJI70" s="24"/>
      <c r="CJJ70" s="24"/>
      <c r="CJK70" s="24"/>
      <c r="CJL70" s="24"/>
      <c r="CJM70" s="24"/>
      <c r="CJN70" s="24"/>
      <c r="CJO70" s="24"/>
      <c r="CJP70" s="24"/>
      <c r="CJQ70" s="24"/>
      <c r="CJR70" s="24"/>
      <c r="CJS70" s="24"/>
      <c r="CJT70" s="24"/>
      <c r="CJU70" s="24"/>
      <c r="CJV70" s="24"/>
      <c r="CJW70" s="24"/>
      <c r="CJX70" s="24"/>
      <c r="CJY70" s="24"/>
      <c r="CJZ70" s="24"/>
      <c r="CKA70" s="24"/>
      <c r="CKB70" s="24"/>
      <c r="CKC70" s="24"/>
      <c r="CKD70" s="24"/>
      <c r="CKE70" s="24"/>
      <c r="CKF70" s="24"/>
      <c r="CKG70" s="24"/>
      <c r="CKH70" s="24"/>
      <c r="CKI70" s="24"/>
      <c r="CKJ70" s="24"/>
      <c r="CKK70" s="24"/>
      <c r="CKL70" s="24"/>
      <c r="CKM70" s="24"/>
      <c r="CKN70" s="24"/>
      <c r="CKO70" s="24"/>
      <c r="CKP70" s="24"/>
      <c r="CKQ70" s="24"/>
      <c r="CKR70" s="24"/>
      <c r="CKS70" s="24"/>
      <c r="CKT70" s="24"/>
      <c r="CKU70" s="24"/>
      <c r="CKV70" s="24"/>
      <c r="CKW70" s="24"/>
      <c r="CKX70" s="24"/>
      <c r="CKY70" s="24"/>
      <c r="CKZ70" s="24"/>
      <c r="CLA70" s="24"/>
      <c r="CLB70" s="24"/>
      <c r="CLC70" s="24"/>
      <c r="CLD70" s="24"/>
      <c r="CLE70" s="24"/>
      <c r="CLF70" s="24"/>
      <c r="CLG70" s="24"/>
      <c r="CLH70" s="24"/>
      <c r="CLI70" s="24"/>
      <c r="CLJ70" s="24"/>
      <c r="CLK70" s="24"/>
      <c r="CLL70" s="24"/>
      <c r="CLM70" s="24"/>
      <c r="CLN70" s="24"/>
      <c r="CLO70" s="24"/>
      <c r="CLP70" s="24"/>
      <c r="CLQ70" s="24"/>
      <c r="CLR70" s="24"/>
      <c r="CLS70" s="24"/>
      <c r="CLT70" s="24"/>
      <c r="CLU70" s="24"/>
      <c r="CLV70" s="24"/>
      <c r="CLW70" s="24"/>
      <c r="CLX70" s="24"/>
      <c r="CLY70" s="24"/>
      <c r="CLZ70" s="24"/>
      <c r="CMA70" s="24"/>
      <c r="CMB70" s="24"/>
      <c r="CMC70" s="24"/>
      <c r="CMD70" s="24"/>
      <c r="CME70" s="24"/>
      <c r="CMF70" s="24"/>
      <c r="CMG70" s="24"/>
      <c r="CMH70" s="24"/>
      <c r="CMI70" s="24"/>
      <c r="CMJ70" s="24"/>
      <c r="CMK70" s="24"/>
      <c r="CML70" s="24"/>
      <c r="CMM70" s="24"/>
      <c r="CMN70" s="24"/>
      <c r="CMO70" s="24"/>
      <c r="CMP70" s="24"/>
      <c r="CMQ70" s="24"/>
      <c r="CMR70" s="24"/>
      <c r="CMS70" s="24"/>
      <c r="CMT70" s="24"/>
      <c r="CMU70" s="24"/>
      <c r="CMV70" s="24"/>
      <c r="CMW70" s="24"/>
      <c r="CMX70" s="24"/>
      <c r="CMY70" s="24"/>
      <c r="CMZ70" s="24"/>
      <c r="CNA70" s="24"/>
      <c r="CNB70" s="24"/>
      <c r="CNC70" s="24"/>
      <c r="CND70" s="24"/>
      <c r="CNE70" s="24"/>
      <c r="CNF70" s="24"/>
      <c r="CNG70" s="24"/>
      <c r="CNH70" s="24"/>
      <c r="CNI70" s="24"/>
      <c r="CNJ70" s="24"/>
      <c r="CNK70" s="24"/>
      <c r="CNL70" s="24"/>
      <c r="CNM70" s="24"/>
      <c r="CNN70" s="24"/>
      <c r="CNO70" s="24"/>
      <c r="CNP70" s="24"/>
      <c r="CNQ70" s="24"/>
      <c r="CNR70" s="24"/>
      <c r="CNS70" s="24"/>
      <c r="CNT70" s="24"/>
      <c r="CNU70" s="24"/>
      <c r="CNV70" s="24"/>
      <c r="CNW70" s="24"/>
      <c r="CNX70" s="24"/>
      <c r="CNY70" s="24"/>
      <c r="CNZ70" s="24"/>
      <c r="COA70" s="24"/>
      <c r="COB70" s="24"/>
      <c r="COC70" s="24"/>
      <c r="COD70" s="24"/>
      <c r="COE70" s="24"/>
      <c r="COF70" s="24"/>
      <c r="COG70" s="24"/>
      <c r="COH70" s="24"/>
      <c r="COI70" s="24"/>
      <c r="COJ70" s="24"/>
      <c r="COK70" s="24"/>
      <c r="COL70" s="24"/>
      <c r="COM70" s="24"/>
      <c r="CON70" s="24"/>
      <c r="COO70" s="24"/>
      <c r="COP70" s="24"/>
      <c r="COQ70" s="24"/>
      <c r="COR70" s="24"/>
      <c r="COS70" s="24"/>
      <c r="COT70" s="24"/>
      <c r="COU70" s="24"/>
      <c r="COV70" s="24"/>
      <c r="COW70" s="24"/>
      <c r="COX70" s="24"/>
      <c r="COY70" s="24"/>
      <c r="COZ70" s="24"/>
      <c r="CPA70" s="24"/>
      <c r="CPB70" s="24"/>
      <c r="CPC70" s="24"/>
      <c r="CPD70" s="24"/>
      <c r="CPE70" s="24"/>
      <c r="CPF70" s="24"/>
      <c r="CPG70" s="24"/>
      <c r="CPH70" s="24"/>
      <c r="CPI70" s="24"/>
      <c r="CPJ70" s="24"/>
      <c r="CPK70" s="24"/>
      <c r="CPL70" s="24"/>
      <c r="CPM70" s="24"/>
      <c r="CPN70" s="24"/>
      <c r="CPO70" s="24"/>
      <c r="CPP70" s="24"/>
      <c r="CPQ70" s="24"/>
      <c r="CPR70" s="24"/>
      <c r="CPS70" s="24"/>
      <c r="CPT70" s="24"/>
      <c r="CPU70" s="24"/>
      <c r="CPV70" s="24"/>
      <c r="CPW70" s="24"/>
      <c r="CPX70" s="24"/>
      <c r="CPY70" s="24"/>
      <c r="CPZ70" s="24"/>
      <c r="CQA70" s="24"/>
      <c r="CQB70" s="24"/>
      <c r="CQC70" s="24"/>
      <c r="CQD70" s="24"/>
      <c r="CQE70" s="24"/>
      <c r="CQF70" s="24"/>
      <c r="CQG70" s="24"/>
      <c r="CQH70" s="24"/>
      <c r="CQI70" s="24"/>
      <c r="CQJ70" s="24"/>
      <c r="CQK70" s="24"/>
      <c r="CQL70" s="24"/>
      <c r="CQM70" s="24"/>
      <c r="CQN70" s="24"/>
      <c r="CQO70" s="24"/>
      <c r="CQP70" s="24"/>
      <c r="CQQ70" s="24"/>
      <c r="CQR70" s="24"/>
      <c r="CQS70" s="24"/>
      <c r="CQT70" s="24"/>
      <c r="CQU70" s="24"/>
      <c r="CQV70" s="24"/>
      <c r="CQW70" s="24"/>
      <c r="CQX70" s="24"/>
      <c r="CQY70" s="24"/>
      <c r="CQZ70" s="24"/>
      <c r="CRA70" s="24"/>
      <c r="CRB70" s="24"/>
      <c r="CRC70" s="24"/>
      <c r="CRD70" s="24"/>
      <c r="CRE70" s="24"/>
      <c r="CRF70" s="24"/>
      <c r="CRG70" s="24"/>
      <c r="CRH70" s="24"/>
      <c r="CRI70" s="24"/>
      <c r="CRJ70" s="24"/>
      <c r="CRK70" s="24"/>
      <c r="CRL70" s="24"/>
      <c r="CRM70" s="24"/>
      <c r="CRN70" s="24"/>
      <c r="CRO70" s="24"/>
      <c r="CRP70" s="24"/>
      <c r="CRQ70" s="24"/>
      <c r="CRR70" s="24"/>
      <c r="CRS70" s="24"/>
      <c r="CRT70" s="24"/>
      <c r="CRU70" s="24"/>
      <c r="CRV70" s="24"/>
      <c r="CRW70" s="24"/>
      <c r="CRX70" s="24"/>
      <c r="CRY70" s="24"/>
      <c r="CRZ70" s="24"/>
      <c r="CSA70" s="24"/>
      <c r="CSB70" s="24"/>
      <c r="CSC70" s="24"/>
      <c r="CSD70" s="24"/>
      <c r="CSE70" s="24"/>
      <c r="CSF70" s="24"/>
      <c r="CSG70" s="24"/>
      <c r="CSH70" s="24"/>
      <c r="CSI70" s="24"/>
      <c r="CSJ70" s="24"/>
      <c r="CSK70" s="24"/>
      <c r="CSL70" s="24"/>
      <c r="CSM70" s="24"/>
      <c r="CSN70" s="24"/>
      <c r="CSO70" s="24"/>
      <c r="CSP70" s="24"/>
      <c r="CSQ70" s="24"/>
      <c r="CSR70" s="24"/>
      <c r="CSS70" s="24"/>
      <c r="CST70" s="24"/>
      <c r="CSU70" s="24"/>
      <c r="CSV70" s="24"/>
      <c r="CSW70" s="24"/>
      <c r="CSX70" s="24"/>
      <c r="CSY70" s="24"/>
      <c r="CSZ70" s="24"/>
      <c r="CTA70" s="24"/>
      <c r="CTB70" s="24"/>
      <c r="CTC70" s="24"/>
      <c r="CTD70" s="24"/>
      <c r="CTE70" s="24"/>
      <c r="CTF70" s="24"/>
      <c r="CTG70" s="24"/>
      <c r="CTH70" s="24"/>
      <c r="CTI70" s="24"/>
      <c r="CTJ70" s="24"/>
      <c r="CTK70" s="24"/>
      <c r="CTL70" s="24"/>
      <c r="CTM70" s="24"/>
      <c r="CTN70" s="24"/>
      <c r="CTO70" s="24"/>
      <c r="CTP70" s="24"/>
      <c r="CTQ70" s="24"/>
      <c r="CTR70" s="24"/>
      <c r="CTS70" s="24"/>
      <c r="CTT70" s="24"/>
      <c r="CTU70" s="24"/>
      <c r="CTV70" s="24"/>
      <c r="CTW70" s="24"/>
      <c r="CTX70" s="24"/>
      <c r="CTY70" s="24"/>
      <c r="CTZ70" s="24"/>
      <c r="CUA70" s="24"/>
      <c r="CUB70" s="24"/>
      <c r="CUC70" s="24"/>
      <c r="CUD70" s="24"/>
      <c r="CUE70" s="24"/>
      <c r="CUF70" s="24"/>
      <c r="CUG70" s="24"/>
      <c r="CUH70" s="24"/>
      <c r="CUI70" s="24"/>
      <c r="CUJ70" s="24"/>
      <c r="CUK70" s="24"/>
      <c r="CUL70" s="24"/>
      <c r="CUM70" s="24"/>
      <c r="CUN70" s="24"/>
      <c r="CUO70" s="24"/>
      <c r="CUP70" s="24"/>
      <c r="CUQ70" s="24"/>
      <c r="CUR70" s="24"/>
      <c r="CUS70" s="24"/>
      <c r="CUT70" s="24"/>
      <c r="CUU70" s="24"/>
      <c r="CUV70" s="24"/>
      <c r="CUW70" s="24"/>
      <c r="CUX70" s="24"/>
      <c r="CUY70" s="24"/>
      <c r="CUZ70" s="24"/>
      <c r="CVA70" s="24"/>
      <c r="CVB70" s="24"/>
      <c r="CVC70" s="24"/>
      <c r="CVD70" s="24"/>
      <c r="CVE70" s="24"/>
      <c r="CVF70" s="24"/>
      <c r="CVG70" s="24"/>
      <c r="CVH70" s="24"/>
      <c r="CVI70" s="24"/>
      <c r="CVJ70" s="24"/>
      <c r="CVK70" s="24"/>
      <c r="CVL70" s="24"/>
      <c r="CVM70" s="24"/>
      <c r="CVN70" s="24"/>
      <c r="CVO70" s="24"/>
      <c r="CVP70" s="24"/>
      <c r="CVQ70" s="24"/>
      <c r="CVR70" s="24"/>
      <c r="CVS70" s="24"/>
      <c r="CVT70" s="24"/>
      <c r="CVU70" s="24"/>
      <c r="CVV70" s="24"/>
      <c r="CVW70" s="24"/>
      <c r="CVX70" s="24"/>
      <c r="CVY70" s="24"/>
      <c r="CVZ70" s="24"/>
      <c r="CWA70" s="24"/>
      <c r="CWB70" s="24"/>
      <c r="CWC70" s="24"/>
      <c r="CWD70" s="24"/>
      <c r="CWE70" s="24"/>
      <c r="CWF70" s="24"/>
      <c r="CWG70" s="24"/>
      <c r="CWH70" s="24"/>
      <c r="CWI70" s="24"/>
      <c r="CWJ70" s="24"/>
      <c r="CWK70" s="24"/>
      <c r="CWL70" s="24"/>
      <c r="CWM70" s="24"/>
      <c r="CWN70" s="24"/>
      <c r="CWO70" s="24"/>
      <c r="CWP70" s="24"/>
      <c r="CWQ70" s="24"/>
      <c r="CWR70" s="24"/>
      <c r="CWS70" s="24"/>
      <c r="CWT70" s="24"/>
      <c r="CWU70" s="24"/>
      <c r="CWV70" s="24"/>
      <c r="CWW70" s="24"/>
      <c r="CWX70" s="24"/>
      <c r="CWY70" s="24"/>
      <c r="CWZ70" s="24"/>
      <c r="CXA70" s="24"/>
      <c r="CXB70" s="24"/>
      <c r="CXC70" s="24"/>
      <c r="CXD70" s="24"/>
      <c r="CXE70" s="24"/>
      <c r="CXF70" s="24"/>
      <c r="CXG70" s="24"/>
      <c r="CXH70" s="24"/>
      <c r="CXI70" s="24"/>
      <c r="CXJ70" s="24"/>
      <c r="CXK70" s="24"/>
      <c r="CXL70" s="24"/>
      <c r="CXM70" s="24"/>
      <c r="CXN70" s="24"/>
      <c r="CXO70" s="24"/>
      <c r="CXP70" s="24"/>
      <c r="CXQ70" s="24"/>
      <c r="CXR70" s="24"/>
      <c r="CXS70" s="24"/>
      <c r="CXT70" s="24"/>
      <c r="CXU70" s="24"/>
      <c r="CXV70" s="24"/>
      <c r="CXW70" s="24"/>
      <c r="CXX70" s="24"/>
      <c r="CXY70" s="24"/>
      <c r="CXZ70" s="24"/>
      <c r="CYA70" s="24"/>
      <c r="CYB70" s="24"/>
      <c r="CYC70" s="24"/>
      <c r="CYD70" s="24"/>
      <c r="CYE70" s="24"/>
      <c r="CYF70" s="24"/>
      <c r="CYG70" s="24"/>
      <c r="CYH70" s="24"/>
      <c r="CYI70" s="24"/>
      <c r="CYJ70" s="24"/>
      <c r="CYK70" s="24"/>
      <c r="CYL70" s="24"/>
      <c r="CYM70" s="24"/>
      <c r="CYN70" s="24"/>
      <c r="CYO70" s="24"/>
      <c r="CYP70" s="24"/>
      <c r="CYQ70" s="24"/>
      <c r="CYR70" s="24"/>
      <c r="CYS70" s="24"/>
      <c r="CYT70" s="24"/>
      <c r="CYU70" s="24"/>
      <c r="CYV70" s="24"/>
      <c r="CYW70" s="24"/>
      <c r="CYX70" s="24"/>
      <c r="CYY70" s="24"/>
      <c r="CYZ70" s="24"/>
      <c r="CZA70" s="24"/>
      <c r="CZB70" s="24"/>
      <c r="CZC70" s="24"/>
      <c r="CZD70" s="24"/>
      <c r="CZE70" s="24"/>
      <c r="CZF70" s="24"/>
      <c r="CZG70" s="24"/>
      <c r="CZH70" s="24"/>
      <c r="CZI70" s="24"/>
      <c r="CZJ70" s="24"/>
      <c r="CZK70" s="24"/>
      <c r="CZL70" s="24"/>
      <c r="CZM70" s="24"/>
      <c r="CZN70" s="24"/>
      <c r="CZO70" s="24"/>
      <c r="CZP70" s="24"/>
      <c r="CZQ70" s="24"/>
      <c r="CZR70" s="24"/>
      <c r="CZS70" s="24"/>
      <c r="CZT70" s="24"/>
      <c r="CZU70" s="24"/>
      <c r="CZV70" s="24"/>
      <c r="CZW70" s="24"/>
      <c r="CZX70" s="24"/>
      <c r="CZY70" s="24"/>
      <c r="CZZ70" s="24"/>
      <c r="DAA70" s="24"/>
      <c r="DAB70" s="24"/>
      <c r="DAC70" s="24"/>
      <c r="DAD70" s="24"/>
      <c r="DAE70" s="24"/>
      <c r="DAF70" s="24"/>
      <c r="DAG70" s="24"/>
      <c r="DAH70" s="24"/>
      <c r="DAI70" s="24"/>
      <c r="DAJ70" s="24"/>
      <c r="DAK70" s="24"/>
      <c r="DAL70" s="24"/>
      <c r="DAM70" s="24"/>
      <c r="DAN70" s="24"/>
      <c r="DAO70" s="24"/>
      <c r="DAP70" s="24"/>
      <c r="DAQ70" s="24"/>
      <c r="DAR70" s="24"/>
      <c r="DAS70" s="24"/>
      <c r="DAT70" s="24"/>
      <c r="DAU70" s="24"/>
      <c r="DAV70" s="24"/>
      <c r="DAW70" s="24"/>
      <c r="DAX70" s="24"/>
      <c r="DAY70" s="24"/>
      <c r="DAZ70" s="24"/>
      <c r="DBA70" s="24"/>
      <c r="DBB70" s="24"/>
      <c r="DBC70" s="24"/>
      <c r="DBD70" s="24"/>
      <c r="DBE70" s="24"/>
      <c r="DBF70" s="24"/>
      <c r="DBG70" s="24"/>
      <c r="DBH70" s="24"/>
      <c r="DBI70" s="24"/>
      <c r="DBJ70" s="24"/>
      <c r="DBK70" s="24"/>
      <c r="DBL70" s="24"/>
      <c r="DBM70" s="24"/>
      <c r="DBN70" s="24"/>
      <c r="DBO70" s="24"/>
      <c r="DBP70" s="24"/>
      <c r="DBQ70" s="24"/>
      <c r="DBR70" s="24"/>
      <c r="DBS70" s="24"/>
      <c r="DBT70" s="24"/>
      <c r="DBU70" s="24"/>
      <c r="DBV70" s="24"/>
      <c r="DBW70" s="24"/>
      <c r="DBX70" s="24"/>
      <c r="DBY70" s="24"/>
      <c r="DBZ70" s="24"/>
      <c r="DCA70" s="24"/>
      <c r="DCB70" s="24"/>
      <c r="DCC70" s="24"/>
      <c r="DCD70" s="24"/>
      <c r="DCE70" s="24"/>
      <c r="DCF70" s="24"/>
      <c r="DCG70" s="24"/>
      <c r="DCH70" s="24"/>
      <c r="DCI70" s="24"/>
      <c r="DCJ70" s="24"/>
      <c r="DCK70" s="24"/>
      <c r="DCL70" s="24"/>
      <c r="DCM70" s="24"/>
      <c r="DCN70" s="24"/>
      <c r="DCO70" s="24"/>
      <c r="DCP70" s="24"/>
      <c r="DCQ70" s="24"/>
      <c r="DCR70" s="24"/>
      <c r="DCS70" s="24"/>
      <c r="DCT70" s="24"/>
      <c r="DCU70" s="24"/>
      <c r="DCV70" s="24"/>
      <c r="DCW70" s="24"/>
      <c r="DCX70" s="24"/>
      <c r="DCY70" s="24"/>
      <c r="DCZ70" s="24"/>
      <c r="DDA70" s="24"/>
      <c r="DDB70" s="24"/>
      <c r="DDC70" s="24"/>
      <c r="DDD70" s="24"/>
      <c r="DDE70" s="24"/>
      <c r="DDF70" s="24"/>
      <c r="DDG70" s="24"/>
      <c r="DDH70" s="24"/>
      <c r="DDI70" s="24"/>
      <c r="DDJ70" s="24"/>
      <c r="DDK70" s="24"/>
      <c r="DDL70" s="24"/>
      <c r="DDM70" s="24"/>
      <c r="DDN70" s="24"/>
      <c r="DDO70" s="24"/>
      <c r="DDP70" s="24"/>
      <c r="DDQ70" s="24"/>
      <c r="DDR70" s="24"/>
      <c r="DDS70" s="24"/>
      <c r="DDT70" s="24"/>
      <c r="DDU70" s="24"/>
      <c r="DDV70" s="24"/>
      <c r="DDW70" s="24"/>
      <c r="DDX70" s="24"/>
      <c r="DDY70" s="24"/>
      <c r="DDZ70" s="24"/>
      <c r="DEA70" s="24"/>
      <c r="DEB70" s="24"/>
      <c r="DEC70" s="24"/>
      <c r="DED70" s="24"/>
      <c r="DEE70" s="24"/>
      <c r="DEF70" s="24"/>
      <c r="DEG70" s="24"/>
      <c r="DEH70" s="24"/>
      <c r="DEI70" s="24"/>
      <c r="DEJ70" s="24"/>
      <c r="DEK70" s="24"/>
      <c r="DEL70" s="24"/>
      <c r="DEM70" s="24"/>
      <c r="DEN70" s="24"/>
      <c r="DEO70" s="24"/>
      <c r="DEP70" s="24"/>
      <c r="DEQ70" s="24"/>
      <c r="DER70" s="24"/>
      <c r="DES70" s="24"/>
      <c r="DET70" s="24"/>
      <c r="DEU70" s="24"/>
      <c r="DEV70" s="24"/>
      <c r="DEW70" s="24"/>
      <c r="DEX70" s="24"/>
      <c r="DEY70" s="24"/>
      <c r="DEZ70" s="24"/>
      <c r="DFA70" s="24"/>
      <c r="DFB70" s="24"/>
      <c r="DFC70" s="24"/>
      <c r="DFD70" s="24"/>
      <c r="DFE70" s="24"/>
      <c r="DFF70" s="24"/>
      <c r="DFG70" s="24"/>
      <c r="DFH70" s="24"/>
      <c r="DFI70" s="24"/>
      <c r="DFJ70" s="24"/>
      <c r="DFK70" s="24"/>
      <c r="DFL70" s="24"/>
      <c r="DFM70" s="24"/>
      <c r="DFN70" s="24"/>
      <c r="DFO70" s="24"/>
      <c r="DFP70" s="24"/>
      <c r="DFQ70" s="24"/>
      <c r="DFR70" s="24"/>
      <c r="DFS70" s="24"/>
      <c r="DFT70" s="24"/>
      <c r="DFU70" s="24"/>
      <c r="DFV70" s="24"/>
      <c r="DFW70" s="24"/>
      <c r="DFX70" s="24"/>
      <c r="DFY70" s="24"/>
      <c r="DFZ70" s="24"/>
      <c r="DGA70" s="24"/>
      <c r="DGB70" s="24"/>
      <c r="DGC70" s="24"/>
      <c r="DGD70" s="24"/>
      <c r="DGE70" s="24"/>
      <c r="DGF70" s="24"/>
      <c r="DGG70" s="24"/>
      <c r="DGH70" s="24"/>
      <c r="DGI70" s="24"/>
      <c r="DGJ70" s="24"/>
      <c r="DGK70" s="24"/>
      <c r="DGL70" s="24"/>
      <c r="DGM70" s="24"/>
      <c r="DGN70" s="24"/>
      <c r="DGO70" s="24"/>
      <c r="DGP70" s="24"/>
      <c r="DGQ70" s="24"/>
      <c r="DGR70" s="24"/>
      <c r="DGS70" s="24"/>
      <c r="DGT70" s="24"/>
      <c r="DGU70" s="24"/>
      <c r="DGV70" s="24"/>
      <c r="DGW70" s="24"/>
      <c r="DGX70" s="24"/>
      <c r="DGY70" s="24"/>
      <c r="DGZ70" s="24"/>
      <c r="DHA70" s="24"/>
      <c r="DHB70" s="24"/>
      <c r="DHC70" s="24"/>
      <c r="DHD70" s="24"/>
      <c r="DHE70" s="24"/>
      <c r="DHF70" s="24"/>
      <c r="DHG70" s="24"/>
      <c r="DHH70" s="24"/>
      <c r="DHI70" s="24"/>
      <c r="DHJ70" s="24"/>
      <c r="DHK70" s="24"/>
      <c r="DHL70" s="24"/>
      <c r="DHM70" s="24"/>
      <c r="DHN70" s="24"/>
      <c r="DHO70" s="24"/>
      <c r="DHP70" s="24"/>
      <c r="DHQ70" s="24"/>
      <c r="DHR70" s="24"/>
      <c r="DHS70" s="24"/>
      <c r="DHT70" s="24"/>
      <c r="DHU70" s="24"/>
      <c r="DHV70" s="24"/>
      <c r="DHW70" s="24"/>
      <c r="DHX70" s="24"/>
      <c r="DHY70" s="24"/>
      <c r="DHZ70" s="24"/>
      <c r="DIA70" s="24"/>
      <c r="DIB70" s="24"/>
      <c r="DIC70" s="24"/>
      <c r="DID70" s="24"/>
      <c r="DIE70" s="24"/>
      <c r="DIF70" s="24"/>
      <c r="DIG70" s="24"/>
      <c r="DIH70" s="24"/>
      <c r="DII70" s="24"/>
      <c r="DIJ70" s="24"/>
      <c r="DIK70" s="24"/>
      <c r="DIL70" s="24"/>
      <c r="DIM70" s="24"/>
      <c r="DIN70" s="24"/>
      <c r="DIO70" s="24"/>
      <c r="DIP70" s="24"/>
      <c r="DIQ70" s="24"/>
      <c r="DIR70" s="24"/>
      <c r="DIS70" s="24"/>
      <c r="DIT70" s="24"/>
      <c r="DIU70" s="24"/>
      <c r="DIV70" s="24"/>
      <c r="DIW70" s="24"/>
      <c r="DIX70" s="24"/>
      <c r="DIY70" s="24"/>
      <c r="DIZ70" s="24"/>
      <c r="DJA70" s="24"/>
      <c r="DJB70" s="24"/>
      <c r="DJC70" s="24"/>
      <c r="DJD70" s="24"/>
      <c r="DJE70" s="24"/>
      <c r="DJF70" s="24"/>
      <c r="DJG70" s="24"/>
      <c r="DJH70" s="24"/>
      <c r="DJI70" s="24"/>
      <c r="DJJ70" s="24"/>
      <c r="DJK70" s="24"/>
      <c r="DJL70" s="24"/>
      <c r="DJM70" s="24"/>
      <c r="DJN70" s="24"/>
      <c r="DJO70" s="24"/>
      <c r="DJP70" s="24"/>
      <c r="DJQ70" s="24"/>
      <c r="DJR70" s="24"/>
      <c r="DJS70" s="24"/>
      <c r="DJT70" s="24"/>
      <c r="DJU70" s="24"/>
      <c r="DJV70" s="24"/>
      <c r="DJW70" s="24"/>
      <c r="DJX70" s="24"/>
      <c r="DJY70" s="24"/>
      <c r="DJZ70" s="24"/>
      <c r="DKA70" s="24"/>
      <c r="DKB70" s="24"/>
      <c r="DKC70" s="24"/>
      <c r="DKD70" s="24"/>
      <c r="DKE70" s="24"/>
      <c r="DKF70" s="24"/>
      <c r="DKG70" s="24"/>
      <c r="DKH70" s="24"/>
      <c r="DKI70" s="24"/>
      <c r="DKJ70" s="24"/>
      <c r="DKK70" s="24"/>
      <c r="DKL70" s="24"/>
      <c r="DKM70" s="24"/>
      <c r="DKN70" s="24"/>
      <c r="DKO70" s="24"/>
      <c r="DKP70" s="24"/>
      <c r="DKQ70" s="24"/>
      <c r="DKR70" s="24"/>
      <c r="DKS70" s="24"/>
      <c r="DKT70" s="24"/>
      <c r="DKU70" s="24"/>
      <c r="DKV70" s="24"/>
      <c r="DKW70" s="24"/>
      <c r="DKX70" s="24"/>
      <c r="DKY70" s="24"/>
      <c r="DKZ70" s="24"/>
      <c r="DLA70" s="24"/>
      <c r="DLB70" s="24"/>
      <c r="DLC70" s="24"/>
      <c r="DLD70" s="24"/>
      <c r="DLE70" s="24"/>
      <c r="DLF70" s="24"/>
      <c r="DLG70" s="24"/>
      <c r="DLH70" s="24"/>
      <c r="DLI70" s="24"/>
      <c r="DLJ70" s="24"/>
      <c r="DLK70" s="24"/>
      <c r="DLL70" s="24"/>
      <c r="DLM70" s="24"/>
      <c r="DLN70" s="24"/>
      <c r="DLO70" s="24"/>
      <c r="DLP70" s="24"/>
      <c r="DLQ70" s="24"/>
      <c r="DLR70" s="24"/>
      <c r="DLS70" s="24"/>
      <c r="DLT70" s="24"/>
      <c r="DLU70" s="24"/>
      <c r="DLV70" s="24"/>
      <c r="DLW70" s="24"/>
      <c r="DLX70" s="24"/>
      <c r="DLY70" s="24"/>
      <c r="DLZ70" s="24"/>
      <c r="DMA70" s="24"/>
      <c r="DMB70" s="24"/>
      <c r="DMC70" s="24"/>
      <c r="DMD70" s="24"/>
      <c r="DME70" s="24"/>
      <c r="DMF70" s="24"/>
      <c r="DMG70" s="24"/>
      <c r="DMH70" s="24"/>
      <c r="DMI70" s="24"/>
      <c r="DMJ70" s="24"/>
      <c r="DMK70" s="24"/>
      <c r="DML70" s="24"/>
      <c r="DMM70" s="24"/>
      <c r="DMN70" s="24"/>
      <c r="DMO70" s="24"/>
      <c r="DMP70" s="24"/>
      <c r="DMQ70" s="24"/>
      <c r="DMR70" s="24"/>
      <c r="DMS70" s="24"/>
      <c r="DMT70" s="24"/>
      <c r="DMU70" s="24"/>
      <c r="DMV70" s="24"/>
      <c r="DMW70" s="24"/>
      <c r="DMX70" s="24"/>
      <c r="DMY70" s="24"/>
      <c r="DMZ70" s="24"/>
      <c r="DNA70" s="24"/>
      <c r="DNB70" s="24"/>
      <c r="DNC70" s="24"/>
      <c r="DND70" s="24"/>
      <c r="DNE70" s="24"/>
      <c r="DNF70" s="24"/>
      <c r="DNG70" s="24"/>
      <c r="DNH70" s="24"/>
      <c r="DNI70" s="24"/>
      <c r="DNJ70" s="24"/>
      <c r="DNK70" s="24"/>
      <c r="DNL70" s="24"/>
      <c r="DNM70" s="24"/>
      <c r="DNN70" s="24"/>
      <c r="DNO70" s="24"/>
      <c r="DNP70" s="24"/>
      <c r="DNQ70" s="24"/>
      <c r="DNR70" s="24"/>
      <c r="DNS70" s="24"/>
      <c r="DNT70" s="24"/>
      <c r="DNU70" s="24"/>
      <c r="DNV70" s="24"/>
      <c r="DNW70" s="24"/>
      <c r="DNX70" s="24"/>
      <c r="DNY70" s="24"/>
      <c r="DNZ70" s="24"/>
      <c r="DOA70" s="24"/>
      <c r="DOB70" s="24"/>
      <c r="DOC70" s="24"/>
      <c r="DOD70" s="24"/>
      <c r="DOE70" s="24"/>
      <c r="DOF70" s="24"/>
      <c r="DOG70" s="24"/>
      <c r="DOH70" s="24"/>
      <c r="DOI70" s="24"/>
      <c r="DOJ70" s="24"/>
      <c r="DOK70" s="24"/>
      <c r="DOL70" s="24"/>
      <c r="DOM70" s="24"/>
      <c r="DON70" s="24"/>
      <c r="DOO70" s="24"/>
      <c r="DOP70" s="24"/>
      <c r="DOQ70" s="24"/>
      <c r="DOR70" s="24"/>
      <c r="DOS70" s="24"/>
      <c r="DOT70" s="24"/>
      <c r="DOU70" s="24"/>
      <c r="DOV70" s="24"/>
      <c r="DOW70" s="24"/>
      <c r="DOX70" s="24"/>
      <c r="DOY70" s="24"/>
      <c r="DOZ70" s="24"/>
      <c r="DPA70" s="24"/>
      <c r="DPB70" s="24"/>
      <c r="DPC70" s="24"/>
      <c r="DPD70" s="24"/>
      <c r="DPE70" s="24"/>
      <c r="DPF70" s="24"/>
      <c r="DPG70" s="24"/>
      <c r="DPH70" s="24"/>
      <c r="DPI70" s="24"/>
      <c r="DPJ70" s="24"/>
      <c r="DPK70" s="24"/>
      <c r="DPL70" s="24"/>
      <c r="DPM70" s="24"/>
      <c r="DPN70" s="24"/>
      <c r="DPO70" s="24"/>
      <c r="DPP70" s="24"/>
      <c r="DPQ70" s="24"/>
      <c r="DPR70" s="24"/>
      <c r="DPS70" s="24"/>
      <c r="DPT70" s="24"/>
      <c r="DPU70" s="24"/>
      <c r="DPV70" s="24"/>
      <c r="DPW70" s="24"/>
      <c r="DPX70" s="24"/>
      <c r="DPY70" s="24"/>
      <c r="DPZ70" s="24"/>
      <c r="DQA70" s="24"/>
      <c r="DQB70" s="24"/>
      <c r="DQC70" s="24"/>
      <c r="DQD70" s="24"/>
      <c r="DQE70" s="24"/>
      <c r="DQF70" s="24"/>
      <c r="DQG70" s="24"/>
      <c r="DQH70" s="24"/>
      <c r="DQI70" s="24"/>
      <c r="DQJ70" s="24"/>
      <c r="DQK70" s="24"/>
      <c r="DQL70" s="24"/>
      <c r="DQM70" s="24"/>
      <c r="DQN70" s="24"/>
      <c r="DQO70" s="24"/>
      <c r="DQP70" s="24"/>
      <c r="DQQ70" s="24"/>
      <c r="DQR70" s="24"/>
      <c r="DQS70" s="24"/>
      <c r="DQT70" s="24"/>
      <c r="DQU70" s="24"/>
      <c r="DQV70" s="24"/>
      <c r="DQW70" s="24"/>
      <c r="DQX70" s="24"/>
      <c r="DQY70" s="24"/>
      <c r="DQZ70" s="24"/>
      <c r="DRA70" s="24"/>
      <c r="DRB70" s="24"/>
      <c r="DRC70" s="24"/>
      <c r="DRD70" s="24"/>
      <c r="DRE70" s="24"/>
      <c r="DRF70" s="24"/>
      <c r="DRG70" s="24"/>
      <c r="DRH70" s="24"/>
      <c r="DRI70" s="24"/>
      <c r="DRJ70" s="24"/>
      <c r="DRK70" s="24"/>
      <c r="DRL70" s="24"/>
      <c r="DRM70" s="24"/>
      <c r="DRN70" s="24"/>
      <c r="DRO70" s="24"/>
      <c r="DRP70" s="24"/>
      <c r="DRQ70" s="24"/>
      <c r="DRR70" s="24"/>
      <c r="DRS70" s="24"/>
      <c r="DRT70" s="24"/>
      <c r="DRU70" s="24"/>
      <c r="DRV70" s="24"/>
      <c r="DRW70" s="24"/>
      <c r="DRX70" s="24"/>
      <c r="DRY70" s="24"/>
      <c r="DRZ70" s="24"/>
      <c r="DSA70" s="24"/>
      <c r="DSB70" s="24"/>
      <c r="DSC70" s="24"/>
      <c r="DSD70" s="24"/>
      <c r="DSE70" s="24"/>
      <c r="DSF70" s="24"/>
      <c r="DSG70" s="24"/>
      <c r="DSH70" s="24"/>
      <c r="DSI70" s="24"/>
      <c r="DSJ70" s="24"/>
      <c r="DSK70" s="24"/>
      <c r="DSL70" s="24"/>
      <c r="DSM70" s="24"/>
      <c r="DSN70" s="24"/>
      <c r="DSO70" s="24"/>
      <c r="DSP70" s="24"/>
      <c r="DSQ70" s="24"/>
      <c r="DSR70" s="24"/>
      <c r="DSS70" s="24"/>
      <c r="DST70" s="24"/>
      <c r="DSU70" s="24"/>
      <c r="DSV70" s="24"/>
      <c r="DSW70" s="24"/>
      <c r="DSX70" s="24"/>
      <c r="DSY70" s="24"/>
      <c r="DSZ70" s="24"/>
      <c r="DTA70" s="24"/>
      <c r="DTB70" s="24"/>
      <c r="DTC70" s="24"/>
      <c r="DTD70" s="24"/>
      <c r="DTE70" s="24"/>
      <c r="DTF70" s="24"/>
      <c r="DTG70" s="24"/>
      <c r="DTH70" s="24"/>
      <c r="DTI70" s="24"/>
      <c r="DTJ70" s="24"/>
      <c r="DTK70" s="24"/>
      <c r="DTL70" s="24"/>
      <c r="DTM70" s="24"/>
      <c r="DTN70" s="24"/>
      <c r="DTO70" s="24"/>
      <c r="DTP70" s="24"/>
      <c r="DTQ70" s="24"/>
      <c r="DTR70" s="24"/>
      <c r="DTS70" s="24"/>
      <c r="DTT70" s="24"/>
      <c r="DTU70" s="24"/>
      <c r="DTV70" s="24"/>
      <c r="DTW70" s="24"/>
      <c r="DTX70" s="24"/>
      <c r="DTY70" s="24"/>
      <c r="DTZ70" s="24"/>
      <c r="DUA70" s="24"/>
      <c r="DUB70" s="24"/>
      <c r="DUC70" s="24"/>
      <c r="DUD70" s="24"/>
      <c r="DUE70" s="24"/>
      <c r="DUF70" s="24"/>
      <c r="DUG70" s="24"/>
      <c r="DUH70" s="24"/>
      <c r="DUI70" s="24"/>
      <c r="DUJ70" s="24"/>
      <c r="DUK70" s="24"/>
      <c r="DUL70" s="24"/>
      <c r="DUM70" s="24"/>
      <c r="DUN70" s="24"/>
      <c r="DUO70" s="24"/>
      <c r="DUP70" s="24"/>
      <c r="DUQ70" s="24"/>
      <c r="DUR70" s="24"/>
      <c r="DUS70" s="24"/>
      <c r="DUT70" s="24"/>
      <c r="DUU70" s="24"/>
      <c r="DUV70" s="24"/>
      <c r="DUW70" s="24"/>
      <c r="DUX70" s="24"/>
      <c r="DUY70" s="24"/>
      <c r="DUZ70" s="24"/>
      <c r="DVA70" s="24"/>
      <c r="DVB70" s="24"/>
      <c r="DVC70" s="24"/>
      <c r="DVD70" s="24"/>
      <c r="DVE70" s="24"/>
      <c r="DVF70" s="24"/>
      <c r="DVG70" s="24"/>
      <c r="DVH70" s="24"/>
      <c r="DVI70" s="24"/>
      <c r="DVJ70" s="24"/>
      <c r="DVK70" s="24"/>
      <c r="DVL70" s="24"/>
      <c r="DVM70" s="24"/>
      <c r="DVN70" s="24"/>
      <c r="DVO70" s="24"/>
      <c r="DVP70" s="24"/>
      <c r="DVQ70" s="24"/>
      <c r="DVR70" s="24"/>
      <c r="DVS70" s="24"/>
      <c r="DVT70" s="24"/>
      <c r="DVU70" s="24"/>
      <c r="DVV70" s="24"/>
      <c r="DVW70" s="24"/>
      <c r="DVX70" s="24"/>
      <c r="DVY70" s="24"/>
      <c r="DVZ70" s="24"/>
      <c r="DWA70" s="24"/>
      <c r="DWB70" s="24"/>
      <c r="DWC70" s="24"/>
      <c r="DWD70" s="24"/>
      <c r="DWE70" s="24"/>
      <c r="DWF70" s="24"/>
      <c r="DWG70" s="24"/>
      <c r="DWH70" s="24"/>
      <c r="DWI70" s="24"/>
      <c r="DWJ70" s="24"/>
      <c r="DWK70" s="24"/>
      <c r="DWL70" s="24"/>
      <c r="DWM70" s="24"/>
      <c r="DWN70" s="24"/>
      <c r="DWO70" s="24"/>
      <c r="DWP70" s="24"/>
      <c r="DWQ70" s="24"/>
      <c r="DWR70" s="24"/>
      <c r="DWS70" s="24"/>
      <c r="DWT70" s="24"/>
      <c r="DWU70" s="24"/>
      <c r="DWV70" s="24"/>
      <c r="DWW70" s="24"/>
      <c r="DWX70" s="24"/>
      <c r="DWY70" s="24"/>
      <c r="DWZ70" s="24"/>
      <c r="DXA70" s="24"/>
      <c r="DXB70" s="24"/>
      <c r="DXC70" s="24"/>
      <c r="DXD70" s="24"/>
      <c r="DXE70" s="24"/>
      <c r="DXF70" s="24"/>
      <c r="DXG70" s="24"/>
      <c r="DXH70" s="24"/>
      <c r="DXI70" s="24"/>
      <c r="DXJ70" s="24"/>
      <c r="DXK70" s="24"/>
      <c r="DXL70" s="24"/>
      <c r="DXM70" s="24"/>
      <c r="DXN70" s="24"/>
      <c r="DXO70" s="24"/>
      <c r="DXP70" s="24"/>
      <c r="DXQ70" s="24"/>
      <c r="DXR70" s="24"/>
      <c r="DXS70" s="24"/>
      <c r="DXT70" s="24"/>
      <c r="DXU70" s="24"/>
      <c r="DXV70" s="24"/>
      <c r="DXW70" s="24"/>
      <c r="DXX70" s="24"/>
      <c r="DXY70" s="24"/>
      <c r="DXZ70" s="24"/>
      <c r="DYA70" s="24"/>
      <c r="DYB70" s="24"/>
      <c r="DYC70" s="24"/>
      <c r="DYD70" s="24"/>
      <c r="DYE70" s="24"/>
      <c r="DYF70" s="24"/>
      <c r="DYG70" s="24"/>
      <c r="DYH70" s="24"/>
      <c r="DYI70" s="24"/>
      <c r="DYJ70" s="24"/>
      <c r="DYK70" s="24"/>
      <c r="DYL70" s="24"/>
      <c r="DYM70" s="24"/>
      <c r="DYN70" s="24"/>
      <c r="DYO70" s="24"/>
      <c r="DYP70" s="24"/>
      <c r="DYQ70" s="24"/>
      <c r="DYR70" s="24"/>
      <c r="DYS70" s="24"/>
      <c r="DYT70" s="24"/>
      <c r="DYU70" s="24"/>
      <c r="DYV70" s="24"/>
      <c r="DYW70" s="24"/>
      <c r="DYX70" s="24"/>
      <c r="DYY70" s="24"/>
      <c r="DYZ70" s="24"/>
      <c r="DZA70" s="24"/>
      <c r="DZB70" s="24"/>
      <c r="DZC70" s="24"/>
      <c r="DZD70" s="24"/>
      <c r="DZE70" s="24"/>
      <c r="DZF70" s="24"/>
      <c r="DZG70" s="24"/>
      <c r="DZH70" s="24"/>
      <c r="DZI70" s="24"/>
      <c r="DZJ70" s="24"/>
      <c r="DZK70" s="24"/>
      <c r="DZL70" s="24"/>
      <c r="DZM70" s="24"/>
      <c r="DZN70" s="24"/>
      <c r="DZO70" s="24"/>
      <c r="DZP70" s="24"/>
      <c r="DZQ70" s="24"/>
      <c r="DZR70" s="24"/>
      <c r="DZS70" s="24"/>
      <c r="DZT70" s="24"/>
      <c r="DZU70" s="24"/>
      <c r="DZV70" s="24"/>
      <c r="DZW70" s="24"/>
      <c r="DZX70" s="24"/>
      <c r="DZY70" s="24"/>
      <c r="DZZ70" s="24"/>
      <c r="EAA70" s="24"/>
      <c r="EAB70" s="24"/>
      <c r="EAC70" s="24"/>
      <c r="EAD70" s="24"/>
      <c r="EAE70" s="24"/>
      <c r="EAF70" s="24"/>
      <c r="EAG70" s="24"/>
      <c r="EAH70" s="24"/>
      <c r="EAI70" s="24"/>
      <c r="EAJ70" s="24"/>
      <c r="EAK70" s="24"/>
      <c r="EAL70" s="24"/>
      <c r="EAM70" s="24"/>
      <c r="EAN70" s="24"/>
      <c r="EAO70" s="24"/>
      <c r="EAP70" s="24"/>
      <c r="EAQ70" s="24"/>
      <c r="EAR70" s="24"/>
      <c r="EAS70" s="24"/>
      <c r="EAT70" s="24"/>
      <c r="EAU70" s="24"/>
      <c r="EAV70" s="24"/>
      <c r="EAW70" s="24"/>
      <c r="EAX70" s="24"/>
      <c r="EAY70" s="24"/>
      <c r="EAZ70" s="24"/>
      <c r="EBA70" s="24"/>
      <c r="EBB70" s="24"/>
      <c r="EBC70" s="24"/>
      <c r="EBD70" s="24"/>
      <c r="EBE70" s="24"/>
      <c r="EBF70" s="24"/>
      <c r="EBG70" s="24"/>
      <c r="EBH70" s="24"/>
      <c r="EBI70" s="24"/>
      <c r="EBJ70" s="24"/>
      <c r="EBK70" s="24"/>
      <c r="EBL70" s="24"/>
      <c r="EBM70" s="24"/>
      <c r="EBN70" s="24"/>
      <c r="EBO70" s="24"/>
      <c r="EBP70" s="24"/>
      <c r="EBQ70" s="24"/>
      <c r="EBR70" s="24"/>
      <c r="EBS70" s="24"/>
      <c r="EBT70" s="24"/>
      <c r="EBU70" s="24"/>
      <c r="EBV70" s="24"/>
      <c r="EBW70" s="24"/>
      <c r="EBX70" s="24"/>
      <c r="EBY70" s="24"/>
      <c r="EBZ70" s="24"/>
      <c r="ECA70" s="24"/>
      <c r="ECB70" s="24"/>
      <c r="ECC70" s="24"/>
      <c r="ECD70" s="24"/>
      <c r="ECE70" s="24"/>
      <c r="ECF70" s="24"/>
      <c r="ECG70" s="24"/>
      <c r="ECH70" s="24"/>
      <c r="ECI70" s="24"/>
      <c r="ECJ70" s="24"/>
      <c r="ECK70" s="24"/>
      <c r="ECL70" s="24"/>
      <c r="ECM70" s="24"/>
      <c r="ECN70" s="24"/>
      <c r="ECO70" s="24"/>
      <c r="ECP70" s="24"/>
      <c r="ECQ70" s="24"/>
      <c r="ECR70" s="24"/>
      <c r="ECS70" s="24"/>
      <c r="ECT70" s="24"/>
      <c r="ECU70" s="24"/>
      <c r="ECV70" s="24"/>
      <c r="ECW70" s="24"/>
      <c r="ECX70" s="24"/>
      <c r="ECY70" s="24"/>
      <c r="ECZ70" s="24"/>
      <c r="EDA70" s="24"/>
      <c r="EDB70" s="24"/>
      <c r="EDC70" s="24"/>
      <c r="EDD70" s="24"/>
      <c r="EDE70" s="24"/>
      <c r="EDF70" s="24"/>
      <c r="EDG70" s="24"/>
      <c r="EDH70" s="24"/>
      <c r="EDI70" s="24"/>
      <c r="EDJ70" s="24"/>
      <c r="EDK70" s="24"/>
      <c r="EDL70" s="24"/>
      <c r="EDM70" s="24"/>
      <c r="EDN70" s="24"/>
      <c r="EDO70" s="24"/>
      <c r="EDP70" s="24"/>
      <c r="EDQ70" s="24"/>
      <c r="EDR70" s="24"/>
      <c r="EDS70" s="24"/>
      <c r="EDT70" s="24"/>
      <c r="EDU70" s="24"/>
      <c r="EDV70" s="24"/>
      <c r="EDW70" s="24"/>
      <c r="EDX70" s="24"/>
      <c r="EDY70" s="24"/>
      <c r="EDZ70" s="24"/>
      <c r="EEA70" s="24"/>
      <c r="EEB70" s="24"/>
      <c r="EEC70" s="24"/>
      <c r="EED70" s="24"/>
      <c r="EEE70" s="24"/>
      <c r="EEF70" s="24"/>
      <c r="EEG70" s="24"/>
      <c r="EEH70" s="24"/>
      <c r="EEI70" s="24"/>
      <c r="EEJ70" s="24"/>
      <c r="EEK70" s="24"/>
      <c r="EEL70" s="24"/>
      <c r="EEM70" s="24"/>
      <c r="EEN70" s="24"/>
      <c r="EEO70" s="24"/>
      <c r="EEP70" s="24"/>
      <c r="EEQ70" s="24"/>
      <c r="EER70" s="24"/>
      <c r="EES70" s="24"/>
      <c r="EET70" s="24"/>
      <c r="EEU70" s="24"/>
      <c r="EEV70" s="24"/>
      <c r="EEW70" s="24"/>
      <c r="EEX70" s="24"/>
      <c r="EEY70" s="24"/>
      <c r="EEZ70" s="24"/>
      <c r="EFA70" s="24"/>
      <c r="EFB70" s="24"/>
      <c r="EFC70" s="24"/>
      <c r="EFD70" s="24"/>
      <c r="EFE70" s="24"/>
      <c r="EFF70" s="24"/>
      <c r="EFG70" s="24"/>
      <c r="EFH70" s="24"/>
      <c r="EFI70" s="24"/>
      <c r="EFJ70" s="24"/>
      <c r="EFK70" s="24"/>
      <c r="EFL70" s="24"/>
      <c r="EFM70" s="24"/>
      <c r="EFN70" s="24"/>
      <c r="EFO70" s="24"/>
      <c r="EFP70" s="24"/>
      <c r="EFQ70" s="24"/>
      <c r="EFR70" s="24"/>
      <c r="EFS70" s="24"/>
      <c r="EFT70" s="24"/>
      <c r="EFU70" s="24"/>
      <c r="EFV70" s="24"/>
      <c r="EFW70" s="24"/>
      <c r="EFX70" s="24"/>
      <c r="EFY70" s="24"/>
      <c r="EFZ70" s="24"/>
      <c r="EGA70" s="24"/>
      <c r="EGB70" s="24"/>
      <c r="EGC70" s="24"/>
      <c r="EGD70" s="24"/>
      <c r="EGE70" s="24"/>
      <c r="EGF70" s="24"/>
      <c r="EGG70" s="24"/>
      <c r="EGH70" s="24"/>
      <c r="EGI70" s="24"/>
      <c r="EGJ70" s="24"/>
      <c r="EGK70" s="24"/>
      <c r="EGL70" s="24"/>
      <c r="EGM70" s="24"/>
      <c r="EGN70" s="24"/>
      <c r="EGO70" s="24"/>
      <c r="EGP70" s="24"/>
      <c r="EGQ70" s="24"/>
      <c r="EGR70" s="24"/>
      <c r="EGS70" s="24"/>
      <c r="EGT70" s="24"/>
      <c r="EGU70" s="24"/>
      <c r="EGV70" s="24"/>
      <c r="EGW70" s="24"/>
      <c r="EGX70" s="24"/>
      <c r="EGY70" s="24"/>
      <c r="EGZ70" s="24"/>
      <c r="EHA70" s="24"/>
      <c r="EHB70" s="24"/>
      <c r="EHC70" s="24"/>
      <c r="EHD70" s="24"/>
      <c r="EHE70" s="24"/>
      <c r="EHF70" s="24"/>
      <c r="EHG70" s="24"/>
      <c r="EHH70" s="24"/>
      <c r="EHI70" s="24"/>
      <c r="EHJ70" s="24"/>
      <c r="EHK70" s="24"/>
      <c r="EHL70" s="24"/>
      <c r="EHM70" s="24"/>
      <c r="EHN70" s="24"/>
      <c r="EHO70" s="24"/>
      <c r="EHP70" s="24"/>
      <c r="EHQ70" s="24"/>
      <c r="EHR70" s="24"/>
      <c r="EHS70" s="24"/>
      <c r="EHT70" s="24"/>
      <c r="EHU70" s="24"/>
      <c r="EHV70" s="24"/>
      <c r="EHW70" s="24"/>
      <c r="EHX70" s="24"/>
      <c r="EHY70" s="24"/>
      <c r="EHZ70" s="24"/>
      <c r="EIA70" s="24"/>
      <c r="EIB70" s="24"/>
      <c r="EIC70" s="24"/>
      <c r="EID70" s="24"/>
      <c r="EIE70" s="24"/>
      <c r="EIF70" s="24"/>
      <c r="EIG70" s="24"/>
      <c r="EIH70" s="24"/>
      <c r="EII70" s="24"/>
      <c r="EIJ70" s="24"/>
      <c r="EIK70" s="24"/>
      <c r="EIL70" s="24"/>
      <c r="EIM70" s="24"/>
      <c r="EIN70" s="24"/>
      <c r="EIO70" s="24"/>
      <c r="EIP70" s="24"/>
      <c r="EIQ70" s="24"/>
      <c r="EIR70" s="24"/>
      <c r="EIS70" s="24"/>
      <c r="EIT70" s="24"/>
      <c r="EIU70" s="24"/>
      <c r="EIV70" s="24"/>
      <c r="EIW70" s="24"/>
      <c r="EIX70" s="24"/>
      <c r="EIY70" s="24"/>
      <c r="EIZ70" s="24"/>
      <c r="EJA70" s="24"/>
      <c r="EJB70" s="24"/>
      <c r="EJC70" s="24"/>
      <c r="EJD70" s="24"/>
      <c r="EJE70" s="24"/>
      <c r="EJF70" s="24"/>
      <c r="EJG70" s="24"/>
      <c r="EJH70" s="24"/>
      <c r="EJI70" s="24"/>
      <c r="EJJ70" s="24"/>
      <c r="EJK70" s="24"/>
      <c r="EJL70" s="24"/>
      <c r="EJM70" s="24"/>
      <c r="EJN70" s="24"/>
      <c r="EJO70" s="24"/>
      <c r="EJP70" s="24"/>
      <c r="EJQ70" s="24"/>
      <c r="EJR70" s="24"/>
      <c r="EJS70" s="24"/>
      <c r="EJT70" s="24"/>
      <c r="EJU70" s="24"/>
      <c r="EJV70" s="24"/>
      <c r="EJW70" s="24"/>
      <c r="EJX70" s="24"/>
      <c r="EJY70" s="24"/>
      <c r="EJZ70" s="24"/>
      <c r="EKA70" s="24"/>
      <c r="EKB70" s="24"/>
      <c r="EKC70" s="24"/>
      <c r="EKD70" s="24"/>
      <c r="EKE70" s="24"/>
      <c r="EKF70" s="24"/>
      <c r="EKG70" s="24"/>
      <c r="EKH70" s="24"/>
      <c r="EKI70" s="24"/>
      <c r="EKJ70" s="24"/>
      <c r="EKK70" s="24"/>
      <c r="EKL70" s="24"/>
      <c r="EKM70" s="24"/>
      <c r="EKN70" s="24"/>
      <c r="EKO70" s="24"/>
      <c r="EKP70" s="24"/>
      <c r="EKQ70" s="24"/>
      <c r="EKR70" s="24"/>
      <c r="EKS70" s="24"/>
      <c r="EKT70" s="24"/>
      <c r="EKU70" s="24"/>
      <c r="EKV70" s="24"/>
      <c r="EKW70" s="24"/>
      <c r="EKX70" s="24"/>
      <c r="EKY70" s="24"/>
      <c r="EKZ70" s="24"/>
      <c r="ELA70" s="24"/>
      <c r="ELB70" s="24"/>
      <c r="ELC70" s="24"/>
      <c r="ELD70" s="24"/>
      <c r="ELE70" s="24"/>
      <c r="ELF70" s="24"/>
      <c r="ELG70" s="24"/>
      <c r="ELH70" s="24"/>
      <c r="ELI70" s="24"/>
      <c r="ELJ70" s="24"/>
      <c r="ELK70" s="24"/>
      <c r="ELL70" s="24"/>
      <c r="ELM70" s="24"/>
      <c r="ELN70" s="24"/>
      <c r="ELO70" s="24"/>
      <c r="ELP70" s="24"/>
      <c r="ELQ70" s="24"/>
      <c r="ELR70" s="24"/>
      <c r="ELS70" s="24"/>
      <c r="ELT70" s="24"/>
      <c r="ELU70" s="24"/>
      <c r="ELV70" s="24"/>
      <c r="ELW70" s="24"/>
      <c r="ELX70" s="24"/>
      <c r="ELY70" s="24"/>
      <c r="ELZ70" s="24"/>
      <c r="EMA70" s="24"/>
      <c r="EMB70" s="24"/>
      <c r="EMC70" s="24"/>
      <c r="EMD70" s="24"/>
      <c r="EME70" s="24"/>
      <c r="EMF70" s="24"/>
      <c r="EMG70" s="24"/>
      <c r="EMH70" s="24"/>
      <c r="EMI70" s="24"/>
      <c r="EMJ70" s="24"/>
      <c r="EMK70" s="24"/>
      <c r="EML70" s="24"/>
      <c r="EMM70" s="24"/>
      <c r="EMN70" s="24"/>
      <c r="EMO70" s="24"/>
      <c r="EMP70" s="24"/>
      <c r="EMQ70" s="24"/>
      <c r="EMR70" s="24"/>
      <c r="EMS70" s="24"/>
      <c r="EMT70" s="24"/>
      <c r="EMU70" s="24"/>
      <c r="EMV70" s="24"/>
      <c r="EMW70" s="24"/>
      <c r="EMX70" s="24"/>
      <c r="EMY70" s="24"/>
      <c r="EMZ70" s="24"/>
      <c r="ENA70" s="24"/>
      <c r="ENB70" s="24"/>
      <c r="ENC70" s="24"/>
      <c r="END70" s="24"/>
      <c r="ENE70" s="24"/>
      <c r="ENF70" s="24"/>
      <c r="ENG70" s="24"/>
      <c r="ENH70" s="24"/>
      <c r="ENI70" s="24"/>
      <c r="ENJ70" s="24"/>
      <c r="ENK70" s="24"/>
      <c r="ENL70" s="24"/>
      <c r="ENM70" s="24"/>
      <c r="ENN70" s="24"/>
      <c r="ENO70" s="24"/>
      <c r="ENP70" s="24"/>
      <c r="ENQ70" s="24"/>
      <c r="ENR70" s="24"/>
      <c r="ENS70" s="24"/>
      <c r="ENT70" s="24"/>
      <c r="ENU70" s="24"/>
      <c r="ENV70" s="24"/>
      <c r="ENW70" s="24"/>
      <c r="ENX70" s="24"/>
      <c r="ENY70" s="24"/>
      <c r="ENZ70" s="24"/>
      <c r="EOA70" s="24"/>
      <c r="EOB70" s="24"/>
      <c r="EOC70" s="24"/>
      <c r="EOD70" s="24"/>
      <c r="EOE70" s="24"/>
      <c r="EOF70" s="24"/>
      <c r="EOG70" s="24"/>
      <c r="EOH70" s="24"/>
      <c r="EOI70" s="24"/>
      <c r="EOJ70" s="24"/>
      <c r="EOK70" s="24"/>
      <c r="EOL70" s="24"/>
      <c r="EOM70" s="24"/>
      <c r="EON70" s="24"/>
      <c r="EOO70" s="24"/>
      <c r="EOP70" s="24"/>
      <c r="EOQ70" s="24"/>
      <c r="EOR70" s="24"/>
      <c r="EOS70" s="24"/>
      <c r="EOT70" s="24"/>
      <c r="EOU70" s="24"/>
      <c r="EOV70" s="24"/>
      <c r="EOW70" s="24"/>
      <c r="EOX70" s="24"/>
      <c r="EOY70" s="24"/>
      <c r="EOZ70" s="24"/>
      <c r="EPA70" s="24"/>
      <c r="EPB70" s="24"/>
      <c r="EPC70" s="24"/>
      <c r="EPD70" s="24"/>
      <c r="EPE70" s="24"/>
      <c r="EPF70" s="24"/>
      <c r="EPG70" s="24"/>
      <c r="EPH70" s="24"/>
      <c r="EPI70" s="24"/>
      <c r="EPJ70" s="24"/>
      <c r="EPK70" s="24"/>
      <c r="EPL70" s="24"/>
      <c r="EPM70" s="24"/>
      <c r="EPN70" s="24"/>
      <c r="EPO70" s="24"/>
      <c r="EPP70" s="24"/>
      <c r="EPQ70" s="24"/>
      <c r="EPR70" s="24"/>
      <c r="EPS70" s="24"/>
      <c r="EPT70" s="24"/>
      <c r="EPU70" s="24"/>
      <c r="EPV70" s="24"/>
      <c r="EPW70" s="24"/>
      <c r="EPX70" s="24"/>
      <c r="EPY70" s="24"/>
      <c r="EPZ70" s="24"/>
      <c r="EQA70" s="24"/>
      <c r="EQB70" s="24"/>
      <c r="EQC70" s="24"/>
      <c r="EQD70" s="24"/>
      <c r="EQE70" s="24"/>
      <c r="EQF70" s="24"/>
      <c r="EQG70" s="24"/>
      <c r="EQH70" s="24"/>
      <c r="EQI70" s="24"/>
      <c r="EQJ70" s="24"/>
      <c r="EQK70" s="24"/>
      <c r="EQL70" s="24"/>
      <c r="EQM70" s="24"/>
      <c r="EQN70" s="24"/>
      <c r="EQO70" s="24"/>
      <c r="EQP70" s="24"/>
      <c r="EQQ70" s="24"/>
      <c r="EQR70" s="24"/>
      <c r="EQS70" s="24"/>
      <c r="EQT70" s="24"/>
      <c r="EQU70" s="24"/>
      <c r="EQV70" s="24"/>
      <c r="EQW70" s="24"/>
      <c r="EQX70" s="24"/>
      <c r="EQY70" s="24"/>
      <c r="EQZ70" s="24"/>
      <c r="ERA70" s="24"/>
      <c r="ERB70" s="24"/>
      <c r="ERC70" s="24"/>
      <c r="ERD70" s="24"/>
      <c r="ERE70" s="24"/>
      <c r="ERF70" s="24"/>
      <c r="ERG70" s="24"/>
      <c r="ERH70" s="24"/>
      <c r="ERI70" s="24"/>
      <c r="ERJ70" s="24"/>
      <c r="ERK70" s="24"/>
      <c r="ERL70" s="24"/>
      <c r="ERM70" s="24"/>
      <c r="ERN70" s="24"/>
      <c r="ERO70" s="24"/>
      <c r="ERP70" s="24"/>
      <c r="ERQ70" s="24"/>
      <c r="ERR70" s="24"/>
      <c r="ERS70" s="24"/>
      <c r="ERT70" s="24"/>
      <c r="ERU70" s="24"/>
      <c r="ERV70" s="24"/>
      <c r="ERW70" s="24"/>
      <c r="ERX70" s="24"/>
      <c r="ERY70" s="24"/>
      <c r="ERZ70" s="24"/>
      <c r="ESA70" s="24"/>
      <c r="ESB70" s="24"/>
      <c r="ESC70" s="24"/>
      <c r="ESD70" s="24"/>
      <c r="ESE70" s="24"/>
      <c r="ESF70" s="24"/>
      <c r="ESG70" s="24"/>
      <c r="ESH70" s="24"/>
      <c r="ESI70" s="24"/>
      <c r="ESJ70" s="24"/>
      <c r="ESK70" s="24"/>
      <c r="ESL70" s="24"/>
      <c r="ESM70" s="24"/>
      <c r="ESN70" s="24"/>
      <c r="ESO70" s="24"/>
      <c r="ESP70" s="24"/>
      <c r="ESQ70" s="24"/>
      <c r="ESR70" s="24"/>
      <c r="ESS70" s="24"/>
      <c r="EST70" s="24"/>
      <c r="ESU70" s="24"/>
      <c r="ESV70" s="24"/>
      <c r="ESW70" s="24"/>
      <c r="ESX70" s="24"/>
      <c r="ESY70" s="24"/>
      <c r="ESZ70" s="24"/>
      <c r="ETA70" s="24"/>
      <c r="ETB70" s="24"/>
      <c r="ETC70" s="24"/>
      <c r="ETD70" s="24"/>
      <c r="ETE70" s="24"/>
      <c r="ETF70" s="24"/>
      <c r="ETG70" s="24"/>
      <c r="ETH70" s="24"/>
      <c r="ETI70" s="24"/>
      <c r="ETJ70" s="24"/>
      <c r="ETK70" s="24"/>
      <c r="ETL70" s="24"/>
      <c r="ETM70" s="24"/>
      <c r="ETN70" s="24"/>
      <c r="ETO70" s="24"/>
      <c r="ETP70" s="24"/>
      <c r="ETQ70" s="24"/>
      <c r="ETR70" s="24"/>
      <c r="ETS70" s="24"/>
      <c r="ETT70" s="24"/>
      <c r="ETU70" s="24"/>
      <c r="ETV70" s="24"/>
      <c r="ETW70" s="24"/>
      <c r="ETX70" s="24"/>
      <c r="ETY70" s="24"/>
      <c r="ETZ70" s="24"/>
      <c r="EUA70" s="24"/>
      <c r="EUB70" s="24"/>
      <c r="EUC70" s="24"/>
      <c r="EUD70" s="24"/>
      <c r="EUE70" s="24"/>
      <c r="EUF70" s="24"/>
      <c r="EUG70" s="24"/>
      <c r="EUH70" s="24"/>
      <c r="EUI70" s="24"/>
      <c r="EUJ70" s="24"/>
      <c r="EUK70" s="24"/>
      <c r="EUL70" s="24"/>
      <c r="EUM70" s="24"/>
      <c r="EUN70" s="24"/>
      <c r="EUO70" s="24"/>
      <c r="EUP70" s="24"/>
      <c r="EUQ70" s="24"/>
      <c r="EUR70" s="24"/>
      <c r="EUS70" s="24"/>
      <c r="EUT70" s="24"/>
      <c r="EUU70" s="24"/>
      <c r="EUV70" s="24"/>
      <c r="EUW70" s="24"/>
      <c r="EUX70" s="24"/>
      <c r="EUY70" s="24"/>
      <c r="EUZ70" s="24"/>
      <c r="EVA70" s="24"/>
      <c r="EVB70" s="24"/>
      <c r="EVC70" s="24"/>
      <c r="EVD70" s="24"/>
      <c r="EVE70" s="24"/>
      <c r="EVF70" s="24"/>
      <c r="EVG70" s="24"/>
      <c r="EVH70" s="24"/>
      <c r="EVI70" s="24"/>
      <c r="EVJ70" s="24"/>
      <c r="EVK70" s="24"/>
      <c r="EVL70" s="24"/>
      <c r="EVM70" s="24"/>
      <c r="EVN70" s="24"/>
      <c r="EVO70" s="24"/>
      <c r="EVP70" s="24"/>
      <c r="EVQ70" s="24"/>
      <c r="EVR70" s="24"/>
      <c r="EVS70" s="24"/>
      <c r="EVT70" s="24"/>
      <c r="EVU70" s="24"/>
      <c r="EVV70" s="24"/>
      <c r="EVW70" s="24"/>
      <c r="EVX70" s="24"/>
      <c r="EVY70" s="24"/>
      <c r="EVZ70" s="24"/>
      <c r="EWA70" s="24"/>
      <c r="EWB70" s="24"/>
      <c r="EWC70" s="24"/>
      <c r="EWD70" s="24"/>
      <c r="EWE70" s="24"/>
      <c r="EWF70" s="24"/>
      <c r="EWG70" s="24"/>
      <c r="EWH70" s="24"/>
      <c r="EWI70" s="24"/>
      <c r="EWJ70" s="24"/>
      <c r="EWK70" s="24"/>
      <c r="EWL70" s="24"/>
      <c r="EWM70" s="24"/>
      <c r="EWN70" s="24"/>
      <c r="EWO70" s="24"/>
      <c r="EWP70" s="24"/>
      <c r="EWQ70" s="24"/>
      <c r="EWR70" s="24"/>
      <c r="EWS70" s="24"/>
      <c r="EWT70" s="24"/>
      <c r="EWU70" s="24"/>
      <c r="EWV70" s="24"/>
      <c r="EWW70" s="24"/>
      <c r="EWX70" s="24"/>
      <c r="EWY70" s="24"/>
      <c r="EWZ70" s="24"/>
      <c r="EXA70" s="24"/>
      <c r="EXB70" s="24"/>
      <c r="EXC70" s="24"/>
      <c r="EXD70" s="24"/>
      <c r="EXE70" s="24"/>
      <c r="EXF70" s="24"/>
      <c r="EXG70" s="24"/>
      <c r="EXH70" s="24"/>
      <c r="EXI70" s="24"/>
      <c r="EXJ70" s="24"/>
      <c r="EXK70" s="24"/>
      <c r="EXL70" s="24"/>
      <c r="EXM70" s="24"/>
      <c r="EXN70" s="24"/>
      <c r="EXO70" s="24"/>
      <c r="EXP70" s="24"/>
      <c r="EXQ70" s="24"/>
      <c r="EXR70" s="24"/>
      <c r="EXS70" s="24"/>
      <c r="EXT70" s="24"/>
      <c r="EXU70" s="24"/>
      <c r="EXV70" s="24"/>
      <c r="EXW70" s="24"/>
      <c r="EXX70" s="24"/>
      <c r="EXY70" s="24"/>
      <c r="EXZ70" s="24"/>
      <c r="EYA70" s="24"/>
      <c r="EYB70" s="24"/>
      <c r="EYC70" s="24"/>
      <c r="EYD70" s="24"/>
      <c r="EYE70" s="24"/>
      <c r="EYF70" s="24"/>
      <c r="EYG70" s="24"/>
      <c r="EYH70" s="24"/>
      <c r="EYI70" s="24"/>
      <c r="EYJ70" s="24"/>
      <c r="EYK70" s="24"/>
      <c r="EYL70" s="24"/>
      <c r="EYM70" s="24"/>
      <c r="EYN70" s="24"/>
      <c r="EYO70" s="24"/>
      <c r="EYP70" s="24"/>
      <c r="EYQ70" s="24"/>
      <c r="EYR70" s="24"/>
      <c r="EYS70" s="24"/>
      <c r="EYT70" s="24"/>
      <c r="EYU70" s="24"/>
      <c r="EYV70" s="24"/>
      <c r="EYW70" s="24"/>
      <c r="EYX70" s="24"/>
      <c r="EYY70" s="24"/>
      <c r="EYZ70" s="24"/>
      <c r="EZA70" s="24"/>
      <c r="EZB70" s="24"/>
      <c r="EZC70" s="24"/>
      <c r="EZD70" s="24"/>
      <c r="EZE70" s="24"/>
      <c r="EZF70" s="24"/>
      <c r="EZG70" s="24"/>
      <c r="EZH70" s="24"/>
      <c r="EZI70" s="24"/>
      <c r="EZJ70" s="24"/>
      <c r="EZK70" s="24"/>
      <c r="EZL70" s="24"/>
      <c r="EZM70" s="24"/>
      <c r="EZN70" s="24"/>
      <c r="EZO70" s="24"/>
      <c r="EZP70" s="24"/>
      <c r="EZQ70" s="24"/>
      <c r="EZR70" s="24"/>
      <c r="EZS70" s="24"/>
      <c r="EZT70" s="24"/>
      <c r="EZU70" s="24"/>
      <c r="EZV70" s="24"/>
      <c r="EZW70" s="24"/>
      <c r="EZX70" s="24"/>
      <c r="EZY70" s="24"/>
      <c r="EZZ70" s="24"/>
      <c r="FAA70" s="24"/>
      <c r="FAB70" s="24"/>
      <c r="FAC70" s="24"/>
      <c r="FAD70" s="24"/>
      <c r="FAE70" s="24"/>
      <c r="FAF70" s="24"/>
      <c r="FAG70" s="24"/>
      <c r="FAH70" s="24"/>
      <c r="FAI70" s="24"/>
      <c r="FAJ70" s="24"/>
      <c r="FAK70" s="24"/>
      <c r="FAL70" s="24"/>
      <c r="FAM70" s="24"/>
      <c r="FAN70" s="24"/>
      <c r="FAO70" s="24"/>
      <c r="FAP70" s="24"/>
      <c r="FAQ70" s="24"/>
      <c r="FAR70" s="24"/>
      <c r="FAS70" s="24"/>
      <c r="FAT70" s="24"/>
      <c r="FAU70" s="24"/>
      <c r="FAV70" s="24"/>
      <c r="FAW70" s="24"/>
      <c r="FAX70" s="24"/>
      <c r="FAY70" s="24"/>
      <c r="FAZ70" s="24"/>
      <c r="FBA70" s="24"/>
      <c r="FBB70" s="24"/>
      <c r="FBC70" s="24"/>
      <c r="FBD70" s="24"/>
      <c r="FBE70" s="24"/>
      <c r="FBF70" s="24"/>
      <c r="FBG70" s="24"/>
      <c r="FBH70" s="24"/>
      <c r="FBI70" s="24"/>
      <c r="FBJ70" s="24"/>
      <c r="FBK70" s="24"/>
      <c r="FBL70" s="24"/>
      <c r="FBM70" s="24"/>
      <c r="FBN70" s="24"/>
      <c r="FBO70" s="24"/>
      <c r="FBP70" s="24"/>
      <c r="FBQ70" s="24"/>
      <c r="FBR70" s="24"/>
      <c r="FBS70" s="24"/>
      <c r="FBT70" s="24"/>
      <c r="FBU70" s="24"/>
      <c r="FBV70" s="24"/>
      <c r="FBW70" s="24"/>
      <c r="FBX70" s="24"/>
      <c r="FBY70" s="24"/>
      <c r="FBZ70" s="24"/>
      <c r="FCA70" s="24"/>
      <c r="FCB70" s="24"/>
      <c r="FCC70" s="24"/>
      <c r="FCD70" s="24"/>
      <c r="FCE70" s="24"/>
      <c r="FCF70" s="24"/>
      <c r="FCG70" s="24"/>
      <c r="FCH70" s="24"/>
      <c r="FCI70" s="24"/>
      <c r="FCJ70" s="24"/>
      <c r="FCK70" s="24"/>
      <c r="FCL70" s="24"/>
      <c r="FCM70" s="24"/>
      <c r="FCN70" s="24"/>
      <c r="FCO70" s="24"/>
      <c r="FCP70" s="24"/>
      <c r="FCQ70" s="24"/>
      <c r="FCR70" s="24"/>
      <c r="FCS70" s="24"/>
      <c r="FCT70" s="24"/>
      <c r="FCU70" s="24"/>
      <c r="FCV70" s="24"/>
      <c r="FCW70" s="24"/>
      <c r="FCX70" s="24"/>
      <c r="FCY70" s="24"/>
      <c r="FCZ70" s="24"/>
      <c r="FDA70" s="24"/>
      <c r="FDB70" s="24"/>
      <c r="FDC70" s="24"/>
      <c r="FDD70" s="24"/>
      <c r="FDE70" s="24"/>
      <c r="FDF70" s="24"/>
      <c r="FDG70" s="24"/>
      <c r="FDH70" s="24"/>
      <c r="FDI70" s="24"/>
      <c r="FDJ70" s="24"/>
      <c r="FDK70" s="24"/>
      <c r="FDL70" s="24"/>
      <c r="FDM70" s="24"/>
      <c r="FDN70" s="24"/>
      <c r="FDO70" s="24"/>
      <c r="FDP70" s="24"/>
      <c r="FDQ70" s="24"/>
      <c r="FDR70" s="24"/>
      <c r="FDS70" s="24"/>
      <c r="FDT70" s="24"/>
      <c r="FDU70" s="24"/>
      <c r="FDV70" s="24"/>
      <c r="FDW70" s="24"/>
      <c r="FDX70" s="24"/>
      <c r="FDY70" s="24"/>
      <c r="FDZ70" s="24"/>
      <c r="FEA70" s="24"/>
      <c r="FEB70" s="24"/>
      <c r="FEC70" s="24"/>
      <c r="FED70" s="24"/>
      <c r="FEE70" s="24"/>
      <c r="FEF70" s="24"/>
      <c r="FEG70" s="24"/>
      <c r="FEH70" s="24"/>
      <c r="FEI70" s="24"/>
      <c r="FEJ70" s="24"/>
      <c r="FEK70" s="24"/>
      <c r="FEL70" s="24"/>
      <c r="FEM70" s="24"/>
      <c r="FEN70" s="24"/>
      <c r="FEO70" s="24"/>
      <c r="FEP70" s="24"/>
      <c r="FEQ70" s="24"/>
      <c r="FER70" s="24"/>
      <c r="FES70" s="24"/>
      <c r="FET70" s="24"/>
      <c r="FEU70" s="24"/>
      <c r="FEV70" s="24"/>
      <c r="FEW70" s="24"/>
      <c r="FEX70" s="24"/>
      <c r="FEY70" s="24"/>
      <c r="FEZ70" s="24"/>
      <c r="FFA70" s="24"/>
      <c r="FFB70" s="24"/>
      <c r="FFC70" s="24"/>
      <c r="FFD70" s="24"/>
      <c r="FFE70" s="24"/>
      <c r="FFF70" s="24"/>
      <c r="FFG70" s="24"/>
      <c r="FFH70" s="24"/>
      <c r="FFI70" s="24"/>
      <c r="FFJ70" s="24"/>
      <c r="FFK70" s="24"/>
      <c r="FFL70" s="24"/>
      <c r="FFM70" s="24"/>
      <c r="FFN70" s="24"/>
      <c r="FFO70" s="24"/>
      <c r="FFP70" s="24"/>
      <c r="FFQ70" s="24"/>
      <c r="FFR70" s="24"/>
      <c r="FFS70" s="24"/>
      <c r="FFT70" s="24"/>
      <c r="FFU70" s="24"/>
      <c r="FFV70" s="24"/>
      <c r="FFW70" s="24"/>
      <c r="FFX70" s="24"/>
      <c r="FFY70" s="24"/>
      <c r="FFZ70" s="24"/>
      <c r="FGA70" s="24"/>
      <c r="FGB70" s="24"/>
      <c r="FGC70" s="24"/>
      <c r="FGD70" s="24"/>
      <c r="FGE70" s="24"/>
      <c r="FGF70" s="24"/>
      <c r="FGG70" s="24"/>
      <c r="FGH70" s="24"/>
      <c r="FGI70" s="24"/>
      <c r="FGJ70" s="24"/>
      <c r="FGK70" s="24"/>
      <c r="FGL70" s="24"/>
      <c r="FGM70" s="24"/>
      <c r="FGN70" s="24"/>
      <c r="FGO70" s="24"/>
      <c r="FGP70" s="24"/>
      <c r="FGQ70" s="24"/>
      <c r="FGR70" s="24"/>
      <c r="FGS70" s="24"/>
      <c r="FGT70" s="24"/>
      <c r="FGU70" s="24"/>
      <c r="FGV70" s="24"/>
      <c r="FGW70" s="24"/>
      <c r="FGX70" s="24"/>
      <c r="FGY70" s="24"/>
      <c r="FGZ70" s="24"/>
      <c r="FHA70" s="24"/>
      <c r="FHB70" s="24"/>
      <c r="FHC70" s="24"/>
      <c r="FHD70" s="24"/>
      <c r="FHE70" s="24"/>
      <c r="FHF70" s="24"/>
      <c r="FHG70" s="24"/>
      <c r="FHH70" s="24"/>
      <c r="FHI70" s="24"/>
      <c r="FHJ70" s="24"/>
      <c r="FHK70" s="24"/>
      <c r="FHL70" s="24"/>
      <c r="FHM70" s="24"/>
      <c r="FHN70" s="24"/>
      <c r="FHO70" s="24"/>
      <c r="FHP70" s="24"/>
      <c r="FHQ70" s="24"/>
      <c r="FHR70" s="24"/>
      <c r="FHS70" s="24"/>
      <c r="FHT70" s="24"/>
      <c r="FHU70" s="24"/>
      <c r="FHV70" s="24"/>
      <c r="FHW70" s="24"/>
      <c r="FHX70" s="24"/>
      <c r="FHY70" s="24"/>
      <c r="FHZ70" s="24"/>
      <c r="FIA70" s="24"/>
      <c r="FIB70" s="24"/>
      <c r="FIC70" s="24"/>
      <c r="FID70" s="24"/>
      <c r="FIE70" s="24"/>
      <c r="FIF70" s="24"/>
      <c r="FIG70" s="24"/>
      <c r="FIH70" s="24"/>
      <c r="FII70" s="24"/>
      <c r="FIJ70" s="24"/>
      <c r="FIK70" s="24"/>
      <c r="FIL70" s="24"/>
      <c r="FIM70" s="24"/>
      <c r="FIN70" s="24"/>
      <c r="FIO70" s="24"/>
      <c r="FIP70" s="24"/>
      <c r="FIQ70" s="24"/>
      <c r="FIR70" s="24"/>
      <c r="FIS70" s="24"/>
      <c r="FIT70" s="24"/>
      <c r="FIU70" s="24"/>
      <c r="FIV70" s="24"/>
      <c r="FIW70" s="24"/>
      <c r="FIX70" s="24"/>
      <c r="FIY70" s="24"/>
      <c r="FIZ70" s="24"/>
      <c r="FJA70" s="24"/>
      <c r="FJB70" s="24"/>
      <c r="FJC70" s="24"/>
      <c r="FJD70" s="24"/>
      <c r="FJE70" s="24"/>
      <c r="FJF70" s="24"/>
      <c r="FJG70" s="24"/>
      <c r="FJH70" s="24"/>
      <c r="FJI70" s="24"/>
      <c r="FJJ70" s="24"/>
      <c r="FJK70" s="24"/>
      <c r="FJL70" s="24"/>
      <c r="FJM70" s="24"/>
      <c r="FJN70" s="24"/>
      <c r="FJO70" s="24"/>
      <c r="FJP70" s="24"/>
      <c r="FJQ70" s="24"/>
      <c r="FJR70" s="24"/>
      <c r="FJS70" s="24"/>
      <c r="FJT70" s="24"/>
      <c r="FJU70" s="24"/>
      <c r="FJV70" s="24"/>
      <c r="FJW70" s="24"/>
      <c r="FJX70" s="24"/>
      <c r="FJY70" s="24"/>
      <c r="FJZ70" s="24"/>
      <c r="FKA70" s="24"/>
      <c r="FKB70" s="24"/>
      <c r="FKC70" s="24"/>
      <c r="FKD70" s="24"/>
      <c r="FKE70" s="24"/>
      <c r="FKF70" s="24"/>
      <c r="FKG70" s="24"/>
      <c r="FKH70" s="24"/>
      <c r="FKI70" s="24"/>
      <c r="FKJ70" s="24"/>
      <c r="FKK70" s="24"/>
      <c r="FKL70" s="24"/>
      <c r="FKM70" s="24"/>
      <c r="FKN70" s="24"/>
      <c r="FKO70" s="24"/>
      <c r="FKP70" s="24"/>
      <c r="FKQ70" s="24"/>
      <c r="FKR70" s="24"/>
      <c r="FKS70" s="24"/>
      <c r="FKT70" s="24"/>
      <c r="FKU70" s="24"/>
      <c r="FKV70" s="24"/>
      <c r="FKW70" s="24"/>
      <c r="FKX70" s="24"/>
      <c r="FKY70" s="24"/>
      <c r="FKZ70" s="24"/>
      <c r="FLA70" s="24"/>
      <c r="FLB70" s="24"/>
      <c r="FLC70" s="24"/>
      <c r="FLD70" s="24"/>
      <c r="FLE70" s="24"/>
      <c r="FLF70" s="24"/>
      <c r="FLG70" s="24"/>
      <c r="FLH70" s="24"/>
      <c r="FLI70" s="24"/>
      <c r="FLJ70" s="24"/>
      <c r="FLK70" s="24"/>
      <c r="FLL70" s="24"/>
      <c r="FLM70" s="24"/>
      <c r="FLN70" s="24"/>
      <c r="FLO70" s="24"/>
      <c r="FLP70" s="24"/>
      <c r="FLQ70" s="24"/>
      <c r="FLR70" s="24"/>
      <c r="FLS70" s="24"/>
      <c r="FLT70" s="24"/>
      <c r="FLU70" s="24"/>
      <c r="FLV70" s="24"/>
      <c r="FLW70" s="24"/>
      <c r="FLX70" s="24"/>
      <c r="FLY70" s="24"/>
      <c r="FLZ70" s="24"/>
      <c r="FMA70" s="24"/>
      <c r="FMB70" s="24"/>
      <c r="FMC70" s="24"/>
      <c r="FMD70" s="24"/>
      <c r="FME70" s="24"/>
      <c r="FMF70" s="24"/>
      <c r="FMG70" s="24"/>
      <c r="FMH70" s="24"/>
      <c r="FMI70" s="24"/>
      <c r="FMJ70" s="24"/>
      <c r="FMK70" s="24"/>
      <c r="FML70" s="24"/>
      <c r="FMM70" s="24"/>
      <c r="FMN70" s="24"/>
      <c r="FMO70" s="24"/>
      <c r="FMP70" s="24"/>
      <c r="FMQ70" s="24"/>
      <c r="FMR70" s="24"/>
      <c r="FMS70" s="24"/>
      <c r="FMT70" s="24"/>
      <c r="FMU70" s="24"/>
      <c r="FMV70" s="24"/>
      <c r="FMW70" s="24"/>
      <c r="FMX70" s="24"/>
      <c r="FMY70" s="24"/>
      <c r="FMZ70" s="24"/>
      <c r="FNA70" s="24"/>
      <c r="FNB70" s="24"/>
      <c r="FNC70" s="24"/>
      <c r="FND70" s="24"/>
      <c r="FNE70" s="24"/>
      <c r="FNF70" s="24"/>
      <c r="FNG70" s="24"/>
      <c r="FNH70" s="24"/>
      <c r="FNI70" s="24"/>
      <c r="FNJ70" s="24"/>
      <c r="FNK70" s="24"/>
      <c r="FNL70" s="24"/>
      <c r="FNM70" s="24"/>
      <c r="FNN70" s="24"/>
      <c r="FNO70" s="24"/>
      <c r="FNP70" s="24"/>
      <c r="FNQ70" s="24"/>
      <c r="FNR70" s="24"/>
      <c r="FNS70" s="24"/>
      <c r="FNT70" s="24"/>
      <c r="FNU70" s="24"/>
      <c r="FNV70" s="24"/>
      <c r="FNW70" s="24"/>
      <c r="FNX70" s="24"/>
      <c r="FNY70" s="24"/>
      <c r="FNZ70" s="24"/>
      <c r="FOA70" s="24"/>
      <c r="FOB70" s="24"/>
      <c r="FOC70" s="24"/>
      <c r="FOD70" s="24"/>
      <c r="FOE70" s="24"/>
      <c r="FOF70" s="24"/>
      <c r="FOG70" s="24"/>
      <c r="FOH70" s="24"/>
      <c r="FOI70" s="24"/>
      <c r="FOJ70" s="24"/>
      <c r="FOK70" s="24"/>
      <c r="FOL70" s="24"/>
      <c r="FOM70" s="24"/>
      <c r="FON70" s="24"/>
      <c r="FOO70" s="24"/>
      <c r="FOP70" s="24"/>
      <c r="FOQ70" s="24"/>
      <c r="FOR70" s="24"/>
      <c r="FOS70" s="24"/>
      <c r="FOT70" s="24"/>
      <c r="FOU70" s="24"/>
      <c r="FOV70" s="24"/>
      <c r="FOW70" s="24"/>
      <c r="FOX70" s="24"/>
      <c r="FOY70" s="24"/>
      <c r="FOZ70" s="24"/>
      <c r="FPA70" s="24"/>
      <c r="FPB70" s="24"/>
      <c r="FPC70" s="24"/>
      <c r="FPD70" s="24"/>
      <c r="FPE70" s="24"/>
      <c r="FPF70" s="24"/>
      <c r="FPG70" s="24"/>
      <c r="FPH70" s="24"/>
      <c r="FPI70" s="24"/>
      <c r="FPJ70" s="24"/>
      <c r="FPK70" s="24"/>
      <c r="FPL70" s="24"/>
      <c r="FPM70" s="24"/>
      <c r="FPN70" s="24"/>
      <c r="FPO70" s="24"/>
      <c r="FPP70" s="24"/>
      <c r="FPQ70" s="24"/>
      <c r="FPR70" s="24"/>
      <c r="FPS70" s="24"/>
      <c r="FPT70" s="24"/>
      <c r="FPU70" s="24"/>
      <c r="FPV70" s="24"/>
      <c r="FPW70" s="24"/>
      <c r="FPX70" s="24"/>
      <c r="FPY70" s="24"/>
      <c r="FPZ70" s="24"/>
      <c r="FQA70" s="24"/>
      <c r="FQB70" s="24"/>
      <c r="FQC70" s="24"/>
      <c r="FQD70" s="24"/>
      <c r="FQE70" s="24"/>
      <c r="FQF70" s="24"/>
      <c r="FQG70" s="24"/>
      <c r="FQH70" s="24"/>
      <c r="FQI70" s="24"/>
      <c r="FQJ70" s="24"/>
      <c r="FQK70" s="24"/>
      <c r="FQL70" s="24"/>
      <c r="FQM70" s="24"/>
      <c r="FQN70" s="24"/>
      <c r="FQO70" s="24"/>
      <c r="FQP70" s="24"/>
      <c r="FQQ70" s="24"/>
      <c r="FQR70" s="24"/>
      <c r="FQS70" s="24"/>
      <c r="FQT70" s="24"/>
      <c r="FQU70" s="24"/>
      <c r="FQV70" s="24"/>
      <c r="FQW70" s="24"/>
      <c r="FQX70" s="24"/>
      <c r="FQY70" s="24"/>
      <c r="FQZ70" s="24"/>
      <c r="FRA70" s="24"/>
      <c r="FRB70" s="24"/>
      <c r="FRC70" s="24"/>
      <c r="FRD70" s="24"/>
      <c r="FRE70" s="24"/>
      <c r="FRF70" s="24"/>
      <c r="FRG70" s="24"/>
      <c r="FRH70" s="24"/>
      <c r="FRI70" s="24"/>
      <c r="FRJ70" s="24"/>
      <c r="FRK70" s="24"/>
      <c r="FRL70" s="24"/>
      <c r="FRM70" s="24"/>
      <c r="FRN70" s="24"/>
      <c r="FRO70" s="24"/>
      <c r="FRP70" s="24"/>
      <c r="FRQ70" s="24"/>
      <c r="FRR70" s="24"/>
      <c r="FRS70" s="24"/>
      <c r="FRT70" s="24"/>
      <c r="FRU70" s="24"/>
      <c r="FRV70" s="24"/>
      <c r="FRW70" s="24"/>
      <c r="FRX70" s="24"/>
      <c r="FRY70" s="24"/>
      <c r="FRZ70" s="24"/>
      <c r="FSA70" s="24"/>
      <c r="FSB70" s="24"/>
      <c r="FSC70" s="24"/>
      <c r="FSD70" s="24"/>
      <c r="FSE70" s="24"/>
      <c r="FSF70" s="24"/>
      <c r="FSG70" s="24"/>
      <c r="FSH70" s="24"/>
      <c r="FSI70" s="24"/>
      <c r="FSJ70" s="24"/>
      <c r="FSK70" s="24"/>
      <c r="FSL70" s="24"/>
      <c r="FSM70" s="24"/>
      <c r="FSN70" s="24"/>
      <c r="FSO70" s="24"/>
      <c r="FSP70" s="24"/>
      <c r="FSQ70" s="24"/>
      <c r="FSR70" s="24"/>
      <c r="FSS70" s="24"/>
      <c r="FST70" s="24"/>
      <c r="FSU70" s="24"/>
      <c r="FSV70" s="24"/>
      <c r="FSW70" s="24"/>
      <c r="FSX70" s="24"/>
      <c r="FSY70" s="24"/>
      <c r="FSZ70" s="24"/>
      <c r="FTA70" s="24"/>
      <c r="FTB70" s="24"/>
      <c r="FTC70" s="24"/>
      <c r="FTD70" s="24"/>
      <c r="FTE70" s="24"/>
      <c r="FTF70" s="24"/>
      <c r="FTG70" s="24"/>
      <c r="FTH70" s="24"/>
      <c r="FTI70" s="24"/>
      <c r="FTJ70" s="24"/>
      <c r="FTK70" s="24"/>
      <c r="FTL70" s="24"/>
      <c r="FTM70" s="24"/>
      <c r="FTN70" s="24"/>
      <c r="FTO70" s="24"/>
      <c r="FTP70" s="24"/>
      <c r="FTQ70" s="24"/>
      <c r="FTR70" s="24"/>
      <c r="FTS70" s="24"/>
      <c r="FTT70" s="24"/>
      <c r="FTU70" s="24"/>
      <c r="FTV70" s="24"/>
      <c r="FTW70" s="24"/>
      <c r="FTX70" s="24"/>
      <c r="FTY70" s="24"/>
      <c r="FTZ70" s="24"/>
      <c r="FUA70" s="24"/>
      <c r="FUB70" s="24"/>
      <c r="FUC70" s="24"/>
      <c r="FUD70" s="24"/>
      <c r="FUE70" s="24"/>
      <c r="FUF70" s="24"/>
      <c r="FUG70" s="24"/>
      <c r="FUH70" s="24"/>
      <c r="FUI70" s="24"/>
      <c r="FUJ70" s="24"/>
      <c r="FUK70" s="24"/>
      <c r="FUL70" s="24"/>
      <c r="FUM70" s="24"/>
      <c r="FUN70" s="24"/>
      <c r="FUO70" s="24"/>
      <c r="FUP70" s="24"/>
      <c r="FUQ70" s="24"/>
      <c r="FUR70" s="24"/>
      <c r="FUS70" s="24"/>
      <c r="FUT70" s="24"/>
      <c r="FUU70" s="24"/>
      <c r="FUV70" s="24"/>
      <c r="FUW70" s="24"/>
      <c r="FUX70" s="24"/>
      <c r="FUY70" s="24"/>
      <c r="FUZ70" s="24"/>
      <c r="FVA70" s="24"/>
      <c r="FVB70" s="24"/>
      <c r="FVC70" s="24"/>
      <c r="FVD70" s="24"/>
      <c r="FVE70" s="24"/>
      <c r="FVF70" s="24"/>
      <c r="FVG70" s="24"/>
      <c r="FVH70" s="24"/>
      <c r="FVI70" s="24"/>
      <c r="FVJ70" s="24"/>
      <c r="FVK70" s="24"/>
      <c r="FVL70" s="24"/>
      <c r="FVM70" s="24"/>
      <c r="FVN70" s="24"/>
      <c r="FVO70" s="24"/>
      <c r="FVP70" s="24"/>
      <c r="FVQ70" s="24"/>
      <c r="FVR70" s="24"/>
      <c r="FVS70" s="24"/>
      <c r="FVT70" s="24"/>
      <c r="FVU70" s="24"/>
      <c r="FVV70" s="24"/>
      <c r="FVW70" s="24"/>
      <c r="FVX70" s="24"/>
      <c r="FVY70" s="24"/>
      <c r="FVZ70" s="24"/>
      <c r="FWA70" s="24"/>
      <c r="FWB70" s="24"/>
      <c r="FWC70" s="24"/>
      <c r="FWD70" s="24"/>
      <c r="FWE70" s="24"/>
      <c r="FWF70" s="24"/>
      <c r="FWG70" s="24"/>
      <c r="FWH70" s="24"/>
      <c r="FWI70" s="24"/>
      <c r="FWJ70" s="24"/>
      <c r="FWK70" s="24"/>
      <c r="FWL70" s="24"/>
      <c r="FWM70" s="24"/>
      <c r="FWN70" s="24"/>
      <c r="FWO70" s="24"/>
      <c r="FWP70" s="24"/>
      <c r="FWQ70" s="24"/>
      <c r="FWR70" s="24"/>
      <c r="FWS70" s="24"/>
      <c r="FWT70" s="24"/>
      <c r="FWU70" s="24"/>
      <c r="FWV70" s="24"/>
      <c r="FWW70" s="24"/>
      <c r="FWX70" s="24"/>
      <c r="FWY70" s="24"/>
      <c r="FWZ70" s="24"/>
      <c r="FXA70" s="24"/>
      <c r="FXB70" s="24"/>
      <c r="FXC70" s="24"/>
      <c r="FXD70" s="24"/>
      <c r="FXE70" s="24"/>
      <c r="FXF70" s="24"/>
      <c r="FXG70" s="24"/>
      <c r="FXH70" s="24"/>
      <c r="FXI70" s="24"/>
      <c r="FXJ70" s="24"/>
      <c r="FXK70" s="24"/>
      <c r="FXL70" s="24"/>
      <c r="FXM70" s="24"/>
      <c r="FXN70" s="24"/>
      <c r="FXO70" s="24"/>
      <c r="FXP70" s="24"/>
      <c r="FXQ70" s="24"/>
      <c r="FXR70" s="24"/>
      <c r="FXS70" s="24"/>
      <c r="FXT70" s="24"/>
      <c r="FXU70" s="24"/>
      <c r="FXV70" s="24"/>
      <c r="FXW70" s="24"/>
      <c r="FXX70" s="24"/>
      <c r="FXY70" s="24"/>
      <c r="FXZ70" s="24"/>
      <c r="FYA70" s="24"/>
      <c r="FYB70" s="24"/>
      <c r="FYC70" s="24"/>
      <c r="FYD70" s="24"/>
      <c r="FYE70" s="24"/>
      <c r="FYF70" s="24"/>
      <c r="FYG70" s="24"/>
      <c r="FYH70" s="24"/>
      <c r="FYI70" s="24"/>
      <c r="FYJ70" s="24"/>
      <c r="FYK70" s="24"/>
      <c r="FYL70" s="24"/>
      <c r="FYM70" s="24"/>
      <c r="FYN70" s="24"/>
      <c r="FYO70" s="24"/>
      <c r="FYP70" s="24"/>
      <c r="FYQ70" s="24"/>
      <c r="FYR70" s="24"/>
      <c r="FYS70" s="24"/>
      <c r="FYT70" s="24"/>
      <c r="FYU70" s="24"/>
      <c r="FYV70" s="24"/>
      <c r="FYW70" s="24"/>
      <c r="FYX70" s="24"/>
      <c r="FYY70" s="24"/>
      <c r="FYZ70" s="24"/>
      <c r="FZA70" s="24"/>
      <c r="FZB70" s="24"/>
      <c r="FZC70" s="24"/>
      <c r="FZD70" s="24"/>
      <c r="FZE70" s="24"/>
      <c r="FZF70" s="24"/>
      <c r="FZG70" s="24"/>
      <c r="FZH70" s="24"/>
      <c r="FZI70" s="24"/>
      <c r="FZJ70" s="24"/>
      <c r="FZK70" s="24"/>
      <c r="FZL70" s="24"/>
      <c r="FZM70" s="24"/>
      <c r="FZN70" s="24"/>
      <c r="FZO70" s="24"/>
      <c r="FZP70" s="24"/>
      <c r="FZQ70" s="24"/>
      <c r="FZR70" s="24"/>
      <c r="FZS70" s="24"/>
      <c r="FZT70" s="24"/>
      <c r="FZU70" s="24"/>
      <c r="FZV70" s="24"/>
      <c r="FZW70" s="24"/>
      <c r="FZX70" s="24"/>
      <c r="FZY70" s="24"/>
      <c r="FZZ70" s="24"/>
      <c r="GAA70" s="24"/>
      <c r="GAB70" s="24"/>
      <c r="GAC70" s="24"/>
      <c r="GAD70" s="24"/>
      <c r="GAE70" s="24"/>
      <c r="GAF70" s="24"/>
      <c r="GAG70" s="24"/>
      <c r="GAH70" s="24"/>
      <c r="GAI70" s="24"/>
      <c r="GAJ70" s="24"/>
      <c r="GAK70" s="24"/>
      <c r="GAL70" s="24"/>
      <c r="GAM70" s="24"/>
      <c r="GAN70" s="24"/>
      <c r="GAO70" s="24"/>
      <c r="GAP70" s="24"/>
      <c r="GAQ70" s="24"/>
      <c r="GAR70" s="24"/>
      <c r="GAS70" s="24"/>
      <c r="GAT70" s="24"/>
      <c r="GAU70" s="24"/>
      <c r="GAV70" s="24"/>
      <c r="GAW70" s="24"/>
      <c r="GAX70" s="24"/>
      <c r="GAY70" s="24"/>
      <c r="GAZ70" s="24"/>
      <c r="GBA70" s="24"/>
      <c r="GBB70" s="24"/>
      <c r="GBC70" s="24"/>
      <c r="GBD70" s="24"/>
      <c r="GBE70" s="24"/>
      <c r="GBF70" s="24"/>
      <c r="GBG70" s="24"/>
      <c r="GBH70" s="24"/>
      <c r="GBI70" s="24"/>
      <c r="GBJ70" s="24"/>
      <c r="GBK70" s="24"/>
      <c r="GBL70" s="24"/>
      <c r="GBM70" s="24"/>
      <c r="GBN70" s="24"/>
      <c r="GBO70" s="24"/>
      <c r="GBP70" s="24"/>
      <c r="GBQ70" s="24"/>
      <c r="GBR70" s="24"/>
      <c r="GBS70" s="24"/>
      <c r="GBT70" s="24"/>
      <c r="GBU70" s="24"/>
      <c r="GBV70" s="24"/>
      <c r="GBW70" s="24"/>
      <c r="GBX70" s="24"/>
      <c r="GBY70" s="24"/>
      <c r="GBZ70" s="24"/>
      <c r="GCA70" s="24"/>
      <c r="GCB70" s="24"/>
      <c r="GCC70" s="24"/>
      <c r="GCD70" s="24"/>
      <c r="GCE70" s="24"/>
      <c r="GCF70" s="24"/>
      <c r="GCG70" s="24"/>
      <c r="GCH70" s="24"/>
      <c r="GCI70" s="24"/>
      <c r="GCJ70" s="24"/>
      <c r="GCK70" s="24"/>
      <c r="GCL70" s="24"/>
      <c r="GCM70" s="24"/>
      <c r="GCN70" s="24"/>
      <c r="GCO70" s="24"/>
      <c r="GCP70" s="24"/>
      <c r="GCQ70" s="24"/>
      <c r="GCR70" s="24"/>
      <c r="GCS70" s="24"/>
      <c r="GCT70" s="24"/>
      <c r="GCU70" s="24"/>
      <c r="GCV70" s="24"/>
      <c r="GCW70" s="24"/>
      <c r="GCX70" s="24"/>
      <c r="GCY70" s="24"/>
      <c r="GCZ70" s="24"/>
      <c r="GDA70" s="24"/>
      <c r="GDB70" s="24"/>
      <c r="GDC70" s="24"/>
      <c r="GDD70" s="24"/>
      <c r="GDE70" s="24"/>
      <c r="GDF70" s="24"/>
      <c r="GDG70" s="24"/>
      <c r="GDH70" s="24"/>
      <c r="GDI70" s="24"/>
      <c r="GDJ70" s="24"/>
      <c r="GDK70" s="24"/>
      <c r="GDL70" s="24"/>
      <c r="GDM70" s="24"/>
      <c r="GDN70" s="24"/>
      <c r="GDO70" s="24"/>
      <c r="GDP70" s="24"/>
      <c r="GDQ70" s="24"/>
      <c r="GDR70" s="24"/>
      <c r="GDS70" s="24"/>
      <c r="GDT70" s="24"/>
      <c r="GDU70" s="24"/>
      <c r="GDV70" s="24"/>
      <c r="GDW70" s="24"/>
      <c r="GDX70" s="24"/>
      <c r="GDY70" s="24"/>
      <c r="GDZ70" s="24"/>
      <c r="GEA70" s="24"/>
      <c r="GEB70" s="24"/>
      <c r="GEC70" s="24"/>
      <c r="GED70" s="24"/>
      <c r="GEE70" s="24"/>
      <c r="GEF70" s="24"/>
      <c r="GEG70" s="24"/>
      <c r="GEH70" s="24"/>
      <c r="GEI70" s="24"/>
      <c r="GEJ70" s="24"/>
      <c r="GEK70" s="24"/>
      <c r="GEL70" s="24"/>
      <c r="GEM70" s="24"/>
      <c r="GEN70" s="24"/>
      <c r="GEO70" s="24"/>
      <c r="GEP70" s="24"/>
      <c r="GEQ70" s="24"/>
      <c r="GER70" s="24"/>
      <c r="GES70" s="24"/>
      <c r="GET70" s="24"/>
      <c r="GEU70" s="24"/>
      <c r="GEV70" s="24"/>
      <c r="GEW70" s="24"/>
      <c r="GEX70" s="24"/>
      <c r="GEY70" s="24"/>
      <c r="GEZ70" s="24"/>
      <c r="GFA70" s="24"/>
      <c r="GFB70" s="24"/>
      <c r="GFC70" s="24"/>
      <c r="GFD70" s="24"/>
      <c r="GFE70" s="24"/>
      <c r="GFF70" s="24"/>
      <c r="GFG70" s="24"/>
      <c r="GFH70" s="24"/>
      <c r="GFI70" s="24"/>
      <c r="GFJ70" s="24"/>
      <c r="GFK70" s="24"/>
      <c r="GFL70" s="24"/>
      <c r="GFM70" s="24"/>
      <c r="GFN70" s="24"/>
      <c r="GFO70" s="24"/>
      <c r="GFP70" s="24"/>
      <c r="GFQ70" s="24"/>
      <c r="GFR70" s="24"/>
      <c r="GFS70" s="24"/>
      <c r="GFT70" s="24"/>
      <c r="GFU70" s="24"/>
      <c r="GFV70" s="24"/>
      <c r="GFW70" s="24"/>
      <c r="GFX70" s="24"/>
      <c r="GFY70" s="24"/>
      <c r="GFZ70" s="24"/>
      <c r="GGA70" s="24"/>
      <c r="GGB70" s="24"/>
      <c r="GGC70" s="24"/>
      <c r="GGD70" s="24"/>
      <c r="GGE70" s="24"/>
      <c r="GGF70" s="24"/>
      <c r="GGG70" s="24"/>
      <c r="GGH70" s="24"/>
      <c r="GGI70" s="24"/>
      <c r="GGJ70" s="24"/>
      <c r="GGK70" s="24"/>
      <c r="GGL70" s="24"/>
      <c r="GGM70" s="24"/>
      <c r="GGN70" s="24"/>
      <c r="GGO70" s="24"/>
      <c r="GGP70" s="24"/>
      <c r="GGQ70" s="24"/>
      <c r="GGR70" s="24"/>
      <c r="GGS70" s="24"/>
      <c r="GGT70" s="24"/>
      <c r="GGU70" s="24"/>
      <c r="GGV70" s="24"/>
      <c r="GGW70" s="24"/>
      <c r="GGX70" s="24"/>
      <c r="GGY70" s="24"/>
      <c r="GGZ70" s="24"/>
      <c r="GHA70" s="24"/>
      <c r="GHB70" s="24"/>
      <c r="GHC70" s="24"/>
      <c r="GHD70" s="24"/>
      <c r="GHE70" s="24"/>
      <c r="GHF70" s="24"/>
      <c r="GHG70" s="24"/>
      <c r="GHH70" s="24"/>
      <c r="GHI70" s="24"/>
      <c r="GHJ70" s="24"/>
      <c r="GHK70" s="24"/>
      <c r="GHL70" s="24"/>
      <c r="GHM70" s="24"/>
      <c r="GHN70" s="24"/>
      <c r="GHO70" s="24"/>
      <c r="GHP70" s="24"/>
      <c r="GHQ70" s="24"/>
      <c r="GHR70" s="24"/>
      <c r="GHS70" s="24"/>
      <c r="GHT70" s="24"/>
      <c r="GHU70" s="24"/>
      <c r="GHV70" s="24"/>
      <c r="GHW70" s="24"/>
      <c r="GHX70" s="24"/>
      <c r="GHY70" s="24"/>
      <c r="GHZ70" s="24"/>
      <c r="GIA70" s="24"/>
      <c r="GIB70" s="24"/>
      <c r="GIC70" s="24"/>
      <c r="GID70" s="24"/>
      <c r="GIE70" s="24"/>
      <c r="GIF70" s="24"/>
      <c r="GIG70" s="24"/>
      <c r="GIH70" s="24"/>
      <c r="GII70" s="24"/>
      <c r="GIJ70" s="24"/>
      <c r="GIK70" s="24"/>
      <c r="GIL70" s="24"/>
      <c r="GIM70" s="24"/>
      <c r="GIN70" s="24"/>
      <c r="GIO70" s="24"/>
      <c r="GIP70" s="24"/>
      <c r="GIQ70" s="24"/>
      <c r="GIR70" s="24"/>
      <c r="GIS70" s="24"/>
      <c r="GIT70" s="24"/>
      <c r="GIU70" s="24"/>
      <c r="GIV70" s="24"/>
      <c r="GIW70" s="24"/>
      <c r="GIX70" s="24"/>
      <c r="GIY70" s="24"/>
      <c r="GIZ70" s="24"/>
      <c r="GJA70" s="24"/>
      <c r="GJB70" s="24"/>
      <c r="GJC70" s="24"/>
      <c r="GJD70" s="24"/>
      <c r="GJE70" s="24"/>
      <c r="GJF70" s="24"/>
      <c r="GJG70" s="24"/>
      <c r="GJH70" s="24"/>
      <c r="GJI70" s="24"/>
      <c r="GJJ70" s="24"/>
      <c r="GJK70" s="24"/>
      <c r="GJL70" s="24"/>
      <c r="GJM70" s="24"/>
      <c r="GJN70" s="24"/>
      <c r="GJO70" s="24"/>
      <c r="GJP70" s="24"/>
      <c r="GJQ70" s="24"/>
      <c r="GJR70" s="24"/>
      <c r="GJS70" s="24"/>
      <c r="GJT70" s="24"/>
      <c r="GJU70" s="24"/>
      <c r="GJV70" s="24"/>
      <c r="GJW70" s="24"/>
      <c r="GJX70" s="24"/>
      <c r="GJY70" s="24"/>
      <c r="GJZ70" s="24"/>
      <c r="GKA70" s="24"/>
      <c r="GKB70" s="24"/>
      <c r="GKC70" s="24"/>
      <c r="GKD70" s="24"/>
      <c r="GKE70" s="24"/>
      <c r="GKF70" s="24"/>
      <c r="GKG70" s="24"/>
      <c r="GKH70" s="24"/>
      <c r="GKI70" s="24"/>
      <c r="GKJ70" s="24"/>
      <c r="GKK70" s="24"/>
      <c r="GKL70" s="24"/>
      <c r="GKM70" s="24"/>
      <c r="GKN70" s="24"/>
      <c r="GKO70" s="24"/>
      <c r="GKP70" s="24"/>
      <c r="GKQ70" s="24"/>
      <c r="GKR70" s="24"/>
      <c r="GKS70" s="24"/>
      <c r="GKT70" s="24"/>
      <c r="GKU70" s="24"/>
      <c r="GKV70" s="24"/>
      <c r="GKW70" s="24"/>
      <c r="GKX70" s="24"/>
      <c r="GKY70" s="24"/>
      <c r="GKZ70" s="24"/>
      <c r="GLA70" s="24"/>
      <c r="GLB70" s="24"/>
      <c r="GLC70" s="24"/>
      <c r="GLD70" s="24"/>
      <c r="GLE70" s="24"/>
      <c r="GLF70" s="24"/>
      <c r="GLG70" s="24"/>
      <c r="GLH70" s="24"/>
      <c r="GLI70" s="24"/>
      <c r="GLJ70" s="24"/>
      <c r="GLK70" s="24"/>
      <c r="GLL70" s="24"/>
      <c r="GLM70" s="24"/>
      <c r="GLN70" s="24"/>
      <c r="GLO70" s="24"/>
      <c r="GLP70" s="24"/>
      <c r="GLQ70" s="24"/>
      <c r="GLR70" s="24"/>
      <c r="GLS70" s="24"/>
      <c r="GLT70" s="24"/>
      <c r="GLU70" s="24"/>
      <c r="GLV70" s="24"/>
      <c r="GLW70" s="24"/>
      <c r="GLX70" s="24"/>
      <c r="GLY70" s="24"/>
      <c r="GLZ70" s="24"/>
      <c r="GMA70" s="24"/>
      <c r="GMB70" s="24"/>
      <c r="GMC70" s="24"/>
      <c r="GMD70" s="24"/>
      <c r="GME70" s="24"/>
      <c r="GMF70" s="24"/>
      <c r="GMG70" s="24"/>
      <c r="GMH70" s="24"/>
      <c r="GMI70" s="24"/>
      <c r="GMJ70" s="24"/>
      <c r="GMK70" s="24"/>
      <c r="GML70" s="24"/>
      <c r="GMM70" s="24"/>
      <c r="GMN70" s="24"/>
      <c r="GMO70" s="24"/>
      <c r="GMP70" s="24"/>
      <c r="GMQ70" s="24"/>
      <c r="GMR70" s="24"/>
      <c r="GMS70" s="24"/>
      <c r="GMT70" s="24"/>
      <c r="GMU70" s="24"/>
      <c r="GMV70" s="24"/>
      <c r="GMW70" s="24"/>
      <c r="GMX70" s="24"/>
      <c r="GMY70" s="24"/>
      <c r="GMZ70" s="24"/>
      <c r="GNA70" s="24"/>
      <c r="GNB70" s="24"/>
      <c r="GNC70" s="24"/>
      <c r="GND70" s="24"/>
      <c r="GNE70" s="24"/>
      <c r="GNF70" s="24"/>
      <c r="GNG70" s="24"/>
      <c r="GNH70" s="24"/>
      <c r="GNI70" s="24"/>
      <c r="GNJ70" s="24"/>
      <c r="GNK70" s="24"/>
      <c r="GNL70" s="24"/>
      <c r="GNM70" s="24"/>
      <c r="GNN70" s="24"/>
      <c r="GNO70" s="24"/>
      <c r="GNP70" s="24"/>
      <c r="GNQ70" s="24"/>
      <c r="GNR70" s="24"/>
      <c r="GNS70" s="24"/>
      <c r="GNT70" s="24"/>
      <c r="GNU70" s="24"/>
      <c r="GNV70" s="24"/>
      <c r="GNW70" s="24"/>
      <c r="GNX70" s="24"/>
      <c r="GNY70" s="24"/>
      <c r="GNZ70" s="24"/>
      <c r="GOA70" s="24"/>
      <c r="GOB70" s="24"/>
      <c r="GOC70" s="24"/>
      <c r="GOD70" s="24"/>
      <c r="GOE70" s="24"/>
      <c r="GOF70" s="24"/>
      <c r="GOG70" s="24"/>
      <c r="GOH70" s="24"/>
      <c r="GOI70" s="24"/>
      <c r="GOJ70" s="24"/>
      <c r="GOK70" s="24"/>
      <c r="GOL70" s="24"/>
      <c r="GOM70" s="24"/>
      <c r="GON70" s="24"/>
      <c r="GOO70" s="24"/>
      <c r="GOP70" s="24"/>
      <c r="GOQ70" s="24"/>
      <c r="GOR70" s="24"/>
      <c r="GOS70" s="24"/>
      <c r="GOT70" s="24"/>
      <c r="GOU70" s="24"/>
      <c r="GOV70" s="24"/>
      <c r="GOW70" s="24"/>
      <c r="GOX70" s="24"/>
      <c r="GOY70" s="24"/>
      <c r="GOZ70" s="24"/>
      <c r="GPA70" s="24"/>
      <c r="GPB70" s="24"/>
      <c r="GPC70" s="24"/>
      <c r="GPD70" s="24"/>
      <c r="GPE70" s="24"/>
      <c r="GPF70" s="24"/>
      <c r="GPG70" s="24"/>
      <c r="GPH70" s="24"/>
      <c r="GPI70" s="24"/>
      <c r="GPJ70" s="24"/>
      <c r="GPK70" s="24"/>
      <c r="GPL70" s="24"/>
      <c r="GPM70" s="24"/>
      <c r="GPN70" s="24"/>
      <c r="GPO70" s="24"/>
      <c r="GPP70" s="24"/>
      <c r="GPQ70" s="24"/>
      <c r="GPR70" s="24"/>
      <c r="GPS70" s="24"/>
      <c r="GPT70" s="24"/>
      <c r="GPU70" s="24"/>
      <c r="GPV70" s="24"/>
      <c r="GPW70" s="24"/>
      <c r="GPX70" s="24"/>
      <c r="GPY70" s="24"/>
      <c r="GPZ70" s="24"/>
      <c r="GQA70" s="24"/>
      <c r="GQB70" s="24"/>
      <c r="GQC70" s="24"/>
      <c r="GQD70" s="24"/>
      <c r="GQE70" s="24"/>
      <c r="GQF70" s="24"/>
      <c r="GQG70" s="24"/>
      <c r="GQH70" s="24"/>
      <c r="GQI70" s="24"/>
      <c r="GQJ70" s="24"/>
      <c r="GQK70" s="24"/>
      <c r="GQL70" s="24"/>
      <c r="GQM70" s="24"/>
      <c r="GQN70" s="24"/>
      <c r="GQO70" s="24"/>
      <c r="GQP70" s="24"/>
      <c r="GQQ70" s="24"/>
      <c r="GQR70" s="24"/>
      <c r="GQS70" s="24"/>
      <c r="GQT70" s="24"/>
      <c r="GQU70" s="24"/>
      <c r="GQV70" s="24"/>
      <c r="GQW70" s="24"/>
      <c r="GQX70" s="24"/>
      <c r="GQY70" s="24"/>
      <c r="GQZ70" s="24"/>
      <c r="GRA70" s="24"/>
      <c r="GRB70" s="24"/>
      <c r="GRC70" s="24"/>
      <c r="GRD70" s="24"/>
      <c r="GRE70" s="24"/>
      <c r="GRF70" s="24"/>
      <c r="GRG70" s="24"/>
      <c r="GRH70" s="24"/>
      <c r="GRI70" s="24"/>
      <c r="GRJ70" s="24"/>
      <c r="GRK70" s="24"/>
      <c r="GRL70" s="24"/>
      <c r="GRM70" s="24"/>
      <c r="GRN70" s="24"/>
      <c r="GRO70" s="24"/>
      <c r="GRP70" s="24"/>
      <c r="GRQ70" s="24"/>
      <c r="GRR70" s="24"/>
      <c r="GRS70" s="24"/>
      <c r="GRT70" s="24"/>
      <c r="GRU70" s="24"/>
      <c r="GRV70" s="24"/>
      <c r="GRW70" s="24"/>
      <c r="GRX70" s="24"/>
      <c r="GRY70" s="24"/>
      <c r="GRZ70" s="24"/>
      <c r="GSA70" s="24"/>
      <c r="GSB70" s="24"/>
      <c r="GSC70" s="24"/>
      <c r="GSD70" s="24"/>
      <c r="GSE70" s="24"/>
      <c r="GSF70" s="24"/>
      <c r="GSG70" s="24"/>
      <c r="GSH70" s="24"/>
      <c r="GSI70" s="24"/>
      <c r="GSJ70" s="24"/>
      <c r="GSK70" s="24"/>
      <c r="GSL70" s="24"/>
      <c r="GSM70" s="24"/>
      <c r="GSN70" s="24"/>
      <c r="GSO70" s="24"/>
      <c r="GSP70" s="24"/>
      <c r="GSQ70" s="24"/>
      <c r="GSR70" s="24"/>
      <c r="GSS70" s="24"/>
      <c r="GST70" s="24"/>
      <c r="GSU70" s="24"/>
      <c r="GSV70" s="24"/>
      <c r="GSW70" s="24"/>
      <c r="GSX70" s="24"/>
      <c r="GSY70" s="24"/>
      <c r="GSZ70" s="24"/>
      <c r="GTA70" s="24"/>
      <c r="GTB70" s="24"/>
      <c r="GTC70" s="24"/>
      <c r="GTD70" s="24"/>
      <c r="GTE70" s="24"/>
      <c r="GTF70" s="24"/>
      <c r="GTG70" s="24"/>
      <c r="GTH70" s="24"/>
      <c r="GTI70" s="24"/>
      <c r="GTJ70" s="24"/>
      <c r="GTK70" s="24"/>
      <c r="GTL70" s="24"/>
      <c r="GTM70" s="24"/>
      <c r="GTN70" s="24"/>
      <c r="GTO70" s="24"/>
      <c r="GTP70" s="24"/>
      <c r="GTQ70" s="24"/>
      <c r="GTR70" s="24"/>
      <c r="GTS70" s="24"/>
      <c r="GTT70" s="24"/>
      <c r="GTU70" s="24"/>
      <c r="GTV70" s="24"/>
      <c r="GTW70" s="24"/>
      <c r="GTX70" s="24"/>
      <c r="GTY70" s="24"/>
      <c r="GTZ70" s="24"/>
      <c r="GUA70" s="24"/>
      <c r="GUB70" s="24"/>
      <c r="GUC70" s="24"/>
      <c r="GUD70" s="24"/>
      <c r="GUE70" s="24"/>
      <c r="GUF70" s="24"/>
      <c r="GUG70" s="24"/>
      <c r="GUH70" s="24"/>
      <c r="GUI70" s="24"/>
      <c r="GUJ70" s="24"/>
      <c r="GUK70" s="24"/>
      <c r="GUL70" s="24"/>
      <c r="GUM70" s="24"/>
      <c r="GUN70" s="24"/>
      <c r="GUO70" s="24"/>
      <c r="GUP70" s="24"/>
      <c r="GUQ70" s="24"/>
      <c r="GUR70" s="24"/>
      <c r="GUS70" s="24"/>
      <c r="GUT70" s="24"/>
      <c r="GUU70" s="24"/>
      <c r="GUV70" s="24"/>
      <c r="GUW70" s="24"/>
      <c r="GUX70" s="24"/>
      <c r="GUY70" s="24"/>
      <c r="GUZ70" s="24"/>
      <c r="GVA70" s="24"/>
      <c r="GVB70" s="24"/>
      <c r="GVC70" s="24"/>
      <c r="GVD70" s="24"/>
      <c r="GVE70" s="24"/>
      <c r="GVF70" s="24"/>
      <c r="GVG70" s="24"/>
      <c r="GVH70" s="24"/>
      <c r="GVI70" s="24"/>
      <c r="GVJ70" s="24"/>
      <c r="GVK70" s="24"/>
      <c r="GVL70" s="24"/>
      <c r="GVM70" s="24"/>
      <c r="GVN70" s="24"/>
      <c r="GVO70" s="24"/>
      <c r="GVP70" s="24"/>
      <c r="GVQ70" s="24"/>
      <c r="GVR70" s="24"/>
      <c r="GVS70" s="24"/>
      <c r="GVT70" s="24"/>
      <c r="GVU70" s="24"/>
      <c r="GVV70" s="24"/>
      <c r="GVW70" s="24"/>
      <c r="GVX70" s="24"/>
      <c r="GVY70" s="24"/>
      <c r="GVZ70" s="24"/>
      <c r="GWA70" s="24"/>
      <c r="GWB70" s="24"/>
      <c r="GWC70" s="24"/>
      <c r="GWD70" s="24"/>
      <c r="GWE70" s="24"/>
      <c r="GWF70" s="24"/>
      <c r="GWG70" s="24"/>
      <c r="GWH70" s="24"/>
      <c r="GWI70" s="24"/>
      <c r="GWJ70" s="24"/>
      <c r="GWK70" s="24"/>
      <c r="GWL70" s="24"/>
      <c r="GWM70" s="24"/>
      <c r="GWN70" s="24"/>
      <c r="GWO70" s="24"/>
      <c r="GWP70" s="24"/>
      <c r="GWQ70" s="24"/>
      <c r="GWR70" s="24"/>
      <c r="GWS70" s="24"/>
      <c r="GWT70" s="24"/>
      <c r="GWU70" s="24"/>
      <c r="GWV70" s="24"/>
      <c r="GWW70" s="24"/>
      <c r="GWX70" s="24"/>
      <c r="GWY70" s="24"/>
      <c r="GWZ70" s="24"/>
      <c r="GXA70" s="24"/>
      <c r="GXB70" s="24"/>
      <c r="GXC70" s="24"/>
      <c r="GXD70" s="24"/>
      <c r="GXE70" s="24"/>
      <c r="GXF70" s="24"/>
      <c r="GXG70" s="24"/>
      <c r="GXH70" s="24"/>
      <c r="GXI70" s="24"/>
      <c r="GXJ70" s="24"/>
      <c r="GXK70" s="24"/>
      <c r="GXL70" s="24"/>
      <c r="GXM70" s="24"/>
      <c r="GXN70" s="24"/>
      <c r="GXO70" s="24"/>
      <c r="GXP70" s="24"/>
      <c r="GXQ70" s="24"/>
      <c r="GXR70" s="24"/>
      <c r="GXS70" s="24"/>
      <c r="GXT70" s="24"/>
      <c r="GXU70" s="24"/>
      <c r="GXV70" s="24"/>
      <c r="GXW70" s="24"/>
      <c r="GXX70" s="24"/>
      <c r="GXY70" s="24"/>
      <c r="GXZ70" s="24"/>
      <c r="GYA70" s="24"/>
      <c r="GYB70" s="24"/>
      <c r="GYC70" s="24"/>
      <c r="GYD70" s="24"/>
      <c r="GYE70" s="24"/>
      <c r="GYF70" s="24"/>
      <c r="GYG70" s="24"/>
      <c r="GYH70" s="24"/>
      <c r="GYI70" s="24"/>
      <c r="GYJ70" s="24"/>
      <c r="GYK70" s="24"/>
      <c r="GYL70" s="24"/>
      <c r="GYM70" s="24"/>
      <c r="GYN70" s="24"/>
      <c r="GYO70" s="24"/>
      <c r="GYP70" s="24"/>
      <c r="GYQ70" s="24"/>
      <c r="GYR70" s="24"/>
      <c r="GYS70" s="24"/>
      <c r="GYT70" s="24"/>
      <c r="GYU70" s="24"/>
      <c r="GYV70" s="24"/>
      <c r="GYW70" s="24"/>
      <c r="GYX70" s="24"/>
      <c r="GYY70" s="24"/>
      <c r="GYZ70" s="24"/>
      <c r="GZA70" s="24"/>
      <c r="GZB70" s="24"/>
      <c r="GZC70" s="24"/>
      <c r="GZD70" s="24"/>
      <c r="GZE70" s="24"/>
      <c r="GZF70" s="24"/>
      <c r="GZG70" s="24"/>
      <c r="GZH70" s="24"/>
      <c r="GZI70" s="24"/>
      <c r="GZJ70" s="24"/>
      <c r="GZK70" s="24"/>
      <c r="GZL70" s="24"/>
      <c r="GZM70" s="24"/>
      <c r="GZN70" s="24"/>
      <c r="GZO70" s="24"/>
      <c r="GZP70" s="24"/>
      <c r="GZQ70" s="24"/>
      <c r="GZR70" s="24"/>
      <c r="GZS70" s="24"/>
      <c r="GZT70" s="24"/>
      <c r="GZU70" s="24"/>
      <c r="GZV70" s="24"/>
      <c r="GZW70" s="24"/>
      <c r="GZX70" s="24"/>
      <c r="GZY70" s="24"/>
      <c r="GZZ70" s="24"/>
      <c r="HAA70" s="24"/>
      <c r="HAB70" s="24"/>
      <c r="HAC70" s="24"/>
      <c r="HAD70" s="24"/>
      <c r="HAE70" s="24"/>
      <c r="HAF70" s="24"/>
      <c r="HAG70" s="24"/>
      <c r="HAH70" s="24"/>
      <c r="HAI70" s="24"/>
      <c r="HAJ70" s="24"/>
      <c r="HAK70" s="24"/>
      <c r="HAL70" s="24"/>
      <c r="HAM70" s="24"/>
      <c r="HAN70" s="24"/>
      <c r="HAO70" s="24"/>
      <c r="HAP70" s="24"/>
      <c r="HAQ70" s="24"/>
      <c r="HAR70" s="24"/>
      <c r="HAS70" s="24"/>
      <c r="HAT70" s="24"/>
      <c r="HAU70" s="24"/>
      <c r="HAV70" s="24"/>
      <c r="HAW70" s="24"/>
      <c r="HAX70" s="24"/>
      <c r="HAY70" s="24"/>
      <c r="HAZ70" s="24"/>
      <c r="HBA70" s="24"/>
      <c r="HBB70" s="24"/>
      <c r="HBC70" s="24"/>
      <c r="HBD70" s="24"/>
      <c r="HBE70" s="24"/>
      <c r="HBF70" s="24"/>
      <c r="HBG70" s="24"/>
      <c r="HBH70" s="24"/>
      <c r="HBI70" s="24"/>
      <c r="HBJ70" s="24"/>
      <c r="HBK70" s="24"/>
      <c r="HBL70" s="24"/>
      <c r="HBM70" s="24"/>
      <c r="HBN70" s="24"/>
      <c r="HBO70" s="24"/>
      <c r="HBP70" s="24"/>
      <c r="HBQ70" s="24"/>
      <c r="HBR70" s="24"/>
      <c r="HBS70" s="24"/>
      <c r="HBT70" s="24"/>
      <c r="HBU70" s="24"/>
      <c r="HBV70" s="24"/>
      <c r="HBW70" s="24"/>
      <c r="HBX70" s="24"/>
      <c r="HBY70" s="24"/>
      <c r="HBZ70" s="24"/>
      <c r="HCA70" s="24"/>
      <c r="HCB70" s="24"/>
      <c r="HCC70" s="24"/>
      <c r="HCD70" s="24"/>
      <c r="HCE70" s="24"/>
      <c r="HCF70" s="24"/>
      <c r="HCG70" s="24"/>
      <c r="HCH70" s="24"/>
      <c r="HCI70" s="24"/>
      <c r="HCJ70" s="24"/>
      <c r="HCK70" s="24"/>
      <c r="HCL70" s="24"/>
      <c r="HCM70" s="24"/>
      <c r="HCN70" s="24"/>
      <c r="HCO70" s="24"/>
      <c r="HCP70" s="24"/>
      <c r="HCQ70" s="24"/>
      <c r="HCR70" s="24"/>
      <c r="HCS70" s="24"/>
      <c r="HCT70" s="24"/>
      <c r="HCU70" s="24"/>
      <c r="HCV70" s="24"/>
      <c r="HCW70" s="24"/>
      <c r="HCX70" s="24"/>
      <c r="HCY70" s="24"/>
      <c r="HCZ70" s="24"/>
      <c r="HDA70" s="24"/>
      <c r="HDB70" s="24"/>
      <c r="HDC70" s="24"/>
      <c r="HDD70" s="24"/>
      <c r="HDE70" s="24"/>
      <c r="HDF70" s="24"/>
      <c r="HDG70" s="24"/>
      <c r="HDH70" s="24"/>
      <c r="HDI70" s="24"/>
      <c r="HDJ70" s="24"/>
      <c r="HDK70" s="24"/>
      <c r="HDL70" s="24"/>
      <c r="HDM70" s="24"/>
      <c r="HDN70" s="24"/>
      <c r="HDO70" s="24"/>
      <c r="HDP70" s="24"/>
      <c r="HDQ70" s="24"/>
      <c r="HDR70" s="24"/>
      <c r="HDS70" s="24"/>
      <c r="HDT70" s="24"/>
      <c r="HDU70" s="24"/>
      <c r="HDV70" s="24"/>
      <c r="HDW70" s="24"/>
      <c r="HDX70" s="24"/>
      <c r="HDY70" s="24"/>
      <c r="HDZ70" s="24"/>
      <c r="HEA70" s="24"/>
      <c r="HEB70" s="24"/>
      <c r="HEC70" s="24"/>
      <c r="HED70" s="24"/>
      <c r="HEE70" s="24"/>
      <c r="HEF70" s="24"/>
      <c r="HEG70" s="24"/>
      <c r="HEH70" s="24"/>
      <c r="HEI70" s="24"/>
      <c r="HEJ70" s="24"/>
      <c r="HEK70" s="24"/>
      <c r="HEL70" s="24"/>
      <c r="HEM70" s="24"/>
      <c r="HEN70" s="24"/>
      <c r="HEO70" s="24"/>
      <c r="HEP70" s="24"/>
      <c r="HEQ70" s="24"/>
      <c r="HER70" s="24"/>
      <c r="HES70" s="24"/>
      <c r="HET70" s="24"/>
      <c r="HEU70" s="24"/>
      <c r="HEV70" s="24"/>
      <c r="HEW70" s="24"/>
      <c r="HEX70" s="24"/>
      <c r="HEY70" s="24"/>
      <c r="HEZ70" s="24"/>
      <c r="HFA70" s="24"/>
      <c r="HFB70" s="24"/>
      <c r="HFC70" s="24"/>
      <c r="HFD70" s="24"/>
      <c r="HFE70" s="24"/>
      <c r="HFF70" s="24"/>
      <c r="HFG70" s="24"/>
      <c r="HFH70" s="24"/>
      <c r="HFI70" s="24"/>
      <c r="HFJ70" s="24"/>
      <c r="HFK70" s="24"/>
      <c r="HFL70" s="24"/>
      <c r="HFM70" s="24"/>
      <c r="HFN70" s="24"/>
      <c r="HFO70" s="24"/>
      <c r="HFP70" s="24"/>
      <c r="HFQ70" s="24"/>
      <c r="HFR70" s="24"/>
      <c r="HFS70" s="24"/>
      <c r="HFT70" s="24"/>
      <c r="HFU70" s="24"/>
      <c r="HFV70" s="24"/>
      <c r="HFW70" s="24"/>
      <c r="HFX70" s="24"/>
      <c r="HFY70" s="24"/>
      <c r="HFZ70" s="24"/>
      <c r="HGA70" s="24"/>
      <c r="HGB70" s="24"/>
      <c r="HGC70" s="24"/>
      <c r="HGD70" s="24"/>
      <c r="HGE70" s="24"/>
      <c r="HGF70" s="24"/>
      <c r="HGG70" s="24"/>
      <c r="HGH70" s="24"/>
      <c r="HGI70" s="24"/>
      <c r="HGJ70" s="24"/>
      <c r="HGK70" s="24"/>
      <c r="HGL70" s="24"/>
      <c r="HGM70" s="24"/>
      <c r="HGN70" s="24"/>
      <c r="HGO70" s="24"/>
      <c r="HGP70" s="24"/>
      <c r="HGQ70" s="24"/>
      <c r="HGR70" s="24"/>
      <c r="HGS70" s="24"/>
      <c r="HGT70" s="24"/>
      <c r="HGU70" s="24"/>
      <c r="HGV70" s="24"/>
      <c r="HGW70" s="24"/>
      <c r="HGX70" s="24"/>
      <c r="HGY70" s="24"/>
      <c r="HGZ70" s="24"/>
      <c r="HHA70" s="24"/>
      <c r="HHB70" s="24"/>
      <c r="HHC70" s="24"/>
      <c r="HHD70" s="24"/>
      <c r="HHE70" s="24"/>
      <c r="HHF70" s="24"/>
      <c r="HHG70" s="24"/>
      <c r="HHH70" s="24"/>
      <c r="HHI70" s="24"/>
      <c r="HHJ70" s="24"/>
      <c r="HHK70" s="24"/>
      <c r="HHL70" s="24"/>
      <c r="HHM70" s="24"/>
      <c r="HHN70" s="24"/>
      <c r="HHO70" s="24"/>
      <c r="HHP70" s="24"/>
      <c r="HHQ70" s="24"/>
      <c r="HHR70" s="24"/>
      <c r="HHS70" s="24"/>
      <c r="HHT70" s="24"/>
      <c r="HHU70" s="24"/>
      <c r="HHV70" s="24"/>
      <c r="HHW70" s="24"/>
      <c r="HHX70" s="24"/>
      <c r="HHY70" s="24"/>
      <c r="HHZ70" s="24"/>
      <c r="HIA70" s="24"/>
      <c r="HIB70" s="24"/>
      <c r="HIC70" s="24"/>
      <c r="HID70" s="24"/>
      <c r="HIE70" s="24"/>
      <c r="HIF70" s="24"/>
      <c r="HIG70" s="24"/>
      <c r="HIH70" s="24"/>
      <c r="HII70" s="24"/>
      <c r="HIJ70" s="24"/>
      <c r="HIK70" s="24"/>
      <c r="HIL70" s="24"/>
      <c r="HIM70" s="24"/>
      <c r="HIN70" s="24"/>
      <c r="HIO70" s="24"/>
      <c r="HIP70" s="24"/>
      <c r="HIQ70" s="24"/>
      <c r="HIR70" s="24"/>
      <c r="HIS70" s="24"/>
      <c r="HIT70" s="24"/>
      <c r="HIU70" s="24"/>
      <c r="HIV70" s="24"/>
      <c r="HIW70" s="24"/>
      <c r="HIX70" s="24"/>
      <c r="HIY70" s="24"/>
      <c r="HIZ70" s="24"/>
      <c r="HJA70" s="24"/>
      <c r="HJB70" s="24"/>
      <c r="HJC70" s="24"/>
      <c r="HJD70" s="24"/>
      <c r="HJE70" s="24"/>
      <c r="HJF70" s="24"/>
      <c r="HJG70" s="24"/>
      <c r="HJH70" s="24"/>
      <c r="HJI70" s="24"/>
      <c r="HJJ70" s="24"/>
      <c r="HJK70" s="24"/>
      <c r="HJL70" s="24"/>
      <c r="HJM70" s="24"/>
      <c r="HJN70" s="24"/>
      <c r="HJO70" s="24"/>
      <c r="HJP70" s="24"/>
      <c r="HJQ70" s="24"/>
      <c r="HJR70" s="24"/>
      <c r="HJS70" s="24"/>
      <c r="HJT70" s="24"/>
      <c r="HJU70" s="24"/>
      <c r="HJV70" s="24"/>
      <c r="HJW70" s="24"/>
      <c r="HJX70" s="24"/>
      <c r="HJY70" s="24"/>
      <c r="HJZ70" s="24"/>
      <c r="HKA70" s="24"/>
      <c r="HKB70" s="24"/>
      <c r="HKC70" s="24"/>
      <c r="HKD70" s="24"/>
      <c r="HKE70" s="24"/>
      <c r="HKF70" s="24"/>
      <c r="HKG70" s="24"/>
      <c r="HKH70" s="24"/>
      <c r="HKI70" s="24"/>
      <c r="HKJ70" s="24"/>
      <c r="HKK70" s="24"/>
      <c r="HKL70" s="24"/>
      <c r="HKM70" s="24"/>
      <c r="HKN70" s="24"/>
      <c r="HKO70" s="24"/>
      <c r="HKP70" s="24"/>
      <c r="HKQ70" s="24"/>
      <c r="HKR70" s="24"/>
      <c r="HKS70" s="24"/>
      <c r="HKT70" s="24"/>
      <c r="HKU70" s="24"/>
      <c r="HKV70" s="24"/>
      <c r="HKW70" s="24"/>
      <c r="HKX70" s="24"/>
      <c r="HKY70" s="24"/>
      <c r="HKZ70" s="24"/>
      <c r="HLA70" s="24"/>
      <c r="HLB70" s="24"/>
      <c r="HLC70" s="24"/>
      <c r="HLD70" s="24"/>
      <c r="HLE70" s="24"/>
      <c r="HLF70" s="24"/>
      <c r="HLG70" s="24"/>
      <c r="HLH70" s="24"/>
      <c r="HLI70" s="24"/>
      <c r="HLJ70" s="24"/>
      <c r="HLK70" s="24"/>
      <c r="HLL70" s="24"/>
      <c r="HLM70" s="24"/>
      <c r="HLN70" s="24"/>
      <c r="HLO70" s="24"/>
      <c r="HLP70" s="24"/>
      <c r="HLQ70" s="24"/>
      <c r="HLR70" s="24"/>
      <c r="HLS70" s="24"/>
      <c r="HLT70" s="24"/>
      <c r="HLU70" s="24"/>
      <c r="HLV70" s="24"/>
      <c r="HLW70" s="24"/>
      <c r="HLX70" s="24"/>
      <c r="HLY70" s="24"/>
      <c r="HLZ70" s="24"/>
      <c r="HMA70" s="24"/>
      <c r="HMB70" s="24"/>
      <c r="HMC70" s="24"/>
      <c r="HMD70" s="24"/>
      <c r="HME70" s="24"/>
      <c r="HMF70" s="24"/>
      <c r="HMG70" s="24"/>
      <c r="HMH70" s="24"/>
      <c r="HMI70" s="24"/>
      <c r="HMJ70" s="24"/>
      <c r="HMK70" s="24"/>
      <c r="HML70" s="24"/>
      <c r="HMM70" s="24"/>
      <c r="HMN70" s="24"/>
      <c r="HMO70" s="24"/>
      <c r="HMP70" s="24"/>
      <c r="HMQ70" s="24"/>
      <c r="HMR70" s="24"/>
      <c r="HMS70" s="24"/>
      <c r="HMT70" s="24"/>
      <c r="HMU70" s="24"/>
      <c r="HMV70" s="24"/>
      <c r="HMW70" s="24"/>
      <c r="HMX70" s="24"/>
      <c r="HMY70" s="24"/>
      <c r="HMZ70" s="24"/>
      <c r="HNA70" s="24"/>
      <c r="HNB70" s="24"/>
      <c r="HNC70" s="24"/>
      <c r="HND70" s="24"/>
      <c r="HNE70" s="24"/>
      <c r="HNF70" s="24"/>
      <c r="HNG70" s="24"/>
      <c r="HNH70" s="24"/>
      <c r="HNI70" s="24"/>
      <c r="HNJ70" s="24"/>
      <c r="HNK70" s="24"/>
      <c r="HNL70" s="24"/>
      <c r="HNM70" s="24"/>
      <c r="HNN70" s="24"/>
      <c r="HNO70" s="24"/>
      <c r="HNP70" s="24"/>
      <c r="HNQ70" s="24"/>
      <c r="HNR70" s="24"/>
      <c r="HNS70" s="24"/>
      <c r="HNT70" s="24"/>
      <c r="HNU70" s="24"/>
      <c r="HNV70" s="24"/>
      <c r="HNW70" s="24"/>
      <c r="HNX70" s="24"/>
      <c r="HNY70" s="24"/>
      <c r="HNZ70" s="24"/>
      <c r="HOA70" s="24"/>
      <c r="HOB70" s="24"/>
      <c r="HOC70" s="24"/>
      <c r="HOD70" s="24"/>
      <c r="HOE70" s="24"/>
      <c r="HOF70" s="24"/>
      <c r="HOG70" s="24"/>
      <c r="HOH70" s="24"/>
      <c r="HOI70" s="24"/>
      <c r="HOJ70" s="24"/>
      <c r="HOK70" s="24"/>
      <c r="HOL70" s="24"/>
      <c r="HOM70" s="24"/>
      <c r="HON70" s="24"/>
      <c r="HOO70" s="24"/>
      <c r="HOP70" s="24"/>
      <c r="HOQ70" s="24"/>
      <c r="HOR70" s="24"/>
      <c r="HOS70" s="24"/>
      <c r="HOT70" s="24"/>
      <c r="HOU70" s="24"/>
      <c r="HOV70" s="24"/>
      <c r="HOW70" s="24"/>
      <c r="HOX70" s="24"/>
      <c r="HOY70" s="24"/>
      <c r="HOZ70" s="24"/>
      <c r="HPA70" s="24"/>
      <c r="HPB70" s="24"/>
      <c r="HPC70" s="24"/>
      <c r="HPD70" s="24"/>
      <c r="HPE70" s="24"/>
      <c r="HPF70" s="24"/>
      <c r="HPG70" s="24"/>
      <c r="HPH70" s="24"/>
      <c r="HPI70" s="24"/>
      <c r="HPJ70" s="24"/>
      <c r="HPK70" s="24"/>
      <c r="HPL70" s="24"/>
      <c r="HPM70" s="24"/>
      <c r="HPN70" s="24"/>
      <c r="HPO70" s="24"/>
      <c r="HPP70" s="24"/>
      <c r="HPQ70" s="24"/>
      <c r="HPR70" s="24"/>
      <c r="HPS70" s="24"/>
      <c r="HPT70" s="24"/>
      <c r="HPU70" s="24"/>
      <c r="HPV70" s="24"/>
      <c r="HPW70" s="24"/>
      <c r="HPX70" s="24"/>
      <c r="HPY70" s="24"/>
      <c r="HPZ70" s="24"/>
      <c r="HQA70" s="24"/>
      <c r="HQB70" s="24"/>
      <c r="HQC70" s="24"/>
      <c r="HQD70" s="24"/>
      <c r="HQE70" s="24"/>
      <c r="HQF70" s="24"/>
      <c r="HQG70" s="24"/>
      <c r="HQH70" s="24"/>
      <c r="HQI70" s="24"/>
      <c r="HQJ70" s="24"/>
      <c r="HQK70" s="24"/>
      <c r="HQL70" s="24"/>
      <c r="HQM70" s="24"/>
      <c r="HQN70" s="24"/>
      <c r="HQO70" s="24"/>
      <c r="HQP70" s="24"/>
      <c r="HQQ70" s="24"/>
      <c r="HQR70" s="24"/>
      <c r="HQS70" s="24"/>
      <c r="HQT70" s="24"/>
      <c r="HQU70" s="24"/>
      <c r="HQV70" s="24"/>
      <c r="HQW70" s="24"/>
      <c r="HQX70" s="24"/>
      <c r="HQY70" s="24"/>
      <c r="HQZ70" s="24"/>
      <c r="HRA70" s="24"/>
      <c r="HRB70" s="24"/>
      <c r="HRC70" s="24"/>
      <c r="HRD70" s="24"/>
      <c r="HRE70" s="24"/>
      <c r="HRF70" s="24"/>
      <c r="HRG70" s="24"/>
      <c r="HRH70" s="24"/>
      <c r="HRI70" s="24"/>
      <c r="HRJ70" s="24"/>
      <c r="HRK70" s="24"/>
      <c r="HRL70" s="24"/>
      <c r="HRM70" s="24"/>
      <c r="HRN70" s="24"/>
      <c r="HRO70" s="24"/>
      <c r="HRP70" s="24"/>
      <c r="HRQ70" s="24"/>
      <c r="HRR70" s="24"/>
      <c r="HRS70" s="24"/>
      <c r="HRT70" s="24"/>
      <c r="HRU70" s="24"/>
      <c r="HRV70" s="24"/>
      <c r="HRW70" s="24"/>
      <c r="HRX70" s="24"/>
      <c r="HRY70" s="24"/>
      <c r="HRZ70" s="24"/>
      <c r="HSA70" s="24"/>
      <c r="HSB70" s="24"/>
      <c r="HSC70" s="24"/>
      <c r="HSD70" s="24"/>
      <c r="HSE70" s="24"/>
      <c r="HSF70" s="24"/>
      <c r="HSG70" s="24"/>
      <c r="HSH70" s="24"/>
      <c r="HSI70" s="24"/>
      <c r="HSJ70" s="24"/>
      <c r="HSK70" s="24"/>
      <c r="HSL70" s="24"/>
      <c r="HSM70" s="24"/>
      <c r="HSN70" s="24"/>
      <c r="HSO70" s="24"/>
      <c r="HSP70" s="24"/>
      <c r="HSQ70" s="24"/>
      <c r="HSR70" s="24"/>
      <c r="HSS70" s="24"/>
      <c r="HST70" s="24"/>
      <c r="HSU70" s="24"/>
      <c r="HSV70" s="24"/>
      <c r="HSW70" s="24"/>
      <c r="HSX70" s="24"/>
      <c r="HSY70" s="24"/>
      <c r="HSZ70" s="24"/>
      <c r="HTA70" s="24"/>
      <c r="HTB70" s="24"/>
      <c r="HTC70" s="24"/>
      <c r="HTD70" s="24"/>
      <c r="HTE70" s="24"/>
      <c r="HTF70" s="24"/>
      <c r="HTG70" s="24"/>
      <c r="HTH70" s="24"/>
      <c r="HTI70" s="24"/>
      <c r="HTJ70" s="24"/>
      <c r="HTK70" s="24"/>
      <c r="HTL70" s="24"/>
      <c r="HTM70" s="24"/>
      <c r="HTN70" s="24"/>
      <c r="HTO70" s="24"/>
      <c r="HTP70" s="24"/>
      <c r="HTQ70" s="24"/>
      <c r="HTR70" s="24"/>
      <c r="HTS70" s="24"/>
      <c r="HTT70" s="24"/>
      <c r="HTU70" s="24"/>
      <c r="HTV70" s="24"/>
      <c r="HTW70" s="24"/>
      <c r="HTX70" s="24"/>
      <c r="HTY70" s="24"/>
      <c r="HTZ70" s="24"/>
      <c r="HUA70" s="24"/>
      <c r="HUB70" s="24"/>
      <c r="HUC70" s="24"/>
      <c r="HUD70" s="24"/>
      <c r="HUE70" s="24"/>
      <c r="HUF70" s="24"/>
      <c r="HUG70" s="24"/>
      <c r="HUH70" s="24"/>
      <c r="HUI70" s="24"/>
      <c r="HUJ70" s="24"/>
      <c r="HUK70" s="24"/>
      <c r="HUL70" s="24"/>
      <c r="HUM70" s="24"/>
      <c r="HUN70" s="24"/>
      <c r="HUO70" s="24"/>
      <c r="HUP70" s="24"/>
      <c r="HUQ70" s="24"/>
      <c r="HUR70" s="24"/>
      <c r="HUS70" s="24"/>
      <c r="HUT70" s="24"/>
      <c r="HUU70" s="24"/>
      <c r="HUV70" s="24"/>
      <c r="HUW70" s="24"/>
      <c r="HUX70" s="24"/>
      <c r="HUY70" s="24"/>
      <c r="HUZ70" s="24"/>
      <c r="HVA70" s="24"/>
      <c r="HVB70" s="24"/>
      <c r="HVC70" s="24"/>
      <c r="HVD70" s="24"/>
      <c r="HVE70" s="24"/>
      <c r="HVF70" s="24"/>
      <c r="HVG70" s="24"/>
      <c r="HVH70" s="24"/>
      <c r="HVI70" s="24"/>
      <c r="HVJ70" s="24"/>
      <c r="HVK70" s="24"/>
      <c r="HVL70" s="24"/>
      <c r="HVM70" s="24"/>
      <c r="HVN70" s="24"/>
      <c r="HVO70" s="24"/>
      <c r="HVP70" s="24"/>
      <c r="HVQ70" s="24"/>
      <c r="HVR70" s="24"/>
      <c r="HVS70" s="24"/>
      <c r="HVT70" s="24"/>
      <c r="HVU70" s="24"/>
      <c r="HVV70" s="24"/>
      <c r="HVW70" s="24"/>
      <c r="HVX70" s="24"/>
      <c r="HVY70" s="24"/>
      <c r="HVZ70" s="24"/>
      <c r="HWA70" s="24"/>
      <c r="HWB70" s="24"/>
      <c r="HWC70" s="24"/>
      <c r="HWD70" s="24"/>
      <c r="HWE70" s="24"/>
      <c r="HWF70" s="24"/>
      <c r="HWG70" s="24"/>
      <c r="HWH70" s="24"/>
      <c r="HWI70" s="24"/>
      <c r="HWJ70" s="24"/>
      <c r="HWK70" s="24"/>
      <c r="HWL70" s="24"/>
      <c r="HWM70" s="24"/>
      <c r="HWN70" s="24"/>
      <c r="HWO70" s="24"/>
      <c r="HWP70" s="24"/>
      <c r="HWQ70" s="24"/>
      <c r="HWR70" s="24"/>
      <c r="HWS70" s="24"/>
      <c r="HWT70" s="24"/>
      <c r="HWU70" s="24"/>
      <c r="HWV70" s="24"/>
      <c r="HWW70" s="24"/>
      <c r="HWX70" s="24"/>
      <c r="HWY70" s="24"/>
      <c r="HWZ70" s="24"/>
      <c r="HXA70" s="24"/>
      <c r="HXB70" s="24"/>
      <c r="HXC70" s="24"/>
      <c r="HXD70" s="24"/>
      <c r="HXE70" s="24"/>
      <c r="HXF70" s="24"/>
      <c r="HXG70" s="24"/>
      <c r="HXH70" s="24"/>
      <c r="HXI70" s="24"/>
      <c r="HXJ70" s="24"/>
      <c r="HXK70" s="24"/>
      <c r="HXL70" s="24"/>
      <c r="HXM70" s="24"/>
      <c r="HXN70" s="24"/>
      <c r="HXO70" s="24"/>
      <c r="HXP70" s="24"/>
      <c r="HXQ70" s="24"/>
      <c r="HXR70" s="24"/>
      <c r="HXS70" s="24"/>
      <c r="HXT70" s="24"/>
      <c r="HXU70" s="24"/>
      <c r="HXV70" s="24"/>
      <c r="HXW70" s="24"/>
      <c r="HXX70" s="24"/>
      <c r="HXY70" s="24"/>
      <c r="HXZ70" s="24"/>
      <c r="HYA70" s="24"/>
      <c r="HYB70" s="24"/>
      <c r="HYC70" s="24"/>
      <c r="HYD70" s="24"/>
      <c r="HYE70" s="24"/>
      <c r="HYF70" s="24"/>
      <c r="HYG70" s="24"/>
      <c r="HYH70" s="24"/>
      <c r="HYI70" s="24"/>
      <c r="HYJ70" s="24"/>
      <c r="HYK70" s="24"/>
      <c r="HYL70" s="24"/>
      <c r="HYM70" s="24"/>
      <c r="HYN70" s="24"/>
      <c r="HYO70" s="24"/>
      <c r="HYP70" s="24"/>
      <c r="HYQ70" s="24"/>
      <c r="HYR70" s="24"/>
      <c r="HYS70" s="24"/>
      <c r="HYT70" s="24"/>
      <c r="HYU70" s="24"/>
      <c r="HYV70" s="24"/>
      <c r="HYW70" s="24"/>
      <c r="HYX70" s="24"/>
      <c r="HYY70" s="24"/>
      <c r="HYZ70" s="24"/>
      <c r="HZA70" s="24"/>
      <c r="HZB70" s="24"/>
      <c r="HZC70" s="24"/>
      <c r="HZD70" s="24"/>
      <c r="HZE70" s="24"/>
      <c r="HZF70" s="24"/>
      <c r="HZG70" s="24"/>
      <c r="HZH70" s="24"/>
      <c r="HZI70" s="24"/>
      <c r="HZJ70" s="24"/>
      <c r="HZK70" s="24"/>
      <c r="HZL70" s="24"/>
      <c r="HZM70" s="24"/>
      <c r="HZN70" s="24"/>
      <c r="HZO70" s="24"/>
      <c r="HZP70" s="24"/>
      <c r="HZQ70" s="24"/>
      <c r="HZR70" s="24"/>
      <c r="HZS70" s="24"/>
      <c r="HZT70" s="24"/>
      <c r="HZU70" s="24"/>
      <c r="HZV70" s="24"/>
      <c r="HZW70" s="24"/>
      <c r="HZX70" s="24"/>
      <c r="HZY70" s="24"/>
      <c r="HZZ70" s="24"/>
      <c r="IAA70" s="24"/>
      <c r="IAB70" s="24"/>
      <c r="IAC70" s="24"/>
      <c r="IAD70" s="24"/>
      <c r="IAE70" s="24"/>
      <c r="IAF70" s="24"/>
      <c r="IAG70" s="24"/>
      <c r="IAH70" s="24"/>
      <c r="IAI70" s="24"/>
      <c r="IAJ70" s="24"/>
      <c r="IAK70" s="24"/>
      <c r="IAL70" s="24"/>
      <c r="IAM70" s="24"/>
      <c r="IAN70" s="24"/>
      <c r="IAO70" s="24"/>
      <c r="IAP70" s="24"/>
      <c r="IAQ70" s="24"/>
      <c r="IAR70" s="24"/>
      <c r="IAS70" s="24"/>
      <c r="IAT70" s="24"/>
      <c r="IAU70" s="24"/>
      <c r="IAV70" s="24"/>
      <c r="IAW70" s="24"/>
      <c r="IAX70" s="24"/>
      <c r="IAY70" s="24"/>
      <c r="IAZ70" s="24"/>
      <c r="IBA70" s="24"/>
      <c r="IBB70" s="24"/>
      <c r="IBC70" s="24"/>
      <c r="IBD70" s="24"/>
      <c r="IBE70" s="24"/>
      <c r="IBF70" s="24"/>
      <c r="IBG70" s="24"/>
      <c r="IBH70" s="24"/>
      <c r="IBI70" s="24"/>
      <c r="IBJ70" s="24"/>
      <c r="IBK70" s="24"/>
      <c r="IBL70" s="24"/>
      <c r="IBM70" s="24"/>
      <c r="IBN70" s="24"/>
      <c r="IBO70" s="24"/>
      <c r="IBP70" s="24"/>
      <c r="IBQ70" s="24"/>
      <c r="IBR70" s="24"/>
      <c r="IBS70" s="24"/>
      <c r="IBT70" s="24"/>
      <c r="IBU70" s="24"/>
      <c r="IBV70" s="24"/>
      <c r="IBW70" s="24"/>
      <c r="IBX70" s="24"/>
      <c r="IBY70" s="24"/>
      <c r="IBZ70" s="24"/>
      <c r="ICA70" s="24"/>
      <c r="ICB70" s="24"/>
      <c r="ICC70" s="24"/>
      <c r="ICD70" s="24"/>
      <c r="ICE70" s="24"/>
      <c r="ICF70" s="24"/>
      <c r="ICG70" s="24"/>
      <c r="ICH70" s="24"/>
      <c r="ICI70" s="24"/>
      <c r="ICJ70" s="24"/>
      <c r="ICK70" s="24"/>
      <c r="ICL70" s="24"/>
      <c r="ICM70" s="24"/>
      <c r="ICN70" s="24"/>
      <c r="ICO70" s="24"/>
      <c r="ICP70" s="24"/>
      <c r="ICQ70" s="24"/>
      <c r="ICR70" s="24"/>
      <c r="ICS70" s="24"/>
      <c r="ICT70" s="24"/>
      <c r="ICU70" s="24"/>
      <c r="ICV70" s="24"/>
      <c r="ICW70" s="24"/>
      <c r="ICX70" s="24"/>
      <c r="ICY70" s="24"/>
      <c r="ICZ70" s="24"/>
      <c r="IDA70" s="24"/>
      <c r="IDB70" s="24"/>
      <c r="IDC70" s="24"/>
      <c r="IDD70" s="24"/>
      <c r="IDE70" s="24"/>
      <c r="IDF70" s="24"/>
      <c r="IDG70" s="24"/>
      <c r="IDH70" s="24"/>
      <c r="IDI70" s="24"/>
      <c r="IDJ70" s="24"/>
      <c r="IDK70" s="24"/>
      <c r="IDL70" s="24"/>
      <c r="IDM70" s="24"/>
      <c r="IDN70" s="24"/>
      <c r="IDO70" s="24"/>
      <c r="IDP70" s="24"/>
      <c r="IDQ70" s="24"/>
      <c r="IDR70" s="24"/>
      <c r="IDS70" s="24"/>
      <c r="IDT70" s="24"/>
      <c r="IDU70" s="24"/>
      <c r="IDV70" s="24"/>
      <c r="IDW70" s="24"/>
      <c r="IDX70" s="24"/>
      <c r="IDY70" s="24"/>
      <c r="IDZ70" s="24"/>
      <c r="IEA70" s="24"/>
      <c r="IEB70" s="24"/>
      <c r="IEC70" s="24"/>
      <c r="IED70" s="24"/>
      <c r="IEE70" s="24"/>
      <c r="IEF70" s="24"/>
      <c r="IEG70" s="24"/>
      <c r="IEH70" s="24"/>
      <c r="IEI70" s="24"/>
      <c r="IEJ70" s="24"/>
      <c r="IEK70" s="24"/>
      <c r="IEL70" s="24"/>
      <c r="IEM70" s="24"/>
      <c r="IEN70" s="24"/>
      <c r="IEO70" s="24"/>
      <c r="IEP70" s="24"/>
      <c r="IEQ70" s="24"/>
      <c r="IER70" s="24"/>
      <c r="IES70" s="24"/>
      <c r="IET70" s="24"/>
      <c r="IEU70" s="24"/>
      <c r="IEV70" s="24"/>
      <c r="IEW70" s="24"/>
      <c r="IEX70" s="24"/>
      <c r="IEY70" s="24"/>
      <c r="IEZ70" s="24"/>
      <c r="IFA70" s="24"/>
      <c r="IFB70" s="24"/>
      <c r="IFC70" s="24"/>
      <c r="IFD70" s="24"/>
      <c r="IFE70" s="24"/>
      <c r="IFF70" s="24"/>
      <c r="IFG70" s="24"/>
      <c r="IFH70" s="24"/>
      <c r="IFI70" s="24"/>
      <c r="IFJ70" s="24"/>
      <c r="IFK70" s="24"/>
      <c r="IFL70" s="24"/>
      <c r="IFM70" s="24"/>
      <c r="IFN70" s="24"/>
      <c r="IFO70" s="24"/>
      <c r="IFP70" s="24"/>
      <c r="IFQ70" s="24"/>
      <c r="IFR70" s="24"/>
      <c r="IFS70" s="24"/>
      <c r="IFT70" s="24"/>
      <c r="IFU70" s="24"/>
      <c r="IFV70" s="24"/>
      <c r="IFW70" s="24"/>
      <c r="IFX70" s="24"/>
      <c r="IFY70" s="24"/>
      <c r="IFZ70" s="24"/>
      <c r="IGA70" s="24"/>
      <c r="IGB70" s="24"/>
      <c r="IGC70" s="24"/>
      <c r="IGD70" s="24"/>
      <c r="IGE70" s="24"/>
      <c r="IGF70" s="24"/>
      <c r="IGG70" s="24"/>
      <c r="IGH70" s="24"/>
      <c r="IGI70" s="24"/>
      <c r="IGJ70" s="24"/>
      <c r="IGK70" s="24"/>
      <c r="IGL70" s="24"/>
      <c r="IGM70" s="24"/>
      <c r="IGN70" s="24"/>
      <c r="IGO70" s="24"/>
      <c r="IGP70" s="24"/>
      <c r="IGQ70" s="24"/>
      <c r="IGR70" s="24"/>
      <c r="IGS70" s="24"/>
      <c r="IGT70" s="24"/>
      <c r="IGU70" s="24"/>
      <c r="IGV70" s="24"/>
      <c r="IGW70" s="24"/>
      <c r="IGX70" s="24"/>
      <c r="IGY70" s="24"/>
      <c r="IGZ70" s="24"/>
      <c r="IHA70" s="24"/>
      <c r="IHB70" s="24"/>
      <c r="IHC70" s="24"/>
      <c r="IHD70" s="24"/>
      <c r="IHE70" s="24"/>
      <c r="IHF70" s="24"/>
      <c r="IHG70" s="24"/>
      <c r="IHH70" s="24"/>
      <c r="IHI70" s="24"/>
      <c r="IHJ70" s="24"/>
      <c r="IHK70" s="24"/>
      <c r="IHL70" s="24"/>
      <c r="IHM70" s="24"/>
      <c r="IHN70" s="24"/>
      <c r="IHO70" s="24"/>
      <c r="IHP70" s="24"/>
      <c r="IHQ70" s="24"/>
      <c r="IHR70" s="24"/>
      <c r="IHS70" s="24"/>
      <c r="IHT70" s="24"/>
      <c r="IHU70" s="24"/>
      <c r="IHV70" s="24"/>
      <c r="IHW70" s="24"/>
      <c r="IHX70" s="24"/>
      <c r="IHY70" s="24"/>
      <c r="IHZ70" s="24"/>
      <c r="IIA70" s="24"/>
      <c r="IIB70" s="24"/>
      <c r="IIC70" s="24"/>
      <c r="IID70" s="24"/>
      <c r="IIE70" s="24"/>
      <c r="IIF70" s="24"/>
      <c r="IIG70" s="24"/>
      <c r="IIH70" s="24"/>
      <c r="III70" s="24"/>
      <c r="IIJ70" s="24"/>
      <c r="IIK70" s="24"/>
      <c r="IIL70" s="24"/>
      <c r="IIM70" s="24"/>
      <c r="IIN70" s="24"/>
      <c r="IIO70" s="24"/>
      <c r="IIP70" s="24"/>
      <c r="IIQ70" s="24"/>
      <c r="IIR70" s="24"/>
      <c r="IIS70" s="24"/>
      <c r="IIT70" s="24"/>
      <c r="IIU70" s="24"/>
      <c r="IIV70" s="24"/>
      <c r="IIW70" s="24"/>
      <c r="IIX70" s="24"/>
      <c r="IIY70" s="24"/>
      <c r="IIZ70" s="24"/>
      <c r="IJA70" s="24"/>
      <c r="IJB70" s="24"/>
      <c r="IJC70" s="24"/>
      <c r="IJD70" s="24"/>
      <c r="IJE70" s="24"/>
      <c r="IJF70" s="24"/>
      <c r="IJG70" s="24"/>
      <c r="IJH70" s="24"/>
      <c r="IJI70" s="24"/>
      <c r="IJJ70" s="24"/>
      <c r="IJK70" s="24"/>
      <c r="IJL70" s="24"/>
      <c r="IJM70" s="24"/>
      <c r="IJN70" s="24"/>
      <c r="IJO70" s="24"/>
      <c r="IJP70" s="24"/>
      <c r="IJQ70" s="24"/>
      <c r="IJR70" s="24"/>
      <c r="IJS70" s="24"/>
      <c r="IJT70" s="24"/>
      <c r="IJU70" s="24"/>
      <c r="IJV70" s="24"/>
      <c r="IJW70" s="24"/>
      <c r="IJX70" s="24"/>
      <c r="IJY70" s="24"/>
      <c r="IJZ70" s="24"/>
      <c r="IKA70" s="24"/>
      <c r="IKB70" s="24"/>
      <c r="IKC70" s="24"/>
      <c r="IKD70" s="24"/>
      <c r="IKE70" s="24"/>
      <c r="IKF70" s="24"/>
      <c r="IKG70" s="24"/>
      <c r="IKH70" s="24"/>
      <c r="IKI70" s="24"/>
      <c r="IKJ70" s="24"/>
      <c r="IKK70" s="24"/>
      <c r="IKL70" s="24"/>
      <c r="IKM70" s="24"/>
      <c r="IKN70" s="24"/>
      <c r="IKO70" s="24"/>
      <c r="IKP70" s="24"/>
      <c r="IKQ70" s="24"/>
      <c r="IKR70" s="24"/>
      <c r="IKS70" s="24"/>
      <c r="IKT70" s="24"/>
      <c r="IKU70" s="24"/>
      <c r="IKV70" s="24"/>
      <c r="IKW70" s="24"/>
      <c r="IKX70" s="24"/>
      <c r="IKY70" s="24"/>
      <c r="IKZ70" s="24"/>
      <c r="ILA70" s="24"/>
      <c r="ILB70" s="24"/>
      <c r="ILC70" s="24"/>
      <c r="ILD70" s="24"/>
      <c r="ILE70" s="24"/>
      <c r="ILF70" s="24"/>
      <c r="ILG70" s="24"/>
      <c r="ILH70" s="24"/>
      <c r="ILI70" s="24"/>
      <c r="ILJ70" s="24"/>
      <c r="ILK70" s="24"/>
      <c r="ILL70" s="24"/>
      <c r="ILM70" s="24"/>
      <c r="ILN70" s="24"/>
      <c r="ILO70" s="24"/>
      <c r="ILP70" s="24"/>
      <c r="ILQ70" s="24"/>
      <c r="ILR70" s="24"/>
      <c r="ILS70" s="24"/>
      <c r="ILT70" s="24"/>
      <c r="ILU70" s="24"/>
      <c r="ILV70" s="24"/>
      <c r="ILW70" s="24"/>
      <c r="ILX70" s="24"/>
      <c r="ILY70" s="24"/>
      <c r="ILZ70" s="24"/>
      <c r="IMA70" s="24"/>
      <c r="IMB70" s="24"/>
      <c r="IMC70" s="24"/>
      <c r="IMD70" s="24"/>
      <c r="IME70" s="24"/>
      <c r="IMF70" s="24"/>
      <c r="IMG70" s="24"/>
      <c r="IMH70" s="24"/>
      <c r="IMI70" s="24"/>
      <c r="IMJ70" s="24"/>
      <c r="IMK70" s="24"/>
      <c r="IML70" s="24"/>
      <c r="IMM70" s="24"/>
      <c r="IMN70" s="24"/>
      <c r="IMO70" s="24"/>
      <c r="IMP70" s="24"/>
      <c r="IMQ70" s="24"/>
      <c r="IMR70" s="24"/>
      <c r="IMS70" s="24"/>
      <c r="IMT70" s="24"/>
      <c r="IMU70" s="24"/>
      <c r="IMV70" s="24"/>
      <c r="IMW70" s="24"/>
      <c r="IMX70" s="24"/>
      <c r="IMY70" s="24"/>
      <c r="IMZ70" s="24"/>
      <c r="INA70" s="24"/>
      <c r="INB70" s="24"/>
      <c r="INC70" s="24"/>
      <c r="IND70" s="24"/>
      <c r="INE70" s="24"/>
      <c r="INF70" s="24"/>
      <c r="ING70" s="24"/>
      <c r="INH70" s="24"/>
      <c r="INI70" s="24"/>
      <c r="INJ70" s="24"/>
      <c r="INK70" s="24"/>
      <c r="INL70" s="24"/>
      <c r="INM70" s="24"/>
      <c r="INN70" s="24"/>
      <c r="INO70" s="24"/>
      <c r="INP70" s="24"/>
      <c r="INQ70" s="24"/>
      <c r="INR70" s="24"/>
      <c r="INS70" s="24"/>
      <c r="INT70" s="24"/>
      <c r="INU70" s="24"/>
      <c r="INV70" s="24"/>
      <c r="INW70" s="24"/>
      <c r="INX70" s="24"/>
      <c r="INY70" s="24"/>
      <c r="INZ70" s="24"/>
      <c r="IOA70" s="24"/>
      <c r="IOB70" s="24"/>
      <c r="IOC70" s="24"/>
      <c r="IOD70" s="24"/>
      <c r="IOE70" s="24"/>
      <c r="IOF70" s="24"/>
      <c r="IOG70" s="24"/>
      <c r="IOH70" s="24"/>
      <c r="IOI70" s="24"/>
      <c r="IOJ70" s="24"/>
      <c r="IOK70" s="24"/>
      <c r="IOL70" s="24"/>
      <c r="IOM70" s="24"/>
      <c r="ION70" s="24"/>
      <c r="IOO70" s="24"/>
      <c r="IOP70" s="24"/>
      <c r="IOQ70" s="24"/>
      <c r="IOR70" s="24"/>
      <c r="IOS70" s="24"/>
      <c r="IOT70" s="24"/>
      <c r="IOU70" s="24"/>
      <c r="IOV70" s="24"/>
      <c r="IOW70" s="24"/>
      <c r="IOX70" s="24"/>
      <c r="IOY70" s="24"/>
      <c r="IOZ70" s="24"/>
      <c r="IPA70" s="24"/>
      <c r="IPB70" s="24"/>
      <c r="IPC70" s="24"/>
      <c r="IPD70" s="24"/>
      <c r="IPE70" s="24"/>
      <c r="IPF70" s="24"/>
      <c r="IPG70" s="24"/>
      <c r="IPH70" s="24"/>
      <c r="IPI70" s="24"/>
      <c r="IPJ70" s="24"/>
      <c r="IPK70" s="24"/>
      <c r="IPL70" s="24"/>
      <c r="IPM70" s="24"/>
      <c r="IPN70" s="24"/>
      <c r="IPO70" s="24"/>
      <c r="IPP70" s="24"/>
      <c r="IPQ70" s="24"/>
      <c r="IPR70" s="24"/>
      <c r="IPS70" s="24"/>
      <c r="IPT70" s="24"/>
      <c r="IPU70" s="24"/>
      <c r="IPV70" s="24"/>
      <c r="IPW70" s="24"/>
      <c r="IPX70" s="24"/>
      <c r="IPY70" s="24"/>
      <c r="IPZ70" s="24"/>
      <c r="IQA70" s="24"/>
      <c r="IQB70" s="24"/>
      <c r="IQC70" s="24"/>
      <c r="IQD70" s="24"/>
      <c r="IQE70" s="24"/>
      <c r="IQF70" s="24"/>
      <c r="IQG70" s="24"/>
      <c r="IQH70" s="24"/>
      <c r="IQI70" s="24"/>
      <c r="IQJ70" s="24"/>
      <c r="IQK70" s="24"/>
      <c r="IQL70" s="24"/>
      <c r="IQM70" s="24"/>
      <c r="IQN70" s="24"/>
      <c r="IQO70" s="24"/>
      <c r="IQP70" s="24"/>
      <c r="IQQ70" s="24"/>
      <c r="IQR70" s="24"/>
      <c r="IQS70" s="24"/>
      <c r="IQT70" s="24"/>
      <c r="IQU70" s="24"/>
      <c r="IQV70" s="24"/>
      <c r="IQW70" s="24"/>
      <c r="IQX70" s="24"/>
      <c r="IQY70" s="24"/>
      <c r="IQZ70" s="24"/>
      <c r="IRA70" s="24"/>
      <c r="IRB70" s="24"/>
      <c r="IRC70" s="24"/>
      <c r="IRD70" s="24"/>
      <c r="IRE70" s="24"/>
      <c r="IRF70" s="24"/>
      <c r="IRG70" s="24"/>
      <c r="IRH70" s="24"/>
      <c r="IRI70" s="24"/>
      <c r="IRJ70" s="24"/>
      <c r="IRK70" s="24"/>
      <c r="IRL70" s="24"/>
      <c r="IRM70" s="24"/>
      <c r="IRN70" s="24"/>
      <c r="IRO70" s="24"/>
      <c r="IRP70" s="24"/>
      <c r="IRQ70" s="24"/>
      <c r="IRR70" s="24"/>
      <c r="IRS70" s="24"/>
      <c r="IRT70" s="24"/>
      <c r="IRU70" s="24"/>
      <c r="IRV70" s="24"/>
      <c r="IRW70" s="24"/>
      <c r="IRX70" s="24"/>
      <c r="IRY70" s="24"/>
      <c r="IRZ70" s="24"/>
      <c r="ISA70" s="24"/>
      <c r="ISB70" s="24"/>
      <c r="ISC70" s="24"/>
      <c r="ISD70" s="24"/>
      <c r="ISE70" s="24"/>
      <c r="ISF70" s="24"/>
      <c r="ISG70" s="24"/>
      <c r="ISH70" s="24"/>
      <c r="ISI70" s="24"/>
      <c r="ISJ70" s="24"/>
      <c r="ISK70" s="24"/>
      <c r="ISL70" s="24"/>
      <c r="ISM70" s="24"/>
      <c r="ISN70" s="24"/>
      <c r="ISO70" s="24"/>
      <c r="ISP70" s="24"/>
      <c r="ISQ70" s="24"/>
      <c r="ISR70" s="24"/>
      <c r="ISS70" s="24"/>
      <c r="IST70" s="24"/>
      <c r="ISU70" s="24"/>
      <c r="ISV70" s="24"/>
      <c r="ISW70" s="24"/>
      <c r="ISX70" s="24"/>
      <c r="ISY70" s="24"/>
      <c r="ISZ70" s="24"/>
      <c r="ITA70" s="24"/>
      <c r="ITB70" s="24"/>
      <c r="ITC70" s="24"/>
      <c r="ITD70" s="24"/>
      <c r="ITE70" s="24"/>
      <c r="ITF70" s="24"/>
      <c r="ITG70" s="24"/>
      <c r="ITH70" s="24"/>
      <c r="ITI70" s="24"/>
      <c r="ITJ70" s="24"/>
      <c r="ITK70" s="24"/>
      <c r="ITL70" s="24"/>
      <c r="ITM70" s="24"/>
      <c r="ITN70" s="24"/>
      <c r="ITO70" s="24"/>
      <c r="ITP70" s="24"/>
      <c r="ITQ70" s="24"/>
      <c r="ITR70" s="24"/>
      <c r="ITS70" s="24"/>
      <c r="ITT70" s="24"/>
      <c r="ITU70" s="24"/>
      <c r="ITV70" s="24"/>
      <c r="ITW70" s="24"/>
      <c r="ITX70" s="24"/>
      <c r="ITY70" s="24"/>
      <c r="ITZ70" s="24"/>
      <c r="IUA70" s="24"/>
      <c r="IUB70" s="24"/>
      <c r="IUC70" s="24"/>
      <c r="IUD70" s="24"/>
      <c r="IUE70" s="24"/>
      <c r="IUF70" s="24"/>
      <c r="IUG70" s="24"/>
      <c r="IUH70" s="24"/>
      <c r="IUI70" s="24"/>
      <c r="IUJ70" s="24"/>
      <c r="IUK70" s="24"/>
      <c r="IUL70" s="24"/>
      <c r="IUM70" s="24"/>
      <c r="IUN70" s="24"/>
      <c r="IUO70" s="24"/>
      <c r="IUP70" s="24"/>
      <c r="IUQ70" s="24"/>
      <c r="IUR70" s="24"/>
      <c r="IUS70" s="24"/>
      <c r="IUT70" s="24"/>
      <c r="IUU70" s="24"/>
      <c r="IUV70" s="24"/>
      <c r="IUW70" s="24"/>
      <c r="IUX70" s="24"/>
      <c r="IUY70" s="24"/>
      <c r="IUZ70" s="24"/>
      <c r="IVA70" s="24"/>
      <c r="IVB70" s="24"/>
      <c r="IVC70" s="24"/>
      <c r="IVD70" s="24"/>
      <c r="IVE70" s="24"/>
      <c r="IVF70" s="24"/>
      <c r="IVG70" s="24"/>
      <c r="IVH70" s="24"/>
      <c r="IVI70" s="24"/>
      <c r="IVJ70" s="24"/>
      <c r="IVK70" s="24"/>
      <c r="IVL70" s="24"/>
      <c r="IVM70" s="24"/>
      <c r="IVN70" s="24"/>
      <c r="IVO70" s="24"/>
      <c r="IVP70" s="24"/>
      <c r="IVQ70" s="24"/>
      <c r="IVR70" s="24"/>
      <c r="IVS70" s="24"/>
      <c r="IVT70" s="24"/>
      <c r="IVU70" s="24"/>
      <c r="IVV70" s="24"/>
      <c r="IVW70" s="24"/>
      <c r="IVX70" s="24"/>
      <c r="IVY70" s="24"/>
      <c r="IVZ70" s="24"/>
      <c r="IWA70" s="24"/>
      <c r="IWB70" s="24"/>
      <c r="IWC70" s="24"/>
      <c r="IWD70" s="24"/>
      <c r="IWE70" s="24"/>
      <c r="IWF70" s="24"/>
      <c r="IWG70" s="24"/>
      <c r="IWH70" s="24"/>
      <c r="IWI70" s="24"/>
      <c r="IWJ70" s="24"/>
      <c r="IWK70" s="24"/>
      <c r="IWL70" s="24"/>
      <c r="IWM70" s="24"/>
      <c r="IWN70" s="24"/>
      <c r="IWO70" s="24"/>
      <c r="IWP70" s="24"/>
      <c r="IWQ70" s="24"/>
      <c r="IWR70" s="24"/>
      <c r="IWS70" s="24"/>
      <c r="IWT70" s="24"/>
      <c r="IWU70" s="24"/>
      <c r="IWV70" s="24"/>
      <c r="IWW70" s="24"/>
      <c r="IWX70" s="24"/>
      <c r="IWY70" s="24"/>
      <c r="IWZ70" s="24"/>
      <c r="IXA70" s="24"/>
      <c r="IXB70" s="24"/>
      <c r="IXC70" s="24"/>
      <c r="IXD70" s="24"/>
      <c r="IXE70" s="24"/>
      <c r="IXF70" s="24"/>
      <c r="IXG70" s="24"/>
      <c r="IXH70" s="24"/>
      <c r="IXI70" s="24"/>
      <c r="IXJ70" s="24"/>
      <c r="IXK70" s="24"/>
      <c r="IXL70" s="24"/>
      <c r="IXM70" s="24"/>
      <c r="IXN70" s="24"/>
      <c r="IXO70" s="24"/>
      <c r="IXP70" s="24"/>
      <c r="IXQ70" s="24"/>
      <c r="IXR70" s="24"/>
      <c r="IXS70" s="24"/>
      <c r="IXT70" s="24"/>
      <c r="IXU70" s="24"/>
      <c r="IXV70" s="24"/>
      <c r="IXW70" s="24"/>
      <c r="IXX70" s="24"/>
      <c r="IXY70" s="24"/>
      <c r="IXZ70" s="24"/>
      <c r="IYA70" s="24"/>
      <c r="IYB70" s="24"/>
      <c r="IYC70" s="24"/>
      <c r="IYD70" s="24"/>
      <c r="IYE70" s="24"/>
      <c r="IYF70" s="24"/>
      <c r="IYG70" s="24"/>
      <c r="IYH70" s="24"/>
      <c r="IYI70" s="24"/>
      <c r="IYJ70" s="24"/>
      <c r="IYK70" s="24"/>
      <c r="IYL70" s="24"/>
      <c r="IYM70" s="24"/>
      <c r="IYN70" s="24"/>
      <c r="IYO70" s="24"/>
      <c r="IYP70" s="24"/>
      <c r="IYQ70" s="24"/>
      <c r="IYR70" s="24"/>
      <c r="IYS70" s="24"/>
      <c r="IYT70" s="24"/>
      <c r="IYU70" s="24"/>
      <c r="IYV70" s="24"/>
      <c r="IYW70" s="24"/>
      <c r="IYX70" s="24"/>
      <c r="IYY70" s="24"/>
      <c r="IYZ70" s="24"/>
      <c r="IZA70" s="24"/>
      <c r="IZB70" s="24"/>
      <c r="IZC70" s="24"/>
      <c r="IZD70" s="24"/>
      <c r="IZE70" s="24"/>
      <c r="IZF70" s="24"/>
      <c r="IZG70" s="24"/>
      <c r="IZH70" s="24"/>
      <c r="IZI70" s="24"/>
      <c r="IZJ70" s="24"/>
      <c r="IZK70" s="24"/>
      <c r="IZL70" s="24"/>
      <c r="IZM70" s="24"/>
      <c r="IZN70" s="24"/>
      <c r="IZO70" s="24"/>
      <c r="IZP70" s="24"/>
      <c r="IZQ70" s="24"/>
      <c r="IZR70" s="24"/>
      <c r="IZS70" s="24"/>
      <c r="IZT70" s="24"/>
      <c r="IZU70" s="24"/>
      <c r="IZV70" s="24"/>
      <c r="IZW70" s="24"/>
      <c r="IZX70" s="24"/>
      <c r="IZY70" s="24"/>
      <c r="IZZ70" s="24"/>
      <c r="JAA70" s="24"/>
      <c r="JAB70" s="24"/>
      <c r="JAC70" s="24"/>
      <c r="JAD70" s="24"/>
      <c r="JAE70" s="24"/>
      <c r="JAF70" s="24"/>
      <c r="JAG70" s="24"/>
      <c r="JAH70" s="24"/>
      <c r="JAI70" s="24"/>
      <c r="JAJ70" s="24"/>
      <c r="JAK70" s="24"/>
      <c r="JAL70" s="24"/>
      <c r="JAM70" s="24"/>
      <c r="JAN70" s="24"/>
      <c r="JAO70" s="24"/>
      <c r="JAP70" s="24"/>
      <c r="JAQ70" s="24"/>
      <c r="JAR70" s="24"/>
      <c r="JAS70" s="24"/>
      <c r="JAT70" s="24"/>
      <c r="JAU70" s="24"/>
      <c r="JAV70" s="24"/>
      <c r="JAW70" s="24"/>
      <c r="JAX70" s="24"/>
      <c r="JAY70" s="24"/>
      <c r="JAZ70" s="24"/>
      <c r="JBA70" s="24"/>
      <c r="JBB70" s="24"/>
      <c r="JBC70" s="24"/>
      <c r="JBD70" s="24"/>
      <c r="JBE70" s="24"/>
      <c r="JBF70" s="24"/>
      <c r="JBG70" s="24"/>
      <c r="JBH70" s="24"/>
      <c r="JBI70" s="24"/>
      <c r="JBJ70" s="24"/>
      <c r="JBK70" s="24"/>
      <c r="JBL70" s="24"/>
      <c r="JBM70" s="24"/>
      <c r="JBN70" s="24"/>
      <c r="JBO70" s="24"/>
      <c r="JBP70" s="24"/>
      <c r="JBQ70" s="24"/>
      <c r="JBR70" s="24"/>
      <c r="JBS70" s="24"/>
      <c r="JBT70" s="24"/>
      <c r="JBU70" s="24"/>
      <c r="JBV70" s="24"/>
      <c r="JBW70" s="24"/>
      <c r="JBX70" s="24"/>
      <c r="JBY70" s="24"/>
      <c r="JBZ70" s="24"/>
      <c r="JCA70" s="24"/>
      <c r="JCB70" s="24"/>
      <c r="JCC70" s="24"/>
      <c r="JCD70" s="24"/>
      <c r="JCE70" s="24"/>
      <c r="JCF70" s="24"/>
      <c r="JCG70" s="24"/>
      <c r="JCH70" s="24"/>
      <c r="JCI70" s="24"/>
      <c r="JCJ70" s="24"/>
      <c r="JCK70" s="24"/>
      <c r="JCL70" s="24"/>
      <c r="JCM70" s="24"/>
      <c r="JCN70" s="24"/>
      <c r="JCO70" s="24"/>
      <c r="JCP70" s="24"/>
      <c r="JCQ70" s="24"/>
      <c r="JCR70" s="24"/>
      <c r="JCS70" s="24"/>
      <c r="JCT70" s="24"/>
      <c r="JCU70" s="24"/>
      <c r="JCV70" s="24"/>
      <c r="JCW70" s="24"/>
      <c r="JCX70" s="24"/>
      <c r="JCY70" s="24"/>
      <c r="JCZ70" s="24"/>
      <c r="JDA70" s="24"/>
      <c r="JDB70" s="24"/>
      <c r="JDC70" s="24"/>
      <c r="JDD70" s="24"/>
      <c r="JDE70" s="24"/>
      <c r="JDF70" s="24"/>
      <c r="JDG70" s="24"/>
      <c r="JDH70" s="24"/>
      <c r="JDI70" s="24"/>
      <c r="JDJ70" s="24"/>
      <c r="JDK70" s="24"/>
      <c r="JDL70" s="24"/>
      <c r="JDM70" s="24"/>
      <c r="JDN70" s="24"/>
      <c r="JDO70" s="24"/>
      <c r="JDP70" s="24"/>
      <c r="JDQ70" s="24"/>
      <c r="JDR70" s="24"/>
      <c r="JDS70" s="24"/>
      <c r="JDT70" s="24"/>
      <c r="JDU70" s="24"/>
      <c r="JDV70" s="24"/>
      <c r="JDW70" s="24"/>
      <c r="JDX70" s="24"/>
      <c r="JDY70" s="24"/>
      <c r="JDZ70" s="24"/>
      <c r="JEA70" s="24"/>
      <c r="JEB70" s="24"/>
      <c r="JEC70" s="24"/>
      <c r="JED70" s="24"/>
      <c r="JEE70" s="24"/>
      <c r="JEF70" s="24"/>
      <c r="JEG70" s="24"/>
      <c r="JEH70" s="24"/>
      <c r="JEI70" s="24"/>
      <c r="JEJ70" s="24"/>
      <c r="JEK70" s="24"/>
      <c r="JEL70" s="24"/>
      <c r="JEM70" s="24"/>
      <c r="JEN70" s="24"/>
      <c r="JEO70" s="24"/>
      <c r="JEP70" s="24"/>
      <c r="JEQ70" s="24"/>
      <c r="JER70" s="24"/>
      <c r="JES70" s="24"/>
      <c r="JET70" s="24"/>
      <c r="JEU70" s="24"/>
      <c r="JEV70" s="24"/>
      <c r="JEW70" s="24"/>
      <c r="JEX70" s="24"/>
      <c r="JEY70" s="24"/>
      <c r="JEZ70" s="24"/>
      <c r="JFA70" s="24"/>
      <c r="JFB70" s="24"/>
      <c r="JFC70" s="24"/>
      <c r="JFD70" s="24"/>
      <c r="JFE70" s="24"/>
      <c r="JFF70" s="24"/>
      <c r="JFG70" s="24"/>
      <c r="JFH70" s="24"/>
      <c r="JFI70" s="24"/>
      <c r="JFJ70" s="24"/>
      <c r="JFK70" s="24"/>
      <c r="JFL70" s="24"/>
      <c r="JFM70" s="24"/>
      <c r="JFN70" s="24"/>
      <c r="JFO70" s="24"/>
      <c r="JFP70" s="24"/>
      <c r="JFQ70" s="24"/>
      <c r="JFR70" s="24"/>
      <c r="JFS70" s="24"/>
      <c r="JFT70" s="24"/>
      <c r="JFU70" s="24"/>
      <c r="JFV70" s="24"/>
      <c r="JFW70" s="24"/>
      <c r="JFX70" s="24"/>
      <c r="JFY70" s="24"/>
      <c r="JFZ70" s="24"/>
      <c r="JGA70" s="24"/>
      <c r="JGB70" s="24"/>
      <c r="JGC70" s="24"/>
      <c r="JGD70" s="24"/>
      <c r="JGE70" s="24"/>
      <c r="JGF70" s="24"/>
      <c r="JGG70" s="24"/>
      <c r="JGH70" s="24"/>
      <c r="JGI70" s="24"/>
      <c r="JGJ70" s="24"/>
      <c r="JGK70" s="24"/>
      <c r="JGL70" s="24"/>
      <c r="JGM70" s="24"/>
      <c r="JGN70" s="24"/>
      <c r="JGO70" s="24"/>
      <c r="JGP70" s="24"/>
      <c r="JGQ70" s="24"/>
      <c r="JGR70" s="24"/>
      <c r="JGS70" s="24"/>
      <c r="JGT70" s="24"/>
      <c r="JGU70" s="24"/>
      <c r="JGV70" s="24"/>
      <c r="JGW70" s="24"/>
      <c r="JGX70" s="24"/>
      <c r="JGY70" s="24"/>
      <c r="JGZ70" s="24"/>
      <c r="JHA70" s="24"/>
      <c r="JHB70" s="24"/>
      <c r="JHC70" s="24"/>
      <c r="JHD70" s="24"/>
      <c r="JHE70" s="24"/>
      <c r="JHF70" s="24"/>
      <c r="JHG70" s="24"/>
      <c r="JHH70" s="24"/>
      <c r="JHI70" s="24"/>
      <c r="JHJ70" s="24"/>
      <c r="JHK70" s="24"/>
      <c r="JHL70" s="24"/>
      <c r="JHM70" s="24"/>
      <c r="JHN70" s="24"/>
      <c r="JHO70" s="24"/>
      <c r="JHP70" s="24"/>
      <c r="JHQ70" s="24"/>
      <c r="JHR70" s="24"/>
      <c r="JHS70" s="24"/>
      <c r="JHT70" s="24"/>
      <c r="JHU70" s="24"/>
      <c r="JHV70" s="24"/>
      <c r="JHW70" s="24"/>
      <c r="JHX70" s="24"/>
      <c r="JHY70" s="24"/>
      <c r="JHZ70" s="24"/>
      <c r="JIA70" s="24"/>
      <c r="JIB70" s="24"/>
      <c r="JIC70" s="24"/>
      <c r="JID70" s="24"/>
      <c r="JIE70" s="24"/>
      <c r="JIF70" s="24"/>
      <c r="JIG70" s="24"/>
      <c r="JIH70" s="24"/>
      <c r="JII70" s="24"/>
      <c r="JIJ70" s="24"/>
      <c r="JIK70" s="24"/>
      <c r="JIL70" s="24"/>
      <c r="JIM70" s="24"/>
      <c r="JIN70" s="24"/>
      <c r="JIO70" s="24"/>
      <c r="JIP70" s="24"/>
      <c r="JIQ70" s="24"/>
      <c r="JIR70" s="24"/>
      <c r="JIS70" s="24"/>
      <c r="JIT70" s="24"/>
      <c r="JIU70" s="24"/>
      <c r="JIV70" s="24"/>
      <c r="JIW70" s="24"/>
      <c r="JIX70" s="24"/>
      <c r="JIY70" s="24"/>
      <c r="JIZ70" s="24"/>
      <c r="JJA70" s="24"/>
      <c r="JJB70" s="24"/>
      <c r="JJC70" s="24"/>
      <c r="JJD70" s="24"/>
      <c r="JJE70" s="24"/>
      <c r="JJF70" s="24"/>
      <c r="JJG70" s="24"/>
      <c r="JJH70" s="24"/>
      <c r="JJI70" s="24"/>
      <c r="JJJ70" s="24"/>
      <c r="JJK70" s="24"/>
      <c r="JJL70" s="24"/>
      <c r="JJM70" s="24"/>
      <c r="JJN70" s="24"/>
      <c r="JJO70" s="24"/>
      <c r="JJP70" s="24"/>
      <c r="JJQ70" s="24"/>
      <c r="JJR70" s="24"/>
      <c r="JJS70" s="24"/>
      <c r="JJT70" s="24"/>
      <c r="JJU70" s="24"/>
      <c r="JJV70" s="24"/>
      <c r="JJW70" s="24"/>
      <c r="JJX70" s="24"/>
      <c r="JJY70" s="24"/>
      <c r="JJZ70" s="24"/>
      <c r="JKA70" s="24"/>
      <c r="JKB70" s="24"/>
      <c r="JKC70" s="24"/>
      <c r="JKD70" s="24"/>
      <c r="JKE70" s="24"/>
      <c r="JKF70" s="24"/>
      <c r="JKG70" s="24"/>
      <c r="JKH70" s="24"/>
      <c r="JKI70" s="24"/>
      <c r="JKJ70" s="24"/>
      <c r="JKK70" s="24"/>
      <c r="JKL70" s="24"/>
      <c r="JKM70" s="24"/>
      <c r="JKN70" s="24"/>
      <c r="JKO70" s="24"/>
      <c r="JKP70" s="24"/>
      <c r="JKQ70" s="24"/>
      <c r="JKR70" s="24"/>
      <c r="JKS70" s="24"/>
      <c r="JKT70" s="24"/>
      <c r="JKU70" s="24"/>
      <c r="JKV70" s="24"/>
      <c r="JKW70" s="24"/>
      <c r="JKX70" s="24"/>
      <c r="JKY70" s="24"/>
      <c r="JKZ70" s="24"/>
      <c r="JLA70" s="24"/>
      <c r="JLB70" s="24"/>
      <c r="JLC70" s="24"/>
      <c r="JLD70" s="24"/>
      <c r="JLE70" s="24"/>
      <c r="JLF70" s="24"/>
      <c r="JLG70" s="24"/>
      <c r="JLH70" s="24"/>
      <c r="JLI70" s="24"/>
      <c r="JLJ70" s="24"/>
      <c r="JLK70" s="24"/>
      <c r="JLL70" s="24"/>
      <c r="JLM70" s="24"/>
      <c r="JLN70" s="24"/>
      <c r="JLO70" s="24"/>
      <c r="JLP70" s="24"/>
      <c r="JLQ70" s="24"/>
      <c r="JLR70" s="24"/>
      <c r="JLS70" s="24"/>
      <c r="JLT70" s="24"/>
      <c r="JLU70" s="24"/>
      <c r="JLV70" s="24"/>
      <c r="JLW70" s="24"/>
      <c r="JLX70" s="24"/>
      <c r="JLY70" s="24"/>
      <c r="JLZ70" s="24"/>
      <c r="JMA70" s="24"/>
      <c r="JMB70" s="24"/>
      <c r="JMC70" s="24"/>
      <c r="JMD70" s="24"/>
      <c r="JME70" s="24"/>
      <c r="JMF70" s="24"/>
      <c r="JMG70" s="24"/>
      <c r="JMH70" s="24"/>
      <c r="JMI70" s="24"/>
      <c r="JMJ70" s="24"/>
      <c r="JMK70" s="24"/>
      <c r="JML70" s="24"/>
      <c r="JMM70" s="24"/>
      <c r="JMN70" s="24"/>
      <c r="JMO70" s="24"/>
      <c r="JMP70" s="24"/>
      <c r="JMQ70" s="24"/>
      <c r="JMR70" s="24"/>
      <c r="JMS70" s="24"/>
      <c r="JMT70" s="24"/>
      <c r="JMU70" s="24"/>
      <c r="JMV70" s="24"/>
      <c r="JMW70" s="24"/>
      <c r="JMX70" s="24"/>
      <c r="JMY70" s="24"/>
      <c r="JMZ70" s="24"/>
      <c r="JNA70" s="24"/>
      <c r="JNB70" s="24"/>
      <c r="JNC70" s="24"/>
      <c r="JND70" s="24"/>
      <c r="JNE70" s="24"/>
      <c r="JNF70" s="24"/>
      <c r="JNG70" s="24"/>
      <c r="JNH70" s="24"/>
      <c r="JNI70" s="24"/>
      <c r="JNJ70" s="24"/>
      <c r="JNK70" s="24"/>
      <c r="JNL70" s="24"/>
      <c r="JNM70" s="24"/>
      <c r="JNN70" s="24"/>
      <c r="JNO70" s="24"/>
      <c r="JNP70" s="24"/>
      <c r="JNQ70" s="24"/>
      <c r="JNR70" s="24"/>
      <c r="JNS70" s="24"/>
      <c r="JNT70" s="24"/>
      <c r="JNU70" s="24"/>
      <c r="JNV70" s="24"/>
      <c r="JNW70" s="24"/>
      <c r="JNX70" s="24"/>
      <c r="JNY70" s="24"/>
      <c r="JNZ70" s="24"/>
      <c r="JOA70" s="24"/>
      <c r="JOB70" s="24"/>
      <c r="JOC70" s="24"/>
      <c r="JOD70" s="24"/>
      <c r="JOE70" s="24"/>
      <c r="JOF70" s="24"/>
      <c r="JOG70" s="24"/>
      <c r="JOH70" s="24"/>
      <c r="JOI70" s="24"/>
      <c r="JOJ70" s="24"/>
      <c r="JOK70" s="24"/>
      <c r="JOL70" s="24"/>
      <c r="JOM70" s="24"/>
      <c r="JON70" s="24"/>
      <c r="JOO70" s="24"/>
      <c r="JOP70" s="24"/>
      <c r="JOQ70" s="24"/>
      <c r="JOR70" s="24"/>
      <c r="JOS70" s="24"/>
      <c r="JOT70" s="24"/>
      <c r="JOU70" s="24"/>
      <c r="JOV70" s="24"/>
      <c r="JOW70" s="24"/>
      <c r="JOX70" s="24"/>
      <c r="JOY70" s="24"/>
      <c r="JOZ70" s="24"/>
      <c r="JPA70" s="24"/>
      <c r="JPB70" s="24"/>
      <c r="JPC70" s="24"/>
      <c r="JPD70" s="24"/>
      <c r="JPE70" s="24"/>
      <c r="JPF70" s="24"/>
      <c r="JPG70" s="24"/>
      <c r="JPH70" s="24"/>
      <c r="JPI70" s="24"/>
      <c r="JPJ70" s="24"/>
      <c r="JPK70" s="24"/>
      <c r="JPL70" s="24"/>
      <c r="JPM70" s="24"/>
      <c r="JPN70" s="24"/>
      <c r="JPO70" s="24"/>
      <c r="JPP70" s="24"/>
      <c r="JPQ70" s="24"/>
      <c r="JPR70" s="24"/>
      <c r="JPS70" s="24"/>
      <c r="JPT70" s="24"/>
      <c r="JPU70" s="24"/>
      <c r="JPV70" s="24"/>
      <c r="JPW70" s="24"/>
      <c r="JPX70" s="24"/>
      <c r="JPY70" s="24"/>
      <c r="JPZ70" s="24"/>
      <c r="JQA70" s="24"/>
      <c r="JQB70" s="24"/>
      <c r="JQC70" s="24"/>
      <c r="JQD70" s="24"/>
      <c r="JQE70" s="24"/>
      <c r="JQF70" s="24"/>
      <c r="JQG70" s="24"/>
      <c r="JQH70" s="24"/>
      <c r="JQI70" s="24"/>
      <c r="JQJ70" s="24"/>
      <c r="JQK70" s="24"/>
      <c r="JQL70" s="24"/>
      <c r="JQM70" s="24"/>
      <c r="JQN70" s="24"/>
      <c r="JQO70" s="24"/>
      <c r="JQP70" s="24"/>
      <c r="JQQ70" s="24"/>
      <c r="JQR70" s="24"/>
      <c r="JQS70" s="24"/>
      <c r="JQT70" s="24"/>
      <c r="JQU70" s="24"/>
      <c r="JQV70" s="24"/>
      <c r="JQW70" s="24"/>
      <c r="JQX70" s="24"/>
      <c r="JQY70" s="24"/>
      <c r="JQZ70" s="24"/>
      <c r="JRA70" s="24"/>
      <c r="JRB70" s="24"/>
      <c r="JRC70" s="24"/>
      <c r="JRD70" s="24"/>
      <c r="JRE70" s="24"/>
      <c r="JRF70" s="24"/>
      <c r="JRG70" s="24"/>
      <c r="JRH70" s="24"/>
      <c r="JRI70" s="24"/>
      <c r="JRJ70" s="24"/>
      <c r="JRK70" s="24"/>
      <c r="JRL70" s="24"/>
      <c r="JRM70" s="24"/>
      <c r="JRN70" s="24"/>
      <c r="JRO70" s="24"/>
      <c r="JRP70" s="24"/>
      <c r="JRQ70" s="24"/>
      <c r="JRR70" s="24"/>
      <c r="JRS70" s="24"/>
      <c r="JRT70" s="24"/>
      <c r="JRU70" s="24"/>
      <c r="JRV70" s="24"/>
      <c r="JRW70" s="24"/>
      <c r="JRX70" s="24"/>
      <c r="JRY70" s="24"/>
      <c r="JRZ70" s="24"/>
      <c r="JSA70" s="24"/>
      <c r="JSB70" s="24"/>
      <c r="JSC70" s="24"/>
      <c r="JSD70" s="24"/>
      <c r="JSE70" s="24"/>
      <c r="JSF70" s="24"/>
      <c r="JSG70" s="24"/>
      <c r="JSH70" s="24"/>
      <c r="JSI70" s="24"/>
      <c r="JSJ70" s="24"/>
      <c r="JSK70" s="24"/>
      <c r="JSL70" s="24"/>
      <c r="JSM70" s="24"/>
      <c r="JSN70" s="24"/>
      <c r="JSO70" s="24"/>
      <c r="JSP70" s="24"/>
      <c r="JSQ70" s="24"/>
      <c r="JSR70" s="24"/>
      <c r="JSS70" s="24"/>
      <c r="JST70" s="24"/>
      <c r="JSU70" s="24"/>
      <c r="JSV70" s="24"/>
      <c r="JSW70" s="24"/>
      <c r="JSX70" s="24"/>
      <c r="JSY70" s="24"/>
      <c r="JSZ70" s="24"/>
      <c r="JTA70" s="24"/>
      <c r="JTB70" s="24"/>
      <c r="JTC70" s="24"/>
      <c r="JTD70" s="24"/>
      <c r="JTE70" s="24"/>
      <c r="JTF70" s="24"/>
      <c r="JTG70" s="24"/>
      <c r="JTH70" s="24"/>
      <c r="JTI70" s="24"/>
      <c r="JTJ70" s="24"/>
      <c r="JTK70" s="24"/>
      <c r="JTL70" s="24"/>
      <c r="JTM70" s="24"/>
      <c r="JTN70" s="24"/>
      <c r="JTO70" s="24"/>
      <c r="JTP70" s="24"/>
      <c r="JTQ70" s="24"/>
      <c r="JTR70" s="24"/>
      <c r="JTS70" s="24"/>
      <c r="JTT70" s="24"/>
      <c r="JTU70" s="24"/>
      <c r="JTV70" s="24"/>
      <c r="JTW70" s="24"/>
      <c r="JTX70" s="24"/>
      <c r="JTY70" s="24"/>
      <c r="JTZ70" s="24"/>
      <c r="JUA70" s="24"/>
      <c r="JUB70" s="24"/>
      <c r="JUC70" s="24"/>
      <c r="JUD70" s="24"/>
      <c r="JUE70" s="24"/>
      <c r="JUF70" s="24"/>
      <c r="JUG70" s="24"/>
      <c r="JUH70" s="24"/>
      <c r="JUI70" s="24"/>
      <c r="JUJ70" s="24"/>
      <c r="JUK70" s="24"/>
      <c r="JUL70" s="24"/>
      <c r="JUM70" s="24"/>
      <c r="JUN70" s="24"/>
      <c r="JUO70" s="24"/>
      <c r="JUP70" s="24"/>
      <c r="JUQ70" s="24"/>
      <c r="JUR70" s="24"/>
      <c r="JUS70" s="24"/>
      <c r="JUT70" s="24"/>
      <c r="JUU70" s="24"/>
      <c r="JUV70" s="24"/>
      <c r="JUW70" s="24"/>
      <c r="JUX70" s="24"/>
      <c r="JUY70" s="24"/>
      <c r="JUZ70" s="24"/>
      <c r="JVA70" s="24"/>
      <c r="JVB70" s="24"/>
      <c r="JVC70" s="24"/>
      <c r="JVD70" s="24"/>
      <c r="JVE70" s="24"/>
      <c r="JVF70" s="24"/>
      <c r="JVG70" s="24"/>
      <c r="JVH70" s="24"/>
      <c r="JVI70" s="24"/>
      <c r="JVJ70" s="24"/>
      <c r="JVK70" s="24"/>
      <c r="JVL70" s="24"/>
      <c r="JVM70" s="24"/>
      <c r="JVN70" s="24"/>
      <c r="JVO70" s="24"/>
      <c r="JVP70" s="24"/>
      <c r="JVQ70" s="24"/>
      <c r="JVR70" s="24"/>
      <c r="JVS70" s="24"/>
      <c r="JVT70" s="24"/>
      <c r="JVU70" s="24"/>
      <c r="JVV70" s="24"/>
      <c r="JVW70" s="24"/>
      <c r="JVX70" s="24"/>
      <c r="JVY70" s="24"/>
      <c r="JVZ70" s="24"/>
      <c r="JWA70" s="24"/>
      <c r="JWB70" s="24"/>
      <c r="JWC70" s="24"/>
      <c r="JWD70" s="24"/>
      <c r="JWE70" s="24"/>
      <c r="JWF70" s="24"/>
      <c r="JWG70" s="24"/>
      <c r="JWH70" s="24"/>
      <c r="JWI70" s="24"/>
      <c r="JWJ70" s="24"/>
      <c r="JWK70" s="24"/>
      <c r="JWL70" s="24"/>
      <c r="JWM70" s="24"/>
      <c r="JWN70" s="24"/>
      <c r="JWO70" s="24"/>
      <c r="JWP70" s="24"/>
      <c r="JWQ70" s="24"/>
      <c r="JWR70" s="24"/>
      <c r="JWS70" s="24"/>
      <c r="JWT70" s="24"/>
      <c r="JWU70" s="24"/>
      <c r="JWV70" s="24"/>
      <c r="JWW70" s="24"/>
      <c r="JWX70" s="24"/>
      <c r="JWY70" s="24"/>
      <c r="JWZ70" s="24"/>
      <c r="JXA70" s="24"/>
      <c r="JXB70" s="24"/>
      <c r="JXC70" s="24"/>
      <c r="JXD70" s="24"/>
      <c r="JXE70" s="24"/>
      <c r="JXF70" s="24"/>
      <c r="JXG70" s="24"/>
      <c r="JXH70" s="24"/>
      <c r="JXI70" s="24"/>
      <c r="JXJ70" s="24"/>
      <c r="JXK70" s="24"/>
      <c r="JXL70" s="24"/>
      <c r="JXM70" s="24"/>
      <c r="JXN70" s="24"/>
      <c r="JXO70" s="24"/>
      <c r="JXP70" s="24"/>
      <c r="JXQ70" s="24"/>
      <c r="JXR70" s="24"/>
      <c r="JXS70" s="24"/>
      <c r="JXT70" s="24"/>
      <c r="JXU70" s="24"/>
      <c r="JXV70" s="24"/>
      <c r="JXW70" s="24"/>
      <c r="JXX70" s="24"/>
      <c r="JXY70" s="24"/>
      <c r="JXZ70" s="24"/>
      <c r="JYA70" s="24"/>
      <c r="JYB70" s="24"/>
      <c r="JYC70" s="24"/>
      <c r="JYD70" s="24"/>
      <c r="JYE70" s="24"/>
      <c r="JYF70" s="24"/>
      <c r="JYG70" s="24"/>
      <c r="JYH70" s="24"/>
      <c r="JYI70" s="24"/>
      <c r="JYJ70" s="24"/>
      <c r="JYK70" s="24"/>
      <c r="JYL70" s="24"/>
      <c r="JYM70" s="24"/>
      <c r="JYN70" s="24"/>
      <c r="JYO70" s="24"/>
      <c r="JYP70" s="24"/>
      <c r="JYQ70" s="24"/>
      <c r="JYR70" s="24"/>
      <c r="JYS70" s="24"/>
      <c r="JYT70" s="24"/>
      <c r="JYU70" s="24"/>
      <c r="JYV70" s="24"/>
      <c r="JYW70" s="24"/>
      <c r="JYX70" s="24"/>
      <c r="JYY70" s="24"/>
      <c r="JYZ70" s="24"/>
      <c r="JZA70" s="24"/>
      <c r="JZB70" s="24"/>
      <c r="JZC70" s="24"/>
      <c r="JZD70" s="24"/>
      <c r="JZE70" s="24"/>
      <c r="JZF70" s="24"/>
      <c r="JZG70" s="24"/>
      <c r="JZH70" s="24"/>
      <c r="JZI70" s="24"/>
      <c r="JZJ70" s="24"/>
      <c r="JZK70" s="24"/>
      <c r="JZL70" s="24"/>
      <c r="JZM70" s="24"/>
      <c r="JZN70" s="24"/>
      <c r="JZO70" s="24"/>
      <c r="JZP70" s="24"/>
      <c r="JZQ70" s="24"/>
      <c r="JZR70" s="24"/>
      <c r="JZS70" s="24"/>
      <c r="JZT70" s="24"/>
      <c r="JZU70" s="24"/>
      <c r="JZV70" s="24"/>
      <c r="JZW70" s="24"/>
      <c r="JZX70" s="24"/>
      <c r="JZY70" s="24"/>
      <c r="JZZ70" s="24"/>
      <c r="KAA70" s="24"/>
      <c r="KAB70" s="24"/>
      <c r="KAC70" s="24"/>
      <c r="KAD70" s="24"/>
      <c r="KAE70" s="24"/>
      <c r="KAF70" s="24"/>
      <c r="KAG70" s="24"/>
      <c r="KAH70" s="24"/>
      <c r="KAI70" s="24"/>
      <c r="KAJ70" s="24"/>
      <c r="KAK70" s="24"/>
      <c r="KAL70" s="24"/>
      <c r="KAM70" s="24"/>
      <c r="KAN70" s="24"/>
      <c r="KAO70" s="24"/>
      <c r="KAP70" s="24"/>
      <c r="KAQ70" s="24"/>
      <c r="KAR70" s="24"/>
      <c r="KAS70" s="24"/>
      <c r="KAT70" s="24"/>
      <c r="KAU70" s="24"/>
      <c r="KAV70" s="24"/>
      <c r="KAW70" s="24"/>
      <c r="KAX70" s="24"/>
      <c r="KAY70" s="24"/>
      <c r="KAZ70" s="24"/>
      <c r="KBA70" s="24"/>
      <c r="KBB70" s="24"/>
      <c r="KBC70" s="24"/>
      <c r="KBD70" s="24"/>
      <c r="KBE70" s="24"/>
      <c r="KBF70" s="24"/>
      <c r="KBG70" s="24"/>
      <c r="KBH70" s="24"/>
      <c r="KBI70" s="24"/>
      <c r="KBJ70" s="24"/>
      <c r="KBK70" s="24"/>
      <c r="KBL70" s="24"/>
      <c r="KBM70" s="24"/>
      <c r="KBN70" s="24"/>
      <c r="KBO70" s="24"/>
      <c r="KBP70" s="24"/>
      <c r="KBQ70" s="24"/>
      <c r="KBR70" s="24"/>
      <c r="KBS70" s="24"/>
      <c r="KBT70" s="24"/>
      <c r="KBU70" s="24"/>
      <c r="KBV70" s="24"/>
      <c r="KBW70" s="24"/>
      <c r="KBX70" s="24"/>
      <c r="KBY70" s="24"/>
      <c r="KBZ70" s="24"/>
      <c r="KCA70" s="24"/>
      <c r="KCB70" s="24"/>
      <c r="KCC70" s="24"/>
      <c r="KCD70" s="24"/>
      <c r="KCE70" s="24"/>
      <c r="KCF70" s="24"/>
      <c r="KCG70" s="24"/>
      <c r="KCH70" s="24"/>
      <c r="KCI70" s="24"/>
      <c r="KCJ70" s="24"/>
      <c r="KCK70" s="24"/>
      <c r="KCL70" s="24"/>
      <c r="KCM70" s="24"/>
      <c r="KCN70" s="24"/>
      <c r="KCO70" s="24"/>
      <c r="KCP70" s="24"/>
      <c r="KCQ70" s="24"/>
      <c r="KCR70" s="24"/>
      <c r="KCS70" s="24"/>
      <c r="KCT70" s="24"/>
      <c r="KCU70" s="24"/>
      <c r="KCV70" s="24"/>
      <c r="KCW70" s="24"/>
      <c r="KCX70" s="24"/>
      <c r="KCY70" s="24"/>
      <c r="KCZ70" s="24"/>
      <c r="KDA70" s="24"/>
      <c r="KDB70" s="24"/>
      <c r="KDC70" s="24"/>
      <c r="KDD70" s="24"/>
      <c r="KDE70" s="24"/>
      <c r="KDF70" s="24"/>
      <c r="KDG70" s="24"/>
      <c r="KDH70" s="24"/>
      <c r="KDI70" s="24"/>
      <c r="KDJ70" s="24"/>
      <c r="KDK70" s="24"/>
      <c r="KDL70" s="24"/>
      <c r="KDM70" s="24"/>
      <c r="KDN70" s="24"/>
      <c r="KDO70" s="24"/>
      <c r="KDP70" s="24"/>
      <c r="KDQ70" s="24"/>
      <c r="KDR70" s="24"/>
      <c r="KDS70" s="24"/>
      <c r="KDT70" s="24"/>
      <c r="KDU70" s="24"/>
      <c r="KDV70" s="24"/>
      <c r="KDW70" s="24"/>
      <c r="KDX70" s="24"/>
      <c r="KDY70" s="24"/>
      <c r="KDZ70" s="24"/>
      <c r="KEA70" s="24"/>
      <c r="KEB70" s="24"/>
      <c r="KEC70" s="24"/>
      <c r="KED70" s="24"/>
      <c r="KEE70" s="24"/>
      <c r="KEF70" s="24"/>
      <c r="KEG70" s="24"/>
      <c r="KEH70" s="24"/>
      <c r="KEI70" s="24"/>
      <c r="KEJ70" s="24"/>
      <c r="KEK70" s="24"/>
      <c r="KEL70" s="24"/>
      <c r="KEM70" s="24"/>
      <c r="KEN70" s="24"/>
      <c r="KEO70" s="24"/>
      <c r="KEP70" s="24"/>
      <c r="KEQ70" s="24"/>
      <c r="KER70" s="24"/>
      <c r="KES70" s="24"/>
      <c r="KET70" s="24"/>
      <c r="KEU70" s="24"/>
      <c r="KEV70" s="24"/>
      <c r="KEW70" s="24"/>
      <c r="KEX70" s="24"/>
      <c r="KEY70" s="24"/>
      <c r="KEZ70" s="24"/>
      <c r="KFA70" s="24"/>
      <c r="KFB70" s="24"/>
      <c r="KFC70" s="24"/>
      <c r="KFD70" s="24"/>
      <c r="KFE70" s="24"/>
      <c r="KFF70" s="24"/>
      <c r="KFG70" s="24"/>
      <c r="KFH70" s="24"/>
      <c r="KFI70" s="24"/>
      <c r="KFJ70" s="24"/>
      <c r="KFK70" s="24"/>
      <c r="KFL70" s="24"/>
      <c r="KFM70" s="24"/>
      <c r="KFN70" s="24"/>
      <c r="KFO70" s="24"/>
      <c r="KFP70" s="24"/>
      <c r="KFQ70" s="24"/>
      <c r="KFR70" s="24"/>
      <c r="KFS70" s="24"/>
      <c r="KFT70" s="24"/>
      <c r="KFU70" s="24"/>
      <c r="KFV70" s="24"/>
      <c r="KFW70" s="24"/>
      <c r="KFX70" s="24"/>
      <c r="KFY70" s="24"/>
      <c r="KFZ70" s="24"/>
      <c r="KGA70" s="24"/>
      <c r="KGB70" s="24"/>
      <c r="KGC70" s="24"/>
      <c r="KGD70" s="24"/>
      <c r="KGE70" s="24"/>
      <c r="KGF70" s="24"/>
      <c r="KGG70" s="24"/>
      <c r="KGH70" s="24"/>
      <c r="KGI70" s="24"/>
      <c r="KGJ70" s="24"/>
      <c r="KGK70" s="24"/>
      <c r="KGL70" s="24"/>
      <c r="KGM70" s="24"/>
      <c r="KGN70" s="24"/>
      <c r="KGO70" s="24"/>
      <c r="KGP70" s="24"/>
      <c r="KGQ70" s="24"/>
      <c r="KGR70" s="24"/>
      <c r="KGS70" s="24"/>
      <c r="KGT70" s="24"/>
      <c r="KGU70" s="24"/>
      <c r="KGV70" s="24"/>
      <c r="KGW70" s="24"/>
      <c r="KGX70" s="24"/>
      <c r="KGY70" s="24"/>
      <c r="KGZ70" s="24"/>
      <c r="KHA70" s="24"/>
      <c r="KHB70" s="24"/>
      <c r="KHC70" s="24"/>
      <c r="KHD70" s="24"/>
      <c r="KHE70" s="24"/>
      <c r="KHF70" s="24"/>
      <c r="KHG70" s="24"/>
      <c r="KHH70" s="24"/>
      <c r="KHI70" s="24"/>
      <c r="KHJ70" s="24"/>
      <c r="KHK70" s="24"/>
      <c r="KHL70" s="24"/>
      <c r="KHM70" s="24"/>
      <c r="KHN70" s="24"/>
      <c r="KHO70" s="24"/>
      <c r="KHP70" s="24"/>
      <c r="KHQ70" s="24"/>
      <c r="KHR70" s="24"/>
      <c r="KHS70" s="24"/>
      <c r="KHT70" s="24"/>
      <c r="KHU70" s="24"/>
      <c r="KHV70" s="24"/>
      <c r="KHW70" s="24"/>
      <c r="KHX70" s="24"/>
      <c r="KHY70" s="24"/>
      <c r="KHZ70" s="24"/>
      <c r="KIA70" s="24"/>
      <c r="KIB70" s="24"/>
      <c r="KIC70" s="24"/>
      <c r="KID70" s="24"/>
      <c r="KIE70" s="24"/>
      <c r="KIF70" s="24"/>
      <c r="KIG70" s="24"/>
      <c r="KIH70" s="24"/>
      <c r="KII70" s="24"/>
      <c r="KIJ70" s="24"/>
      <c r="KIK70" s="24"/>
      <c r="KIL70" s="24"/>
      <c r="KIM70" s="24"/>
      <c r="KIN70" s="24"/>
      <c r="KIO70" s="24"/>
      <c r="KIP70" s="24"/>
      <c r="KIQ70" s="24"/>
      <c r="KIR70" s="24"/>
      <c r="KIS70" s="24"/>
      <c r="KIT70" s="24"/>
      <c r="KIU70" s="24"/>
      <c r="KIV70" s="24"/>
      <c r="KIW70" s="24"/>
      <c r="KIX70" s="24"/>
      <c r="KIY70" s="24"/>
      <c r="KIZ70" s="24"/>
      <c r="KJA70" s="24"/>
      <c r="KJB70" s="24"/>
      <c r="KJC70" s="24"/>
      <c r="KJD70" s="24"/>
      <c r="KJE70" s="24"/>
      <c r="KJF70" s="24"/>
      <c r="KJG70" s="24"/>
      <c r="KJH70" s="24"/>
      <c r="KJI70" s="24"/>
      <c r="KJJ70" s="24"/>
      <c r="KJK70" s="24"/>
      <c r="KJL70" s="24"/>
      <c r="KJM70" s="24"/>
      <c r="KJN70" s="24"/>
      <c r="KJO70" s="24"/>
      <c r="KJP70" s="24"/>
      <c r="KJQ70" s="24"/>
      <c r="KJR70" s="24"/>
      <c r="KJS70" s="24"/>
      <c r="KJT70" s="24"/>
      <c r="KJU70" s="24"/>
      <c r="KJV70" s="24"/>
      <c r="KJW70" s="24"/>
      <c r="KJX70" s="24"/>
      <c r="KJY70" s="24"/>
      <c r="KJZ70" s="24"/>
      <c r="KKA70" s="24"/>
      <c r="KKB70" s="24"/>
      <c r="KKC70" s="24"/>
      <c r="KKD70" s="24"/>
      <c r="KKE70" s="24"/>
      <c r="KKF70" s="24"/>
      <c r="KKG70" s="24"/>
      <c r="KKH70" s="24"/>
      <c r="KKI70" s="24"/>
      <c r="KKJ70" s="24"/>
      <c r="KKK70" s="24"/>
      <c r="KKL70" s="24"/>
      <c r="KKM70" s="24"/>
      <c r="KKN70" s="24"/>
      <c r="KKO70" s="24"/>
      <c r="KKP70" s="24"/>
      <c r="KKQ70" s="24"/>
      <c r="KKR70" s="24"/>
      <c r="KKS70" s="24"/>
      <c r="KKT70" s="24"/>
      <c r="KKU70" s="24"/>
      <c r="KKV70" s="24"/>
      <c r="KKW70" s="24"/>
      <c r="KKX70" s="24"/>
      <c r="KKY70" s="24"/>
      <c r="KKZ70" s="24"/>
      <c r="KLA70" s="24"/>
      <c r="KLB70" s="24"/>
      <c r="KLC70" s="24"/>
      <c r="KLD70" s="24"/>
      <c r="KLE70" s="24"/>
      <c r="KLF70" s="24"/>
      <c r="KLG70" s="24"/>
      <c r="KLH70" s="24"/>
      <c r="KLI70" s="24"/>
      <c r="KLJ70" s="24"/>
      <c r="KLK70" s="24"/>
      <c r="KLL70" s="24"/>
      <c r="KLM70" s="24"/>
      <c r="KLN70" s="24"/>
      <c r="KLO70" s="24"/>
      <c r="KLP70" s="24"/>
      <c r="KLQ70" s="24"/>
      <c r="KLR70" s="24"/>
      <c r="KLS70" s="24"/>
      <c r="KLT70" s="24"/>
      <c r="KLU70" s="24"/>
      <c r="KLV70" s="24"/>
      <c r="KLW70" s="24"/>
      <c r="KLX70" s="24"/>
      <c r="KLY70" s="24"/>
      <c r="KLZ70" s="24"/>
      <c r="KMA70" s="24"/>
      <c r="KMB70" s="24"/>
      <c r="KMC70" s="24"/>
      <c r="KMD70" s="24"/>
      <c r="KME70" s="24"/>
      <c r="KMF70" s="24"/>
      <c r="KMG70" s="24"/>
      <c r="KMH70" s="24"/>
      <c r="KMI70" s="24"/>
      <c r="KMJ70" s="24"/>
      <c r="KMK70" s="24"/>
      <c r="KML70" s="24"/>
      <c r="KMM70" s="24"/>
      <c r="KMN70" s="24"/>
      <c r="KMO70" s="24"/>
      <c r="KMP70" s="24"/>
      <c r="KMQ70" s="24"/>
      <c r="KMR70" s="24"/>
      <c r="KMS70" s="24"/>
      <c r="KMT70" s="24"/>
      <c r="KMU70" s="24"/>
      <c r="KMV70" s="24"/>
      <c r="KMW70" s="24"/>
      <c r="KMX70" s="24"/>
      <c r="KMY70" s="24"/>
      <c r="KMZ70" s="24"/>
      <c r="KNA70" s="24"/>
      <c r="KNB70" s="24"/>
      <c r="KNC70" s="24"/>
      <c r="KND70" s="24"/>
      <c r="KNE70" s="24"/>
      <c r="KNF70" s="24"/>
      <c r="KNG70" s="24"/>
      <c r="KNH70" s="24"/>
      <c r="KNI70" s="24"/>
      <c r="KNJ70" s="24"/>
      <c r="KNK70" s="24"/>
      <c r="KNL70" s="24"/>
      <c r="KNM70" s="24"/>
      <c r="KNN70" s="24"/>
      <c r="KNO70" s="24"/>
      <c r="KNP70" s="24"/>
      <c r="KNQ70" s="24"/>
      <c r="KNR70" s="24"/>
      <c r="KNS70" s="24"/>
      <c r="KNT70" s="24"/>
      <c r="KNU70" s="24"/>
      <c r="KNV70" s="24"/>
      <c r="KNW70" s="24"/>
      <c r="KNX70" s="24"/>
      <c r="KNY70" s="24"/>
      <c r="KNZ70" s="24"/>
      <c r="KOA70" s="24"/>
      <c r="KOB70" s="24"/>
      <c r="KOC70" s="24"/>
      <c r="KOD70" s="24"/>
      <c r="KOE70" s="24"/>
      <c r="KOF70" s="24"/>
      <c r="KOG70" s="24"/>
      <c r="KOH70" s="24"/>
      <c r="KOI70" s="24"/>
      <c r="KOJ70" s="24"/>
      <c r="KOK70" s="24"/>
      <c r="KOL70" s="24"/>
      <c r="KOM70" s="24"/>
      <c r="KON70" s="24"/>
      <c r="KOO70" s="24"/>
      <c r="KOP70" s="24"/>
      <c r="KOQ70" s="24"/>
      <c r="KOR70" s="24"/>
      <c r="KOS70" s="24"/>
      <c r="KOT70" s="24"/>
      <c r="KOU70" s="24"/>
      <c r="KOV70" s="24"/>
      <c r="KOW70" s="24"/>
      <c r="KOX70" s="24"/>
      <c r="KOY70" s="24"/>
      <c r="KOZ70" s="24"/>
      <c r="KPA70" s="24"/>
      <c r="KPB70" s="24"/>
      <c r="KPC70" s="24"/>
      <c r="KPD70" s="24"/>
      <c r="KPE70" s="24"/>
      <c r="KPF70" s="24"/>
      <c r="KPG70" s="24"/>
      <c r="KPH70" s="24"/>
      <c r="KPI70" s="24"/>
      <c r="KPJ70" s="24"/>
      <c r="KPK70" s="24"/>
      <c r="KPL70" s="24"/>
      <c r="KPM70" s="24"/>
      <c r="KPN70" s="24"/>
      <c r="KPO70" s="24"/>
      <c r="KPP70" s="24"/>
      <c r="KPQ70" s="24"/>
      <c r="KPR70" s="24"/>
      <c r="KPS70" s="24"/>
      <c r="KPT70" s="24"/>
      <c r="KPU70" s="24"/>
      <c r="KPV70" s="24"/>
      <c r="KPW70" s="24"/>
      <c r="KPX70" s="24"/>
      <c r="KPY70" s="24"/>
      <c r="KPZ70" s="24"/>
      <c r="KQA70" s="24"/>
      <c r="KQB70" s="24"/>
      <c r="KQC70" s="24"/>
      <c r="KQD70" s="24"/>
      <c r="KQE70" s="24"/>
      <c r="KQF70" s="24"/>
      <c r="KQG70" s="24"/>
      <c r="KQH70" s="24"/>
      <c r="KQI70" s="24"/>
      <c r="KQJ70" s="24"/>
      <c r="KQK70" s="24"/>
      <c r="KQL70" s="24"/>
      <c r="KQM70" s="24"/>
      <c r="KQN70" s="24"/>
      <c r="KQO70" s="24"/>
      <c r="KQP70" s="24"/>
      <c r="KQQ70" s="24"/>
      <c r="KQR70" s="24"/>
      <c r="KQS70" s="24"/>
      <c r="KQT70" s="24"/>
      <c r="KQU70" s="24"/>
      <c r="KQV70" s="24"/>
      <c r="KQW70" s="24"/>
      <c r="KQX70" s="24"/>
      <c r="KQY70" s="24"/>
      <c r="KQZ70" s="24"/>
      <c r="KRA70" s="24"/>
      <c r="KRB70" s="24"/>
      <c r="KRC70" s="24"/>
      <c r="KRD70" s="24"/>
      <c r="KRE70" s="24"/>
      <c r="KRF70" s="24"/>
      <c r="KRG70" s="24"/>
      <c r="KRH70" s="24"/>
      <c r="KRI70" s="24"/>
      <c r="KRJ70" s="24"/>
      <c r="KRK70" s="24"/>
      <c r="KRL70" s="24"/>
      <c r="KRM70" s="24"/>
      <c r="KRN70" s="24"/>
      <c r="KRO70" s="24"/>
      <c r="KRP70" s="24"/>
      <c r="KRQ70" s="24"/>
      <c r="KRR70" s="24"/>
      <c r="KRS70" s="24"/>
      <c r="KRT70" s="24"/>
      <c r="KRU70" s="24"/>
      <c r="KRV70" s="24"/>
      <c r="KRW70" s="24"/>
      <c r="KRX70" s="24"/>
      <c r="KRY70" s="24"/>
      <c r="KRZ70" s="24"/>
      <c r="KSA70" s="24"/>
      <c r="KSB70" s="24"/>
      <c r="KSC70" s="24"/>
      <c r="KSD70" s="24"/>
      <c r="KSE70" s="24"/>
      <c r="KSF70" s="24"/>
      <c r="KSG70" s="24"/>
      <c r="KSH70" s="24"/>
      <c r="KSI70" s="24"/>
      <c r="KSJ70" s="24"/>
      <c r="KSK70" s="24"/>
      <c r="KSL70" s="24"/>
      <c r="KSM70" s="24"/>
      <c r="KSN70" s="24"/>
      <c r="KSO70" s="24"/>
      <c r="KSP70" s="24"/>
      <c r="KSQ70" s="24"/>
      <c r="KSR70" s="24"/>
      <c r="KSS70" s="24"/>
      <c r="KST70" s="24"/>
      <c r="KSU70" s="24"/>
      <c r="KSV70" s="24"/>
      <c r="KSW70" s="24"/>
      <c r="KSX70" s="24"/>
      <c r="KSY70" s="24"/>
      <c r="KSZ70" s="24"/>
      <c r="KTA70" s="24"/>
      <c r="KTB70" s="24"/>
      <c r="KTC70" s="24"/>
      <c r="KTD70" s="24"/>
      <c r="KTE70" s="24"/>
      <c r="KTF70" s="24"/>
      <c r="KTG70" s="24"/>
      <c r="KTH70" s="24"/>
      <c r="KTI70" s="24"/>
      <c r="KTJ70" s="24"/>
      <c r="KTK70" s="24"/>
      <c r="KTL70" s="24"/>
      <c r="KTM70" s="24"/>
      <c r="KTN70" s="24"/>
      <c r="KTO70" s="24"/>
      <c r="KTP70" s="24"/>
      <c r="KTQ70" s="24"/>
      <c r="KTR70" s="24"/>
      <c r="KTS70" s="24"/>
      <c r="KTT70" s="24"/>
      <c r="KTU70" s="24"/>
      <c r="KTV70" s="24"/>
      <c r="KTW70" s="24"/>
      <c r="KTX70" s="24"/>
      <c r="KTY70" s="24"/>
      <c r="KTZ70" s="24"/>
      <c r="KUA70" s="24"/>
      <c r="KUB70" s="24"/>
      <c r="KUC70" s="24"/>
      <c r="KUD70" s="24"/>
      <c r="KUE70" s="24"/>
      <c r="KUF70" s="24"/>
      <c r="KUG70" s="24"/>
      <c r="KUH70" s="24"/>
      <c r="KUI70" s="24"/>
      <c r="KUJ70" s="24"/>
      <c r="KUK70" s="24"/>
      <c r="KUL70" s="24"/>
      <c r="KUM70" s="24"/>
      <c r="KUN70" s="24"/>
      <c r="KUO70" s="24"/>
      <c r="KUP70" s="24"/>
      <c r="KUQ70" s="24"/>
      <c r="KUR70" s="24"/>
      <c r="KUS70" s="24"/>
      <c r="KUT70" s="24"/>
      <c r="KUU70" s="24"/>
      <c r="KUV70" s="24"/>
      <c r="KUW70" s="24"/>
      <c r="KUX70" s="24"/>
      <c r="KUY70" s="24"/>
      <c r="KUZ70" s="24"/>
      <c r="KVA70" s="24"/>
      <c r="KVB70" s="24"/>
      <c r="KVC70" s="24"/>
      <c r="KVD70" s="24"/>
      <c r="KVE70" s="24"/>
      <c r="KVF70" s="24"/>
      <c r="KVG70" s="24"/>
      <c r="KVH70" s="24"/>
      <c r="KVI70" s="24"/>
      <c r="KVJ70" s="24"/>
      <c r="KVK70" s="24"/>
      <c r="KVL70" s="24"/>
      <c r="KVM70" s="24"/>
      <c r="KVN70" s="24"/>
      <c r="KVO70" s="24"/>
      <c r="KVP70" s="24"/>
      <c r="KVQ70" s="24"/>
      <c r="KVR70" s="24"/>
      <c r="KVS70" s="24"/>
      <c r="KVT70" s="24"/>
      <c r="KVU70" s="24"/>
      <c r="KVV70" s="24"/>
      <c r="KVW70" s="24"/>
      <c r="KVX70" s="24"/>
      <c r="KVY70" s="24"/>
      <c r="KVZ70" s="24"/>
      <c r="KWA70" s="24"/>
      <c r="KWB70" s="24"/>
      <c r="KWC70" s="24"/>
      <c r="KWD70" s="24"/>
      <c r="KWE70" s="24"/>
      <c r="KWF70" s="24"/>
      <c r="KWG70" s="24"/>
      <c r="KWH70" s="24"/>
      <c r="KWI70" s="24"/>
      <c r="KWJ70" s="24"/>
      <c r="KWK70" s="24"/>
      <c r="KWL70" s="24"/>
      <c r="KWM70" s="24"/>
      <c r="KWN70" s="24"/>
      <c r="KWO70" s="24"/>
      <c r="KWP70" s="24"/>
      <c r="KWQ70" s="24"/>
      <c r="KWR70" s="24"/>
      <c r="KWS70" s="24"/>
      <c r="KWT70" s="24"/>
      <c r="KWU70" s="24"/>
      <c r="KWV70" s="24"/>
      <c r="KWW70" s="24"/>
      <c r="KWX70" s="24"/>
      <c r="KWY70" s="24"/>
      <c r="KWZ70" s="24"/>
      <c r="KXA70" s="24"/>
      <c r="KXB70" s="24"/>
      <c r="KXC70" s="24"/>
      <c r="KXD70" s="24"/>
      <c r="KXE70" s="24"/>
      <c r="KXF70" s="24"/>
      <c r="KXG70" s="24"/>
      <c r="KXH70" s="24"/>
      <c r="KXI70" s="24"/>
      <c r="KXJ70" s="24"/>
      <c r="KXK70" s="24"/>
      <c r="KXL70" s="24"/>
      <c r="KXM70" s="24"/>
      <c r="KXN70" s="24"/>
      <c r="KXO70" s="24"/>
      <c r="KXP70" s="24"/>
      <c r="KXQ70" s="24"/>
      <c r="KXR70" s="24"/>
      <c r="KXS70" s="24"/>
      <c r="KXT70" s="24"/>
      <c r="KXU70" s="24"/>
      <c r="KXV70" s="24"/>
      <c r="KXW70" s="24"/>
      <c r="KXX70" s="24"/>
      <c r="KXY70" s="24"/>
      <c r="KXZ70" s="24"/>
      <c r="KYA70" s="24"/>
      <c r="KYB70" s="24"/>
      <c r="KYC70" s="24"/>
      <c r="KYD70" s="24"/>
      <c r="KYE70" s="24"/>
      <c r="KYF70" s="24"/>
      <c r="KYG70" s="24"/>
      <c r="KYH70" s="24"/>
      <c r="KYI70" s="24"/>
      <c r="KYJ70" s="24"/>
      <c r="KYK70" s="24"/>
      <c r="KYL70" s="24"/>
      <c r="KYM70" s="24"/>
      <c r="KYN70" s="24"/>
      <c r="KYO70" s="24"/>
      <c r="KYP70" s="24"/>
      <c r="KYQ70" s="24"/>
      <c r="KYR70" s="24"/>
      <c r="KYS70" s="24"/>
      <c r="KYT70" s="24"/>
      <c r="KYU70" s="24"/>
      <c r="KYV70" s="24"/>
      <c r="KYW70" s="24"/>
      <c r="KYX70" s="24"/>
      <c r="KYY70" s="24"/>
      <c r="KYZ70" s="24"/>
      <c r="KZA70" s="24"/>
      <c r="KZB70" s="24"/>
      <c r="KZC70" s="24"/>
      <c r="KZD70" s="24"/>
      <c r="KZE70" s="24"/>
      <c r="KZF70" s="24"/>
      <c r="KZG70" s="24"/>
      <c r="KZH70" s="24"/>
      <c r="KZI70" s="24"/>
      <c r="KZJ70" s="24"/>
      <c r="KZK70" s="24"/>
      <c r="KZL70" s="24"/>
      <c r="KZM70" s="24"/>
      <c r="KZN70" s="24"/>
      <c r="KZO70" s="24"/>
      <c r="KZP70" s="24"/>
      <c r="KZQ70" s="24"/>
      <c r="KZR70" s="24"/>
      <c r="KZS70" s="24"/>
      <c r="KZT70" s="24"/>
      <c r="KZU70" s="24"/>
      <c r="KZV70" s="24"/>
      <c r="KZW70" s="24"/>
      <c r="KZX70" s="24"/>
      <c r="KZY70" s="24"/>
      <c r="KZZ70" s="24"/>
      <c r="LAA70" s="24"/>
      <c r="LAB70" s="24"/>
      <c r="LAC70" s="24"/>
      <c r="LAD70" s="24"/>
      <c r="LAE70" s="24"/>
      <c r="LAF70" s="24"/>
      <c r="LAG70" s="24"/>
      <c r="LAH70" s="24"/>
      <c r="LAI70" s="24"/>
      <c r="LAJ70" s="24"/>
      <c r="LAK70" s="24"/>
      <c r="LAL70" s="24"/>
      <c r="LAM70" s="24"/>
      <c r="LAN70" s="24"/>
      <c r="LAO70" s="24"/>
      <c r="LAP70" s="24"/>
      <c r="LAQ70" s="24"/>
      <c r="LAR70" s="24"/>
      <c r="LAS70" s="24"/>
      <c r="LAT70" s="24"/>
      <c r="LAU70" s="24"/>
      <c r="LAV70" s="24"/>
      <c r="LAW70" s="24"/>
      <c r="LAX70" s="24"/>
      <c r="LAY70" s="24"/>
      <c r="LAZ70" s="24"/>
      <c r="LBA70" s="24"/>
      <c r="LBB70" s="24"/>
      <c r="LBC70" s="24"/>
      <c r="LBD70" s="24"/>
      <c r="LBE70" s="24"/>
      <c r="LBF70" s="24"/>
      <c r="LBG70" s="24"/>
      <c r="LBH70" s="24"/>
      <c r="LBI70" s="24"/>
      <c r="LBJ70" s="24"/>
      <c r="LBK70" s="24"/>
      <c r="LBL70" s="24"/>
      <c r="LBM70" s="24"/>
      <c r="LBN70" s="24"/>
      <c r="LBO70" s="24"/>
      <c r="LBP70" s="24"/>
      <c r="LBQ70" s="24"/>
      <c r="LBR70" s="24"/>
      <c r="LBS70" s="24"/>
      <c r="LBT70" s="24"/>
      <c r="LBU70" s="24"/>
      <c r="LBV70" s="24"/>
      <c r="LBW70" s="24"/>
      <c r="LBX70" s="24"/>
      <c r="LBY70" s="24"/>
      <c r="LBZ70" s="24"/>
      <c r="LCA70" s="24"/>
      <c r="LCB70" s="24"/>
      <c r="LCC70" s="24"/>
      <c r="LCD70" s="24"/>
      <c r="LCE70" s="24"/>
      <c r="LCF70" s="24"/>
      <c r="LCG70" s="24"/>
      <c r="LCH70" s="24"/>
      <c r="LCI70" s="24"/>
      <c r="LCJ70" s="24"/>
      <c r="LCK70" s="24"/>
      <c r="LCL70" s="24"/>
      <c r="LCM70" s="24"/>
      <c r="LCN70" s="24"/>
      <c r="LCO70" s="24"/>
      <c r="LCP70" s="24"/>
      <c r="LCQ70" s="24"/>
      <c r="LCR70" s="24"/>
      <c r="LCS70" s="24"/>
      <c r="LCT70" s="24"/>
      <c r="LCU70" s="24"/>
      <c r="LCV70" s="24"/>
      <c r="LCW70" s="24"/>
      <c r="LCX70" s="24"/>
      <c r="LCY70" s="24"/>
      <c r="LCZ70" s="24"/>
      <c r="LDA70" s="24"/>
      <c r="LDB70" s="24"/>
      <c r="LDC70" s="24"/>
      <c r="LDD70" s="24"/>
      <c r="LDE70" s="24"/>
      <c r="LDF70" s="24"/>
      <c r="LDG70" s="24"/>
      <c r="LDH70" s="24"/>
      <c r="LDI70" s="24"/>
      <c r="LDJ70" s="24"/>
      <c r="LDK70" s="24"/>
      <c r="LDL70" s="24"/>
      <c r="LDM70" s="24"/>
      <c r="LDN70" s="24"/>
      <c r="LDO70" s="24"/>
      <c r="LDP70" s="24"/>
      <c r="LDQ70" s="24"/>
      <c r="LDR70" s="24"/>
      <c r="LDS70" s="24"/>
      <c r="LDT70" s="24"/>
      <c r="LDU70" s="24"/>
      <c r="LDV70" s="24"/>
      <c r="LDW70" s="24"/>
      <c r="LDX70" s="24"/>
      <c r="LDY70" s="24"/>
      <c r="LDZ70" s="24"/>
      <c r="LEA70" s="24"/>
      <c r="LEB70" s="24"/>
      <c r="LEC70" s="24"/>
      <c r="LED70" s="24"/>
      <c r="LEE70" s="24"/>
      <c r="LEF70" s="24"/>
      <c r="LEG70" s="24"/>
      <c r="LEH70" s="24"/>
      <c r="LEI70" s="24"/>
      <c r="LEJ70" s="24"/>
      <c r="LEK70" s="24"/>
      <c r="LEL70" s="24"/>
      <c r="LEM70" s="24"/>
      <c r="LEN70" s="24"/>
      <c r="LEO70" s="24"/>
      <c r="LEP70" s="24"/>
      <c r="LEQ70" s="24"/>
      <c r="LER70" s="24"/>
      <c r="LES70" s="24"/>
      <c r="LET70" s="24"/>
      <c r="LEU70" s="24"/>
      <c r="LEV70" s="24"/>
      <c r="LEW70" s="24"/>
      <c r="LEX70" s="24"/>
      <c r="LEY70" s="24"/>
      <c r="LEZ70" s="24"/>
      <c r="LFA70" s="24"/>
      <c r="LFB70" s="24"/>
      <c r="LFC70" s="24"/>
      <c r="LFD70" s="24"/>
      <c r="LFE70" s="24"/>
      <c r="LFF70" s="24"/>
      <c r="LFG70" s="24"/>
      <c r="LFH70" s="24"/>
      <c r="LFI70" s="24"/>
      <c r="LFJ70" s="24"/>
      <c r="LFK70" s="24"/>
      <c r="LFL70" s="24"/>
      <c r="LFM70" s="24"/>
      <c r="LFN70" s="24"/>
      <c r="LFO70" s="24"/>
      <c r="LFP70" s="24"/>
      <c r="LFQ70" s="24"/>
      <c r="LFR70" s="24"/>
      <c r="LFS70" s="24"/>
      <c r="LFT70" s="24"/>
      <c r="LFU70" s="24"/>
      <c r="LFV70" s="24"/>
      <c r="LFW70" s="24"/>
      <c r="LFX70" s="24"/>
      <c r="LFY70" s="24"/>
      <c r="LFZ70" s="24"/>
      <c r="LGA70" s="24"/>
      <c r="LGB70" s="24"/>
      <c r="LGC70" s="24"/>
      <c r="LGD70" s="24"/>
      <c r="LGE70" s="24"/>
      <c r="LGF70" s="24"/>
      <c r="LGG70" s="24"/>
      <c r="LGH70" s="24"/>
      <c r="LGI70" s="24"/>
      <c r="LGJ70" s="24"/>
      <c r="LGK70" s="24"/>
      <c r="LGL70" s="24"/>
      <c r="LGM70" s="24"/>
      <c r="LGN70" s="24"/>
      <c r="LGO70" s="24"/>
      <c r="LGP70" s="24"/>
      <c r="LGQ70" s="24"/>
      <c r="LGR70" s="24"/>
      <c r="LGS70" s="24"/>
      <c r="LGT70" s="24"/>
      <c r="LGU70" s="24"/>
      <c r="LGV70" s="24"/>
      <c r="LGW70" s="24"/>
      <c r="LGX70" s="24"/>
      <c r="LGY70" s="24"/>
      <c r="LGZ70" s="24"/>
      <c r="LHA70" s="24"/>
      <c r="LHB70" s="24"/>
      <c r="LHC70" s="24"/>
      <c r="LHD70" s="24"/>
      <c r="LHE70" s="24"/>
      <c r="LHF70" s="24"/>
      <c r="LHG70" s="24"/>
      <c r="LHH70" s="24"/>
      <c r="LHI70" s="24"/>
      <c r="LHJ70" s="24"/>
      <c r="LHK70" s="24"/>
      <c r="LHL70" s="24"/>
      <c r="LHM70" s="24"/>
      <c r="LHN70" s="24"/>
      <c r="LHO70" s="24"/>
      <c r="LHP70" s="24"/>
      <c r="LHQ70" s="24"/>
      <c r="LHR70" s="24"/>
      <c r="LHS70" s="24"/>
      <c r="LHT70" s="24"/>
      <c r="LHU70" s="24"/>
      <c r="LHV70" s="24"/>
      <c r="LHW70" s="24"/>
      <c r="LHX70" s="24"/>
      <c r="LHY70" s="24"/>
      <c r="LHZ70" s="24"/>
      <c r="LIA70" s="24"/>
      <c r="LIB70" s="24"/>
      <c r="LIC70" s="24"/>
      <c r="LID70" s="24"/>
      <c r="LIE70" s="24"/>
      <c r="LIF70" s="24"/>
      <c r="LIG70" s="24"/>
      <c r="LIH70" s="24"/>
      <c r="LII70" s="24"/>
      <c r="LIJ70" s="24"/>
      <c r="LIK70" s="24"/>
      <c r="LIL70" s="24"/>
      <c r="LIM70" s="24"/>
      <c r="LIN70" s="24"/>
      <c r="LIO70" s="24"/>
      <c r="LIP70" s="24"/>
      <c r="LIQ70" s="24"/>
      <c r="LIR70" s="24"/>
      <c r="LIS70" s="24"/>
      <c r="LIT70" s="24"/>
      <c r="LIU70" s="24"/>
      <c r="LIV70" s="24"/>
      <c r="LIW70" s="24"/>
      <c r="LIX70" s="24"/>
      <c r="LIY70" s="24"/>
      <c r="LIZ70" s="24"/>
      <c r="LJA70" s="24"/>
      <c r="LJB70" s="24"/>
      <c r="LJC70" s="24"/>
      <c r="LJD70" s="24"/>
      <c r="LJE70" s="24"/>
      <c r="LJF70" s="24"/>
      <c r="LJG70" s="24"/>
      <c r="LJH70" s="24"/>
      <c r="LJI70" s="24"/>
      <c r="LJJ70" s="24"/>
      <c r="LJK70" s="24"/>
      <c r="LJL70" s="24"/>
      <c r="LJM70" s="24"/>
      <c r="LJN70" s="24"/>
      <c r="LJO70" s="24"/>
      <c r="LJP70" s="24"/>
      <c r="LJQ70" s="24"/>
      <c r="LJR70" s="24"/>
      <c r="LJS70" s="24"/>
      <c r="LJT70" s="24"/>
      <c r="LJU70" s="24"/>
      <c r="LJV70" s="24"/>
      <c r="LJW70" s="24"/>
      <c r="LJX70" s="24"/>
      <c r="LJY70" s="24"/>
      <c r="LJZ70" s="24"/>
      <c r="LKA70" s="24"/>
      <c r="LKB70" s="24"/>
      <c r="LKC70" s="24"/>
      <c r="LKD70" s="24"/>
      <c r="LKE70" s="24"/>
      <c r="LKF70" s="24"/>
      <c r="LKG70" s="24"/>
      <c r="LKH70" s="24"/>
      <c r="LKI70" s="24"/>
      <c r="LKJ70" s="24"/>
      <c r="LKK70" s="24"/>
      <c r="LKL70" s="24"/>
      <c r="LKM70" s="24"/>
      <c r="LKN70" s="24"/>
      <c r="LKO70" s="24"/>
      <c r="LKP70" s="24"/>
      <c r="LKQ70" s="24"/>
      <c r="LKR70" s="24"/>
      <c r="LKS70" s="24"/>
      <c r="LKT70" s="24"/>
      <c r="LKU70" s="24"/>
      <c r="LKV70" s="24"/>
      <c r="LKW70" s="24"/>
      <c r="LKX70" s="24"/>
      <c r="LKY70" s="24"/>
      <c r="LKZ70" s="24"/>
      <c r="LLA70" s="24"/>
      <c r="LLB70" s="24"/>
      <c r="LLC70" s="24"/>
      <c r="LLD70" s="24"/>
      <c r="LLE70" s="24"/>
      <c r="LLF70" s="24"/>
      <c r="LLG70" s="24"/>
      <c r="LLH70" s="24"/>
      <c r="LLI70" s="24"/>
      <c r="LLJ70" s="24"/>
      <c r="LLK70" s="24"/>
      <c r="LLL70" s="24"/>
      <c r="LLM70" s="24"/>
      <c r="LLN70" s="24"/>
      <c r="LLO70" s="24"/>
      <c r="LLP70" s="24"/>
      <c r="LLQ70" s="24"/>
      <c r="LLR70" s="24"/>
      <c r="LLS70" s="24"/>
      <c r="LLT70" s="24"/>
      <c r="LLU70" s="24"/>
      <c r="LLV70" s="24"/>
      <c r="LLW70" s="24"/>
      <c r="LLX70" s="24"/>
      <c r="LLY70" s="24"/>
      <c r="LLZ70" s="24"/>
      <c r="LMA70" s="24"/>
      <c r="LMB70" s="24"/>
      <c r="LMC70" s="24"/>
      <c r="LMD70" s="24"/>
      <c r="LME70" s="24"/>
      <c r="LMF70" s="24"/>
      <c r="LMG70" s="24"/>
      <c r="LMH70" s="24"/>
      <c r="LMI70" s="24"/>
      <c r="LMJ70" s="24"/>
      <c r="LMK70" s="24"/>
      <c r="LML70" s="24"/>
      <c r="LMM70" s="24"/>
      <c r="LMN70" s="24"/>
      <c r="LMO70" s="24"/>
      <c r="LMP70" s="24"/>
      <c r="LMQ70" s="24"/>
      <c r="LMR70" s="24"/>
      <c r="LMS70" s="24"/>
      <c r="LMT70" s="24"/>
      <c r="LMU70" s="24"/>
      <c r="LMV70" s="24"/>
      <c r="LMW70" s="24"/>
      <c r="LMX70" s="24"/>
      <c r="LMY70" s="24"/>
      <c r="LMZ70" s="24"/>
      <c r="LNA70" s="24"/>
      <c r="LNB70" s="24"/>
      <c r="LNC70" s="24"/>
      <c r="LND70" s="24"/>
      <c r="LNE70" s="24"/>
      <c r="LNF70" s="24"/>
      <c r="LNG70" s="24"/>
      <c r="LNH70" s="24"/>
      <c r="LNI70" s="24"/>
      <c r="LNJ70" s="24"/>
      <c r="LNK70" s="24"/>
      <c r="LNL70" s="24"/>
      <c r="LNM70" s="24"/>
      <c r="LNN70" s="24"/>
      <c r="LNO70" s="24"/>
      <c r="LNP70" s="24"/>
      <c r="LNQ70" s="24"/>
      <c r="LNR70" s="24"/>
      <c r="LNS70" s="24"/>
      <c r="LNT70" s="24"/>
      <c r="LNU70" s="24"/>
      <c r="LNV70" s="24"/>
      <c r="LNW70" s="24"/>
      <c r="LNX70" s="24"/>
      <c r="LNY70" s="24"/>
      <c r="LNZ70" s="24"/>
      <c r="LOA70" s="24"/>
      <c r="LOB70" s="24"/>
      <c r="LOC70" s="24"/>
      <c r="LOD70" s="24"/>
      <c r="LOE70" s="24"/>
      <c r="LOF70" s="24"/>
      <c r="LOG70" s="24"/>
      <c r="LOH70" s="24"/>
      <c r="LOI70" s="24"/>
      <c r="LOJ70" s="24"/>
      <c r="LOK70" s="24"/>
      <c r="LOL70" s="24"/>
      <c r="LOM70" s="24"/>
      <c r="LON70" s="24"/>
      <c r="LOO70" s="24"/>
      <c r="LOP70" s="24"/>
      <c r="LOQ70" s="24"/>
      <c r="LOR70" s="24"/>
      <c r="LOS70" s="24"/>
      <c r="LOT70" s="24"/>
      <c r="LOU70" s="24"/>
      <c r="LOV70" s="24"/>
      <c r="LOW70" s="24"/>
      <c r="LOX70" s="24"/>
      <c r="LOY70" s="24"/>
      <c r="LOZ70" s="24"/>
      <c r="LPA70" s="24"/>
      <c r="LPB70" s="24"/>
      <c r="LPC70" s="24"/>
      <c r="LPD70" s="24"/>
      <c r="LPE70" s="24"/>
      <c r="LPF70" s="24"/>
      <c r="LPG70" s="24"/>
      <c r="LPH70" s="24"/>
      <c r="LPI70" s="24"/>
      <c r="LPJ70" s="24"/>
      <c r="LPK70" s="24"/>
      <c r="LPL70" s="24"/>
      <c r="LPM70" s="24"/>
      <c r="LPN70" s="24"/>
      <c r="LPO70" s="24"/>
      <c r="LPP70" s="24"/>
      <c r="LPQ70" s="24"/>
      <c r="LPR70" s="24"/>
      <c r="LPS70" s="24"/>
      <c r="LPT70" s="24"/>
      <c r="LPU70" s="24"/>
      <c r="LPV70" s="24"/>
      <c r="LPW70" s="24"/>
      <c r="LPX70" s="24"/>
      <c r="LPY70" s="24"/>
      <c r="LPZ70" s="24"/>
      <c r="LQA70" s="24"/>
      <c r="LQB70" s="24"/>
      <c r="LQC70" s="24"/>
      <c r="LQD70" s="24"/>
      <c r="LQE70" s="24"/>
      <c r="LQF70" s="24"/>
      <c r="LQG70" s="24"/>
      <c r="LQH70" s="24"/>
      <c r="LQI70" s="24"/>
      <c r="LQJ70" s="24"/>
      <c r="LQK70" s="24"/>
      <c r="LQL70" s="24"/>
      <c r="LQM70" s="24"/>
      <c r="LQN70" s="24"/>
      <c r="LQO70" s="24"/>
      <c r="LQP70" s="24"/>
      <c r="LQQ70" s="24"/>
      <c r="LQR70" s="24"/>
      <c r="LQS70" s="24"/>
      <c r="LQT70" s="24"/>
      <c r="LQU70" s="24"/>
      <c r="LQV70" s="24"/>
      <c r="LQW70" s="24"/>
      <c r="LQX70" s="24"/>
      <c r="LQY70" s="24"/>
      <c r="LQZ70" s="24"/>
      <c r="LRA70" s="24"/>
      <c r="LRB70" s="24"/>
      <c r="LRC70" s="24"/>
      <c r="LRD70" s="24"/>
      <c r="LRE70" s="24"/>
      <c r="LRF70" s="24"/>
      <c r="LRG70" s="24"/>
      <c r="LRH70" s="24"/>
      <c r="LRI70" s="24"/>
      <c r="LRJ70" s="24"/>
      <c r="LRK70" s="24"/>
      <c r="LRL70" s="24"/>
      <c r="LRM70" s="24"/>
      <c r="LRN70" s="24"/>
      <c r="LRO70" s="24"/>
      <c r="LRP70" s="24"/>
      <c r="LRQ70" s="24"/>
      <c r="LRR70" s="24"/>
      <c r="LRS70" s="24"/>
      <c r="LRT70" s="24"/>
      <c r="LRU70" s="24"/>
      <c r="LRV70" s="24"/>
      <c r="LRW70" s="24"/>
      <c r="LRX70" s="24"/>
      <c r="LRY70" s="24"/>
      <c r="LRZ70" s="24"/>
      <c r="LSA70" s="24"/>
      <c r="LSB70" s="24"/>
      <c r="LSC70" s="24"/>
      <c r="LSD70" s="24"/>
      <c r="LSE70" s="24"/>
      <c r="LSF70" s="24"/>
      <c r="LSG70" s="24"/>
      <c r="LSH70" s="24"/>
      <c r="LSI70" s="24"/>
      <c r="LSJ70" s="24"/>
      <c r="LSK70" s="24"/>
      <c r="LSL70" s="24"/>
      <c r="LSM70" s="24"/>
      <c r="LSN70" s="24"/>
      <c r="LSO70" s="24"/>
      <c r="LSP70" s="24"/>
      <c r="LSQ70" s="24"/>
      <c r="LSR70" s="24"/>
      <c r="LSS70" s="24"/>
      <c r="LST70" s="24"/>
      <c r="LSU70" s="24"/>
      <c r="LSV70" s="24"/>
      <c r="LSW70" s="24"/>
      <c r="LSX70" s="24"/>
      <c r="LSY70" s="24"/>
      <c r="LSZ70" s="24"/>
      <c r="LTA70" s="24"/>
      <c r="LTB70" s="24"/>
      <c r="LTC70" s="24"/>
      <c r="LTD70" s="24"/>
      <c r="LTE70" s="24"/>
      <c r="LTF70" s="24"/>
      <c r="LTG70" s="24"/>
      <c r="LTH70" s="24"/>
      <c r="LTI70" s="24"/>
      <c r="LTJ70" s="24"/>
      <c r="LTK70" s="24"/>
      <c r="LTL70" s="24"/>
      <c r="LTM70" s="24"/>
      <c r="LTN70" s="24"/>
      <c r="LTO70" s="24"/>
      <c r="LTP70" s="24"/>
      <c r="LTQ70" s="24"/>
      <c r="LTR70" s="24"/>
      <c r="LTS70" s="24"/>
      <c r="LTT70" s="24"/>
      <c r="LTU70" s="24"/>
      <c r="LTV70" s="24"/>
      <c r="LTW70" s="24"/>
      <c r="LTX70" s="24"/>
      <c r="LTY70" s="24"/>
      <c r="LTZ70" s="24"/>
      <c r="LUA70" s="24"/>
      <c r="LUB70" s="24"/>
      <c r="LUC70" s="24"/>
      <c r="LUD70" s="24"/>
      <c r="LUE70" s="24"/>
      <c r="LUF70" s="24"/>
      <c r="LUG70" s="24"/>
      <c r="LUH70" s="24"/>
      <c r="LUI70" s="24"/>
      <c r="LUJ70" s="24"/>
      <c r="LUK70" s="24"/>
      <c r="LUL70" s="24"/>
      <c r="LUM70" s="24"/>
      <c r="LUN70" s="24"/>
      <c r="LUO70" s="24"/>
      <c r="LUP70" s="24"/>
      <c r="LUQ70" s="24"/>
      <c r="LUR70" s="24"/>
      <c r="LUS70" s="24"/>
      <c r="LUT70" s="24"/>
      <c r="LUU70" s="24"/>
      <c r="LUV70" s="24"/>
      <c r="LUW70" s="24"/>
      <c r="LUX70" s="24"/>
      <c r="LUY70" s="24"/>
      <c r="LUZ70" s="24"/>
      <c r="LVA70" s="24"/>
      <c r="LVB70" s="24"/>
      <c r="LVC70" s="24"/>
      <c r="LVD70" s="24"/>
      <c r="LVE70" s="24"/>
      <c r="LVF70" s="24"/>
      <c r="LVG70" s="24"/>
      <c r="LVH70" s="24"/>
      <c r="LVI70" s="24"/>
      <c r="LVJ70" s="24"/>
      <c r="LVK70" s="24"/>
      <c r="LVL70" s="24"/>
      <c r="LVM70" s="24"/>
      <c r="LVN70" s="24"/>
      <c r="LVO70" s="24"/>
      <c r="LVP70" s="24"/>
      <c r="LVQ70" s="24"/>
      <c r="LVR70" s="24"/>
      <c r="LVS70" s="24"/>
      <c r="LVT70" s="24"/>
      <c r="LVU70" s="24"/>
      <c r="LVV70" s="24"/>
      <c r="LVW70" s="24"/>
      <c r="LVX70" s="24"/>
      <c r="LVY70" s="24"/>
      <c r="LVZ70" s="24"/>
      <c r="LWA70" s="24"/>
      <c r="LWB70" s="24"/>
      <c r="LWC70" s="24"/>
      <c r="LWD70" s="24"/>
      <c r="LWE70" s="24"/>
      <c r="LWF70" s="24"/>
      <c r="LWG70" s="24"/>
      <c r="LWH70" s="24"/>
      <c r="LWI70" s="24"/>
      <c r="LWJ70" s="24"/>
      <c r="LWK70" s="24"/>
      <c r="LWL70" s="24"/>
      <c r="LWM70" s="24"/>
      <c r="LWN70" s="24"/>
      <c r="LWO70" s="24"/>
      <c r="LWP70" s="24"/>
      <c r="LWQ70" s="24"/>
      <c r="LWR70" s="24"/>
      <c r="LWS70" s="24"/>
      <c r="LWT70" s="24"/>
      <c r="LWU70" s="24"/>
      <c r="LWV70" s="24"/>
      <c r="LWW70" s="24"/>
      <c r="LWX70" s="24"/>
      <c r="LWY70" s="24"/>
      <c r="LWZ70" s="24"/>
      <c r="LXA70" s="24"/>
      <c r="LXB70" s="24"/>
      <c r="LXC70" s="24"/>
      <c r="LXD70" s="24"/>
      <c r="LXE70" s="24"/>
      <c r="LXF70" s="24"/>
      <c r="LXG70" s="24"/>
      <c r="LXH70" s="24"/>
      <c r="LXI70" s="24"/>
      <c r="LXJ70" s="24"/>
      <c r="LXK70" s="24"/>
      <c r="LXL70" s="24"/>
      <c r="LXM70" s="24"/>
      <c r="LXN70" s="24"/>
      <c r="LXO70" s="24"/>
      <c r="LXP70" s="24"/>
      <c r="LXQ70" s="24"/>
      <c r="LXR70" s="24"/>
      <c r="LXS70" s="24"/>
      <c r="LXT70" s="24"/>
      <c r="LXU70" s="24"/>
      <c r="LXV70" s="24"/>
      <c r="LXW70" s="24"/>
      <c r="LXX70" s="24"/>
      <c r="LXY70" s="24"/>
      <c r="LXZ70" s="24"/>
      <c r="LYA70" s="24"/>
      <c r="LYB70" s="24"/>
      <c r="LYC70" s="24"/>
      <c r="LYD70" s="24"/>
      <c r="LYE70" s="24"/>
      <c r="LYF70" s="24"/>
      <c r="LYG70" s="24"/>
      <c r="LYH70" s="24"/>
      <c r="LYI70" s="24"/>
      <c r="LYJ70" s="24"/>
      <c r="LYK70" s="24"/>
      <c r="LYL70" s="24"/>
      <c r="LYM70" s="24"/>
      <c r="LYN70" s="24"/>
      <c r="LYO70" s="24"/>
      <c r="LYP70" s="24"/>
      <c r="LYQ70" s="24"/>
      <c r="LYR70" s="24"/>
      <c r="LYS70" s="24"/>
      <c r="LYT70" s="24"/>
      <c r="LYU70" s="24"/>
      <c r="LYV70" s="24"/>
      <c r="LYW70" s="24"/>
      <c r="LYX70" s="24"/>
      <c r="LYY70" s="24"/>
      <c r="LYZ70" s="24"/>
      <c r="LZA70" s="24"/>
      <c r="LZB70" s="24"/>
      <c r="LZC70" s="24"/>
      <c r="LZD70" s="24"/>
      <c r="LZE70" s="24"/>
      <c r="LZF70" s="24"/>
      <c r="LZG70" s="24"/>
      <c r="LZH70" s="24"/>
      <c r="LZI70" s="24"/>
      <c r="LZJ70" s="24"/>
      <c r="LZK70" s="24"/>
      <c r="LZL70" s="24"/>
      <c r="LZM70" s="24"/>
      <c r="LZN70" s="24"/>
      <c r="LZO70" s="24"/>
      <c r="LZP70" s="24"/>
      <c r="LZQ70" s="24"/>
      <c r="LZR70" s="24"/>
      <c r="LZS70" s="24"/>
      <c r="LZT70" s="24"/>
      <c r="LZU70" s="24"/>
      <c r="LZV70" s="24"/>
      <c r="LZW70" s="24"/>
      <c r="LZX70" s="24"/>
      <c r="LZY70" s="24"/>
      <c r="LZZ70" s="24"/>
      <c r="MAA70" s="24"/>
      <c r="MAB70" s="24"/>
      <c r="MAC70" s="24"/>
      <c r="MAD70" s="24"/>
      <c r="MAE70" s="24"/>
      <c r="MAF70" s="24"/>
      <c r="MAG70" s="24"/>
      <c r="MAH70" s="24"/>
      <c r="MAI70" s="24"/>
      <c r="MAJ70" s="24"/>
      <c r="MAK70" s="24"/>
      <c r="MAL70" s="24"/>
      <c r="MAM70" s="24"/>
      <c r="MAN70" s="24"/>
      <c r="MAO70" s="24"/>
      <c r="MAP70" s="24"/>
      <c r="MAQ70" s="24"/>
      <c r="MAR70" s="24"/>
      <c r="MAS70" s="24"/>
      <c r="MAT70" s="24"/>
      <c r="MAU70" s="24"/>
      <c r="MAV70" s="24"/>
      <c r="MAW70" s="24"/>
      <c r="MAX70" s="24"/>
      <c r="MAY70" s="24"/>
      <c r="MAZ70" s="24"/>
      <c r="MBA70" s="24"/>
      <c r="MBB70" s="24"/>
      <c r="MBC70" s="24"/>
      <c r="MBD70" s="24"/>
      <c r="MBE70" s="24"/>
      <c r="MBF70" s="24"/>
      <c r="MBG70" s="24"/>
      <c r="MBH70" s="24"/>
      <c r="MBI70" s="24"/>
      <c r="MBJ70" s="24"/>
      <c r="MBK70" s="24"/>
      <c r="MBL70" s="24"/>
      <c r="MBM70" s="24"/>
      <c r="MBN70" s="24"/>
      <c r="MBO70" s="24"/>
      <c r="MBP70" s="24"/>
      <c r="MBQ70" s="24"/>
      <c r="MBR70" s="24"/>
      <c r="MBS70" s="24"/>
      <c r="MBT70" s="24"/>
      <c r="MBU70" s="24"/>
      <c r="MBV70" s="24"/>
      <c r="MBW70" s="24"/>
      <c r="MBX70" s="24"/>
      <c r="MBY70" s="24"/>
      <c r="MBZ70" s="24"/>
      <c r="MCA70" s="24"/>
      <c r="MCB70" s="24"/>
      <c r="MCC70" s="24"/>
      <c r="MCD70" s="24"/>
      <c r="MCE70" s="24"/>
      <c r="MCF70" s="24"/>
      <c r="MCG70" s="24"/>
      <c r="MCH70" s="24"/>
      <c r="MCI70" s="24"/>
      <c r="MCJ70" s="24"/>
      <c r="MCK70" s="24"/>
      <c r="MCL70" s="24"/>
      <c r="MCM70" s="24"/>
      <c r="MCN70" s="24"/>
      <c r="MCO70" s="24"/>
      <c r="MCP70" s="24"/>
      <c r="MCQ70" s="24"/>
      <c r="MCR70" s="24"/>
      <c r="MCS70" s="24"/>
      <c r="MCT70" s="24"/>
      <c r="MCU70" s="24"/>
      <c r="MCV70" s="24"/>
      <c r="MCW70" s="24"/>
      <c r="MCX70" s="24"/>
      <c r="MCY70" s="24"/>
      <c r="MCZ70" s="24"/>
      <c r="MDA70" s="24"/>
      <c r="MDB70" s="24"/>
      <c r="MDC70" s="24"/>
      <c r="MDD70" s="24"/>
      <c r="MDE70" s="24"/>
      <c r="MDF70" s="24"/>
      <c r="MDG70" s="24"/>
      <c r="MDH70" s="24"/>
      <c r="MDI70" s="24"/>
      <c r="MDJ70" s="24"/>
      <c r="MDK70" s="24"/>
      <c r="MDL70" s="24"/>
      <c r="MDM70" s="24"/>
      <c r="MDN70" s="24"/>
      <c r="MDO70" s="24"/>
      <c r="MDP70" s="24"/>
      <c r="MDQ70" s="24"/>
      <c r="MDR70" s="24"/>
      <c r="MDS70" s="24"/>
      <c r="MDT70" s="24"/>
      <c r="MDU70" s="24"/>
      <c r="MDV70" s="24"/>
      <c r="MDW70" s="24"/>
      <c r="MDX70" s="24"/>
      <c r="MDY70" s="24"/>
      <c r="MDZ70" s="24"/>
      <c r="MEA70" s="24"/>
      <c r="MEB70" s="24"/>
      <c r="MEC70" s="24"/>
      <c r="MED70" s="24"/>
      <c r="MEE70" s="24"/>
      <c r="MEF70" s="24"/>
      <c r="MEG70" s="24"/>
      <c r="MEH70" s="24"/>
      <c r="MEI70" s="24"/>
      <c r="MEJ70" s="24"/>
      <c r="MEK70" s="24"/>
      <c r="MEL70" s="24"/>
      <c r="MEM70" s="24"/>
      <c r="MEN70" s="24"/>
      <c r="MEO70" s="24"/>
      <c r="MEP70" s="24"/>
      <c r="MEQ70" s="24"/>
      <c r="MER70" s="24"/>
      <c r="MES70" s="24"/>
      <c r="MET70" s="24"/>
      <c r="MEU70" s="24"/>
      <c r="MEV70" s="24"/>
      <c r="MEW70" s="24"/>
      <c r="MEX70" s="24"/>
      <c r="MEY70" s="24"/>
      <c r="MEZ70" s="24"/>
      <c r="MFA70" s="24"/>
      <c r="MFB70" s="24"/>
      <c r="MFC70" s="24"/>
      <c r="MFD70" s="24"/>
      <c r="MFE70" s="24"/>
      <c r="MFF70" s="24"/>
      <c r="MFG70" s="24"/>
      <c r="MFH70" s="24"/>
      <c r="MFI70" s="24"/>
      <c r="MFJ70" s="24"/>
      <c r="MFK70" s="24"/>
      <c r="MFL70" s="24"/>
      <c r="MFM70" s="24"/>
      <c r="MFN70" s="24"/>
      <c r="MFO70" s="24"/>
      <c r="MFP70" s="24"/>
      <c r="MFQ70" s="24"/>
      <c r="MFR70" s="24"/>
      <c r="MFS70" s="24"/>
      <c r="MFT70" s="24"/>
      <c r="MFU70" s="24"/>
      <c r="MFV70" s="24"/>
      <c r="MFW70" s="24"/>
      <c r="MFX70" s="24"/>
      <c r="MFY70" s="24"/>
      <c r="MFZ70" s="24"/>
      <c r="MGA70" s="24"/>
      <c r="MGB70" s="24"/>
      <c r="MGC70" s="24"/>
      <c r="MGD70" s="24"/>
      <c r="MGE70" s="24"/>
      <c r="MGF70" s="24"/>
      <c r="MGG70" s="24"/>
      <c r="MGH70" s="24"/>
      <c r="MGI70" s="24"/>
      <c r="MGJ70" s="24"/>
      <c r="MGK70" s="24"/>
      <c r="MGL70" s="24"/>
      <c r="MGM70" s="24"/>
      <c r="MGN70" s="24"/>
      <c r="MGO70" s="24"/>
      <c r="MGP70" s="24"/>
      <c r="MGQ70" s="24"/>
      <c r="MGR70" s="24"/>
      <c r="MGS70" s="24"/>
      <c r="MGT70" s="24"/>
      <c r="MGU70" s="24"/>
      <c r="MGV70" s="24"/>
      <c r="MGW70" s="24"/>
      <c r="MGX70" s="24"/>
      <c r="MGY70" s="24"/>
      <c r="MGZ70" s="24"/>
      <c r="MHA70" s="24"/>
      <c r="MHB70" s="24"/>
      <c r="MHC70" s="24"/>
      <c r="MHD70" s="24"/>
      <c r="MHE70" s="24"/>
      <c r="MHF70" s="24"/>
      <c r="MHG70" s="24"/>
      <c r="MHH70" s="24"/>
      <c r="MHI70" s="24"/>
      <c r="MHJ70" s="24"/>
      <c r="MHK70" s="24"/>
      <c r="MHL70" s="24"/>
      <c r="MHM70" s="24"/>
      <c r="MHN70" s="24"/>
      <c r="MHO70" s="24"/>
      <c r="MHP70" s="24"/>
      <c r="MHQ70" s="24"/>
      <c r="MHR70" s="24"/>
      <c r="MHS70" s="24"/>
      <c r="MHT70" s="24"/>
      <c r="MHU70" s="24"/>
      <c r="MHV70" s="24"/>
      <c r="MHW70" s="24"/>
      <c r="MHX70" s="24"/>
      <c r="MHY70" s="24"/>
      <c r="MHZ70" s="24"/>
      <c r="MIA70" s="24"/>
      <c r="MIB70" s="24"/>
      <c r="MIC70" s="24"/>
      <c r="MID70" s="24"/>
      <c r="MIE70" s="24"/>
      <c r="MIF70" s="24"/>
      <c r="MIG70" s="24"/>
      <c r="MIH70" s="24"/>
      <c r="MII70" s="24"/>
      <c r="MIJ70" s="24"/>
      <c r="MIK70" s="24"/>
      <c r="MIL70" s="24"/>
      <c r="MIM70" s="24"/>
      <c r="MIN70" s="24"/>
      <c r="MIO70" s="24"/>
      <c r="MIP70" s="24"/>
      <c r="MIQ70" s="24"/>
      <c r="MIR70" s="24"/>
      <c r="MIS70" s="24"/>
      <c r="MIT70" s="24"/>
      <c r="MIU70" s="24"/>
      <c r="MIV70" s="24"/>
      <c r="MIW70" s="24"/>
      <c r="MIX70" s="24"/>
      <c r="MIY70" s="24"/>
      <c r="MIZ70" s="24"/>
      <c r="MJA70" s="24"/>
      <c r="MJB70" s="24"/>
      <c r="MJC70" s="24"/>
      <c r="MJD70" s="24"/>
      <c r="MJE70" s="24"/>
      <c r="MJF70" s="24"/>
      <c r="MJG70" s="24"/>
      <c r="MJH70" s="24"/>
      <c r="MJI70" s="24"/>
      <c r="MJJ70" s="24"/>
      <c r="MJK70" s="24"/>
      <c r="MJL70" s="24"/>
      <c r="MJM70" s="24"/>
      <c r="MJN70" s="24"/>
      <c r="MJO70" s="24"/>
      <c r="MJP70" s="24"/>
      <c r="MJQ70" s="24"/>
      <c r="MJR70" s="24"/>
      <c r="MJS70" s="24"/>
      <c r="MJT70" s="24"/>
      <c r="MJU70" s="24"/>
      <c r="MJV70" s="24"/>
      <c r="MJW70" s="24"/>
      <c r="MJX70" s="24"/>
      <c r="MJY70" s="24"/>
      <c r="MJZ70" s="24"/>
      <c r="MKA70" s="24"/>
      <c r="MKB70" s="24"/>
      <c r="MKC70" s="24"/>
      <c r="MKD70" s="24"/>
      <c r="MKE70" s="24"/>
      <c r="MKF70" s="24"/>
      <c r="MKG70" s="24"/>
      <c r="MKH70" s="24"/>
      <c r="MKI70" s="24"/>
      <c r="MKJ70" s="24"/>
      <c r="MKK70" s="24"/>
      <c r="MKL70" s="24"/>
      <c r="MKM70" s="24"/>
      <c r="MKN70" s="24"/>
      <c r="MKO70" s="24"/>
      <c r="MKP70" s="24"/>
      <c r="MKQ70" s="24"/>
      <c r="MKR70" s="24"/>
      <c r="MKS70" s="24"/>
      <c r="MKT70" s="24"/>
      <c r="MKU70" s="24"/>
      <c r="MKV70" s="24"/>
      <c r="MKW70" s="24"/>
      <c r="MKX70" s="24"/>
      <c r="MKY70" s="24"/>
      <c r="MKZ70" s="24"/>
      <c r="MLA70" s="24"/>
      <c r="MLB70" s="24"/>
      <c r="MLC70" s="24"/>
      <c r="MLD70" s="24"/>
      <c r="MLE70" s="24"/>
      <c r="MLF70" s="24"/>
      <c r="MLG70" s="24"/>
      <c r="MLH70" s="24"/>
      <c r="MLI70" s="24"/>
      <c r="MLJ70" s="24"/>
      <c r="MLK70" s="24"/>
      <c r="MLL70" s="24"/>
      <c r="MLM70" s="24"/>
      <c r="MLN70" s="24"/>
      <c r="MLO70" s="24"/>
      <c r="MLP70" s="24"/>
      <c r="MLQ70" s="24"/>
      <c r="MLR70" s="24"/>
      <c r="MLS70" s="24"/>
      <c r="MLT70" s="24"/>
      <c r="MLU70" s="24"/>
      <c r="MLV70" s="24"/>
      <c r="MLW70" s="24"/>
      <c r="MLX70" s="24"/>
      <c r="MLY70" s="24"/>
      <c r="MLZ70" s="24"/>
      <c r="MMA70" s="24"/>
      <c r="MMB70" s="24"/>
      <c r="MMC70" s="24"/>
      <c r="MMD70" s="24"/>
      <c r="MME70" s="24"/>
      <c r="MMF70" s="24"/>
      <c r="MMG70" s="24"/>
      <c r="MMH70" s="24"/>
      <c r="MMI70" s="24"/>
      <c r="MMJ70" s="24"/>
      <c r="MMK70" s="24"/>
      <c r="MML70" s="24"/>
      <c r="MMM70" s="24"/>
      <c r="MMN70" s="24"/>
      <c r="MMO70" s="24"/>
      <c r="MMP70" s="24"/>
      <c r="MMQ70" s="24"/>
      <c r="MMR70" s="24"/>
      <c r="MMS70" s="24"/>
      <c r="MMT70" s="24"/>
      <c r="MMU70" s="24"/>
      <c r="MMV70" s="24"/>
      <c r="MMW70" s="24"/>
      <c r="MMX70" s="24"/>
      <c r="MMY70" s="24"/>
      <c r="MMZ70" s="24"/>
      <c r="MNA70" s="24"/>
      <c r="MNB70" s="24"/>
      <c r="MNC70" s="24"/>
      <c r="MND70" s="24"/>
      <c r="MNE70" s="24"/>
      <c r="MNF70" s="24"/>
      <c r="MNG70" s="24"/>
      <c r="MNH70" s="24"/>
      <c r="MNI70" s="24"/>
      <c r="MNJ70" s="24"/>
      <c r="MNK70" s="24"/>
      <c r="MNL70" s="24"/>
      <c r="MNM70" s="24"/>
      <c r="MNN70" s="24"/>
      <c r="MNO70" s="24"/>
      <c r="MNP70" s="24"/>
      <c r="MNQ70" s="24"/>
      <c r="MNR70" s="24"/>
      <c r="MNS70" s="24"/>
      <c r="MNT70" s="24"/>
      <c r="MNU70" s="24"/>
      <c r="MNV70" s="24"/>
      <c r="MNW70" s="24"/>
      <c r="MNX70" s="24"/>
      <c r="MNY70" s="24"/>
      <c r="MNZ70" s="24"/>
      <c r="MOA70" s="24"/>
      <c r="MOB70" s="24"/>
      <c r="MOC70" s="24"/>
      <c r="MOD70" s="24"/>
      <c r="MOE70" s="24"/>
      <c r="MOF70" s="24"/>
      <c r="MOG70" s="24"/>
      <c r="MOH70" s="24"/>
      <c r="MOI70" s="24"/>
      <c r="MOJ70" s="24"/>
      <c r="MOK70" s="24"/>
      <c r="MOL70" s="24"/>
      <c r="MOM70" s="24"/>
      <c r="MON70" s="24"/>
      <c r="MOO70" s="24"/>
      <c r="MOP70" s="24"/>
      <c r="MOQ70" s="24"/>
      <c r="MOR70" s="24"/>
      <c r="MOS70" s="24"/>
      <c r="MOT70" s="24"/>
      <c r="MOU70" s="24"/>
      <c r="MOV70" s="24"/>
      <c r="MOW70" s="24"/>
      <c r="MOX70" s="24"/>
      <c r="MOY70" s="24"/>
      <c r="MOZ70" s="24"/>
      <c r="MPA70" s="24"/>
      <c r="MPB70" s="24"/>
      <c r="MPC70" s="24"/>
      <c r="MPD70" s="24"/>
      <c r="MPE70" s="24"/>
      <c r="MPF70" s="24"/>
      <c r="MPG70" s="24"/>
      <c r="MPH70" s="24"/>
      <c r="MPI70" s="24"/>
      <c r="MPJ70" s="24"/>
      <c r="MPK70" s="24"/>
      <c r="MPL70" s="24"/>
      <c r="MPM70" s="24"/>
      <c r="MPN70" s="24"/>
      <c r="MPO70" s="24"/>
      <c r="MPP70" s="24"/>
      <c r="MPQ70" s="24"/>
      <c r="MPR70" s="24"/>
      <c r="MPS70" s="24"/>
      <c r="MPT70" s="24"/>
      <c r="MPU70" s="24"/>
      <c r="MPV70" s="24"/>
      <c r="MPW70" s="24"/>
      <c r="MPX70" s="24"/>
      <c r="MPY70" s="24"/>
      <c r="MPZ70" s="24"/>
      <c r="MQA70" s="24"/>
      <c r="MQB70" s="24"/>
      <c r="MQC70" s="24"/>
      <c r="MQD70" s="24"/>
      <c r="MQE70" s="24"/>
      <c r="MQF70" s="24"/>
      <c r="MQG70" s="24"/>
      <c r="MQH70" s="24"/>
      <c r="MQI70" s="24"/>
      <c r="MQJ70" s="24"/>
      <c r="MQK70" s="24"/>
      <c r="MQL70" s="24"/>
      <c r="MQM70" s="24"/>
      <c r="MQN70" s="24"/>
      <c r="MQO70" s="24"/>
      <c r="MQP70" s="24"/>
      <c r="MQQ70" s="24"/>
      <c r="MQR70" s="24"/>
      <c r="MQS70" s="24"/>
      <c r="MQT70" s="24"/>
      <c r="MQU70" s="24"/>
      <c r="MQV70" s="24"/>
      <c r="MQW70" s="24"/>
      <c r="MQX70" s="24"/>
      <c r="MQY70" s="24"/>
      <c r="MQZ70" s="24"/>
      <c r="MRA70" s="24"/>
      <c r="MRB70" s="24"/>
      <c r="MRC70" s="24"/>
      <c r="MRD70" s="24"/>
      <c r="MRE70" s="24"/>
      <c r="MRF70" s="24"/>
      <c r="MRG70" s="24"/>
      <c r="MRH70" s="24"/>
      <c r="MRI70" s="24"/>
      <c r="MRJ70" s="24"/>
      <c r="MRK70" s="24"/>
      <c r="MRL70" s="24"/>
      <c r="MRM70" s="24"/>
      <c r="MRN70" s="24"/>
      <c r="MRO70" s="24"/>
      <c r="MRP70" s="24"/>
      <c r="MRQ70" s="24"/>
      <c r="MRR70" s="24"/>
      <c r="MRS70" s="24"/>
      <c r="MRT70" s="24"/>
      <c r="MRU70" s="24"/>
      <c r="MRV70" s="24"/>
      <c r="MRW70" s="24"/>
      <c r="MRX70" s="24"/>
      <c r="MRY70" s="24"/>
      <c r="MRZ70" s="24"/>
      <c r="MSA70" s="24"/>
      <c r="MSB70" s="24"/>
      <c r="MSC70" s="24"/>
      <c r="MSD70" s="24"/>
      <c r="MSE70" s="24"/>
      <c r="MSF70" s="24"/>
      <c r="MSG70" s="24"/>
      <c r="MSH70" s="24"/>
      <c r="MSI70" s="24"/>
      <c r="MSJ70" s="24"/>
      <c r="MSK70" s="24"/>
      <c r="MSL70" s="24"/>
      <c r="MSM70" s="24"/>
      <c r="MSN70" s="24"/>
      <c r="MSO70" s="24"/>
      <c r="MSP70" s="24"/>
      <c r="MSQ70" s="24"/>
      <c r="MSR70" s="24"/>
      <c r="MSS70" s="24"/>
      <c r="MST70" s="24"/>
      <c r="MSU70" s="24"/>
      <c r="MSV70" s="24"/>
      <c r="MSW70" s="24"/>
      <c r="MSX70" s="24"/>
      <c r="MSY70" s="24"/>
      <c r="MSZ70" s="24"/>
      <c r="MTA70" s="24"/>
      <c r="MTB70" s="24"/>
      <c r="MTC70" s="24"/>
      <c r="MTD70" s="24"/>
      <c r="MTE70" s="24"/>
      <c r="MTF70" s="24"/>
      <c r="MTG70" s="24"/>
      <c r="MTH70" s="24"/>
      <c r="MTI70" s="24"/>
      <c r="MTJ70" s="24"/>
      <c r="MTK70" s="24"/>
      <c r="MTL70" s="24"/>
      <c r="MTM70" s="24"/>
      <c r="MTN70" s="24"/>
      <c r="MTO70" s="24"/>
      <c r="MTP70" s="24"/>
      <c r="MTQ70" s="24"/>
      <c r="MTR70" s="24"/>
      <c r="MTS70" s="24"/>
      <c r="MTT70" s="24"/>
      <c r="MTU70" s="24"/>
      <c r="MTV70" s="24"/>
      <c r="MTW70" s="24"/>
      <c r="MTX70" s="24"/>
      <c r="MTY70" s="24"/>
      <c r="MTZ70" s="24"/>
      <c r="MUA70" s="24"/>
      <c r="MUB70" s="24"/>
      <c r="MUC70" s="24"/>
      <c r="MUD70" s="24"/>
      <c r="MUE70" s="24"/>
      <c r="MUF70" s="24"/>
      <c r="MUG70" s="24"/>
      <c r="MUH70" s="24"/>
      <c r="MUI70" s="24"/>
      <c r="MUJ70" s="24"/>
      <c r="MUK70" s="24"/>
      <c r="MUL70" s="24"/>
      <c r="MUM70" s="24"/>
      <c r="MUN70" s="24"/>
      <c r="MUO70" s="24"/>
      <c r="MUP70" s="24"/>
      <c r="MUQ70" s="24"/>
      <c r="MUR70" s="24"/>
      <c r="MUS70" s="24"/>
      <c r="MUT70" s="24"/>
      <c r="MUU70" s="24"/>
      <c r="MUV70" s="24"/>
      <c r="MUW70" s="24"/>
      <c r="MUX70" s="24"/>
      <c r="MUY70" s="24"/>
      <c r="MUZ70" s="24"/>
      <c r="MVA70" s="24"/>
      <c r="MVB70" s="24"/>
      <c r="MVC70" s="24"/>
      <c r="MVD70" s="24"/>
      <c r="MVE70" s="24"/>
      <c r="MVF70" s="24"/>
      <c r="MVG70" s="24"/>
      <c r="MVH70" s="24"/>
      <c r="MVI70" s="24"/>
      <c r="MVJ70" s="24"/>
      <c r="MVK70" s="24"/>
      <c r="MVL70" s="24"/>
      <c r="MVM70" s="24"/>
      <c r="MVN70" s="24"/>
      <c r="MVO70" s="24"/>
      <c r="MVP70" s="24"/>
      <c r="MVQ70" s="24"/>
      <c r="MVR70" s="24"/>
      <c r="MVS70" s="24"/>
      <c r="MVT70" s="24"/>
      <c r="MVU70" s="24"/>
      <c r="MVV70" s="24"/>
      <c r="MVW70" s="24"/>
      <c r="MVX70" s="24"/>
      <c r="MVY70" s="24"/>
      <c r="MVZ70" s="24"/>
      <c r="MWA70" s="24"/>
      <c r="MWB70" s="24"/>
      <c r="MWC70" s="24"/>
      <c r="MWD70" s="24"/>
      <c r="MWE70" s="24"/>
      <c r="MWF70" s="24"/>
      <c r="MWG70" s="24"/>
      <c r="MWH70" s="24"/>
      <c r="MWI70" s="24"/>
      <c r="MWJ70" s="24"/>
      <c r="MWK70" s="24"/>
      <c r="MWL70" s="24"/>
      <c r="MWM70" s="24"/>
      <c r="MWN70" s="24"/>
      <c r="MWO70" s="24"/>
      <c r="MWP70" s="24"/>
      <c r="MWQ70" s="24"/>
      <c r="MWR70" s="24"/>
      <c r="MWS70" s="24"/>
      <c r="MWT70" s="24"/>
      <c r="MWU70" s="24"/>
      <c r="MWV70" s="24"/>
      <c r="MWW70" s="24"/>
      <c r="MWX70" s="24"/>
      <c r="MWY70" s="24"/>
      <c r="MWZ70" s="24"/>
      <c r="MXA70" s="24"/>
      <c r="MXB70" s="24"/>
      <c r="MXC70" s="24"/>
      <c r="MXD70" s="24"/>
      <c r="MXE70" s="24"/>
      <c r="MXF70" s="24"/>
      <c r="MXG70" s="24"/>
      <c r="MXH70" s="24"/>
      <c r="MXI70" s="24"/>
      <c r="MXJ70" s="24"/>
      <c r="MXK70" s="24"/>
      <c r="MXL70" s="24"/>
      <c r="MXM70" s="24"/>
      <c r="MXN70" s="24"/>
      <c r="MXO70" s="24"/>
      <c r="MXP70" s="24"/>
      <c r="MXQ70" s="24"/>
      <c r="MXR70" s="24"/>
      <c r="MXS70" s="24"/>
      <c r="MXT70" s="24"/>
      <c r="MXU70" s="24"/>
      <c r="MXV70" s="24"/>
      <c r="MXW70" s="24"/>
      <c r="MXX70" s="24"/>
      <c r="MXY70" s="24"/>
      <c r="MXZ70" s="24"/>
      <c r="MYA70" s="24"/>
      <c r="MYB70" s="24"/>
      <c r="MYC70" s="24"/>
      <c r="MYD70" s="24"/>
      <c r="MYE70" s="24"/>
      <c r="MYF70" s="24"/>
      <c r="MYG70" s="24"/>
      <c r="MYH70" s="24"/>
      <c r="MYI70" s="24"/>
      <c r="MYJ70" s="24"/>
      <c r="MYK70" s="24"/>
      <c r="MYL70" s="24"/>
      <c r="MYM70" s="24"/>
      <c r="MYN70" s="24"/>
      <c r="MYO70" s="24"/>
      <c r="MYP70" s="24"/>
      <c r="MYQ70" s="24"/>
      <c r="MYR70" s="24"/>
      <c r="MYS70" s="24"/>
      <c r="MYT70" s="24"/>
      <c r="MYU70" s="24"/>
      <c r="MYV70" s="24"/>
      <c r="MYW70" s="24"/>
      <c r="MYX70" s="24"/>
      <c r="MYY70" s="24"/>
      <c r="MYZ70" s="24"/>
      <c r="MZA70" s="24"/>
      <c r="MZB70" s="24"/>
      <c r="MZC70" s="24"/>
      <c r="MZD70" s="24"/>
      <c r="MZE70" s="24"/>
      <c r="MZF70" s="24"/>
      <c r="MZG70" s="24"/>
      <c r="MZH70" s="24"/>
      <c r="MZI70" s="24"/>
      <c r="MZJ70" s="24"/>
      <c r="MZK70" s="24"/>
      <c r="MZL70" s="24"/>
      <c r="MZM70" s="24"/>
      <c r="MZN70" s="24"/>
      <c r="MZO70" s="24"/>
      <c r="MZP70" s="24"/>
      <c r="MZQ70" s="24"/>
      <c r="MZR70" s="24"/>
      <c r="MZS70" s="24"/>
      <c r="MZT70" s="24"/>
      <c r="MZU70" s="24"/>
      <c r="MZV70" s="24"/>
      <c r="MZW70" s="24"/>
      <c r="MZX70" s="24"/>
      <c r="MZY70" s="24"/>
      <c r="MZZ70" s="24"/>
      <c r="NAA70" s="24"/>
      <c r="NAB70" s="24"/>
      <c r="NAC70" s="24"/>
      <c r="NAD70" s="24"/>
      <c r="NAE70" s="24"/>
      <c r="NAF70" s="24"/>
      <c r="NAG70" s="24"/>
      <c r="NAH70" s="24"/>
      <c r="NAI70" s="24"/>
      <c r="NAJ70" s="24"/>
      <c r="NAK70" s="24"/>
      <c r="NAL70" s="24"/>
      <c r="NAM70" s="24"/>
      <c r="NAN70" s="24"/>
      <c r="NAO70" s="24"/>
      <c r="NAP70" s="24"/>
      <c r="NAQ70" s="24"/>
      <c r="NAR70" s="24"/>
      <c r="NAS70" s="24"/>
      <c r="NAT70" s="24"/>
      <c r="NAU70" s="24"/>
      <c r="NAV70" s="24"/>
      <c r="NAW70" s="24"/>
      <c r="NAX70" s="24"/>
      <c r="NAY70" s="24"/>
      <c r="NAZ70" s="24"/>
      <c r="NBA70" s="24"/>
      <c r="NBB70" s="24"/>
      <c r="NBC70" s="24"/>
      <c r="NBD70" s="24"/>
      <c r="NBE70" s="24"/>
      <c r="NBF70" s="24"/>
      <c r="NBG70" s="24"/>
      <c r="NBH70" s="24"/>
      <c r="NBI70" s="24"/>
      <c r="NBJ70" s="24"/>
      <c r="NBK70" s="24"/>
      <c r="NBL70" s="24"/>
      <c r="NBM70" s="24"/>
      <c r="NBN70" s="24"/>
      <c r="NBO70" s="24"/>
      <c r="NBP70" s="24"/>
      <c r="NBQ70" s="24"/>
      <c r="NBR70" s="24"/>
      <c r="NBS70" s="24"/>
      <c r="NBT70" s="24"/>
      <c r="NBU70" s="24"/>
      <c r="NBV70" s="24"/>
      <c r="NBW70" s="24"/>
      <c r="NBX70" s="24"/>
      <c r="NBY70" s="24"/>
      <c r="NBZ70" s="24"/>
      <c r="NCA70" s="24"/>
      <c r="NCB70" s="24"/>
      <c r="NCC70" s="24"/>
      <c r="NCD70" s="24"/>
      <c r="NCE70" s="24"/>
      <c r="NCF70" s="24"/>
      <c r="NCG70" s="24"/>
      <c r="NCH70" s="24"/>
      <c r="NCI70" s="24"/>
      <c r="NCJ70" s="24"/>
      <c r="NCK70" s="24"/>
      <c r="NCL70" s="24"/>
      <c r="NCM70" s="24"/>
      <c r="NCN70" s="24"/>
      <c r="NCO70" s="24"/>
      <c r="NCP70" s="24"/>
      <c r="NCQ70" s="24"/>
      <c r="NCR70" s="24"/>
      <c r="NCS70" s="24"/>
      <c r="NCT70" s="24"/>
      <c r="NCU70" s="24"/>
      <c r="NCV70" s="24"/>
      <c r="NCW70" s="24"/>
      <c r="NCX70" s="24"/>
      <c r="NCY70" s="24"/>
      <c r="NCZ70" s="24"/>
      <c r="NDA70" s="24"/>
      <c r="NDB70" s="24"/>
      <c r="NDC70" s="24"/>
      <c r="NDD70" s="24"/>
      <c r="NDE70" s="24"/>
      <c r="NDF70" s="24"/>
      <c r="NDG70" s="24"/>
      <c r="NDH70" s="24"/>
      <c r="NDI70" s="24"/>
      <c r="NDJ70" s="24"/>
      <c r="NDK70" s="24"/>
      <c r="NDL70" s="24"/>
      <c r="NDM70" s="24"/>
      <c r="NDN70" s="24"/>
      <c r="NDO70" s="24"/>
      <c r="NDP70" s="24"/>
      <c r="NDQ70" s="24"/>
      <c r="NDR70" s="24"/>
      <c r="NDS70" s="24"/>
      <c r="NDT70" s="24"/>
      <c r="NDU70" s="24"/>
      <c r="NDV70" s="24"/>
      <c r="NDW70" s="24"/>
      <c r="NDX70" s="24"/>
      <c r="NDY70" s="24"/>
      <c r="NDZ70" s="24"/>
      <c r="NEA70" s="24"/>
      <c r="NEB70" s="24"/>
      <c r="NEC70" s="24"/>
      <c r="NED70" s="24"/>
      <c r="NEE70" s="24"/>
      <c r="NEF70" s="24"/>
      <c r="NEG70" s="24"/>
      <c r="NEH70" s="24"/>
      <c r="NEI70" s="24"/>
      <c r="NEJ70" s="24"/>
      <c r="NEK70" s="24"/>
      <c r="NEL70" s="24"/>
      <c r="NEM70" s="24"/>
      <c r="NEN70" s="24"/>
      <c r="NEO70" s="24"/>
      <c r="NEP70" s="24"/>
      <c r="NEQ70" s="24"/>
      <c r="NER70" s="24"/>
      <c r="NES70" s="24"/>
      <c r="NET70" s="24"/>
      <c r="NEU70" s="24"/>
      <c r="NEV70" s="24"/>
      <c r="NEW70" s="24"/>
      <c r="NEX70" s="24"/>
      <c r="NEY70" s="24"/>
      <c r="NEZ70" s="24"/>
      <c r="NFA70" s="24"/>
      <c r="NFB70" s="24"/>
      <c r="NFC70" s="24"/>
      <c r="NFD70" s="24"/>
      <c r="NFE70" s="24"/>
      <c r="NFF70" s="24"/>
      <c r="NFG70" s="24"/>
      <c r="NFH70" s="24"/>
      <c r="NFI70" s="24"/>
      <c r="NFJ70" s="24"/>
      <c r="NFK70" s="24"/>
      <c r="NFL70" s="24"/>
      <c r="NFM70" s="24"/>
      <c r="NFN70" s="24"/>
      <c r="NFO70" s="24"/>
      <c r="NFP70" s="24"/>
      <c r="NFQ70" s="24"/>
      <c r="NFR70" s="24"/>
      <c r="NFS70" s="24"/>
      <c r="NFT70" s="24"/>
      <c r="NFU70" s="24"/>
      <c r="NFV70" s="24"/>
      <c r="NFW70" s="24"/>
      <c r="NFX70" s="24"/>
      <c r="NFY70" s="24"/>
      <c r="NFZ70" s="24"/>
      <c r="NGA70" s="24"/>
      <c r="NGB70" s="24"/>
      <c r="NGC70" s="24"/>
      <c r="NGD70" s="24"/>
      <c r="NGE70" s="24"/>
      <c r="NGF70" s="24"/>
      <c r="NGG70" s="24"/>
      <c r="NGH70" s="24"/>
      <c r="NGI70" s="24"/>
      <c r="NGJ70" s="24"/>
      <c r="NGK70" s="24"/>
      <c r="NGL70" s="24"/>
      <c r="NGM70" s="24"/>
      <c r="NGN70" s="24"/>
      <c r="NGO70" s="24"/>
      <c r="NGP70" s="24"/>
      <c r="NGQ70" s="24"/>
      <c r="NGR70" s="24"/>
      <c r="NGS70" s="24"/>
      <c r="NGT70" s="24"/>
      <c r="NGU70" s="24"/>
      <c r="NGV70" s="24"/>
      <c r="NGW70" s="24"/>
      <c r="NGX70" s="24"/>
      <c r="NGY70" s="24"/>
      <c r="NGZ70" s="24"/>
      <c r="NHA70" s="24"/>
      <c r="NHB70" s="24"/>
      <c r="NHC70" s="24"/>
      <c r="NHD70" s="24"/>
      <c r="NHE70" s="24"/>
      <c r="NHF70" s="24"/>
      <c r="NHG70" s="24"/>
      <c r="NHH70" s="24"/>
      <c r="NHI70" s="24"/>
      <c r="NHJ70" s="24"/>
      <c r="NHK70" s="24"/>
      <c r="NHL70" s="24"/>
      <c r="NHM70" s="24"/>
      <c r="NHN70" s="24"/>
      <c r="NHO70" s="24"/>
      <c r="NHP70" s="24"/>
      <c r="NHQ70" s="24"/>
      <c r="NHR70" s="24"/>
      <c r="NHS70" s="24"/>
      <c r="NHT70" s="24"/>
      <c r="NHU70" s="24"/>
      <c r="NHV70" s="24"/>
      <c r="NHW70" s="24"/>
      <c r="NHX70" s="24"/>
      <c r="NHY70" s="24"/>
      <c r="NHZ70" s="24"/>
      <c r="NIA70" s="24"/>
      <c r="NIB70" s="24"/>
      <c r="NIC70" s="24"/>
      <c r="NID70" s="24"/>
      <c r="NIE70" s="24"/>
      <c r="NIF70" s="24"/>
      <c r="NIG70" s="24"/>
      <c r="NIH70" s="24"/>
      <c r="NII70" s="24"/>
      <c r="NIJ70" s="24"/>
      <c r="NIK70" s="24"/>
      <c r="NIL70" s="24"/>
      <c r="NIM70" s="24"/>
      <c r="NIN70" s="24"/>
      <c r="NIO70" s="24"/>
      <c r="NIP70" s="24"/>
      <c r="NIQ70" s="24"/>
      <c r="NIR70" s="24"/>
      <c r="NIS70" s="24"/>
      <c r="NIT70" s="24"/>
      <c r="NIU70" s="24"/>
      <c r="NIV70" s="24"/>
      <c r="NIW70" s="24"/>
      <c r="NIX70" s="24"/>
      <c r="NIY70" s="24"/>
      <c r="NIZ70" s="24"/>
      <c r="NJA70" s="24"/>
      <c r="NJB70" s="24"/>
      <c r="NJC70" s="24"/>
      <c r="NJD70" s="24"/>
      <c r="NJE70" s="24"/>
      <c r="NJF70" s="24"/>
      <c r="NJG70" s="24"/>
      <c r="NJH70" s="24"/>
      <c r="NJI70" s="24"/>
      <c r="NJJ70" s="24"/>
      <c r="NJK70" s="24"/>
      <c r="NJL70" s="24"/>
      <c r="NJM70" s="24"/>
      <c r="NJN70" s="24"/>
      <c r="NJO70" s="24"/>
      <c r="NJP70" s="24"/>
      <c r="NJQ70" s="24"/>
      <c r="NJR70" s="24"/>
      <c r="NJS70" s="24"/>
      <c r="NJT70" s="24"/>
      <c r="NJU70" s="24"/>
      <c r="NJV70" s="24"/>
      <c r="NJW70" s="24"/>
      <c r="NJX70" s="24"/>
      <c r="NJY70" s="24"/>
      <c r="NJZ70" s="24"/>
      <c r="NKA70" s="24"/>
      <c r="NKB70" s="24"/>
      <c r="NKC70" s="24"/>
      <c r="NKD70" s="24"/>
      <c r="NKE70" s="24"/>
      <c r="NKF70" s="24"/>
      <c r="NKG70" s="24"/>
      <c r="NKH70" s="24"/>
      <c r="NKI70" s="24"/>
      <c r="NKJ70" s="24"/>
      <c r="NKK70" s="24"/>
      <c r="NKL70" s="24"/>
      <c r="NKM70" s="24"/>
      <c r="NKN70" s="24"/>
      <c r="NKO70" s="24"/>
      <c r="NKP70" s="24"/>
      <c r="NKQ70" s="24"/>
      <c r="NKR70" s="24"/>
      <c r="NKS70" s="24"/>
      <c r="NKT70" s="24"/>
      <c r="NKU70" s="24"/>
      <c r="NKV70" s="24"/>
      <c r="NKW70" s="24"/>
      <c r="NKX70" s="24"/>
      <c r="NKY70" s="24"/>
      <c r="NKZ70" s="24"/>
      <c r="NLA70" s="24"/>
      <c r="NLB70" s="24"/>
      <c r="NLC70" s="24"/>
      <c r="NLD70" s="24"/>
      <c r="NLE70" s="24"/>
      <c r="NLF70" s="24"/>
      <c r="NLG70" s="24"/>
      <c r="NLH70" s="24"/>
      <c r="NLI70" s="24"/>
      <c r="NLJ70" s="24"/>
      <c r="NLK70" s="24"/>
      <c r="NLL70" s="24"/>
      <c r="NLM70" s="24"/>
      <c r="NLN70" s="24"/>
      <c r="NLO70" s="24"/>
      <c r="NLP70" s="24"/>
      <c r="NLQ70" s="24"/>
      <c r="NLR70" s="24"/>
      <c r="NLS70" s="24"/>
      <c r="NLT70" s="24"/>
      <c r="NLU70" s="24"/>
      <c r="NLV70" s="24"/>
      <c r="NLW70" s="24"/>
      <c r="NLX70" s="24"/>
      <c r="NLY70" s="24"/>
      <c r="NLZ70" s="24"/>
      <c r="NMA70" s="24"/>
      <c r="NMB70" s="24"/>
      <c r="NMC70" s="24"/>
      <c r="NMD70" s="24"/>
      <c r="NME70" s="24"/>
      <c r="NMF70" s="24"/>
      <c r="NMG70" s="24"/>
      <c r="NMH70" s="24"/>
      <c r="NMI70" s="24"/>
      <c r="NMJ70" s="24"/>
      <c r="NMK70" s="24"/>
      <c r="NML70" s="24"/>
      <c r="NMM70" s="24"/>
      <c r="NMN70" s="24"/>
      <c r="NMO70" s="24"/>
      <c r="NMP70" s="24"/>
      <c r="NMQ70" s="24"/>
      <c r="NMR70" s="24"/>
      <c r="NMS70" s="24"/>
      <c r="NMT70" s="24"/>
      <c r="NMU70" s="24"/>
      <c r="NMV70" s="24"/>
      <c r="NMW70" s="24"/>
      <c r="NMX70" s="24"/>
      <c r="NMY70" s="24"/>
      <c r="NMZ70" s="24"/>
      <c r="NNA70" s="24"/>
      <c r="NNB70" s="24"/>
      <c r="NNC70" s="24"/>
      <c r="NND70" s="24"/>
      <c r="NNE70" s="24"/>
      <c r="NNF70" s="24"/>
      <c r="NNG70" s="24"/>
      <c r="NNH70" s="24"/>
      <c r="NNI70" s="24"/>
      <c r="NNJ70" s="24"/>
      <c r="NNK70" s="24"/>
      <c r="NNL70" s="24"/>
      <c r="NNM70" s="24"/>
      <c r="NNN70" s="24"/>
      <c r="NNO70" s="24"/>
      <c r="NNP70" s="24"/>
      <c r="NNQ70" s="24"/>
      <c r="NNR70" s="24"/>
      <c r="NNS70" s="24"/>
      <c r="NNT70" s="24"/>
      <c r="NNU70" s="24"/>
      <c r="NNV70" s="24"/>
      <c r="NNW70" s="24"/>
      <c r="NNX70" s="24"/>
      <c r="NNY70" s="24"/>
      <c r="NNZ70" s="24"/>
      <c r="NOA70" s="24"/>
      <c r="NOB70" s="24"/>
      <c r="NOC70" s="24"/>
      <c r="NOD70" s="24"/>
      <c r="NOE70" s="24"/>
      <c r="NOF70" s="24"/>
      <c r="NOG70" s="24"/>
      <c r="NOH70" s="24"/>
      <c r="NOI70" s="24"/>
      <c r="NOJ70" s="24"/>
      <c r="NOK70" s="24"/>
      <c r="NOL70" s="24"/>
      <c r="NOM70" s="24"/>
      <c r="NON70" s="24"/>
      <c r="NOO70" s="24"/>
      <c r="NOP70" s="24"/>
      <c r="NOQ70" s="24"/>
      <c r="NOR70" s="24"/>
      <c r="NOS70" s="24"/>
      <c r="NOT70" s="24"/>
      <c r="NOU70" s="24"/>
      <c r="NOV70" s="24"/>
      <c r="NOW70" s="24"/>
      <c r="NOX70" s="24"/>
      <c r="NOY70" s="24"/>
      <c r="NOZ70" s="24"/>
      <c r="NPA70" s="24"/>
      <c r="NPB70" s="24"/>
      <c r="NPC70" s="24"/>
      <c r="NPD70" s="24"/>
      <c r="NPE70" s="24"/>
      <c r="NPF70" s="24"/>
      <c r="NPG70" s="24"/>
      <c r="NPH70" s="24"/>
      <c r="NPI70" s="24"/>
      <c r="NPJ70" s="24"/>
      <c r="NPK70" s="24"/>
      <c r="NPL70" s="24"/>
      <c r="NPM70" s="24"/>
      <c r="NPN70" s="24"/>
      <c r="NPO70" s="24"/>
      <c r="NPP70" s="24"/>
      <c r="NPQ70" s="24"/>
      <c r="NPR70" s="24"/>
      <c r="NPS70" s="24"/>
      <c r="NPT70" s="24"/>
      <c r="NPU70" s="24"/>
      <c r="NPV70" s="24"/>
      <c r="NPW70" s="24"/>
      <c r="NPX70" s="24"/>
      <c r="NPY70" s="24"/>
      <c r="NPZ70" s="24"/>
      <c r="NQA70" s="24"/>
      <c r="NQB70" s="24"/>
      <c r="NQC70" s="24"/>
      <c r="NQD70" s="24"/>
      <c r="NQE70" s="24"/>
      <c r="NQF70" s="24"/>
      <c r="NQG70" s="24"/>
      <c r="NQH70" s="24"/>
      <c r="NQI70" s="24"/>
      <c r="NQJ70" s="24"/>
      <c r="NQK70" s="24"/>
      <c r="NQL70" s="24"/>
      <c r="NQM70" s="24"/>
      <c r="NQN70" s="24"/>
      <c r="NQO70" s="24"/>
      <c r="NQP70" s="24"/>
      <c r="NQQ70" s="24"/>
      <c r="NQR70" s="24"/>
      <c r="NQS70" s="24"/>
      <c r="NQT70" s="24"/>
      <c r="NQU70" s="24"/>
      <c r="NQV70" s="24"/>
      <c r="NQW70" s="24"/>
      <c r="NQX70" s="24"/>
      <c r="NQY70" s="24"/>
      <c r="NQZ70" s="24"/>
      <c r="NRA70" s="24"/>
      <c r="NRB70" s="24"/>
      <c r="NRC70" s="24"/>
      <c r="NRD70" s="24"/>
      <c r="NRE70" s="24"/>
      <c r="NRF70" s="24"/>
      <c r="NRG70" s="24"/>
      <c r="NRH70" s="24"/>
      <c r="NRI70" s="24"/>
      <c r="NRJ70" s="24"/>
      <c r="NRK70" s="24"/>
      <c r="NRL70" s="24"/>
      <c r="NRM70" s="24"/>
      <c r="NRN70" s="24"/>
      <c r="NRO70" s="24"/>
      <c r="NRP70" s="24"/>
      <c r="NRQ70" s="24"/>
      <c r="NRR70" s="24"/>
      <c r="NRS70" s="24"/>
      <c r="NRT70" s="24"/>
      <c r="NRU70" s="24"/>
      <c r="NRV70" s="24"/>
      <c r="NRW70" s="24"/>
      <c r="NRX70" s="24"/>
      <c r="NRY70" s="24"/>
      <c r="NRZ70" s="24"/>
      <c r="NSA70" s="24"/>
      <c r="NSB70" s="24"/>
      <c r="NSC70" s="24"/>
      <c r="NSD70" s="24"/>
      <c r="NSE70" s="24"/>
      <c r="NSF70" s="24"/>
      <c r="NSG70" s="24"/>
      <c r="NSH70" s="24"/>
      <c r="NSI70" s="24"/>
      <c r="NSJ70" s="24"/>
      <c r="NSK70" s="24"/>
      <c r="NSL70" s="24"/>
      <c r="NSM70" s="24"/>
      <c r="NSN70" s="24"/>
      <c r="NSO70" s="24"/>
      <c r="NSP70" s="24"/>
      <c r="NSQ70" s="24"/>
      <c r="NSR70" s="24"/>
      <c r="NSS70" s="24"/>
      <c r="NST70" s="24"/>
      <c r="NSU70" s="24"/>
      <c r="NSV70" s="24"/>
      <c r="NSW70" s="24"/>
      <c r="NSX70" s="24"/>
      <c r="NSY70" s="24"/>
      <c r="NSZ70" s="24"/>
      <c r="NTA70" s="24"/>
      <c r="NTB70" s="24"/>
      <c r="NTC70" s="24"/>
      <c r="NTD70" s="24"/>
      <c r="NTE70" s="24"/>
      <c r="NTF70" s="24"/>
      <c r="NTG70" s="24"/>
      <c r="NTH70" s="24"/>
      <c r="NTI70" s="24"/>
      <c r="NTJ70" s="24"/>
      <c r="NTK70" s="24"/>
      <c r="NTL70" s="24"/>
      <c r="NTM70" s="24"/>
      <c r="NTN70" s="24"/>
      <c r="NTO70" s="24"/>
      <c r="NTP70" s="24"/>
      <c r="NTQ70" s="24"/>
      <c r="NTR70" s="24"/>
      <c r="NTS70" s="24"/>
      <c r="NTT70" s="24"/>
      <c r="NTU70" s="24"/>
      <c r="NTV70" s="24"/>
      <c r="NTW70" s="24"/>
      <c r="NTX70" s="24"/>
      <c r="NTY70" s="24"/>
      <c r="NTZ70" s="24"/>
      <c r="NUA70" s="24"/>
      <c r="NUB70" s="24"/>
      <c r="NUC70" s="24"/>
      <c r="NUD70" s="24"/>
      <c r="NUE70" s="24"/>
      <c r="NUF70" s="24"/>
      <c r="NUG70" s="24"/>
      <c r="NUH70" s="24"/>
      <c r="NUI70" s="24"/>
      <c r="NUJ70" s="24"/>
      <c r="NUK70" s="24"/>
      <c r="NUL70" s="24"/>
      <c r="NUM70" s="24"/>
      <c r="NUN70" s="24"/>
      <c r="NUO70" s="24"/>
      <c r="NUP70" s="24"/>
      <c r="NUQ70" s="24"/>
      <c r="NUR70" s="24"/>
      <c r="NUS70" s="24"/>
      <c r="NUT70" s="24"/>
      <c r="NUU70" s="24"/>
      <c r="NUV70" s="24"/>
      <c r="NUW70" s="24"/>
      <c r="NUX70" s="24"/>
      <c r="NUY70" s="24"/>
      <c r="NUZ70" s="24"/>
      <c r="NVA70" s="24"/>
      <c r="NVB70" s="24"/>
      <c r="NVC70" s="24"/>
      <c r="NVD70" s="24"/>
      <c r="NVE70" s="24"/>
      <c r="NVF70" s="24"/>
      <c r="NVG70" s="24"/>
      <c r="NVH70" s="24"/>
      <c r="NVI70" s="24"/>
      <c r="NVJ70" s="24"/>
      <c r="NVK70" s="24"/>
      <c r="NVL70" s="24"/>
      <c r="NVM70" s="24"/>
      <c r="NVN70" s="24"/>
      <c r="NVO70" s="24"/>
      <c r="NVP70" s="24"/>
      <c r="NVQ70" s="24"/>
      <c r="NVR70" s="24"/>
      <c r="NVS70" s="24"/>
      <c r="NVT70" s="24"/>
      <c r="NVU70" s="24"/>
      <c r="NVV70" s="24"/>
      <c r="NVW70" s="24"/>
      <c r="NVX70" s="24"/>
      <c r="NVY70" s="24"/>
      <c r="NVZ70" s="24"/>
      <c r="NWA70" s="24"/>
      <c r="NWB70" s="24"/>
      <c r="NWC70" s="24"/>
      <c r="NWD70" s="24"/>
      <c r="NWE70" s="24"/>
      <c r="NWF70" s="24"/>
      <c r="NWG70" s="24"/>
      <c r="NWH70" s="24"/>
      <c r="NWI70" s="24"/>
      <c r="NWJ70" s="24"/>
      <c r="NWK70" s="24"/>
      <c r="NWL70" s="24"/>
      <c r="NWM70" s="24"/>
      <c r="NWN70" s="24"/>
      <c r="NWO70" s="24"/>
      <c r="NWP70" s="24"/>
      <c r="NWQ70" s="24"/>
      <c r="NWR70" s="24"/>
      <c r="NWS70" s="24"/>
      <c r="NWT70" s="24"/>
      <c r="NWU70" s="24"/>
      <c r="NWV70" s="24"/>
      <c r="NWW70" s="24"/>
      <c r="NWX70" s="24"/>
      <c r="NWY70" s="24"/>
      <c r="NWZ70" s="24"/>
      <c r="NXA70" s="24"/>
      <c r="NXB70" s="24"/>
      <c r="NXC70" s="24"/>
      <c r="NXD70" s="24"/>
      <c r="NXE70" s="24"/>
      <c r="NXF70" s="24"/>
      <c r="NXG70" s="24"/>
      <c r="NXH70" s="24"/>
      <c r="NXI70" s="24"/>
      <c r="NXJ70" s="24"/>
      <c r="NXK70" s="24"/>
      <c r="NXL70" s="24"/>
      <c r="NXM70" s="24"/>
      <c r="NXN70" s="24"/>
      <c r="NXO70" s="24"/>
      <c r="NXP70" s="24"/>
      <c r="NXQ70" s="24"/>
      <c r="NXR70" s="24"/>
      <c r="NXS70" s="24"/>
      <c r="NXT70" s="24"/>
      <c r="NXU70" s="24"/>
      <c r="NXV70" s="24"/>
      <c r="NXW70" s="24"/>
      <c r="NXX70" s="24"/>
      <c r="NXY70" s="24"/>
      <c r="NXZ70" s="24"/>
      <c r="NYA70" s="24"/>
      <c r="NYB70" s="24"/>
      <c r="NYC70" s="24"/>
      <c r="NYD70" s="24"/>
      <c r="NYE70" s="24"/>
      <c r="NYF70" s="24"/>
      <c r="NYG70" s="24"/>
      <c r="NYH70" s="24"/>
      <c r="NYI70" s="24"/>
      <c r="NYJ70" s="24"/>
      <c r="NYK70" s="24"/>
      <c r="NYL70" s="24"/>
      <c r="NYM70" s="24"/>
      <c r="NYN70" s="24"/>
      <c r="NYO70" s="24"/>
      <c r="NYP70" s="24"/>
      <c r="NYQ70" s="24"/>
      <c r="NYR70" s="24"/>
      <c r="NYS70" s="24"/>
      <c r="NYT70" s="24"/>
      <c r="NYU70" s="24"/>
      <c r="NYV70" s="24"/>
      <c r="NYW70" s="24"/>
      <c r="NYX70" s="24"/>
      <c r="NYY70" s="24"/>
      <c r="NYZ70" s="24"/>
      <c r="NZA70" s="24"/>
      <c r="NZB70" s="24"/>
      <c r="NZC70" s="24"/>
      <c r="NZD70" s="24"/>
      <c r="NZE70" s="24"/>
      <c r="NZF70" s="24"/>
      <c r="NZG70" s="24"/>
      <c r="NZH70" s="24"/>
      <c r="NZI70" s="24"/>
      <c r="NZJ70" s="24"/>
      <c r="NZK70" s="24"/>
      <c r="NZL70" s="24"/>
      <c r="NZM70" s="24"/>
      <c r="NZN70" s="24"/>
      <c r="NZO70" s="24"/>
      <c r="NZP70" s="24"/>
      <c r="NZQ70" s="24"/>
      <c r="NZR70" s="24"/>
      <c r="NZS70" s="24"/>
      <c r="NZT70" s="24"/>
      <c r="NZU70" s="24"/>
      <c r="NZV70" s="24"/>
      <c r="NZW70" s="24"/>
      <c r="NZX70" s="24"/>
      <c r="NZY70" s="24"/>
      <c r="NZZ70" s="24"/>
      <c r="OAA70" s="24"/>
      <c r="OAB70" s="24"/>
      <c r="OAC70" s="24"/>
      <c r="OAD70" s="24"/>
      <c r="OAE70" s="24"/>
      <c r="OAF70" s="24"/>
      <c r="OAG70" s="24"/>
      <c r="OAH70" s="24"/>
      <c r="OAI70" s="24"/>
      <c r="OAJ70" s="24"/>
      <c r="OAK70" s="24"/>
      <c r="OAL70" s="24"/>
      <c r="OAM70" s="24"/>
      <c r="OAN70" s="24"/>
      <c r="OAO70" s="24"/>
      <c r="OAP70" s="24"/>
      <c r="OAQ70" s="24"/>
      <c r="OAR70" s="24"/>
      <c r="OAS70" s="24"/>
      <c r="OAT70" s="24"/>
      <c r="OAU70" s="24"/>
      <c r="OAV70" s="24"/>
      <c r="OAW70" s="24"/>
      <c r="OAX70" s="24"/>
      <c r="OAY70" s="24"/>
      <c r="OAZ70" s="24"/>
      <c r="OBA70" s="24"/>
      <c r="OBB70" s="24"/>
      <c r="OBC70" s="24"/>
      <c r="OBD70" s="24"/>
      <c r="OBE70" s="24"/>
      <c r="OBF70" s="24"/>
      <c r="OBG70" s="24"/>
      <c r="OBH70" s="24"/>
      <c r="OBI70" s="24"/>
      <c r="OBJ70" s="24"/>
      <c r="OBK70" s="24"/>
      <c r="OBL70" s="24"/>
      <c r="OBM70" s="24"/>
      <c r="OBN70" s="24"/>
      <c r="OBO70" s="24"/>
      <c r="OBP70" s="24"/>
      <c r="OBQ70" s="24"/>
      <c r="OBR70" s="24"/>
      <c r="OBS70" s="24"/>
      <c r="OBT70" s="24"/>
      <c r="OBU70" s="24"/>
      <c r="OBV70" s="24"/>
      <c r="OBW70" s="24"/>
      <c r="OBX70" s="24"/>
      <c r="OBY70" s="24"/>
      <c r="OBZ70" s="24"/>
      <c r="OCA70" s="24"/>
      <c r="OCB70" s="24"/>
      <c r="OCC70" s="24"/>
      <c r="OCD70" s="24"/>
      <c r="OCE70" s="24"/>
      <c r="OCF70" s="24"/>
      <c r="OCG70" s="24"/>
      <c r="OCH70" s="24"/>
      <c r="OCI70" s="24"/>
      <c r="OCJ70" s="24"/>
      <c r="OCK70" s="24"/>
      <c r="OCL70" s="24"/>
      <c r="OCM70" s="24"/>
      <c r="OCN70" s="24"/>
      <c r="OCO70" s="24"/>
      <c r="OCP70" s="24"/>
      <c r="OCQ70" s="24"/>
      <c r="OCR70" s="24"/>
      <c r="OCS70" s="24"/>
      <c r="OCT70" s="24"/>
      <c r="OCU70" s="24"/>
      <c r="OCV70" s="24"/>
      <c r="OCW70" s="24"/>
      <c r="OCX70" s="24"/>
      <c r="OCY70" s="24"/>
      <c r="OCZ70" s="24"/>
      <c r="ODA70" s="24"/>
      <c r="ODB70" s="24"/>
      <c r="ODC70" s="24"/>
      <c r="ODD70" s="24"/>
      <c r="ODE70" s="24"/>
      <c r="ODF70" s="24"/>
      <c r="ODG70" s="24"/>
      <c r="ODH70" s="24"/>
      <c r="ODI70" s="24"/>
      <c r="ODJ70" s="24"/>
      <c r="ODK70" s="24"/>
      <c r="ODL70" s="24"/>
      <c r="ODM70" s="24"/>
      <c r="ODN70" s="24"/>
      <c r="ODO70" s="24"/>
      <c r="ODP70" s="24"/>
      <c r="ODQ70" s="24"/>
      <c r="ODR70" s="24"/>
      <c r="ODS70" s="24"/>
      <c r="ODT70" s="24"/>
      <c r="ODU70" s="24"/>
      <c r="ODV70" s="24"/>
      <c r="ODW70" s="24"/>
      <c r="ODX70" s="24"/>
      <c r="ODY70" s="24"/>
      <c r="ODZ70" s="24"/>
      <c r="OEA70" s="24"/>
      <c r="OEB70" s="24"/>
      <c r="OEC70" s="24"/>
      <c r="OED70" s="24"/>
      <c r="OEE70" s="24"/>
      <c r="OEF70" s="24"/>
      <c r="OEG70" s="24"/>
      <c r="OEH70" s="24"/>
      <c r="OEI70" s="24"/>
      <c r="OEJ70" s="24"/>
      <c r="OEK70" s="24"/>
      <c r="OEL70" s="24"/>
      <c r="OEM70" s="24"/>
      <c r="OEN70" s="24"/>
      <c r="OEO70" s="24"/>
      <c r="OEP70" s="24"/>
      <c r="OEQ70" s="24"/>
      <c r="OER70" s="24"/>
      <c r="OES70" s="24"/>
      <c r="OET70" s="24"/>
      <c r="OEU70" s="24"/>
      <c r="OEV70" s="24"/>
      <c r="OEW70" s="24"/>
      <c r="OEX70" s="24"/>
      <c r="OEY70" s="24"/>
      <c r="OEZ70" s="24"/>
      <c r="OFA70" s="24"/>
      <c r="OFB70" s="24"/>
      <c r="OFC70" s="24"/>
      <c r="OFD70" s="24"/>
      <c r="OFE70" s="24"/>
      <c r="OFF70" s="24"/>
      <c r="OFG70" s="24"/>
      <c r="OFH70" s="24"/>
      <c r="OFI70" s="24"/>
      <c r="OFJ70" s="24"/>
      <c r="OFK70" s="24"/>
      <c r="OFL70" s="24"/>
      <c r="OFM70" s="24"/>
      <c r="OFN70" s="24"/>
      <c r="OFO70" s="24"/>
      <c r="OFP70" s="24"/>
      <c r="OFQ70" s="24"/>
      <c r="OFR70" s="24"/>
      <c r="OFS70" s="24"/>
      <c r="OFT70" s="24"/>
      <c r="OFU70" s="24"/>
      <c r="OFV70" s="24"/>
      <c r="OFW70" s="24"/>
      <c r="OFX70" s="24"/>
      <c r="OFY70" s="24"/>
      <c r="OFZ70" s="24"/>
      <c r="OGA70" s="24"/>
      <c r="OGB70" s="24"/>
      <c r="OGC70" s="24"/>
      <c r="OGD70" s="24"/>
      <c r="OGE70" s="24"/>
      <c r="OGF70" s="24"/>
      <c r="OGG70" s="24"/>
      <c r="OGH70" s="24"/>
      <c r="OGI70" s="24"/>
      <c r="OGJ70" s="24"/>
      <c r="OGK70" s="24"/>
      <c r="OGL70" s="24"/>
      <c r="OGM70" s="24"/>
      <c r="OGN70" s="24"/>
      <c r="OGO70" s="24"/>
      <c r="OGP70" s="24"/>
      <c r="OGQ70" s="24"/>
      <c r="OGR70" s="24"/>
      <c r="OGS70" s="24"/>
      <c r="OGT70" s="24"/>
      <c r="OGU70" s="24"/>
      <c r="OGV70" s="24"/>
      <c r="OGW70" s="24"/>
      <c r="OGX70" s="24"/>
      <c r="OGY70" s="24"/>
      <c r="OGZ70" s="24"/>
      <c r="OHA70" s="24"/>
      <c r="OHB70" s="24"/>
      <c r="OHC70" s="24"/>
      <c r="OHD70" s="24"/>
      <c r="OHE70" s="24"/>
      <c r="OHF70" s="24"/>
      <c r="OHG70" s="24"/>
      <c r="OHH70" s="24"/>
      <c r="OHI70" s="24"/>
      <c r="OHJ70" s="24"/>
      <c r="OHK70" s="24"/>
      <c r="OHL70" s="24"/>
      <c r="OHM70" s="24"/>
      <c r="OHN70" s="24"/>
      <c r="OHO70" s="24"/>
      <c r="OHP70" s="24"/>
      <c r="OHQ70" s="24"/>
      <c r="OHR70" s="24"/>
      <c r="OHS70" s="24"/>
      <c r="OHT70" s="24"/>
      <c r="OHU70" s="24"/>
      <c r="OHV70" s="24"/>
      <c r="OHW70" s="24"/>
      <c r="OHX70" s="24"/>
      <c r="OHY70" s="24"/>
      <c r="OHZ70" s="24"/>
      <c r="OIA70" s="24"/>
      <c r="OIB70" s="24"/>
      <c r="OIC70" s="24"/>
      <c r="OID70" s="24"/>
      <c r="OIE70" s="24"/>
      <c r="OIF70" s="24"/>
      <c r="OIG70" s="24"/>
      <c r="OIH70" s="24"/>
      <c r="OII70" s="24"/>
      <c r="OIJ70" s="24"/>
      <c r="OIK70" s="24"/>
      <c r="OIL70" s="24"/>
      <c r="OIM70" s="24"/>
      <c r="OIN70" s="24"/>
      <c r="OIO70" s="24"/>
      <c r="OIP70" s="24"/>
      <c r="OIQ70" s="24"/>
      <c r="OIR70" s="24"/>
      <c r="OIS70" s="24"/>
      <c r="OIT70" s="24"/>
      <c r="OIU70" s="24"/>
      <c r="OIV70" s="24"/>
      <c r="OIW70" s="24"/>
      <c r="OIX70" s="24"/>
      <c r="OIY70" s="24"/>
      <c r="OIZ70" s="24"/>
      <c r="OJA70" s="24"/>
      <c r="OJB70" s="24"/>
      <c r="OJC70" s="24"/>
      <c r="OJD70" s="24"/>
      <c r="OJE70" s="24"/>
      <c r="OJF70" s="24"/>
      <c r="OJG70" s="24"/>
      <c r="OJH70" s="24"/>
      <c r="OJI70" s="24"/>
      <c r="OJJ70" s="24"/>
      <c r="OJK70" s="24"/>
      <c r="OJL70" s="24"/>
      <c r="OJM70" s="24"/>
      <c r="OJN70" s="24"/>
      <c r="OJO70" s="24"/>
      <c r="OJP70" s="24"/>
      <c r="OJQ70" s="24"/>
      <c r="OJR70" s="24"/>
      <c r="OJS70" s="24"/>
      <c r="OJT70" s="24"/>
      <c r="OJU70" s="24"/>
      <c r="OJV70" s="24"/>
      <c r="OJW70" s="24"/>
      <c r="OJX70" s="24"/>
      <c r="OJY70" s="24"/>
      <c r="OJZ70" s="24"/>
      <c r="OKA70" s="24"/>
      <c r="OKB70" s="24"/>
      <c r="OKC70" s="24"/>
      <c r="OKD70" s="24"/>
      <c r="OKE70" s="24"/>
      <c r="OKF70" s="24"/>
      <c r="OKG70" s="24"/>
      <c r="OKH70" s="24"/>
      <c r="OKI70" s="24"/>
      <c r="OKJ70" s="24"/>
      <c r="OKK70" s="24"/>
      <c r="OKL70" s="24"/>
      <c r="OKM70" s="24"/>
      <c r="OKN70" s="24"/>
      <c r="OKO70" s="24"/>
      <c r="OKP70" s="24"/>
      <c r="OKQ70" s="24"/>
      <c r="OKR70" s="24"/>
      <c r="OKS70" s="24"/>
      <c r="OKT70" s="24"/>
      <c r="OKU70" s="24"/>
      <c r="OKV70" s="24"/>
      <c r="OKW70" s="24"/>
      <c r="OKX70" s="24"/>
      <c r="OKY70" s="24"/>
      <c r="OKZ70" s="24"/>
      <c r="OLA70" s="24"/>
      <c r="OLB70" s="24"/>
      <c r="OLC70" s="24"/>
      <c r="OLD70" s="24"/>
      <c r="OLE70" s="24"/>
      <c r="OLF70" s="24"/>
      <c r="OLG70" s="24"/>
      <c r="OLH70" s="24"/>
      <c r="OLI70" s="24"/>
      <c r="OLJ70" s="24"/>
      <c r="OLK70" s="24"/>
      <c r="OLL70" s="24"/>
      <c r="OLM70" s="24"/>
      <c r="OLN70" s="24"/>
      <c r="OLO70" s="24"/>
      <c r="OLP70" s="24"/>
      <c r="OLQ70" s="24"/>
      <c r="OLR70" s="24"/>
      <c r="OLS70" s="24"/>
      <c r="OLT70" s="24"/>
      <c r="OLU70" s="24"/>
      <c r="OLV70" s="24"/>
      <c r="OLW70" s="24"/>
      <c r="OLX70" s="24"/>
      <c r="OLY70" s="24"/>
      <c r="OLZ70" s="24"/>
      <c r="OMA70" s="24"/>
      <c r="OMB70" s="24"/>
      <c r="OMC70" s="24"/>
      <c r="OMD70" s="24"/>
      <c r="OME70" s="24"/>
      <c r="OMF70" s="24"/>
      <c r="OMG70" s="24"/>
      <c r="OMH70" s="24"/>
      <c r="OMI70" s="24"/>
      <c r="OMJ70" s="24"/>
      <c r="OMK70" s="24"/>
      <c r="OML70" s="24"/>
      <c r="OMM70" s="24"/>
      <c r="OMN70" s="24"/>
      <c r="OMO70" s="24"/>
      <c r="OMP70" s="24"/>
      <c r="OMQ70" s="24"/>
      <c r="OMR70" s="24"/>
      <c r="OMS70" s="24"/>
      <c r="OMT70" s="24"/>
      <c r="OMU70" s="24"/>
      <c r="OMV70" s="24"/>
      <c r="OMW70" s="24"/>
      <c r="OMX70" s="24"/>
      <c r="OMY70" s="24"/>
      <c r="OMZ70" s="24"/>
      <c r="ONA70" s="24"/>
      <c r="ONB70" s="24"/>
      <c r="ONC70" s="24"/>
      <c r="OND70" s="24"/>
      <c r="ONE70" s="24"/>
      <c r="ONF70" s="24"/>
      <c r="ONG70" s="24"/>
      <c r="ONH70" s="24"/>
      <c r="ONI70" s="24"/>
      <c r="ONJ70" s="24"/>
      <c r="ONK70" s="24"/>
      <c r="ONL70" s="24"/>
      <c r="ONM70" s="24"/>
      <c r="ONN70" s="24"/>
      <c r="ONO70" s="24"/>
      <c r="ONP70" s="24"/>
      <c r="ONQ70" s="24"/>
      <c r="ONR70" s="24"/>
      <c r="ONS70" s="24"/>
      <c r="ONT70" s="24"/>
      <c r="ONU70" s="24"/>
      <c r="ONV70" s="24"/>
      <c r="ONW70" s="24"/>
      <c r="ONX70" s="24"/>
      <c r="ONY70" s="24"/>
      <c r="ONZ70" s="24"/>
      <c r="OOA70" s="24"/>
      <c r="OOB70" s="24"/>
      <c r="OOC70" s="24"/>
      <c r="OOD70" s="24"/>
      <c r="OOE70" s="24"/>
      <c r="OOF70" s="24"/>
      <c r="OOG70" s="24"/>
      <c r="OOH70" s="24"/>
      <c r="OOI70" s="24"/>
      <c r="OOJ70" s="24"/>
      <c r="OOK70" s="24"/>
      <c r="OOL70" s="24"/>
      <c r="OOM70" s="24"/>
      <c r="OON70" s="24"/>
      <c r="OOO70" s="24"/>
      <c r="OOP70" s="24"/>
      <c r="OOQ70" s="24"/>
      <c r="OOR70" s="24"/>
      <c r="OOS70" s="24"/>
      <c r="OOT70" s="24"/>
      <c r="OOU70" s="24"/>
      <c r="OOV70" s="24"/>
      <c r="OOW70" s="24"/>
      <c r="OOX70" s="24"/>
      <c r="OOY70" s="24"/>
      <c r="OOZ70" s="24"/>
      <c r="OPA70" s="24"/>
      <c r="OPB70" s="24"/>
      <c r="OPC70" s="24"/>
      <c r="OPD70" s="24"/>
      <c r="OPE70" s="24"/>
      <c r="OPF70" s="24"/>
      <c r="OPG70" s="24"/>
      <c r="OPH70" s="24"/>
      <c r="OPI70" s="24"/>
      <c r="OPJ70" s="24"/>
      <c r="OPK70" s="24"/>
      <c r="OPL70" s="24"/>
      <c r="OPM70" s="24"/>
      <c r="OPN70" s="24"/>
      <c r="OPO70" s="24"/>
      <c r="OPP70" s="24"/>
      <c r="OPQ70" s="24"/>
      <c r="OPR70" s="24"/>
      <c r="OPS70" s="24"/>
      <c r="OPT70" s="24"/>
      <c r="OPU70" s="24"/>
      <c r="OPV70" s="24"/>
      <c r="OPW70" s="24"/>
      <c r="OPX70" s="24"/>
      <c r="OPY70" s="24"/>
      <c r="OPZ70" s="24"/>
      <c r="OQA70" s="24"/>
      <c r="OQB70" s="24"/>
      <c r="OQC70" s="24"/>
      <c r="OQD70" s="24"/>
      <c r="OQE70" s="24"/>
      <c r="OQF70" s="24"/>
      <c r="OQG70" s="24"/>
      <c r="OQH70" s="24"/>
      <c r="OQI70" s="24"/>
      <c r="OQJ70" s="24"/>
      <c r="OQK70" s="24"/>
      <c r="OQL70" s="24"/>
      <c r="OQM70" s="24"/>
      <c r="OQN70" s="24"/>
      <c r="OQO70" s="24"/>
      <c r="OQP70" s="24"/>
      <c r="OQQ70" s="24"/>
      <c r="OQR70" s="24"/>
      <c r="OQS70" s="24"/>
      <c r="OQT70" s="24"/>
      <c r="OQU70" s="24"/>
      <c r="OQV70" s="24"/>
      <c r="OQW70" s="24"/>
      <c r="OQX70" s="24"/>
      <c r="OQY70" s="24"/>
      <c r="OQZ70" s="24"/>
      <c r="ORA70" s="24"/>
      <c r="ORB70" s="24"/>
      <c r="ORC70" s="24"/>
      <c r="ORD70" s="24"/>
      <c r="ORE70" s="24"/>
      <c r="ORF70" s="24"/>
      <c r="ORG70" s="24"/>
      <c r="ORH70" s="24"/>
      <c r="ORI70" s="24"/>
      <c r="ORJ70" s="24"/>
      <c r="ORK70" s="24"/>
      <c r="ORL70" s="24"/>
      <c r="ORM70" s="24"/>
      <c r="ORN70" s="24"/>
      <c r="ORO70" s="24"/>
      <c r="ORP70" s="24"/>
      <c r="ORQ70" s="24"/>
      <c r="ORR70" s="24"/>
      <c r="ORS70" s="24"/>
      <c r="ORT70" s="24"/>
      <c r="ORU70" s="24"/>
      <c r="ORV70" s="24"/>
      <c r="ORW70" s="24"/>
      <c r="ORX70" s="24"/>
      <c r="ORY70" s="24"/>
      <c r="ORZ70" s="24"/>
      <c r="OSA70" s="24"/>
      <c r="OSB70" s="24"/>
      <c r="OSC70" s="24"/>
      <c r="OSD70" s="24"/>
      <c r="OSE70" s="24"/>
      <c r="OSF70" s="24"/>
      <c r="OSG70" s="24"/>
      <c r="OSH70" s="24"/>
      <c r="OSI70" s="24"/>
      <c r="OSJ70" s="24"/>
      <c r="OSK70" s="24"/>
      <c r="OSL70" s="24"/>
      <c r="OSM70" s="24"/>
      <c r="OSN70" s="24"/>
      <c r="OSO70" s="24"/>
      <c r="OSP70" s="24"/>
      <c r="OSQ70" s="24"/>
      <c r="OSR70" s="24"/>
      <c r="OSS70" s="24"/>
      <c r="OST70" s="24"/>
      <c r="OSU70" s="24"/>
      <c r="OSV70" s="24"/>
      <c r="OSW70" s="24"/>
      <c r="OSX70" s="24"/>
      <c r="OSY70" s="24"/>
      <c r="OSZ70" s="24"/>
      <c r="OTA70" s="24"/>
      <c r="OTB70" s="24"/>
      <c r="OTC70" s="24"/>
      <c r="OTD70" s="24"/>
      <c r="OTE70" s="24"/>
      <c r="OTF70" s="24"/>
      <c r="OTG70" s="24"/>
      <c r="OTH70" s="24"/>
      <c r="OTI70" s="24"/>
      <c r="OTJ70" s="24"/>
      <c r="OTK70" s="24"/>
      <c r="OTL70" s="24"/>
      <c r="OTM70" s="24"/>
      <c r="OTN70" s="24"/>
      <c r="OTO70" s="24"/>
      <c r="OTP70" s="24"/>
      <c r="OTQ70" s="24"/>
      <c r="OTR70" s="24"/>
      <c r="OTS70" s="24"/>
      <c r="OTT70" s="24"/>
      <c r="OTU70" s="24"/>
      <c r="OTV70" s="24"/>
      <c r="OTW70" s="24"/>
      <c r="OTX70" s="24"/>
      <c r="OTY70" s="24"/>
      <c r="OTZ70" s="24"/>
      <c r="OUA70" s="24"/>
      <c r="OUB70" s="24"/>
      <c r="OUC70" s="24"/>
      <c r="OUD70" s="24"/>
      <c r="OUE70" s="24"/>
      <c r="OUF70" s="24"/>
      <c r="OUG70" s="24"/>
      <c r="OUH70" s="24"/>
      <c r="OUI70" s="24"/>
      <c r="OUJ70" s="24"/>
      <c r="OUK70" s="24"/>
      <c r="OUL70" s="24"/>
      <c r="OUM70" s="24"/>
      <c r="OUN70" s="24"/>
      <c r="OUO70" s="24"/>
      <c r="OUP70" s="24"/>
      <c r="OUQ70" s="24"/>
      <c r="OUR70" s="24"/>
      <c r="OUS70" s="24"/>
      <c r="OUT70" s="24"/>
      <c r="OUU70" s="24"/>
      <c r="OUV70" s="24"/>
      <c r="OUW70" s="24"/>
      <c r="OUX70" s="24"/>
      <c r="OUY70" s="24"/>
      <c r="OUZ70" s="24"/>
      <c r="OVA70" s="24"/>
      <c r="OVB70" s="24"/>
      <c r="OVC70" s="24"/>
      <c r="OVD70" s="24"/>
      <c r="OVE70" s="24"/>
      <c r="OVF70" s="24"/>
      <c r="OVG70" s="24"/>
      <c r="OVH70" s="24"/>
      <c r="OVI70" s="24"/>
      <c r="OVJ70" s="24"/>
      <c r="OVK70" s="24"/>
      <c r="OVL70" s="24"/>
      <c r="OVM70" s="24"/>
      <c r="OVN70" s="24"/>
      <c r="OVO70" s="24"/>
      <c r="OVP70" s="24"/>
      <c r="OVQ70" s="24"/>
      <c r="OVR70" s="24"/>
      <c r="OVS70" s="24"/>
      <c r="OVT70" s="24"/>
      <c r="OVU70" s="24"/>
      <c r="OVV70" s="24"/>
      <c r="OVW70" s="24"/>
      <c r="OVX70" s="24"/>
      <c r="OVY70" s="24"/>
      <c r="OVZ70" s="24"/>
      <c r="OWA70" s="24"/>
      <c r="OWB70" s="24"/>
      <c r="OWC70" s="24"/>
      <c r="OWD70" s="24"/>
      <c r="OWE70" s="24"/>
      <c r="OWF70" s="24"/>
      <c r="OWG70" s="24"/>
      <c r="OWH70" s="24"/>
      <c r="OWI70" s="24"/>
      <c r="OWJ70" s="24"/>
      <c r="OWK70" s="24"/>
      <c r="OWL70" s="24"/>
      <c r="OWM70" s="24"/>
      <c r="OWN70" s="24"/>
      <c r="OWO70" s="24"/>
      <c r="OWP70" s="24"/>
      <c r="OWQ70" s="24"/>
      <c r="OWR70" s="24"/>
      <c r="OWS70" s="24"/>
      <c r="OWT70" s="24"/>
      <c r="OWU70" s="24"/>
      <c r="OWV70" s="24"/>
      <c r="OWW70" s="24"/>
      <c r="OWX70" s="24"/>
      <c r="OWY70" s="24"/>
      <c r="OWZ70" s="24"/>
      <c r="OXA70" s="24"/>
      <c r="OXB70" s="24"/>
      <c r="OXC70" s="24"/>
      <c r="OXD70" s="24"/>
      <c r="OXE70" s="24"/>
      <c r="OXF70" s="24"/>
      <c r="OXG70" s="24"/>
      <c r="OXH70" s="24"/>
      <c r="OXI70" s="24"/>
      <c r="OXJ70" s="24"/>
      <c r="OXK70" s="24"/>
      <c r="OXL70" s="24"/>
      <c r="OXM70" s="24"/>
      <c r="OXN70" s="24"/>
      <c r="OXO70" s="24"/>
      <c r="OXP70" s="24"/>
      <c r="OXQ70" s="24"/>
      <c r="OXR70" s="24"/>
      <c r="OXS70" s="24"/>
      <c r="OXT70" s="24"/>
      <c r="OXU70" s="24"/>
      <c r="OXV70" s="24"/>
      <c r="OXW70" s="24"/>
      <c r="OXX70" s="24"/>
      <c r="OXY70" s="24"/>
      <c r="OXZ70" s="24"/>
      <c r="OYA70" s="24"/>
      <c r="OYB70" s="24"/>
      <c r="OYC70" s="24"/>
      <c r="OYD70" s="24"/>
      <c r="OYE70" s="24"/>
      <c r="OYF70" s="24"/>
      <c r="OYG70" s="24"/>
      <c r="OYH70" s="24"/>
      <c r="OYI70" s="24"/>
      <c r="OYJ70" s="24"/>
      <c r="OYK70" s="24"/>
      <c r="OYL70" s="24"/>
      <c r="OYM70" s="24"/>
      <c r="OYN70" s="24"/>
      <c r="OYO70" s="24"/>
      <c r="OYP70" s="24"/>
      <c r="OYQ70" s="24"/>
      <c r="OYR70" s="24"/>
      <c r="OYS70" s="24"/>
      <c r="OYT70" s="24"/>
      <c r="OYU70" s="24"/>
      <c r="OYV70" s="24"/>
      <c r="OYW70" s="24"/>
      <c r="OYX70" s="24"/>
      <c r="OYY70" s="24"/>
      <c r="OYZ70" s="24"/>
      <c r="OZA70" s="24"/>
      <c r="OZB70" s="24"/>
      <c r="OZC70" s="24"/>
      <c r="OZD70" s="24"/>
      <c r="OZE70" s="24"/>
      <c r="OZF70" s="24"/>
      <c r="OZG70" s="24"/>
      <c r="OZH70" s="24"/>
      <c r="OZI70" s="24"/>
      <c r="OZJ70" s="24"/>
      <c r="OZK70" s="24"/>
      <c r="OZL70" s="24"/>
      <c r="OZM70" s="24"/>
      <c r="OZN70" s="24"/>
      <c r="OZO70" s="24"/>
      <c r="OZP70" s="24"/>
      <c r="OZQ70" s="24"/>
      <c r="OZR70" s="24"/>
      <c r="OZS70" s="24"/>
      <c r="OZT70" s="24"/>
      <c r="OZU70" s="24"/>
      <c r="OZV70" s="24"/>
      <c r="OZW70" s="24"/>
      <c r="OZX70" s="24"/>
      <c r="OZY70" s="24"/>
      <c r="OZZ70" s="24"/>
      <c r="PAA70" s="24"/>
      <c r="PAB70" s="24"/>
      <c r="PAC70" s="24"/>
      <c r="PAD70" s="24"/>
      <c r="PAE70" s="24"/>
      <c r="PAF70" s="24"/>
      <c r="PAG70" s="24"/>
      <c r="PAH70" s="24"/>
      <c r="PAI70" s="24"/>
      <c r="PAJ70" s="24"/>
      <c r="PAK70" s="24"/>
      <c r="PAL70" s="24"/>
      <c r="PAM70" s="24"/>
      <c r="PAN70" s="24"/>
      <c r="PAO70" s="24"/>
      <c r="PAP70" s="24"/>
      <c r="PAQ70" s="24"/>
      <c r="PAR70" s="24"/>
      <c r="PAS70" s="24"/>
      <c r="PAT70" s="24"/>
      <c r="PAU70" s="24"/>
      <c r="PAV70" s="24"/>
      <c r="PAW70" s="24"/>
      <c r="PAX70" s="24"/>
      <c r="PAY70" s="24"/>
      <c r="PAZ70" s="24"/>
      <c r="PBA70" s="24"/>
      <c r="PBB70" s="24"/>
      <c r="PBC70" s="24"/>
      <c r="PBD70" s="24"/>
      <c r="PBE70" s="24"/>
      <c r="PBF70" s="24"/>
      <c r="PBG70" s="24"/>
      <c r="PBH70" s="24"/>
      <c r="PBI70" s="24"/>
      <c r="PBJ70" s="24"/>
      <c r="PBK70" s="24"/>
      <c r="PBL70" s="24"/>
      <c r="PBM70" s="24"/>
      <c r="PBN70" s="24"/>
      <c r="PBO70" s="24"/>
      <c r="PBP70" s="24"/>
      <c r="PBQ70" s="24"/>
      <c r="PBR70" s="24"/>
      <c r="PBS70" s="24"/>
      <c r="PBT70" s="24"/>
      <c r="PBU70" s="24"/>
      <c r="PBV70" s="24"/>
      <c r="PBW70" s="24"/>
      <c r="PBX70" s="24"/>
      <c r="PBY70" s="24"/>
      <c r="PBZ70" s="24"/>
      <c r="PCA70" s="24"/>
      <c r="PCB70" s="24"/>
      <c r="PCC70" s="24"/>
      <c r="PCD70" s="24"/>
      <c r="PCE70" s="24"/>
      <c r="PCF70" s="24"/>
      <c r="PCG70" s="24"/>
      <c r="PCH70" s="24"/>
      <c r="PCI70" s="24"/>
      <c r="PCJ70" s="24"/>
      <c r="PCK70" s="24"/>
      <c r="PCL70" s="24"/>
      <c r="PCM70" s="24"/>
      <c r="PCN70" s="24"/>
      <c r="PCO70" s="24"/>
      <c r="PCP70" s="24"/>
      <c r="PCQ70" s="24"/>
      <c r="PCR70" s="24"/>
      <c r="PCS70" s="24"/>
      <c r="PCT70" s="24"/>
      <c r="PCU70" s="24"/>
      <c r="PCV70" s="24"/>
      <c r="PCW70" s="24"/>
      <c r="PCX70" s="24"/>
      <c r="PCY70" s="24"/>
      <c r="PCZ70" s="24"/>
      <c r="PDA70" s="24"/>
      <c r="PDB70" s="24"/>
      <c r="PDC70" s="24"/>
      <c r="PDD70" s="24"/>
      <c r="PDE70" s="24"/>
      <c r="PDF70" s="24"/>
      <c r="PDG70" s="24"/>
      <c r="PDH70" s="24"/>
      <c r="PDI70" s="24"/>
      <c r="PDJ70" s="24"/>
      <c r="PDK70" s="24"/>
      <c r="PDL70" s="24"/>
      <c r="PDM70" s="24"/>
      <c r="PDN70" s="24"/>
      <c r="PDO70" s="24"/>
      <c r="PDP70" s="24"/>
      <c r="PDQ70" s="24"/>
      <c r="PDR70" s="24"/>
      <c r="PDS70" s="24"/>
      <c r="PDT70" s="24"/>
      <c r="PDU70" s="24"/>
      <c r="PDV70" s="24"/>
      <c r="PDW70" s="24"/>
      <c r="PDX70" s="24"/>
      <c r="PDY70" s="24"/>
      <c r="PDZ70" s="24"/>
      <c r="PEA70" s="24"/>
      <c r="PEB70" s="24"/>
      <c r="PEC70" s="24"/>
      <c r="PED70" s="24"/>
      <c r="PEE70" s="24"/>
      <c r="PEF70" s="24"/>
      <c r="PEG70" s="24"/>
      <c r="PEH70" s="24"/>
      <c r="PEI70" s="24"/>
      <c r="PEJ70" s="24"/>
      <c r="PEK70" s="24"/>
      <c r="PEL70" s="24"/>
      <c r="PEM70" s="24"/>
      <c r="PEN70" s="24"/>
      <c r="PEO70" s="24"/>
      <c r="PEP70" s="24"/>
      <c r="PEQ70" s="24"/>
      <c r="PER70" s="24"/>
      <c r="PES70" s="24"/>
      <c r="PET70" s="24"/>
      <c r="PEU70" s="24"/>
      <c r="PEV70" s="24"/>
      <c r="PEW70" s="24"/>
      <c r="PEX70" s="24"/>
      <c r="PEY70" s="24"/>
      <c r="PEZ70" s="24"/>
      <c r="PFA70" s="24"/>
      <c r="PFB70" s="24"/>
      <c r="PFC70" s="24"/>
      <c r="PFD70" s="24"/>
      <c r="PFE70" s="24"/>
      <c r="PFF70" s="24"/>
      <c r="PFG70" s="24"/>
      <c r="PFH70" s="24"/>
      <c r="PFI70" s="24"/>
      <c r="PFJ70" s="24"/>
      <c r="PFK70" s="24"/>
      <c r="PFL70" s="24"/>
      <c r="PFM70" s="24"/>
      <c r="PFN70" s="24"/>
      <c r="PFO70" s="24"/>
      <c r="PFP70" s="24"/>
      <c r="PFQ70" s="24"/>
      <c r="PFR70" s="24"/>
      <c r="PFS70" s="24"/>
      <c r="PFT70" s="24"/>
      <c r="PFU70" s="24"/>
      <c r="PFV70" s="24"/>
      <c r="PFW70" s="24"/>
      <c r="PFX70" s="24"/>
      <c r="PFY70" s="24"/>
      <c r="PFZ70" s="24"/>
      <c r="PGA70" s="24"/>
      <c r="PGB70" s="24"/>
      <c r="PGC70" s="24"/>
      <c r="PGD70" s="24"/>
      <c r="PGE70" s="24"/>
      <c r="PGF70" s="24"/>
      <c r="PGG70" s="24"/>
      <c r="PGH70" s="24"/>
      <c r="PGI70" s="24"/>
      <c r="PGJ70" s="24"/>
      <c r="PGK70" s="24"/>
      <c r="PGL70" s="24"/>
      <c r="PGM70" s="24"/>
      <c r="PGN70" s="24"/>
      <c r="PGO70" s="24"/>
      <c r="PGP70" s="24"/>
      <c r="PGQ70" s="24"/>
      <c r="PGR70" s="24"/>
      <c r="PGS70" s="24"/>
      <c r="PGT70" s="24"/>
      <c r="PGU70" s="24"/>
      <c r="PGV70" s="24"/>
      <c r="PGW70" s="24"/>
      <c r="PGX70" s="24"/>
      <c r="PGY70" s="24"/>
      <c r="PGZ70" s="24"/>
      <c r="PHA70" s="24"/>
      <c r="PHB70" s="24"/>
      <c r="PHC70" s="24"/>
      <c r="PHD70" s="24"/>
      <c r="PHE70" s="24"/>
      <c r="PHF70" s="24"/>
      <c r="PHG70" s="24"/>
      <c r="PHH70" s="24"/>
      <c r="PHI70" s="24"/>
      <c r="PHJ70" s="24"/>
      <c r="PHK70" s="24"/>
      <c r="PHL70" s="24"/>
      <c r="PHM70" s="24"/>
      <c r="PHN70" s="24"/>
      <c r="PHO70" s="24"/>
      <c r="PHP70" s="24"/>
      <c r="PHQ70" s="24"/>
      <c r="PHR70" s="24"/>
      <c r="PHS70" s="24"/>
      <c r="PHT70" s="24"/>
      <c r="PHU70" s="24"/>
      <c r="PHV70" s="24"/>
      <c r="PHW70" s="24"/>
      <c r="PHX70" s="24"/>
      <c r="PHY70" s="24"/>
      <c r="PHZ70" s="24"/>
      <c r="PIA70" s="24"/>
      <c r="PIB70" s="24"/>
      <c r="PIC70" s="24"/>
      <c r="PID70" s="24"/>
      <c r="PIE70" s="24"/>
      <c r="PIF70" s="24"/>
      <c r="PIG70" s="24"/>
      <c r="PIH70" s="24"/>
      <c r="PII70" s="24"/>
      <c r="PIJ70" s="24"/>
      <c r="PIK70" s="24"/>
      <c r="PIL70" s="24"/>
      <c r="PIM70" s="24"/>
      <c r="PIN70" s="24"/>
      <c r="PIO70" s="24"/>
      <c r="PIP70" s="24"/>
      <c r="PIQ70" s="24"/>
      <c r="PIR70" s="24"/>
      <c r="PIS70" s="24"/>
      <c r="PIT70" s="24"/>
      <c r="PIU70" s="24"/>
      <c r="PIV70" s="24"/>
      <c r="PIW70" s="24"/>
      <c r="PIX70" s="24"/>
      <c r="PIY70" s="24"/>
      <c r="PIZ70" s="24"/>
      <c r="PJA70" s="24"/>
      <c r="PJB70" s="24"/>
      <c r="PJC70" s="24"/>
      <c r="PJD70" s="24"/>
      <c r="PJE70" s="24"/>
      <c r="PJF70" s="24"/>
      <c r="PJG70" s="24"/>
      <c r="PJH70" s="24"/>
      <c r="PJI70" s="24"/>
      <c r="PJJ70" s="24"/>
      <c r="PJK70" s="24"/>
      <c r="PJL70" s="24"/>
      <c r="PJM70" s="24"/>
      <c r="PJN70" s="24"/>
      <c r="PJO70" s="24"/>
      <c r="PJP70" s="24"/>
      <c r="PJQ70" s="24"/>
      <c r="PJR70" s="24"/>
      <c r="PJS70" s="24"/>
      <c r="PJT70" s="24"/>
      <c r="PJU70" s="24"/>
      <c r="PJV70" s="24"/>
      <c r="PJW70" s="24"/>
      <c r="PJX70" s="24"/>
      <c r="PJY70" s="24"/>
      <c r="PJZ70" s="24"/>
      <c r="PKA70" s="24"/>
      <c r="PKB70" s="24"/>
      <c r="PKC70" s="24"/>
      <c r="PKD70" s="24"/>
      <c r="PKE70" s="24"/>
      <c r="PKF70" s="24"/>
      <c r="PKG70" s="24"/>
      <c r="PKH70" s="24"/>
      <c r="PKI70" s="24"/>
      <c r="PKJ70" s="24"/>
      <c r="PKK70" s="24"/>
      <c r="PKL70" s="24"/>
      <c r="PKM70" s="24"/>
      <c r="PKN70" s="24"/>
      <c r="PKO70" s="24"/>
      <c r="PKP70" s="24"/>
      <c r="PKQ70" s="24"/>
      <c r="PKR70" s="24"/>
      <c r="PKS70" s="24"/>
      <c r="PKT70" s="24"/>
      <c r="PKU70" s="24"/>
      <c r="PKV70" s="24"/>
      <c r="PKW70" s="24"/>
      <c r="PKX70" s="24"/>
      <c r="PKY70" s="24"/>
      <c r="PKZ70" s="24"/>
      <c r="PLA70" s="24"/>
      <c r="PLB70" s="24"/>
      <c r="PLC70" s="24"/>
      <c r="PLD70" s="24"/>
      <c r="PLE70" s="24"/>
      <c r="PLF70" s="24"/>
      <c r="PLG70" s="24"/>
      <c r="PLH70" s="24"/>
      <c r="PLI70" s="24"/>
      <c r="PLJ70" s="24"/>
      <c r="PLK70" s="24"/>
      <c r="PLL70" s="24"/>
      <c r="PLM70" s="24"/>
      <c r="PLN70" s="24"/>
      <c r="PLO70" s="24"/>
      <c r="PLP70" s="24"/>
      <c r="PLQ70" s="24"/>
      <c r="PLR70" s="24"/>
      <c r="PLS70" s="24"/>
      <c r="PLT70" s="24"/>
      <c r="PLU70" s="24"/>
      <c r="PLV70" s="24"/>
      <c r="PLW70" s="24"/>
      <c r="PLX70" s="24"/>
      <c r="PLY70" s="24"/>
      <c r="PLZ70" s="24"/>
      <c r="PMA70" s="24"/>
      <c r="PMB70" s="24"/>
      <c r="PMC70" s="24"/>
      <c r="PMD70" s="24"/>
      <c r="PME70" s="24"/>
      <c r="PMF70" s="24"/>
      <c r="PMG70" s="24"/>
      <c r="PMH70" s="24"/>
      <c r="PMI70" s="24"/>
      <c r="PMJ70" s="24"/>
      <c r="PMK70" s="24"/>
      <c r="PML70" s="24"/>
      <c r="PMM70" s="24"/>
      <c r="PMN70" s="24"/>
      <c r="PMO70" s="24"/>
      <c r="PMP70" s="24"/>
      <c r="PMQ70" s="24"/>
      <c r="PMR70" s="24"/>
      <c r="PMS70" s="24"/>
      <c r="PMT70" s="24"/>
      <c r="PMU70" s="24"/>
      <c r="PMV70" s="24"/>
      <c r="PMW70" s="24"/>
      <c r="PMX70" s="24"/>
      <c r="PMY70" s="24"/>
      <c r="PMZ70" s="24"/>
      <c r="PNA70" s="24"/>
      <c r="PNB70" s="24"/>
      <c r="PNC70" s="24"/>
      <c r="PND70" s="24"/>
      <c r="PNE70" s="24"/>
      <c r="PNF70" s="24"/>
      <c r="PNG70" s="24"/>
      <c r="PNH70" s="24"/>
      <c r="PNI70" s="24"/>
      <c r="PNJ70" s="24"/>
      <c r="PNK70" s="24"/>
      <c r="PNL70" s="24"/>
      <c r="PNM70" s="24"/>
      <c r="PNN70" s="24"/>
      <c r="PNO70" s="24"/>
      <c r="PNP70" s="24"/>
      <c r="PNQ70" s="24"/>
      <c r="PNR70" s="24"/>
      <c r="PNS70" s="24"/>
      <c r="PNT70" s="24"/>
      <c r="PNU70" s="24"/>
      <c r="PNV70" s="24"/>
      <c r="PNW70" s="24"/>
      <c r="PNX70" s="24"/>
      <c r="PNY70" s="24"/>
      <c r="PNZ70" s="24"/>
      <c r="POA70" s="24"/>
      <c r="POB70" s="24"/>
      <c r="POC70" s="24"/>
      <c r="POD70" s="24"/>
      <c r="POE70" s="24"/>
      <c r="POF70" s="24"/>
      <c r="POG70" s="24"/>
      <c r="POH70" s="24"/>
      <c r="POI70" s="24"/>
      <c r="POJ70" s="24"/>
      <c r="POK70" s="24"/>
      <c r="POL70" s="24"/>
      <c r="POM70" s="24"/>
      <c r="PON70" s="24"/>
      <c r="POO70" s="24"/>
      <c r="POP70" s="24"/>
      <c r="POQ70" s="24"/>
      <c r="POR70" s="24"/>
      <c r="POS70" s="24"/>
      <c r="POT70" s="24"/>
      <c r="POU70" s="24"/>
      <c r="POV70" s="24"/>
      <c r="POW70" s="24"/>
      <c r="POX70" s="24"/>
      <c r="POY70" s="24"/>
      <c r="POZ70" s="24"/>
      <c r="PPA70" s="24"/>
      <c r="PPB70" s="24"/>
      <c r="PPC70" s="24"/>
      <c r="PPD70" s="24"/>
      <c r="PPE70" s="24"/>
      <c r="PPF70" s="24"/>
      <c r="PPG70" s="24"/>
      <c r="PPH70" s="24"/>
      <c r="PPI70" s="24"/>
      <c r="PPJ70" s="24"/>
      <c r="PPK70" s="24"/>
      <c r="PPL70" s="24"/>
      <c r="PPM70" s="24"/>
      <c r="PPN70" s="24"/>
      <c r="PPO70" s="24"/>
      <c r="PPP70" s="24"/>
      <c r="PPQ70" s="24"/>
      <c r="PPR70" s="24"/>
      <c r="PPS70" s="24"/>
      <c r="PPT70" s="24"/>
      <c r="PPU70" s="24"/>
      <c r="PPV70" s="24"/>
      <c r="PPW70" s="24"/>
      <c r="PPX70" s="24"/>
      <c r="PPY70" s="24"/>
      <c r="PPZ70" s="24"/>
      <c r="PQA70" s="24"/>
      <c r="PQB70" s="24"/>
      <c r="PQC70" s="24"/>
      <c r="PQD70" s="24"/>
      <c r="PQE70" s="24"/>
      <c r="PQF70" s="24"/>
      <c r="PQG70" s="24"/>
      <c r="PQH70" s="24"/>
      <c r="PQI70" s="24"/>
      <c r="PQJ70" s="24"/>
      <c r="PQK70" s="24"/>
      <c r="PQL70" s="24"/>
      <c r="PQM70" s="24"/>
      <c r="PQN70" s="24"/>
      <c r="PQO70" s="24"/>
      <c r="PQP70" s="24"/>
      <c r="PQQ70" s="24"/>
      <c r="PQR70" s="24"/>
      <c r="PQS70" s="24"/>
      <c r="PQT70" s="24"/>
      <c r="PQU70" s="24"/>
      <c r="PQV70" s="24"/>
      <c r="PQW70" s="24"/>
      <c r="PQX70" s="24"/>
      <c r="PQY70" s="24"/>
      <c r="PQZ70" s="24"/>
      <c r="PRA70" s="24"/>
      <c r="PRB70" s="24"/>
      <c r="PRC70" s="24"/>
      <c r="PRD70" s="24"/>
      <c r="PRE70" s="24"/>
      <c r="PRF70" s="24"/>
      <c r="PRG70" s="24"/>
      <c r="PRH70" s="24"/>
      <c r="PRI70" s="24"/>
      <c r="PRJ70" s="24"/>
      <c r="PRK70" s="24"/>
      <c r="PRL70" s="24"/>
      <c r="PRM70" s="24"/>
      <c r="PRN70" s="24"/>
      <c r="PRO70" s="24"/>
      <c r="PRP70" s="24"/>
      <c r="PRQ70" s="24"/>
      <c r="PRR70" s="24"/>
      <c r="PRS70" s="24"/>
      <c r="PRT70" s="24"/>
      <c r="PRU70" s="24"/>
      <c r="PRV70" s="24"/>
      <c r="PRW70" s="24"/>
      <c r="PRX70" s="24"/>
      <c r="PRY70" s="24"/>
      <c r="PRZ70" s="24"/>
      <c r="PSA70" s="24"/>
      <c r="PSB70" s="24"/>
      <c r="PSC70" s="24"/>
      <c r="PSD70" s="24"/>
      <c r="PSE70" s="24"/>
      <c r="PSF70" s="24"/>
      <c r="PSG70" s="24"/>
      <c r="PSH70" s="24"/>
      <c r="PSI70" s="24"/>
      <c r="PSJ70" s="24"/>
      <c r="PSK70" s="24"/>
      <c r="PSL70" s="24"/>
      <c r="PSM70" s="24"/>
      <c r="PSN70" s="24"/>
      <c r="PSO70" s="24"/>
      <c r="PSP70" s="24"/>
      <c r="PSQ70" s="24"/>
      <c r="PSR70" s="24"/>
      <c r="PSS70" s="24"/>
      <c r="PST70" s="24"/>
      <c r="PSU70" s="24"/>
      <c r="PSV70" s="24"/>
      <c r="PSW70" s="24"/>
      <c r="PSX70" s="24"/>
      <c r="PSY70" s="24"/>
      <c r="PSZ70" s="24"/>
      <c r="PTA70" s="24"/>
      <c r="PTB70" s="24"/>
      <c r="PTC70" s="24"/>
      <c r="PTD70" s="24"/>
      <c r="PTE70" s="24"/>
      <c r="PTF70" s="24"/>
      <c r="PTG70" s="24"/>
      <c r="PTH70" s="24"/>
      <c r="PTI70" s="24"/>
      <c r="PTJ70" s="24"/>
      <c r="PTK70" s="24"/>
      <c r="PTL70" s="24"/>
      <c r="PTM70" s="24"/>
      <c r="PTN70" s="24"/>
      <c r="PTO70" s="24"/>
      <c r="PTP70" s="24"/>
      <c r="PTQ70" s="24"/>
      <c r="PTR70" s="24"/>
      <c r="PTS70" s="24"/>
      <c r="PTT70" s="24"/>
      <c r="PTU70" s="24"/>
      <c r="PTV70" s="24"/>
      <c r="PTW70" s="24"/>
      <c r="PTX70" s="24"/>
      <c r="PTY70" s="24"/>
      <c r="PTZ70" s="24"/>
      <c r="PUA70" s="24"/>
      <c r="PUB70" s="24"/>
      <c r="PUC70" s="24"/>
      <c r="PUD70" s="24"/>
      <c r="PUE70" s="24"/>
      <c r="PUF70" s="24"/>
      <c r="PUG70" s="24"/>
      <c r="PUH70" s="24"/>
      <c r="PUI70" s="24"/>
      <c r="PUJ70" s="24"/>
      <c r="PUK70" s="24"/>
      <c r="PUL70" s="24"/>
      <c r="PUM70" s="24"/>
      <c r="PUN70" s="24"/>
      <c r="PUO70" s="24"/>
      <c r="PUP70" s="24"/>
      <c r="PUQ70" s="24"/>
      <c r="PUR70" s="24"/>
      <c r="PUS70" s="24"/>
      <c r="PUT70" s="24"/>
      <c r="PUU70" s="24"/>
      <c r="PUV70" s="24"/>
      <c r="PUW70" s="24"/>
      <c r="PUX70" s="24"/>
      <c r="PUY70" s="24"/>
      <c r="PUZ70" s="24"/>
      <c r="PVA70" s="24"/>
      <c r="PVB70" s="24"/>
      <c r="PVC70" s="24"/>
      <c r="PVD70" s="24"/>
      <c r="PVE70" s="24"/>
      <c r="PVF70" s="24"/>
      <c r="PVG70" s="24"/>
      <c r="PVH70" s="24"/>
      <c r="PVI70" s="24"/>
      <c r="PVJ70" s="24"/>
      <c r="PVK70" s="24"/>
      <c r="PVL70" s="24"/>
      <c r="PVM70" s="24"/>
      <c r="PVN70" s="24"/>
      <c r="PVO70" s="24"/>
      <c r="PVP70" s="24"/>
      <c r="PVQ70" s="24"/>
      <c r="PVR70" s="24"/>
      <c r="PVS70" s="24"/>
      <c r="PVT70" s="24"/>
      <c r="PVU70" s="24"/>
      <c r="PVV70" s="24"/>
      <c r="PVW70" s="24"/>
      <c r="PVX70" s="24"/>
      <c r="PVY70" s="24"/>
      <c r="PVZ70" s="24"/>
      <c r="PWA70" s="24"/>
      <c r="PWB70" s="24"/>
      <c r="PWC70" s="24"/>
      <c r="PWD70" s="24"/>
      <c r="PWE70" s="24"/>
      <c r="PWF70" s="24"/>
      <c r="PWG70" s="24"/>
      <c r="PWH70" s="24"/>
      <c r="PWI70" s="24"/>
      <c r="PWJ70" s="24"/>
      <c r="PWK70" s="24"/>
      <c r="PWL70" s="24"/>
      <c r="PWM70" s="24"/>
      <c r="PWN70" s="24"/>
      <c r="PWO70" s="24"/>
      <c r="PWP70" s="24"/>
      <c r="PWQ70" s="24"/>
      <c r="PWR70" s="24"/>
      <c r="PWS70" s="24"/>
      <c r="PWT70" s="24"/>
      <c r="PWU70" s="24"/>
      <c r="PWV70" s="24"/>
      <c r="PWW70" s="24"/>
      <c r="PWX70" s="24"/>
      <c r="PWY70" s="24"/>
      <c r="PWZ70" s="24"/>
      <c r="PXA70" s="24"/>
      <c r="PXB70" s="24"/>
      <c r="PXC70" s="24"/>
      <c r="PXD70" s="24"/>
      <c r="PXE70" s="24"/>
      <c r="PXF70" s="24"/>
      <c r="PXG70" s="24"/>
      <c r="PXH70" s="24"/>
      <c r="PXI70" s="24"/>
      <c r="PXJ70" s="24"/>
      <c r="PXK70" s="24"/>
      <c r="PXL70" s="24"/>
      <c r="PXM70" s="24"/>
      <c r="PXN70" s="24"/>
      <c r="PXO70" s="24"/>
      <c r="PXP70" s="24"/>
      <c r="PXQ70" s="24"/>
      <c r="PXR70" s="24"/>
      <c r="PXS70" s="24"/>
      <c r="PXT70" s="24"/>
      <c r="PXU70" s="24"/>
      <c r="PXV70" s="24"/>
      <c r="PXW70" s="24"/>
      <c r="PXX70" s="24"/>
      <c r="PXY70" s="24"/>
      <c r="PXZ70" s="24"/>
      <c r="PYA70" s="24"/>
      <c r="PYB70" s="24"/>
      <c r="PYC70" s="24"/>
      <c r="PYD70" s="24"/>
      <c r="PYE70" s="24"/>
      <c r="PYF70" s="24"/>
      <c r="PYG70" s="24"/>
      <c r="PYH70" s="24"/>
      <c r="PYI70" s="24"/>
      <c r="PYJ70" s="24"/>
      <c r="PYK70" s="24"/>
      <c r="PYL70" s="24"/>
      <c r="PYM70" s="24"/>
      <c r="PYN70" s="24"/>
      <c r="PYO70" s="24"/>
      <c r="PYP70" s="24"/>
      <c r="PYQ70" s="24"/>
      <c r="PYR70" s="24"/>
      <c r="PYS70" s="24"/>
      <c r="PYT70" s="24"/>
      <c r="PYU70" s="24"/>
      <c r="PYV70" s="24"/>
      <c r="PYW70" s="24"/>
      <c r="PYX70" s="24"/>
      <c r="PYY70" s="24"/>
      <c r="PYZ70" s="24"/>
      <c r="PZA70" s="24"/>
      <c r="PZB70" s="24"/>
      <c r="PZC70" s="24"/>
      <c r="PZD70" s="24"/>
      <c r="PZE70" s="24"/>
      <c r="PZF70" s="24"/>
      <c r="PZG70" s="24"/>
      <c r="PZH70" s="24"/>
      <c r="PZI70" s="24"/>
      <c r="PZJ70" s="24"/>
      <c r="PZK70" s="24"/>
      <c r="PZL70" s="24"/>
      <c r="PZM70" s="24"/>
      <c r="PZN70" s="24"/>
      <c r="PZO70" s="24"/>
      <c r="PZP70" s="24"/>
      <c r="PZQ70" s="24"/>
      <c r="PZR70" s="24"/>
      <c r="PZS70" s="24"/>
      <c r="PZT70" s="24"/>
      <c r="PZU70" s="24"/>
      <c r="PZV70" s="24"/>
      <c r="PZW70" s="24"/>
      <c r="PZX70" s="24"/>
      <c r="PZY70" s="24"/>
      <c r="PZZ70" s="24"/>
      <c r="QAA70" s="24"/>
      <c r="QAB70" s="24"/>
      <c r="QAC70" s="24"/>
      <c r="QAD70" s="24"/>
      <c r="QAE70" s="24"/>
      <c r="QAF70" s="24"/>
      <c r="QAG70" s="24"/>
      <c r="QAH70" s="24"/>
      <c r="QAI70" s="24"/>
      <c r="QAJ70" s="24"/>
      <c r="QAK70" s="24"/>
      <c r="QAL70" s="24"/>
      <c r="QAM70" s="24"/>
      <c r="QAN70" s="24"/>
      <c r="QAO70" s="24"/>
      <c r="QAP70" s="24"/>
      <c r="QAQ70" s="24"/>
      <c r="QAR70" s="24"/>
      <c r="QAS70" s="24"/>
      <c r="QAT70" s="24"/>
      <c r="QAU70" s="24"/>
      <c r="QAV70" s="24"/>
      <c r="QAW70" s="24"/>
      <c r="QAX70" s="24"/>
      <c r="QAY70" s="24"/>
      <c r="QAZ70" s="24"/>
      <c r="QBA70" s="24"/>
      <c r="QBB70" s="24"/>
      <c r="QBC70" s="24"/>
      <c r="QBD70" s="24"/>
      <c r="QBE70" s="24"/>
      <c r="QBF70" s="24"/>
      <c r="QBG70" s="24"/>
      <c r="QBH70" s="24"/>
      <c r="QBI70" s="24"/>
      <c r="QBJ70" s="24"/>
      <c r="QBK70" s="24"/>
      <c r="QBL70" s="24"/>
      <c r="QBM70" s="24"/>
      <c r="QBN70" s="24"/>
      <c r="QBO70" s="24"/>
      <c r="QBP70" s="24"/>
      <c r="QBQ70" s="24"/>
      <c r="QBR70" s="24"/>
      <c r="QBS70" s="24"/>
      <c r="QBT70" s="24"/>
      <c r="QBU70" s="24"/>
      <c r="QBV70" s="24"/>
      <c r="QBW70" s="24"/>
      <c r="QBX70" s="24"/>
      <c r="QBY70" s="24"/>
      <c r="QBZ70" s="24"/>
      <c r="QCA70" s="24"/>
      <c r="QCB70" s="24"/>
      <c r="QCC70" s="24"/>
      <c r="QCD70" s="24"/>
      <c r="QCE70" s="24"/>
      <c r="QCF70" s="24"/>
      <c r="QCG70" s="24"/>
      <c r="QCH70" s="24"/>
      <c r="QCI70" s="24"/>
      <c r="QCJ70" s="24"/>
      <c r="QCK70" s="24"/>
      <c r="QCL70" s="24"/>
      <c r="QCM70" s="24"/>
      <c r="QCN70" s="24"/>
      <c r="QCO70" s="24"/>
      <c r="QCP70" s="24"/>
      <c r="QCQ70" s="24"/>
      <c r="QCR70" s="24"/>
      <c r="QCS70" s="24"/>
      <c r="QCT70" s="24"/>
      <c r="QCU70" s="24"/>
      <c r="QCV70" s="24"/>
      <c r="QCW70" s="24"/>
      <c r="QCX70" s="24"/>
      <c r="QCY70" s="24"/>
      <c r="QCZ70" s="24"/>
      <c r="QDA70" s="24"/>
      <c r="QDB70" s="24"/>
      <c r="QDC70" s="24"/>
      <c r="QDD70" s="24"/>
      <c r="QDE70" s="24"/>
      <c r="QDF70" s="24"/>
      <c r="QDG70" s="24"/>
      <c r="QDH70" s="24"/>
      <c r="QDI70" s="24"/>
      <c r="QDJ70" s="24"/>
      <c r="QDK70" s="24"/>
      <c r="QDL70" s="24"/>
      <c r="QDM70" s="24"/>
      <c r="QDN70" s="24"/>
      <c r="QDO70" s="24"/>
      <c r="QDP70" s="24"/>
      <c r="QDQ70" s="24"/>
      <c r="QDR70" s="24"/>
      <c r="QDS70" s="24"/>
      <c r="QDT70" s="24"/>
      <c r="QDU70" s="24"/>
      <c r="QDV70" s="24"/>
      <c r="QDW70" s="24"/>
      <c r="QDX70" s="24"/>
      <c r="QDY70" s="24"/>
      <c r="QDZ70" s="24"/>
      <c r="QEA70" s="24"/>
      <c r="QEB70" s="24"/>
      <c r="QEC70" s="24"/>
      <c r="QED70" s="24"/>
      <c r="QEE70" s="24"/>
      <c r="QEF70" s="24"/>
      <c r="QEG70" s="24"/>
      <c r="QEH70" s="24"/>
      <c r="QEI70" s="24"/>
      <c r="QEJ70" s="24"/>
      <c r="QEK70" s="24"/>
      <c r="QEL70" s="24"/>
      <c r="QEM70" s="24"/>
      <c r="QEN70" s="24"/>
      <c r="QEO70" s="24"/>
      <c r="QEP70" s="24"/>
      <c r="QEQ70" s="24"/>
      <c r="QER70" s="24"/>
      <c r="QES70" s="24"/>
      <c r="QET70" s="24"/>
      <c r="QEU70" s="24"/>
      <c r="QEV70" s="24"/>
      <c r="QEW70" s="24"/>
      <c r="QEX70" s="24"/>
      <c r="QEY70" s="24"/>
      <c r="QEZ70" s="24"/>
      <c r="QFA70" s="24"/>
      <c r="QFB70" s="24"/>
      <c r="QFC70" s="24"/>
      <c r="QFD70" s="24"/>
      <c r="QFE70" s="24"/>
      <c r="QFF70" s="24"/>
      <c r="QFG70" s="24"/>
      <c r="QFH70" s="24"/>
      <c r="QFI70" s="24"/>
      <c r="QFJ70" s="24"/>
      <c r="QFK70" s="24"/>
      <c r="QFL70" s="24"/>
      <c r="QFM70" s="24"/>
      <c r="QFN70" s="24"/>
      <c r="QFO70" s="24"/>
      <c r="QFP70" s="24"/>
      <c r="QFQ70" s="24"/>
      <c r="QFR70" s="24"/>
      <c r="QFS70" s="24"/>
      <c r="QFT70" s="24"/>
      <c r="QFU70" s="24"/>
      <c r="QFV70" s="24"/>
      <c r="QFW70" s="24"/>
      <c r="QFX70" s="24"/>
      <c r="QFY70" s="24"/>
      <c r="QFZ70" s="24"/>
      <c r="QGA70" s="24"/>
      <c r="QGB70" s="24"/>
      <c r="QGC70" s="24"/>
      <c r="QGD70" s="24"/>
      <c r="QGE70" s="24"/>
      <c r="QGF70" s="24"/>
      <c r="QGG70" s="24"/>
      <c r="QGH70" s="24"/>
      <c r="QGI70" s="24"/>
      <c r="QGJ70" s="24"/>
      <c r="QGK70" s="24"/>
      <c r="QGL70" s="24"/>
      <c r="QGM70" s="24"/>
      <c r="QGN70" s="24"/>
      <c r="QGO70" s="24"/>
      <c r="QGP70" s="24"/>
      <c r="QGQ70" s="24"/>
      <c r="QGR70" s="24"/>
      <c r="QGS70" s="24"/>
      <c r="QGT70" s="24"/>
      <c r="QGU70" s="24"/>
      <c r="QGV70" s="24"/>
      <c r="QGW70" s="24"/>
      <c r="QGX70" s="24"/>
      <c r="QGY70" s="24"/>
      <c r="QGZ70" s="24"/>
      <c r="QHA70" s="24"/>
      <c r="QHB70" s="24"/>
      <c r="QHC70" s="24"/>
      <c r="QHD70" s="24"/>
      <c r="QHE70" s="24"/>
      <c r="QHF70" s="24"/>
      <c r="QHG70" s="24"/>
      <c r="QHH70" s="24"/>
      <c r="QHI70" s="24"/>
      <c r="QHJ70" s="24"/>
      <c r="QHK70" s="24"/>
      <c r="QHL70" s="24"/>
      <c r="QHM70" s="24"/>
      <c r="QHN70" s="24"/>
      <c r="QHO70" s="24"/>
      <c r="QHP70" s="24"/>
      <c r="QHQ70" s="24"/>
      <c r="QHR70" s="24"/>
      <c r="QHS70" s="24"/>
      <c r="QHT70" s="24"/>
      <c r="QHU70" s="24"/>
      <c r="QHV70" s="24"/>
      <c r="QHW70" s="24"/>
      <c r="QHX70" s="24"/>
      <c r="QHY70" s="24"/>
      <c r="QHZ70" s="24"/>
      <c r="QIA70" s="24"/>
      <c r="QIB70" s="24"/>
      <c r="QIC70" s="24"/>
      <c r="QID70" s="24"/>
      <c r="QIE70" s="24"/>
      <c r="QIF70" s="24"/>
      <c r="QIG70" s="24"/>
      <c r="QIH70" s="24"/>
      <c r="QII70" s="24"/>
      <c r="QIJ70" s="24"/>
      <c r="QIK70" s="24"/>
      <c r="QIL70" s="24"/>
      <c r="QIM70" s="24"/>
      <c r="QIN70" s="24"/>
      <c r="QIO70" s="24"/>
      <c r="QIP70" s="24"/>
      <c r="QIQ70" s="24"/>
      <c r="QIR70" s="24"/>
      <c r="QIS70" s="24"/>
      <c r="QIT70" s="24"/>
      <c r="QIU70" s="24"/>
      <c r="QIV70" s="24"/>
      <c r="QIW70" s="24"/>
      <c r="QIX70" s="24"/>
      <c r="QIY70" s="24"/>
      <c r="QIZ70" s="24"/>
      <c r="QJA70" s="24"/>
      <c r="QJB70" s="24"/>
      <c r="QJC70" s="24"/>
      <c r="QJD70" s="24"/>
      <c r="QJE70" s="24"/>
      <c r="QJF70" s="24"/>
      <c r="QJG70" s="24"/>
      <c r="QJH70" s="24"/>
      <c r="QJI70" s="24"/>
      <c r="QJJ70" s="24"/>
      <c r="QJK70" s="24"/>
      <c r="QJL70" s="24"/>
      <c r="QJM70" s="24"/>
      <c r="QJN70" s="24"/>
      <c r="QJO70" s="24"/>
      <c r="QJP70" s="24"/>
      <c r="QJQ70" s="24"/>
      <c r="QJR70" s="24"/>
      <c r="QJS70" s="24"/>
      <c r="QJT70" s="24"/>
      <c r="QJU70" s="24"/>
      <c r="QJV70" s="24"/>
      <c r="QJW70" s="24"/>
      <c r="QJX70" s="24"/>
      <c r="QJY70" s="24"/>
      <c r="QJZ70" s="24"/>
      <c r="QKA70" s="24"/>
      <c r="QKB70" s="24"/>
      <c r="QKC70" s="24"/>
      <c r="QKD70" s="24"/>
      <c r="QKE70" s="24"/>
      <c r="QKF70" s="24"/>
      <c r="QKG70" s="24"/>
      <c r="QKH70" s="24"/>
      <c r="QKI70" s="24"/>
      <c r="QKJ70" s="24"/>
      <c r="QKK70" s="24"/>
      <c r="QKL70" s="24"/>
      <c r="QKM70" s="24"/>
      <c r="QKN70" s="24"/>
      <c r="QKO70" s="24"/>
      <c r="QKP70" s="24"/>
      <c r="QKQ70" s="24"/>
      <c r="QKR70" s="24"/>
      <c r="QKS70" s="24"/>
      <c r="QKT70" s="24"/>
      <c r="QKU70" s="24"/>
      <c r="QKV70" s="24"/>
      <c r="QKW70" s="24"/>
      <c r="QKX70" s="24"/>
      <c r="QKY70" s="24"/>
      <c r="QKZ70" s="24"/>
      <c r="QLA70" s="24"/>
      <c r="QLB70" s="24"/>
      <c r="QLC70" s="24"/>
      <c r="QLD70" s="24"/>
      <c r="QLE70" s="24"/>
      <c r="QLF70" s="24"/>
      <c r="QLG70" s="24"/>
      <c r="QLH70" s="24"/>
      <c r="QLI70" s="24"/>
      <c r="QLJ70" s="24"/>
      <c r="QLK70" s="24"/>
      <c r="QLL70" s="24"/>
      <c r="QLM70" s="24"/>
      <c r="QLN70" s="24"/>
      <c r="QLO70" s="24"/>
      <c r="QLP70" s="24"/>
      <c r="QLQ70" s="24"/>
      <c r="QLR70" s="24"/>
      <c r="QLS70" s="24"/>
      <c r="QLT70" s="24"/>
      <c r="QLU70" s="24"/>
      <c r="QLV70" s="24"/>
      <c r="QLW70" s="24"/>
      <c r="QLX70" s="24"/>
      <c r="QLY70" s="24"/>
      <c r="QLZ70" s="24"/>
      <c r="QMA70" s="24"/>
      <c r="QMB70" s="24"/>
      <c r="QMC70" s="24"/>
      <c r="QMD70" s="24"/>
      <c r="QME70" s="24"/>
      <c r="QMF70" s="24"/>
      <c r="QMG70" s="24"/>
      <c r="QMH70" s="24"/>
      <c r="QMI70" s="24"/>
      <c r="QMJ70" s="24"/>
      <c r="QMK70" s="24"/>
      <c r="QML70" s="24"/>
      <c r="QMM70" s="24"/>
      <c r="QMN70" s="24"/>
      <c r="QMO70" s="24"/>
      <c r="QMP70" s="24"/>
      <c r="QMQ70" s="24"/>
      <c r="QMR70" s="24"/>
      <c r="QMS70" s="24"/>
      <c r="QMT70" s="24"/>
      <c r="QMU70" s="24"/>
      <c r="QMV70" s="24"/>
      <c r="QMW70" s="24"/>
      <c r="QMX70" s="24"/>
      <c r="QMY70" s="24"/>
      <c r="QMZ70" s="24"/>
      <c r="QNA70" s="24"/>
      <c r="QNB70" s="24"/>
      <c r="QNC70" s="24"/>
      <c r="QND70" s="24"/>
      <c r="QNE70" s="24"/>
      <c r="QNF70" s="24"/>
      <c r="QNG70" s="24"/>
      <c r="QNH70" s="24"/>
      <c r="QNI70" s="24"/>
      <c r="QNJ70" s="24"/>
      <c r="QNK70" s="24"/>
      <c r="QNL70" s="24"/>
      <c r="QNM70" s="24"/>
      <c r="QNN70" s="24"/>
      <c r="QNO70" s="24"/>
      <c r="QNP70" s="24"/>
      <c r="QNQ70" s="24"/>
      <c r="QNR70" s="24"/>
      <c r="QNS70" s="24"/>
      <c r="QNT70" s="24"/>
      <c r="QNU70" s="24"/>
      <c r="QNV70" s="24"/>
      <c r="QNW70" s="24"/>
      <c r="QNX70" s="24"/>
      <c r="QNY70" s="24"/>
      <c r="QNZ70" s="24"/>
      <c r="QOA70" s="24"/>
      <c r="QOB70" s="24"/>
      <c r="QOC70" s="24"/>
      <c r="QOD70" s="24"/>
      <c r="QOE70" s="24"/>
      <c r="QOF70" s="24"/>
      <c r="QOG70" s="24"/>
      <c r="QOH70" s="24"/>
      <c r="QOI70" s="24"/>
      <c r="QOJ70" s="24"/>
      <c r="QOK70" s="24"/>
      <c r="QOL70" s="24"/>
      <c r="QOM70" s="24"/>
      <c r="QON70" s="24"/>
      <c r="QOO70" s="24"/>
      <c r="QOP70" s="24"/>
      <c r="QOQ70" s="24"/>
      <c r="QOR70" s="24"/>
      <c r="QOS70" s="24"/>
      <c r="QOT70" s="24"/>
      <c r="QOU70" s="24"/>
      <c r="QOV70" s="24"/>
      <c r="QOW70" s="24"/>
      <c r="QOX70" s="24"/>
      <c r="QOY70" s="24"/>
      <c r="QOZ70" s="24"/>
      <c r="QPA70" s="24"/>
      <c r="QPB70" s="24"/>
      <c r="QPC70" s="24"/>
      <c r="QPD70" s="24"/>
      <c r="QPE70" s="24"/>
      <c r="QPF70" s="24"/>
      <c r="QPG70" s="24"/>
      <c r="QPH70" s="24"/>
      <c r="QPI70" s="24"/>
      <c r="QPJ70" s="24"/>
      <c r="QPK70" s="24"/>
      <c r="QPL70" s="24"/>
      <c r="QPM70" s="24"/>
      <c r="QPN70" s="24"/>
      <c r="QPO70" s="24"/>
      <c r="QPP70" s="24"/>
      <c r="QPQ70" s="24"/>
      <c r="QPR70" s="24"/>
      <c r="QPS70" s="24"/>
      <c r="QPT70" s="24"/>
      <c r="QPU70" s="24"/>
      <c r="QPV70" s="24"/>
      <c r="QPW70" s="24"/>
      <c r="QPX70" s="24"/>
      <c r="QPY70" s="24"/>
      <c r="QPZ70" s="24"/>
      <c r="QQA70" s="24"/>
      <c r="QQB70" s="24"/>
      <c r="QQC70" s="24"/>
      <c r="QQD70" s="24"/>
      <c r="QQE70" s="24"/>
      <c r="QQF70" s="24"/>
      <c r="QQG70" s="24"/>
      <c r="QQH70" s="24"/>
      <c r="QQI70" s="24"/>
      <c r="QQJ70" s="24"/>
      <c r="QQK70" s="24"/>
      <c r="QQL70" s="24"/>
      <c r="QQM70" s="24"/>
      <c r="QQN70" s="24"/>
      <c r="QQO70" s="24"/>
      <c r="QQP70" s="24"/>
      <c r="QQQ70" s="24"/>
      <c r="QQR70" s="24"/>
      <c r="QQS70" s="24"/>
      <c r="QQT70" s="24"/>
      <c r="QQU70" s="24"/>
      <c r="QQV70" s="24"/>
      <c r="QQW70" s="24"/>
      <c r="QQX70" s="24"/>
      <c r="QQY70" s="24"/>
      <c r="QQZ70" s="24"/>
      <c r="QRA70" s="24"/>
      <c r="QRB70" s="24"/>
      <c r="QRC70" s="24"/>
      <c r="QRD70" s="24"/>
      <c r="QRE70" s="24"/>
      <c r="QRF70" s="24"/>
      <c r="QRG70" s="24"/>
      <c r="QRH70" s="24"/>
      <c r="QRI70" s="24"/>
      <c r="QRJ70" s="24"/>
      <c r="QRK70" s="24"/>
      <c r="QRL70" s="24"/>
      <c r="QRM70" s="24"/>
      <c r="QRN70" s="24"/>
      <c r="QRO70" s="24"/>
      <c r="QRP70" s="24"/>
      <c r="QRQ70" s="24"/>
      <c r="QRR70" s="24"/>
      <c r="QRS70" s="24"/>
      <c r="QRT70" s="24"/>
      <c r="QRU70" s="24"/>
      <c r="QRV70" s="24"/>
      <c r="QRW70" s="24"/>
      <c r="QRX70" s="24"/>
      <c r="QRY70" s="24"/>
      <c r="QRZ70" s="24"/>
      <c r="QSA70" s="24"/>
      <c r="QSB70" s="24"/>
      <c r="QSC70" s="24"/>
      <c r="QSD70" s="24"/>
      <c r="QSE70" s="24"/>
      <c r="QSF70" s="24"/>
      <c r="QSG70" s="24"/>
      <c r="QSH70" s="24"/>
      <c r="QSI70" s="24"/>
      <c r="QSJ70" s="24"/>
      <c r="QSK70" s="24"/>
      <c r="QSL70" s="24"/>
      <c r="QSM70" s="24"/>
      <c r="QSN70" s="24"/>
      <c r="QSO70" s="24"/>
      <c r="QSP70" s="24"/>
      <c r="QSQ70" s="24"/>
      <c r="QSR70" s="24"/>
      <c r="QSS70" s="24"/>
      <c r="QST70" s="24"/>
      <c r="QSU70" s="24"/>
      <c r="QSV70" s="24"/>
      <c r="QSW70" s="24"/>
      <c r="QSX70" s="24"/>
      <c r="QSY70" s="24"/>
      <c r="QSZ70" s="24"/>
      <c r="QTA70" s="24"/>
      <c r="QTB70" s="24"/>
      <c r="QTC70" s="24"/>
      <c r="QTD70" s="24"/>
      <c r="QTE70" s="24"/>
      <c r="QTF70" s="24"/>
      <c r="QTG70" s="24"/>
      <c r="QTH70" s="24"/>
      <c r="QTI70" s="24"/>
      <c r="QTJ70" s="24"/>
      <c r="QTK70" s="24"/>
      <c r="QTL70" s="24"/>
      <c r="QTM70" s="24"/>
      <c r="QTN70" s="24"/>
      <c r="QTO70" s="24"/>
      <c r="QTP70" s="24"/>
      <c r="QTQ70" s="24"/>
      <c r="QTR70" s="24"/>
      <c r="QTS70" s="24"/>
      <c r="QTT70" s="24"/>
      <c r="QTU70" s="24"/>
      <c r="QTV70" s="24"/>
      <c r="QTW70" s="24"/>
      <c r="QTX70" s="24"/>
      <c r="QTY70" s="24"/>
      <c r="QTZ70" s="24"/>
      <c r="QUA70" s="24"/>
      <c r="QUB70" s="24"/>
      <c r="QUC70" s="24"/>
      <c r="QUD70" s="24"/>
      <c r="QUE70" s="24"/>
      <c r="QUF70" s="24"/>
      <c r="QUG70" s="24"/>
      <c r="QUH70" s="24"/>
      <c r="QUI70" s="24"/>
      <c r="QUJ70" s="24"/>
      <c r="QUK70" s="24"/>
      <c r="QUL70" s="24"/>
      <c r="QUM70" s="24"/>
      <c r="QUN70" s="24"/>
      <c r="QUO70" s="24"/>
      <c r="QUP70" s="24"/>
      <c r="QUQ70" s="24"/>
      <c r="QUR70" s="24"/>
      <c r="QUS70" s="24"/>
      <c r="QUT70" s="24"/>
      <c r="QUU70" s="24"/>
      <c r="QUV70" s="24"/>
      <c r="QUW70" s="24"/>
      <c r="QUX70" s="24"/>
      <c r="QUY70" s="24"/>
      <c r="QUZ70" s="24"/>
      <c r="QVA70" s="24"/>
      <c r="QVB70" s="24"/>
      <c r="QVC70" s="24"/>
      <c r="QVD70" s="24"/>
      <c r="QVE70" s="24"/>
      <c r="QVF70" s="24"/>
      <c r="QVG70" s="24"/>
      <c r="QVH70" s="24"/>
      <c r="QVI70" s="24"/>
      <c r="QVJ70" s="24"/>
      <c r="QVK70" s="24"/>
      <c r="QVL70" s="24"/>
      <c r="QVM70" s="24"/>
      <c r="QVN70" s="24"/>
      <c r="QVO70" s="24"/>
      <c r="QVP70" s="24"/>
      <c r="QVQ70" s="24"/>
      <c r="QVR70" s="24"/>
      <c r="QVS70" s="24"/>
      <c r="QVT70" s="24"/>
      <c r="QVU70" s="24"/>
      <c r="QVV70" s="24"/>
      <c r="QVW70" s="24"/>
      <c r="QVX70" s="24"/>
      <c r="QVY70" s="24"/>
      <c r="QVZ70" s="24"/>
      <c r="QWA70" s="24"/>
      <c r="QWB70" s="24"/>
      <c r="QWC70" s="24"/>
      <c r="QWD70" s="24"/>
      <c r="QWE70" s="24"/>
      <c r="QWF70" s="24"/>
      <c r="QWG70" s="24"/>
      <c r="QWH70" s="24"/>
      <c r="QWI70" s="24"/>
      <c r="QWJ70" s="24"/>
      <c r="QWK70" s="24"/>
      <c r="QWL70" s="24"/>
      <c r="QWM70" s="24"/>
      <c r="QWN70" s="24"/>
      <c r="QWO70" s="24"/>
      <c r="QWP70" s="24"/>
      <c r="QWQ70" s="24"/>
      <c r="QWR70" s="24"/>
      <c r="QWS70" s="24"/>
      <c r="QWT70" s="24"/>
      <c r="QWU70" s="24"/>
      <c r="QWV70" s="24"/>
      <c r="QWW70" s="24"/>
      <c r="QWX70" s="24"/>
      <c r="QWY70" s="24"/>
      <c r="QWZ70" s="24"/>
      <c r="QXA70" s="24"/>
      <c r="QXB70" s="24"/>
      <c r="QXC70" s="24"/>
      <c r="QXD70" s="24"/>
      <c r="QXE70" s="24"/>
      <c r="QXF70" s="24"/>
      <c r="QXG70" s="24"/>
      <c r="QXH70" s="24"/>
      <c r="QXI70" s="24"/>
      <c r="QXJ70" s="24"/>
      <c r="QXK70" s="24"/>
      <c r="QXL70" s="24"/>
      <c r="QXM70" s="24"/>
      <c r="QXN70" s="24"/>
      <c r="QXO70" s="24"/>
      <c r="QXP70" s="24"/>
      <c r="QXQ70" s="24"/>
      <c r="QXR70" s="24"/>
      <c r="QXS70" s="24"/>
      <c r="QXT70" s="24"/>
      <c r="QXU70" s="24"/>
      <c r="QXV70" s="24"/>
      <c r="QXW70" s="24"/>
      <c r="QXX70" s="24"/>
      <c r="QXY70" s="24"/>
      <c r="QXZ70" s="24"/>
      <c r="QYA70" s="24"/>
      <c r="QYB70" s="24"/>
      <c r="QYC70" s="24"/>
      <c r="QYD70" s="24"/>
      <c r="QYE70" s="24"/>
      <c r="QYF70" s="24"/>
      <c r="QYG70" s="24"/>
      <c r="QYH70" s="24"/>
      <c r="QYI70" s="24"/>
      <c r="QYJ70" s="24"/>
      <c r="QYK70" s="24"/>
      <c r="QYL70" s="24"/>
      <c r="QYM70" s="24"/>
      <c r="QYN70" s="24"/>
      <c r="QYO70" s="24"/>
      <c r="QYP70" s="24"/>
      <c r="QYQ70" s="24"/>
      <c r="QYR70" s="24"/>
      <c r="QYS70" s="24"/>
      <c r="QYT70" s="24"/>
      <c r="QYU70" s="24"/>
      <c r="QYV70" s="24"/>
      <c r="QYW70" s="24"/>
      <c r="QYX70" s="24"/>
      <c r="QYY70" s="24"/>
      <c r="QYZ70" s="24"/>
      <c r="QZA70" s="24"/>
      <c r="QZB70" s="24"/>
      <c r="QZC70" s="24"/>
      <c r="QZD70" s="24"/>
      <c r="QZE70" s="24"/>
      <c r="QZF70" s="24"/>
      <c r="QZG70" s="24"/>
      <c r="QZH70" s="24"/>
      <c r="QZI70" s="24"/>
      <c r="QZJ70" s="24"/>
      <c r="QZK70" s="24"/>
      <c r="QZL70" s="24"/>
      <c r="QZM70" s="24"/>
      <c r="QZN70" s="24"/>
      <c r="QZO70" s="24"/>
      <c r="QZP70" s="24"/>
      <c r="QZQ70" s="24"/>
      <c r="QZR70" s="24"/>
      <c r="QZS70" s="24"/>
      <c r="QZT70" s="24"/>
      <c r="QZU70" s="24"/>
      <c r="QZV70" s="24"/>
      <c r="QZW70" s="24"/>
      <c r="QZX70" s="24"/>
      <c r="QZY70" s="24"/>
      <c r="QZZ70" s="24"/>
      <c r="RAA70" s="24"/>
      <c r="RAB70" s="24"/>
      <c r="RAC70" s="24"/>
      <c r="RAD70" s="24"/>
      <c r="RAE70" s="24"/>
      <c r="RAF70" s="24"/>
      <c r="RAG70" s="24"/>
      <c r="RAH70" s="24"/>
      <c r="RAI70" s="24"/>
      <c r="RAJ70" s="24"/>
      <c r="RAK70" s="24"/>
      <c r="RAL70" s="24"/>
      <c r="RAM70" s="24"/>
      <c r="RAN70" s="24"/>
      <c r="RAO70" s="24"/>
      <c r="RAP70" s="24"/>
      <c r="RAQ70" s="24"/>
      <c r="RAR70" s="24"/>
      <c r="RAS70" s="24"/>
      <c r="RAT70" s="24"/>
      <c r="RAU70" s="24"/>
      <c r="RAV70" s="24"/>
      <c r="RAW70" s="24"/>
      <c r="RAX70" s="24"/>
      <c r="RAY70" s="24"/>
      <c r="RAZ70" s="24"/>
      <c r="RBA70" s="24"/>
      <c r="RBB70" s="24"/>
      <c r="RBC70" s="24"/>
      <c r="RBD70" s="24"/>
      <c r="RBE70" s="24"/>
      <c r="RBF70" s="24"/>
      <c r="RBG70" s="24"/>
      <c r="RBH70" s="24"/>
      <c r="RBI70" s="24"/>
      <c r="RBJ70" s="24"/>
      <c r="RBK70" s="24"/>
      <c r="RBL70" s="24"/>
      <c r="RBM70" s="24"/>
      <c r="RBN70" s="24"/>
      <c r="RBO70" s="24"/>
      <c r="RBP70" s="24"/>
      <c r="RBQ70" s="24"/>
      <c r="RBR70" s="24"/>
      <c r="RBS70" s="24"/>
      <c r="RBT70" s="24"/>
      <c r="RBU70" s="24"/>
      <c r="RBV70" s="24"/>
      <c r="RBW70" s="24"/>
      <c r="RBX70" s="24"/>
      <c r="RBY70" s="24"/>
      <c r="RBZ70" s="24"/>
      <c r="RCA70" s="24"/>
      <c r="RCB70" s="24"/>
      <c r="RCC70" s="24"/>
      <c r="RCD70" s="24"/>
      <c r="RCE70" s="24"/>
      <c r="RCF70" s="24"/>
      <c r="RCG70" s="24"/>
      <c r="RCH70" s="24"/>
      <c r="RCI70" s="24"/>
      <c r="RCJ70" s="24"/>
      <c r="RCK70" s="24"/>
      <c r="RCL70" s="24"/>
      <c r="RCM70" s="24"/>
      <c r="RCN70" s="24"/>
      <c r="RCO70" s="24"/>
      <c r="RCP70" s="24"/>
      <c r="RCQ70" s="24"/>
      <c r="RCR70" s="24"/>
      <c r="RCS70" s="24"/>
      <c r="RCT70" s="24"/>
      <c r="RCU70" s="24"/>
      <c r="RCV70" s="24"/>
      <c r="RCW70" s="24"/>
      <c r="RCX70" s="24"/>
      <c r="RCY70" s="24"/>
      <c r="RCZ70" s="24"/>
      <c r="RDA70" s="24"/>
      <c r="RDB70" s="24"/>
      <c r="RDC70" s="24"/>
      <c r="RDD70" s="24"/>
      <c r="RDE70" s="24"/>
      <c r="RDF70" s="24"/>
      <c r="RDG70" s="24"/>
      <c r="RDH70" s="24"/>
      <c r="RDI70" s="24"/>
      <c r="RDJ70" s="24"/>
      <c r="RDK70" s="24"/>
      <c r="RDL70" s="24"/>
      <c r="RDM70" s="24"/>
      <c r="RDN70" s="24"/>
      <c r="RDO70" s="24"/>
      <c r="RDP70" s="24"/>
      <c r="RDQ70" s="24"/>
      <c r="RDR70" s="24"/>
      <c r="RDS70" s="24"/>
      <c r="RDT70" s="24"/>
      <c r="RDU70" s="24"/>
      <c r="RDV70" s="24"/>
      <c r="RDW70" s="24"/>
      <c r="RDX70" s="24"/>
      <c r="RDY70" s="24"/>
      <c r="RDZ70" s="24"/>
      <c r="REA70" s="24"/>
      <c r="REB70" s="24"/>
      <c r="REC70" s="24"/>
      <c r="RED70" s="24"/>
      <c r="REE70" s="24"/>
      <c r="REF70" s="24"/>
      <c r="REG70" s="24"/>
      <c r="REH70" s="24"/>
      <c r="REI70" s="24"/>
      <c r="REJ70" s="24"/>
      <c r="REK70" s="24"/>
      <c r="REL70" s="24"/>
      <c r="REM70" s="24"/>
      <c r="REN70" s="24"/>
      <c r="REO70" s="24"/>
      <c r="REP70" s="24"/>
      <c r="REQ70" s="24"/>
      <c r="RER70" s="24"/>
      <c r="RES70" s="24"/>
      <c r="RET70" s="24"/>
      <c r="REU70" s="24"/>
      <c r="REV70" s="24"/>
      <c r="REW70" s="24"/>
      <c r="REX70" s="24"/>
      <c r="REY70" s="24"/>
      <c r="REZ70" s="24"/>
      <c r="RFA70" s="24"/>
      <c r="RFB70" s="24"/>
      <c r="RFC70" s="24"/>
      <c r="RFD70" s="24"/>
      <c r="RFE70" s="24"/>
      <c r="RFF70" s="24"/>
      <c r="RFG70" s="24"/>
      <c r="RFH70" s="24"/>
      <c r="RFI70" s="24"/>
      <c r="RFJ70" s="24"/>
      <c r="RFK70" s="24"/>
      <c r="RFL70" s="24"/>
      <c r="RFM70" s="24"/>
      <c r="RFN70" s="24"/>
      <c r="RFO70" s="24"/>
      <c r="RFP70" s="24"/>
      <c r="RFQ70" s="24"/>
      <c r="RFR70" s="24"/>
      <c r="RFS70" s="24"/>
      <c r="RFT70" s="24"/>
      <c r="RFU70" s="24"/>
      <c r="RFV70" s="24"/>
      <c r="RFW70" s="24"/>
      <c r="RFX70" s="24"/>
      <c r="RFY70" s="24"/>
      <c r="RFZ70" s="24"/>
      <c r="RGA70" s="24"/>
      <c r="RGB70" s="24"/>
      <c r="RGC70" s="24"/>
      <c r="RGD70" s="24"/>
      <c r="RGE70" s="24"/>
      <c r="RGF70" s="24"/>
      <c r="RGG70" s="24"/>
      <c r="RGH70" s="24"/>
      <c r="RGI70" s="24"/>
      <c r="RGJ70" s="24"/>
      <c r="RGK70" s="24"/>
      <c r="RGL70" s="24"/>
      <c r="RGM70" s="24"/>
      <c r="RGN70" s="24"/>
      <c r="RGO70" s="24"/>
      <c r="RGP70" s="24"/>
      <c r="RGQ70" s="24"/>
      <c r="RGR70" s="24"/>
      <c r="RGS70" s="24"/>
      <c r="RGT70" s="24"/>
      <c r="RGU70" s="24"/>
      <c r="RGV70" s="24"/>
      <c r="RGW70" s="24"/>
      <c r="RGX70" s="24"/>
      <c r="RGY70" s="24"/>
      <c r="RGZ70" s="24"/>
      <c r="RHA70" s="24"/>
      <c r="RHB70" s="24"/>
      <c r="RHC70" s="24"/>
      <c r="RHD70" s="24"/>
      <c r="RHE70" s="24"/>
      <c r="RHF70" s="24"/>
      <c r="RHG70" s="24"/>
      <c r="RHH70" s="24"/>
      <c r="RHI70" s="24"/>
      <c r="RHJ70" s="24"/>
      <c r="RHK70" s="24"/>
      <c r="RHL70" s="24"/>
      <c r="RHM70" s="24"/>
      <c r="RHN70" s="24"/>
      <c r="RHO70" s="24"/>
      <c r="RHP70" s="24"/>
      <c r="RHQ70" s="24"/>
      <c r="RHR70" s="24"/>
      <c r="RHS70" s="24"/>
      <c r="RHT70" s="24"/>
      <c r="RHU70" s="24"/>
      <c r="RHV70" s="24"/>
      <c r="RHW70" s="24"/>
      <c r="RHX70" s="24"/>
      <c r="RHY70" s="24"/>
      <c r="RHZ70" s="24"/>
      <c r="RIA70" s="24"/>
      <c r="RIB70" s="24"/>
      <c r="RIC70" s="24"/>
      <c r="RID70" s="24"/>
      <c r="RIE70" s="24"/>
      <c r="RIF70" s="24"/>
      <c r="RIG70" s="24"/>
      <c r="RIH70" s="24"/>
      <c r="RII70" s="24"/>
      <c r="RIJ70" s="24"/>
      <c r="RIK70" s="24"/>
      <c r="RIL70" s="24"/>
      <c r="RIM70" s="24"/>
      <c r="RIN70" s="24"/>
      <c r="RIO70" s="24"/>
      <c r="RIP70" s="24"/>
      <c r="RIQ70" s="24"/>
      <c r="RIR70" s="24"/>
      <c r="RIS70" s="24"/>
      <c r="RIT70" s="24"/>
      <c r="RIU70" s="24"/>
      <c r="RIV70" s="24"/>
      <c r="RIW70" s="24"/>
      <c r="RIX70" s="24"/>
      <c r="RIY70" s="24"/>
      <c r="RIZ70" s="24"/>
      <c r="RJA70" s="24"/>
      <c r="RJB70" s="24"/>
      <c r="RJC70" s="24"/>
      <c r="RJD70" s="24"/>
      <c r="RJE70" s="24"/>
      <c r="RJF70" s="24"/>
      <c r="RJG70" s="24"/>
      <c r="RJH70" s="24"/>
      <c r="RJI70" s="24"/>
      <c r="RJJ70" s="24"/>
      <c r="RJK70" s="24"/>
      <c r="RJL70" s="24"/>
      <c r="RJM70" s="24"/>
      <c r="RJN70" s="24"/>
      <c r="RJO70" s="24"/>
      <c r="RJP70" s="24"/>
      <c r="RJQ70" s="24"/>
      <c r="RJR70" s="24"/>
      <c r="RJS70" s="24"/>
      <c r="RJT70" s="24"/>
      <c r="RJU70" s="24"/>
      <c r="RJV70" s="24"/>
      <c r="RJW70" s="24"/>
      <c r="RJX70" s="24"/>
      <c r="RJY70" s="24"/>
      <c r="RJZ70" s="24"/>
      <c r="RKA70" s="24"/>
      <c r="RKB70" s="24"/>
      <c r="RKC70" s="24"/>
      <c r="RKD70" s="24"/>
      <c r="RKE70" s="24"/>
      <c r="RKF70" s="24"/>
      <c r="RKG70" s="24"/>
      <c r="RKH70" s="24"/>
      <c r="RKI70" s="24"/>
      <c r="RKJ70" s="24"/>
      <c r="RKK70" s="24"/>
      <c r="RKL70" s="24"/>
      <c r="RKM70" s="24"/>
      <c r="RKN70" s="24"/>
      <c r="RKO70" s="24"/>
      <c r="RKP70" s="24"/>
      <c r="RKQ70" s="24"/>
      <c r="RKR70" s="24"/>
      <c r="RKS70" s="24"/>
      <c r="RKT70" s="24"/>
      <c r="RKU70" s="24"/>
      <c r="RKV70" s="24"/>
      <c r="RKW70" s="24"/>
      <c r="RKX70" s="24"/>
      <c r="RKY70" s="24"/>
      <c r="RKZ70" s="24"/>
      <c r="RLA70" s="24"/>
      <c r="RLB70" s="24"/>
      <c r="RLC70" s="24"/>
      <c r="RLD70" s="24"/>
      <c r="RLE70" s="24"/>
      <c r="RLF70" s="24"/>
      <c r="RLG70" s="24"/>
      <c r="RLH70" s="24"/>
      <c r="RLI70" s="24"/>
      <c r="RLJ70" s="24"/>
      <c r="RLK70" s="24"/>
      <c r="RLL70" s="24"/>
      <c r="RLM70" s="24"/>
      <c r="RLN70" s="24"/>
      <c r="RLO70" s="24"/>
      <c r="RLP70" s="24"/>
      <c r="RLQ70" s="24"/>
      <c r="RLR70" s="24"/>
      <c r="RLS70" s="24"/>
      <c r="RLT70" s="24"/>
      <c r="RLU70" s="24"/>
      <c r="RLV70" s="24"/>
      <c r="RLW70" s="24"/>
      <c r="RLX70" s="24"/>
      <c r="RLY70" s="24"/>
      <c r="RLZ70" s="24"/>
      <c r="RMA70" s="24"/>
      <c r="RMB70" s="24"/>
      <c r="RMC70" s="24"/>
      <c r="RMD70" s="24"/>
      <c r="RME70" s="24"/>
      <c r="RMF70" s="24"/>
      <c r="RMG70" s="24"/>
      <c r="RMH70" s="24"/>
      <c r="RMI70" s="24"/>
      <c r="RMJ70" s="24"/>
      <c r="RMK70" s="24"/>
      <c r="RML70" s="24"/>
      <c r="RMM70" s="24"/>
      <c r="RMN70" s="24"/>
      <c r="RMO70" s="24"/>
      <c r="RMP70" s="24"/>
      <c r="RMQ70" s="24"/>
      <c r="RMR70" s="24"/>
      <c r="RMS70" s="24"/>
      <c r="RMT70" s="24"/>
      <c r="RMU70" s="24"/>
      <c r="RMV70" s="24"/>
      <c r="RMW70" s="24"/>
      <c r="RMX70" s="24"/>
      <c r="RMY70" s="24"/>
      <c r="RMZ70" s="24"/>
      <c r="RNA70" s="24"/>
      <c r="RNB70" s="24"/>
      <c r="RNC70" s="24"/>
      <c r="RND70" s="24"/>
      <c r="RNE70" s="24"/>
      <c r="RNF70" s="24"/>
      <c r="RNG70" s="24"/>
      <c r="RNH70" s="24"/>
      <c r="RNI70" s="24"/>
      <c r="RNJ70" s="24"/>
      <c r="RNK70" s="24"/>
      <c r="RNL70" s="24"/>
      <c r="RNM70" s="24"/>
      <c r="RNN70" s="24"/>
      <c r="RNO70" s="24"/>
      <c r="RNP70" s="24"/>
      <c r="RNQ70" s="24"/>
      <c r="RNR70" s="24"/>
      <c r="RNS70" s="24"/>
      <c r="RNT70" s="24"/>
      <c r="RNU70" s="24"/>
      <c r="RNV70" s="24"/>
      <c r="RNW70" s="24"/>
      <c r="RNX70" s="24"/>
      <c r="RNY70" s="24"/>
      <c r="RNZ70" s="24"/>
      <c r="ROA70" s="24"/>
      <c r="ROB70" s="24"/>
      <c r="ROC70" s="24"/>
      <c r="ROD70" s="24"/>
      <c r="ROE70" s="24"/>
      <c r="ROF70" s="24"/>
      <c r="ROG70" s="24"/>
      <c r="ROH70" s="24"/>
      <c r="ROI70" s="24"/>
      <c r="ROJ70" s="24"/>
      <c r="ROK70" s="24"/>
      <c r="ROL70" s="24"/>
      <c r="ROM70" s="24"/>
      <c r="RON70" s="24"/>
      <c r="ROO70" s="24"/>
      <c r="ROP70" s="24"/>
      <c r="ROQ70" s="24"/>
      <c r="ROR70" s="24"/>
      <c r="ROS70" s="24"/>
      <c r="ROT70" s="24"/>
      <c r="ROU70" s="24"/>
      <c r="ROV70" s="24"/>
      <c r="ROW70" s="24"/>
      <c r="ROX70" s="24"/>
      <c r="ROY70" s="24"/>
      <c r="ROZ70" s="24"/>
      <c r="RPA70" s="24"/>
      <c r="RPB70" s="24"/>
      <c r="RPC70" s="24"/>
      <c r="RPD70" s="24"/>
      <c r="RPE70" s="24"/>
      <c r="RPF70" s="24"/>
      <c r="RPG70" s="24"/>
      <c r="RPH70" s="24"/>
      <c r="RPI70" s="24"/>
      <c r="RPJ70" s="24"/>
      <c r="RPK70" s="24"/>
      <c r="RPL70" s="24"/>
      <c r="RPM70" s="24"/>
      <c r="RPN70" s="24"/>
      <c r="RPO70" s="24"/>
      <c r="RPP70" s="24"/>
      <c r="RPQ70" s="24"/>
      <c r="RPR70" s="24"/>
      <c r="RPS70" s="24"/>
      <c r="RPT70" s="24"/>
      <c r="RPU70" s="24"/>
      <c r="RPV70" s="24"/>
      <c r="RPW70" s="24"/>
      <c r="RPX70" s="24"/>
      <c r="RPY70" s="24"/>
      <c r="RPZ70" s="24"/>
      <c r="RQA70" s="24"/>
      <c r="RQB70" s="24"/>
      <c r="RQC70" s="24"/>
      <c r="RQD70" s="24"/>
      <c r="RQE70" s="24"/>
      <c r="RQF70" s="24"/>
      <c r="RQG70" s="24"/>
      <c r="RQH70" s="24"/>
      <c r="RQI70" s="24"/>
      <c r="RQJ70" s="24"/>
      <c r="RQK70" s="24"/>
      <c r="RQL70" s="24"/>
      <c r="RQM70" s="24"/>
      <c r="RQN70" s="24"/>
      <c r="RQO70" s="24"/>
      <c r="RQP70" s="24"/>
      <c r="RQQ70" s="24"/>
      <c r="RQR70" s="24"/>
      <c r="RQS70" s="24"/>
      <c r="RQT70" s="24"/>
      <c r="RQU70" s="24"/>
      <c r="RQV70" s="24"/>
      <c r="RQW70" s="24"/>
      <c r="RQX70" s="24"/>
      <c r="RQY70" s="24"/>
      <c r="RQZ70" s="24"/>
      <c r="RRA70" s="24"/>
      <c r="RRB70" s="24"/>
      <c r="RRC70" s="24"/>
      <c r="RRD70" s="24"/>
      <c r="RRE70" s="24"/>
      <c r="RRF70" s="24"/>
      <c r="RRG70" s="24"/>
      <c r="RRH70" s="24"/>
      <c r="RRI70" s="24"/>
      <c r="RRJ70" s="24"/>
      <c r="RRK70" s="24"/>
      <c r="RRL70" s="24"/>
      <c r="RRM70" s="24"/>
      <c r="RRN70" s="24"/>
      <c r="RRO70" s="24"/>
      <c r="RRP70" s="24"/>
      <c r="RRQ70" s="24"/>
      <c r="RRR70" s="24"/>
      <c r="RRS70" s="24"/>
      <c r="RRT70" s="24"/>
      <c r="RRU70" s="24"/>
      <c r="RRV70" s="24"/>
      <c r="RRW70" s="24"/>
      <c r="RRX70" s="24"/>
      <c r="RRY70" s="24"/>
      <c r="RRZ70" s="24"/>
      <c r="RSA70" s="24"/>
      <c r="RSB70" s="24"/>
      <c r="RSC70" s="24"/>
      <c r="RSD70" s="24"/>
      <c r="RSE70" s="24"/>
      <c r="RSF70" s="24"/>
      <c r="RSG70" s="24"/>
      <c r="RSH70" s="24"/>
      <c r="RSI70" s="24"/>
      <c r="RSJ70" s="24"/>
      <c r="RSK70" s="24"/>
      <c r="RSL70" s="24"/>
      <c r="RSM70" s="24"/>
      <c r="RSN70" s="24"/>
      <c r="RSO70" s="24"/>
      <c r="RSP70" s="24"/>
      <c r="RSQ70" s="24"/>
      <c r="RSR70" s="24"/>
      <c r="RSS70" s="24"/>
      <c r="RST70" s="24"/>
      <c r="RSU70" s="24"/>
      <c r="RSV70" s="24"/>
      <c r="RSW70" s="24"/>
      <c r="RSX70" s="24"/>
      <c r="RSY70" s="24"/>
      <c r="RSZ70" s="24"/>
      <c r="RTA70" s="24"/>
      <c r="RTB70" s="24"/>
      <c r="RTC70" s="24"/>
      <c r="RTD70" s="24"/>
      <c r="RTE70" s="24"/>
      <c r="RTF70" s="24"/>
      <c r="RTG70" s="24"/>
      <c r="RTH70" s="24"/>
      <c r="RTI70" s="24"/>
      <c r="RTJ70" s="24"/>
      <c r="RTK70" s="24"/>
      <c r="RTL70" s="24"/>
      <c r="RTM70" s="24"/>
      <c r="RTN70" s="24"/>
      <c r="RTO70" s="24"/>
      <c r="RTP70" s="24"/>
      <c r="RTQ70" s="24"/>
      <c r="RTR70" s="24"/>
      <c r="RTS70" s="24"/>
      <c r="RTT70" s="24"/>
      <c r="RTU70" s="24"/>
      <c r="RTV70" s="24"/>
      <c r="RTW70" s="24"/>
      <c r="RTX70" s="24"/>
      <c r="RTY70" s="24"/>
      <c r="RTZ70" s="24"/>
      <c r="RUA70" s="24"/>
      <c r="RUB70" s="24"/>
      <c r="RUC70" s="24"/>
      <c r="RUD70" s="24"/>
      <c r="RUE70" s="24"/>
      <c r="RUF70" s="24"/>
      <c r="RUG70" s="24"/>
      <c r="RUH70" s="24"/>
      <c r="RUI70" s="24"/>
      <c r="RUJ70" s="24"/>
      <c r="RUK70" s="24"/>
      <c r="RUL70" s="24"/>
      <c r="RUM70" s="24"/>
      <c r="RUN70" s="24"/>
      <c r="RUO70" s="24"/>
      <c r="RUP70" s="24"/>
      <c r="RUQ70" s="24"/>
      <c r="RUR70" s="24"/>
      <c r="RUS70" s="24"/>
      <c r="RUT70" s="24"/>
      <c r="RUU70" s="24"/>
      <c r="RUV70" s="24"/>
      <c r="RUW70" s="24"/>
      <c r="RUX70" s="24"/>
      <c r="RUY70" s="24"/>
      <c r="RUZ70" s="24"/>
      <c r="RVA70" s="24"/>
      <c r="RVB70" s="24"/>
      <c r="RVC70" s="24"/>
      <c r="RVD70" s="24"/>
      <c r="RVE70" s="24"/>
      <c r="RVF70" s="24"/>
      <c r="RVG70" s="24"/>
      <c r="RVH70" s="24"/>
      <c r="RVI70" s="24"/>
      <c r="RVJ70" s="24"/>
      <c r="RVK70" s="24"/>
      <c r="RVL70" s="24"/>
      <c r="RVM70" s="24"/>
      <c r="RVN70" s="24"/>
      <c r="RVO70" s="24"/>
      <c r="RVP70" s="24"/>
      <c r="RVQ70" s="24"/>
      <c r="RVR70" s="24"/>
      <c r="RVS70" s="24"/>
      <c r="RVT70" s="24"/>
      <c r="RVU70" s="24"/>
      <c r="RVV70" s="24"/>
      <c r="RVW70" s="24"/>
      <c r="RVX70" s="24"/>
      <c r="RVY70" s="24"/>
      <c r="RVZ70" s="24"/>
      <c r="RWA70" s="24"/>
      <c r="RWB70" s="24"/>
      <c r="RWC70" s="24"/>
      <c r="RWD70" s="24"/>
      <c r="RWE70" s="24"/>
      <c r="RWF70" s="24"/>
      <c r="RWG70" s="24"/>
      <c r="RWH70" s="24"/>
      <c r="RWI70" s="24"/>
      <c r="RWJ70" s="24"/>
      <c r="RWK70" s="24"/>
      <c r="RWL70" s="24"/>
      <c r="RWM70" s="24"/>
      <c r="RWN70" s="24"/>
      <c r="RWO70" s="24"/>
      <c r="RWP70" s="24"/>
      <c r="RWQ70" s="24"/>
      <c r="RWR70" s="24"/>
      <c r="RWS70" s="24"/>
      <c r="RWT70" s="24"/>
      <c r="RWU70" s="24"/>
      <c r="RWV70" s="24"/>
      <c r="RWW70" s="24"/>
      <c r="RWX70" s="24"/>
      <c r="RWY70" s="24"/>
      <c r="RWZ70" s="24"/>
      <c r="RXA70" s="24"/>
      <c r="RXB70" s="24"/>
      <c r="RXC70" s="24"/>
      <c r="RXD70" s="24"/>
      <c r="RXE70" s="24"/>
      <c r="RXF70" s="24"/>
      <c r="RXG70" s="24"/>
      <c r="RXH70" s="24"/>
      <c r="RXI70" s="24"/>
      <c r="RXJ70" s="24"/>
      <c r="RXK70" s="24"/>
      <c r="RXL70" s="24"/>
      <c r="RXM70" s="24"/>
      <c r="RXN70" s="24"/>
      <c r="RXO70" s="24"/>
      <c r="RXP70" s="24"/>
      <c r="RXQ70" s="24"/>
      <c r="RXR70" s="24"/>
      <c r="RXS70" s="24"/>
      <c r="RXT70" s="24"/>
      <c r="RXU70" s="24"/>
      <c r="RXV70" s="24"/>
      <c r="RXW70" s="24"/>
      <c r="RXX70" s="24"/>
      <c r="RXY70" s="24"/>
      <c r="RXZ70" s="24"/>
      <c r="RYA70" s="24"/>
      <c r="RYB70" s="24"/>
      <c r="RYC70" s="24"/>
      <c r="RYD70" s="24"/>
      <c r="RYE70" s="24"/>
      <c r="RYF70" s="24"/>
      <c r="RYG70" s="24"/>
      <c r="RYH70" s="24"/>
      <c r="RYI70" s="24"/>
      <c r="RYJ70" s="24"/>
      <c r="RYK70" s="24"/>
      <c r="RYL70" s="24"/>
      <c r="RYM70" s="24"/>
      <c r="RYN70" s="24"/>
      <c r="RYO70" s="24"/>
      <c r="RYP70" s="24"/>
      <c r="RYQ70" s="24"/>
      <c r="RYR70" s="24"/>
      <c r="RYS70" s="24"/>
      <c r="RYT70" s="24"/>
      <c r="RYU70" s="24"/>
      <c r="RYV70" s="24"/>
      <c r="RYW70" s="24"/>
      <c r="RYX70" s="24"/>
      <c r="RYY70" s="24"/>
      <c r="RYZ70" s="24"/>
      <c r="RZA70" s="24"/>
      <c r="RZB70" s="24"/>
      <c r="RZC70" s="24"/>
      <c r="RZD70" s="24"/>
      <c r="RZE70" s="24"/>
      <c r="RZF70" s="24"/>
      <c r="RZG70" s="24"/>
      <c r="RZH70" s="24"/>
      <c r="RZI70" s="24"/>
      <c r="RZJ70" s="24"/>
      <c r="RZK70" s="24"/>
      <c r="RZL70" s="24"/>
      <c r="RZM70" s="24"/>
      <c r="RZN70" s="24"/>
      <c r="RZO70" s="24"/>
      <c r="RZP70" s="24"/>
      <c r="RZQ70" s="24"/>
      <c r="RZR70" s="24"/>
      <c r="RZS70" s="24"/>
      <c r="RZT70" s="24"/>
      <c r="RZU70" s="24"/>
      <c r="RZV70" s="24"/>
      <c r="RZW70" s="24"/>
      <c r="RZX70" s="24"/>
      <c r="RZY70" s="24"/>
      <c r="RZZ70" s="24"/>
      <c r="SAA70" s="24"/>
      <c r="SAB70" s="24"/>
      <c r="SAC70" s="24"/>
      <c r="SAD70" s="24"/>
      <c r="SAE70" s="24"/>
      <c r="SAF70" s="24"/>
      <c r="SAG70" s="24"/>
      <c r="SAH70" s="24"/>
      <c r="SAI70" s="24"/>
      <c r="SAJ70" s="24"/>
      <c r="SAK70" s="24"/>
      <c r="SAL70" s="24"/>
      <c r="SAM70" s="24"/>
      <c r="SAN70" s="24"/>
      <c r="SAO70" s="24"/>
      <c r="SAP70" s="24"/>
      <c r="SAQ70" s="24"/>
      <c r="SAR70" s="24"/>
      <c r="SAS70" s="24"/>
      <c r="SAT70" s="24"/>
      <c r="SAU70" s="24"/>
      <c r="SAV70" s="24"/>
      <c r="SAW70" s="24"/>
      <c r="SAX70" s="24"/>
      <c r="SAY70" s="24"/>
      <c r="SAZ70" s="24"/>
      <c r="SBA70" s="24"/>
      <c r="SBB70" s="24"/>
      <c r="SBC70" s="24"/>
      <c r="SBD70" s="24"/>
      <c r="SBE70" s="24"/>
      <c r="SBF70" s="24"/>
      <c r="SBG70" s="24"/>
      <c r="SBH70" s="24"/>
      <c r="SBI70" s="24"/>
      <c r="SBJ70" s="24"/>
      <c r="SBK70" s="24"/>
      <c r="SBL70" s="24"/>
      <c r="SBM70" s="24"/>
      <c r="SBN70" s="24"/>
      <c r="SBO70" s="24"/>
      <c r="SBP70" s="24"/>
      <c r="SBQ70" s="24"/>
      <c r="SBR70" s="24"/>
      <c r="SBS70" s="24"/>
      <c r="SBT70" s="24"/>
      <c r="SBU70" s="24"/>
      <c r="SBV70" s="24"/>
      <c r="SBW70" s="24"/>
      <c r="SBX70" s="24"/>
      <c r="SBY70" s="24"/>
      <c r="SBZ70" s="24"/>
      <c r="SCA70" s="24"/>
      <c r="SCB70" s="24"/>
      <c r="SCC70" s="24"/>
      <c r="SCD70" s="24"/>
      <c r="SCE70" s="24"/>
      <c r="SCF70" s="24"/>
      <c r="SCG70" s="24"/>
      <c r="SCH70" s="24"/>
      <c r="SCI70" s="24"/>
      <c r="SCJ70" s="24"/>
      <c r="SCK70" s="24"/>
      <c r="SCL70" s="24"/>
      <c r="SCM70" s="24"/>
      <c r="SCN70" s="24"/>
      <c r="SCO70" s="24"/>
      <c r="SCP70" s="24"/>
      <c r="SCQ70" s="24"/>
      <c r="SCR70" s="24"/>
      <c r="SCS70" s="24"/>
      <c r="SCT70" s="24"/>
      <c r="SCU70" s="24"/>
      <c r="SCV70" s="24"/>
      <c r="SCW70" s="24"/>
      <c r="SCX70" s="24"/>
      <c r="SCY70" s="24"/>
      <c r="SCZ70" s="24"/>
      <c r="SDA70" s="24"/>
      <c r="SDB70" s="24"/>
      <c r="SDC70" s="24"/>
      <c r="SDD70" s="24"/>
      <c r="SDE70" s="24"/>
      <c r="SDF70" s="24"/>
      <c r="SDG70" s="24"/>
      <c r="SDH70" s="24"/>
      <c r="SDI70" s="24"/>
      <c r="SDJ70" s="24"/>
      <c r="SDK70" s="24"/>
      <c r="SDL70" s="24"/>
      <c r="SDM70" s="24"/>
      <c r="SDN70" s="24"/>
      <c r="SDO70" s="24"/>
      <c r="SDP70" s="24"/>
      <c r="SDQ70" s="24"/>
      <c r="SDR70" s="24"/>
      <c r="SDS70" s="24"/>
      <c r="SDT70" s="24"/>
      <c r="SDU70" s="24"/>
      <c r="SDV70" s="24"/>
      <c r="SDW70" s="24"/>
      <c r="SDX70" s="24"/>
      <c r="SDY70" s="24"/>
      <c r="SDZ70" s="24"/>
      <c r="SEA70" s="24"/>
      <c r="SEB70" s="24"/>
      <c r="SEC70" s="24"/>
      <c r="SED70" s="24"/>
      <c r="SEE70" s="24"/>
      <c r="SEF70" s="24"/>
      <c r="SEG70" s="24"/>
      <c r="SEH70" s="24"/>
      <c r="SEI70" s="24"/>
      <c r="SEJ70" s="24"/>
      <c r="SEK70" s="24"/>
      <c r="SEL70" s="24"/>
      <c r="SEM70" s="24"/>
      <c r="SEN70" s="24"/>
      <c r="SEO70" s="24"/>
      <c r="SEP70" s="24"/>
      <c r="SEQ70" s="24"/>
      <c r="SER70" s="24"/>
      <c r="SES70" s="24"/>
      <c r="SET70" s="24"/>
      <c r="SEU70" s="24"/>
      <c r="SEV70" s="24"/>
      <c r="SEW70" s="24"/>
      <c r="SEX70" s="24"/>
      <c r="SEY70" s="24"/>
      <c r="SEZ70" s="24"/>
      <c r="SFA70" s="24"/>
      <c r="SFB70" s="24"/>
      <c r="SFC70" s="24"/>
      <c r="SFD70" s="24"/>
      <c r="SFE70" s="24"/>
      <c r="SFF70" s="24"/>
      <c r="SFG70" s="24"/>
      <c r="SFH70" s="24"/>
      <c r="SFI70" s="24"/>
      <c r="SFJ70" s="24"/>
      <c r="SFK70" s="24"/>
      <c r="SFL70" s="24"/>
      <c r="SFM70" s="24"/>
      <c r="SFN70" s="24"/>
      <c r="SFO70" s="24"/>
      <c r="SFP70" s="24"/>
      <c r="SFQ70" s="24"/>
      <c r="SFR70" s="24"/>
      <c r="SFS70" s="24"/>
      <c r="SFT70" s="24"/>
      <c r="SFU70" s="24"/>
      <c r="SFV70" s="24"/>
      <c r="SFW70" s="24"/>
      <c r="SFX70" s="24"/>
      <c r="SFY70" s="24"/>
      <c r="SFZ70" s="24"/>
      <c r="SGA70" s="24"/>
      <c r="SGB70" s="24"/>
      <c r="SGC70" s="24"/>
      <c r="SGD70" s="24"/>
      <c r="SGE70" s="24"/>
      <c r="SGF70" s="24"/>
      <c r="SGG70" s="24"/>
      <c r="SGH70" s="24"/>
      <c r="SGI70" s="24"/>
      <c r="SGJ70" s="24"/>
      <c r="SGK70" s="24"/>
      <c r="SGL70" s="24"/>
      <c r="SGM70" s="24"/>
      <c r="SGN70" s="24"/>
      <c r="SGO70" s="24"/>
      <c r="SGP70" s="24"/>
      <c r="SGQ70" s="24"/>
      <c r="SGR70" s="24"/>
      <c r="SGS70" s="24"/>
      <c r="SGT70" s="24"/>
      <c r="SGU70" s="24"/>
      <c r="SGV70" s="24"/>
      <c r="SGW70" s="24"/>
      <c r="SGX70" s="24"/>
      <c r="SGY70" s="24"/>
      <c r="SGZ70" s="24"/>
      <c r="SHA70" s="24"/>
      <c r="SHB70" s="24"/>
      <c r="SHC70" s="24"/>
      <c r="SHD70" s="24"/>
      <c r="SHE70" s="24"/>
      <c r="SHF70" s="24"/>
      <c r="SHG70" s="24"/>
      <c r="SHH70" s="24"/>
      <c r="SHI70" s="24"/>
      <c r="SHJ70" s="24"/>
      <c r="SHK70" s="24"/>
      <c r="SHL70" s="24"/>
      <c r="SHM70" s="24"/>
      <c r="SHN70" s="24"/>
      <c r="SHO70" s="24"/>
      <c r="SHP70" s="24"/>
      <c r="SHQ70" s="24"/>
      <c r="SHR70" s="24"/>
      <c r="SHS70" s="24"/>
      <c r="SHT70" s="24"/>
      <c r="SHU70" s="24"/>
      <c r="SHV70" s="24"/>
      <c r="SHW70" s="24"/>
      <c r="SHX70" s="24"/>
      <c r="SHY70" s="24"/>
      <c r="SHZ70" s="24"/>
      <c r="SIA70" s="24"/>
      <c r="SIB70" s="24"/>
      <c r="SIC70" s="24"/>
      <c r="SID70" s="24"/>
      <c r="SIE70" s="24"/>
      <c r="SIF70" s="24"/>
      <c r="SIG70" s="24"/>
      <c r="SIH70" s="24"/>
      <c r="SII70" s="24"/>
      <c r="SIJ70" s="24"/>
      <c r="SIK70" s="24"/>
      <c r="SIL70" s="24"/>
      <c r="SIM70" s="24"/>
      <c r="SIN70" s="24"/>
      <c r="SIO70" s="24"/>
      <c r="SIP70" s="24"/>
      <c r="SIQ70" s="24"/>
      <c r="SIR70" s="24"/>
      <c r="SIS70" s="24"/>
      <c r="SIT70" s="24"/>
      <c r="SIU70" s="24"/>
      <c r="SIV70" s="24"/>
      <c r="SIW70" s="24"/>
      <c r="SIX70" s="24"/>
      <c r="SIY70" s="24"/>
      <c r="SIZ70" s="24"/>
      <c r="SJA70" s="24"/>
      <c r="SJB70" s="24"/>
      <c r="SJC70" s="24"/>
      <c r="SJD70" s="24"/>
      <c r="SJE70" s="24"/>
      <c r="SJF70" s="24"/>
      <c r="SJG70" s="24"/>
      <c r="SJH70" s="24"/>
      <c r="SJI70" s="24"/>
      <c r="SJJ70" s="24"/>
      <c r="SJK70" s="24"/>
      <c r="SJL70" s="24"/>
      <c r="SJM70" s="24"/>
      <c r="SJN70" s="24"/>
      <c r="SJO70" s="24"/>
      <c r="SJP70" s="24"/>
      <c r="SJQ70" s="24"/>
      <c r="SJR70" s="24"/>
      <c r="SJS70" s="24"/>
      <c r="SJT70" s="24"/>
      <c r="SJU70" s="24"/>
      <c r="SJV70" s="24"/>
      <c r="SJW70" s="24"/>
      <c r="SJX70" s="24"/>
      <c r="SJY70" s="24"/>
      <c r="SJZ70" s="24"/>
      <c r="SKA70" s="24"/>
      <c r="SKB70" s="24"/>
      <c r="SKC70" s="24"/>
      <c r="SKD70" s="24"/>
      <c r="SKE70" s="24"/>
      <c r="SKF70" s="24"/>
      <c r="SKG70" s="24"/>
      <c r="SKH70" s="24"/>
      <c r="SKI70" s="24"/>
      <c r="SKJ70" s="24"/>
      <c r="SKK70" s="24"/>
      <c r="SKL70" s="24"/>
      <c r="SKM70" s="24"/>
      <c r="SKN70" s="24"/>
      <c r="SKO70" s="24"/>
      <c r="SKP70" s="24"/>
      <c r="SKQ70" s="24"/>
      <c r="SKR70" s="24"/>
      <c r="SKS70" s="24"/>
      <c r="SKT70" s="24"/>
      <c r="SKU70" s="24"/>
      <c r="SKV70" s="24"/>
      <c r="SKW70" s="24"/>
      <c r="SKX70" s="24"/>
      <c r="SKY70" s="24"/>
      <c r="SKZ70" s="24"/>
      <c r="SLA70" s="24"/>
      <c r="SLB70" s="24"/>
      <c r="SLC70" s="24"/>
      <c r="SLD70" s="24"/>
      <c r="SLE70" s="24"/>
      <c r="SLF70" s="24"/>
      <c r="SLG70" s="24"/>
      <c r="SLH70" s="24"/>
      <c r="SLI70" s="24"/>
      <c r="SLJ70" s="24"/>
      <c r="SLK70" s="24"/>
      <c r="SLL70" s="24"/>
      <c r="SLM70" s="24"/>
      <c r="SLN70" s="24"/>
      <c r="SLO70" s="24"/>
      <c r="SLP70" s="24"/>
      <c r="SLQ70" s="24"/>
      <c r="SLR70" s="24"/>
      <c r="SLS70" s="24"/>
      <c r="SLT70" s="24"/>
      <c r="SLU70" s="24"/>
      <c r="SLV70" s="24"/>
      <c r="SLW70" s="24"/>
      <c r="SLX70" s="24"/>
      <c r="SLY70" s="24"/>
      <c r="SLZ70" s="24"/>
      <c r="SMA70" s="24"/>
      <c r="SMB70" s="24"/>
      <c r="SMC70" s="24"/>
      <c r="SMD70" s="24"/>
      <c r="SME70" s="24"/>
      <c r="SMF70" s="24"/>
      <c r="SMG70" s="24"/>
      <c r="SMH70" s="24"/>
      <c r="SMI70" s="24"/>
      <c r="SMJ70" s="24"/>
      <c r="SMK70" s="24"/>
      <c r="SML70" s="24"/>
      <c r="SMM70" s="24"/>
      <c r="SMN70" s="24"/>
      <c r="SMO70" s="24"/>
      <c r="SMP70" s="24"/>
      <c r="SMQ70" s="24"/>
      <c r="SMR70" s="24"/>
      <c r="SMS70" s="24"/>
      <c r="SMT70" s="24"/>
      <c r="SMU70" s="24"/>
      <c r="SMV70" s="24"/>
      <c r="SMW70" s="24"/>
      <c r="SMX70" s="24"/>
      <c r="SMY70" s="24"/>
      <c r="SMZ70" s="24"/>
      <c r="SNA70" s="24"/>
      <c r="SNB70" s="24"/>
      <c r="SNC70" s="24"/>
      <c r="SND70" s="24"/>
      <c r="SNE70" s="24"/>
      <c r="SNF70" s="24"/>
      <c r="SNG70" s="24"/>
      <c r="SNH70" s="24"/>
      <c r="SNI70" s="24"/>
      <c r="SNJ70" s="24"/>
      <c r="SNK70" s="24"/>
      <c r="SNL70" s="24"/>
      <c r="SNM70" s="24"/>
      <c r="SNN70" s="24"/>
      <c r="SNO70" s="24"/>
      <c r="SNP70" s="24"/>
      <c r="SNQ70" s="24"/>
      <c r="SNR70" s="24"/>
      <c r="SNS70" s="24"/>
      <c r="SNT70" s="24"/>
      <c r="SNU70" s="24"/>
      <c r="SNV70" s="24"/>
      <c r="SNW70" s="24"/>
      <c r="SNX70" s="24"/>
      <c r="SNY70" s="24"/>
      <c r="SNZ70" s="24"/>
      <c r="SOA70" s="24"/>
      <c r="SOB70" s="24"/>
      <c r="SOC70" s="24"/>
      <c r="SOD70" s="24"/>
      <c r="SOE70" s="24"/>
      <c r="SOF70" s="24"/>
      <c r="SOG70" s="24"/>
      <c r="SOH70" s="24"/>
      <c r="SOI70" s="24"/>
      <c r="SOJ70" s="24"/>
      <c r="SOK70" s="24"/>
      <c r="SOL70" s="24"/>
      <c r="SOM70" s="24"/>
      <c r="SON70" s="24"/>
      <c r="SOO70" s="24"/>
      <c r="SOP70" s="24"/>
      <c r="SOQ70" s="24"/>
      <c r="SOR70" s="24"/>
      <c r="SOS70" s="24"/>
      <c r="SOT70" s="24"/>
      <c r="SOU70" s="24"/>
      <c r="SOV70" s="24"/>
      <c r="SOW70" s="24"/>
      <c r="SOX70" s="24"/>
      <c r="SOY70" s="24"/>
      <c r="SOZ70" s="24"/>
      <c r="SPA70" s="24"/>
      <c r="SPB70" s="24"/>
      <c r="SPC70" s="24"/>
      <c r="SPD70" s="24"/>
      <c r="SPE70" s="24"/>
      <c r="SPF70" s="24"/>
      <c r="SPG70" s="24"/>
      <c r="SPH70" s="24"/>
      <c r="SPI70" s="24"/>
      <c r="SPJ70" s="24"/>
      <c r="SPK70" s="24"/>
      <c r="SPL70" s="24"/>
      <c r="SPM70" s="24"/>
      <c r="SPN70" s="24"/>
      <c r="SPO70" s="24"/>
      <c r="SPP70" s="24"/>
      <c r="SPQ70" s="24"/>
      <c r="SPR70" s="24"/>
      <c r="SPS70" s="24"/>
      <c r="SPT70" s="24"/>
      <c r="SPU70" s="24"/>
      <c r="SPV70" s="24"/>
      <c r="SPW70" s="24"/>
      <c r="SPX70" s="24"/>
      <c r="SPY70" s="24"/>
      <c r="SPZ70" s="24"/>
      <c r="SQA70" s="24"/>
      <c r="SQB70" s="24"/>
      <c r="SQC70" s="24"/>
      <c r="SQD70" s="24"/>
      <c r="SQE70" s="24"/>
      <c r="SQF70" s="24"/>
      <c r="SQG70" s="24"/>
      <c r="SQH70" s="24"/>
      <c r="SQI70" s="24"/>
      <c r="SQJ70" s="24"/>
      <c r="SQK70" s="24"/>
      <c r="SQL70" s="24"/>
      <c r="SQM70" s="24"/>
      <c r="SQN70" s="24"/>
      <c r="SQO70" s="24"/>
      <c r="SQP70" s="24"/>
      <c r="SQQ70" s="24"/>
      <c r="SQR70" s="24"/>
      <c r="SQS70" s="24"/>
      <c r="SQT70" s="24"/>
      <c r="SQU70" s="24"/>
      <c r="SQV70" s="24"/>
      <c r="SQW70" s="24"/>
      <c r="SQX70" s="24"/>
      <c r="SQY70" s="24"/>
      <c r="SQZ70" s="24"/>
      <c r="SRA70" s="24"/>
      <c r="SRB70" s="24"/>
      <c r="SRC70" s="24"/>
      <c r="SRD70" s="24"/>
      <c r="SRE70" s="24"/>
      <c r="SRF70" s="24"/>
      <c r="SRG70" s="24"/>
      <c r="SRH70" s="24"/>
      <c r="SRI70" s="24"/>
      <c r="SRJ70" s="24"/>
      <c r="SRK70" s="24"/>
      <c r="SRL70" s="24"/>
      <c r="SRM70" s="24"/>
      <c r="SRN70" s="24"/>
      <c r="SRO70" s="24"/>
      <c r="SRP70" s="24"/>
      <c r="SRQ70" s="24"/>
      <c r="SRR70" s="24"/>
      <c r="SRS70" s="24"/>
      <c r="SRT70" s="24"/>
      <c r="SRU70" s="24"/>
      <c r="SRV70" s="24"/>
      <c r="SRW70" s="24"/>
      <c r="SRX70" s="24"/>
      <c r="SRY70" s="24"/>
      <c r="SRZ70" s="24"/>
      <c r="SSA70" s="24"/>
      <c r="SSB70" s="24"/>
      <c r="SSC70" s="24"/>
      <c r="SSD70" s="24"/>
      <c r="SSE70" s="24"/>
      <c r="SSF70" s="24"/>
      <c r="SSG70" s="24"/>
      <c r="SSH70" s="24"/>
      <c r="SSI70" s="24"/>
      <c r="SSJ70" s="24"/>
      <c r="SSK70" s="24"/>
      <c r="SSL70" s="24"/>
      <c r="SSM70" s="24"/>
      <c r="SSN70" s="24"/>
      <c r="SSO70" s="24"/>
      <c r="SSP70" s="24"/>
      <c r="SSQ70" s="24"/>
      <c r="SSR70" s="24"/>
      <c r="SSS70" s="24"/>
      <c r="SST70" s="24"/>
      <c r="SSU70" s="24"/>
      <c r="SSV70" s="24"/>
      <c r="SSW70" s="24"/>
      <c r="SSX70" s="24"/>
      <c r="SSY70" s="24"/>
      <c r="SSZ70" s="24"/>
      <c r="STA70" s="24"/>
      <c r="STB70" s="24"/>
      <c r="STC70" s="24"/>
      <c r="STD70" s="24"/>
      <c r="STE70" s="24"/>
      <c r="STF70" s="24"/>
      <c r="STG70" s="24"/>
      <c r="STH70" s="24"/>
      <c r="STI70" s="24"/>
      <c r="STJ70" s="24"/>
      <c r="STK70" s="24"/>
      <c r="STL70" s="24"/>
      <c r="STM70" s="24"/>
      <c r="STN70" s="24"/>
      <c r="STO70" s="24"/>
      <c r="STP70" s="24"/>
      <c r="STQ70" s="24"/>
      <c r="STR70" s="24"/>
      <c r="STS70" s="24"/>
      <c r="STT70" s="24"/>
      <c r="STU70" s="24"/>
      <c r="STV70" s="24"/>
      <c r="STW70" s="24"/>
      <c r="STX70" s="24"/>
      <c r="STY70" s="24"/>
      <c r="STZ70" s="24"/>
      <c r="SUA70" s="24"/>
      <c r="SUB70" s="24"/>
      <c r="SUC70" s="24"/>
      <c r="SUD70" s="24"/>
      <c r="SUE70" s="24"/>
      <c r="SUF70" s="24"/>
      <c r="SUG70" s="24"/>
      <c r="SUH70" s="24"/>
      <c r="SUI70" s="24"/>
      <c r="SUJ70" s="24"/>
      <c r="SUK70" s="24"/>
      <c r="SUL70" s="24"/>
      <c r="SUM70" s="24"/>
      <c r="SUN70" s="24"/>
      <c r="SUO70" s="24"/>
      <c r="SUP70" s="24"/>
      <c r="SUQ70" s="24"/>
      <c r="SUR70" s="24"/>
      <c r="SUS70" s="24"/>
      <c r="SUT70" s="24"/>
      <c r="SUU70" s="24"/>
      <c r="SUV70" s="24"/>
      <c r="SUW70" s="24"/>
      <c r="SUX70" s="24"/>
      <c r="SUY70" s="24"/>
      <c r="SUZ70" s="24"/>
      <c r="SVA70" s="24"/>
      <c r="SVB70" s="24"/>
      <c r="SVC70" s="24"/>
      <c r="SVD70" s="24"/>
      <c r="SVE70" s="24"/>
      <c r="SVF70" s="24"/>
      <c r="SVG70" s="24"/>
      <c r="SVH70" s="24"/>
      <c r="SVI70" s="24"/>
      <c r="SVJ70" s="24"/>
      <c r="SVK70" s="24"/>
      <c r="SVL70" s="24"/>
      <c r="SVM70" s="24"/>
      <c r="SVN70" s="24"/>
      <c r="SVO70" s="24"/>
      <c r="SVP70" s="24"/>
      <c r="SVQ70" s="24"/>
      <c r="SVR70" s="24"/>
      <c r="SVS70" s="24"/>
      <c r="SVT70" s="24"/>
      <c r="SVU70" s="24"/>
      <c r="SVV70" s="24"/>
      <c r="SVW70" s="24"/>
      <c r="SVX70" s="24"/>
      <c r="SVY70" s="24"/>
      <c r="SVZ70" s="24"/>
      <c r="SWA70" s="24"/>
      <c r="SWB70" s="24"/>
      <c r="SWC70" s="24"/>
      <c r="SWD70" s="24"/>
      <c r="SWE70" s="24"/>
      <c r="SWF70" s="24"/>
      <c r="SWG70" s="24"/>
      <c r="SWH70" s="24"/>
      <c r="SWI70" s="24"/>
      <c r="SWJ70" s="24"/>
      <c r="SWK70" s="24"/>
      <c r="SWL70" s="24"/>
      <c r="SWM70" s="24"/>
      <c r="SWN70" s="24"/>
      <c r="SWO70" s="24"/>
      <c r="SWP70" s="24"/>
      <c r="SWQ70" s="24"/>
      <c r="SWR70" s="24"/>
      <c r="SWS70" s="24"/>
      <c r="SWT70" s="24"/>
      <c r="SWU70" s="24"/>
      <c r="SWV70" s="24"/>
      <c r="SWW70" s="24"/>
      <c r="SWX70" s="24"/>
      <c r="SWY70" s="24"/>
      <c r="SWZ70" s="24"/>
      <c r="SXA70" s="24"/>
      <c r="SXB70" s="24"/>
      <c r="SXC70" s="24"/>
      <c r="SXD70" s="24"/>
      <c r="SXE70" s="24"/>
      <c r="SXF70" s="24"/>
      <c r="SXG70" s="24"/>
      <c r="SXH70" s="24"/>
      <c r="SXI70" s="24"/>
      <c r="SXJ70" s="24"/>
      <c r="SXK70" s="24"/>
      <c r="SXL70" s="24"/>
      <c r="SXM70" s="24"/>
      <c r="SXN70" s="24"/>
      <c r="SXO70" s="24"/>
      <c r="SXP70" s="24"/>
      <c r="SXQ70" s="24"/>
      <c r="SXR70" s="24"/>
      <c r="SXS70" s="24"/>
      <c r="SXT70" s="24"/>
      <c r="SXU70" s="24"/>
      <c r="SXV70" s="24"/>
      <c r="SXW70" s="24"/>
      <c r="SXX70" s="24"/>
      <c r="SXY70" s="24"/>
      <c r="SXZ70" s="24"/>
      <c r="SYA70" s="24"/>
      <c r="SYB70" s="24"/>
      <c r="SYC70" s="24"/>
      <c r="SYD70" s="24"/>
      <c r="SYE70" s="24"/>
      <c r="SYF70" s="24"/>
      <c r="SYG70" s="24"/>
      <c r="SYH70" s="24"/>
      <c r="SYI70" s="24"/>
      <c r="SYJ70" s="24"/>
      <c r="SYK70" s="24"/>
      <c r="SYL70" s="24"/>
      <c r="SYM70" s="24"/>
      <c r="SYN70" s="24"/>
      <c r="SYO70" s="24"/>
      <c r="SYP70" s="24"/>
      <c r="SYQ70" s="24"/>
      <c r="SYR70" s="24"/>
      <c r="SYS70" s="24"/>
      <c r="SYT70" s="24"/>
      <c r="SYU70" s="24"/>
      <c r="SYV70" s="24"/>
      <c r="SYW70" s="24"/>
      <c r="SYX70" s="24"/>
      <c r="SYY70" s="24"/>
      <c r="SYZ70" s="24"/>
      <c r="SZA70" s="24"/>
      <c r="SZB70" s="24"/>
      <c r="SZC70" s="24"/>
      <c r="SZD70" s="24"/>
      <c r="SZE70" s="24"/>
      <c r="SZF70" s="24"/>
      <c r="SZG70" s="24"/>
      <c r="SZH70" s="24"/>
      <c r="SZI70" s="24"/>
      <c r="SZJ70" s="24"/>
      <c r="SZK70" s="24"/>
      <c r="SZL70" s="24"/>
      <c r="SZM70" s="24"/>
      <c r="SZN70" s="24"/>
      <c r="SZO70" s="24"/>
      <c r="SZP70" s="24"/>
      <c r="SZQ70" s="24"/>
      <c r="SZR70" s="24"/>
      <c r="SZS70" s="24"/>
      <c r="SZT70" s="24"/>
      <c r="SZU70" s="24"/>
      <c r="SZV70" s="24"/>
      <c r="SZW70" s="24"/>
      <c r="SZX70" s="24"/>
      <c r="SZY70" s="24"/>
      <c r="SZZ70" s="24"/>
      <c r="TAA70" s="24"/>
      <c r="TAB70" s="24"/>
      <c r="TAC70" s="24"/>
      <c r="TAD70" s="24"/>
      <c r="TAE70" s="24"/>
      <c r="TAF70" s="24"/>
      <c r="TAG70" s="24"/>
      <c r="TAH70" s="24"/>
      <c r="TAI70" s="24"/>
      <c r="TAJ70" s="24"/>
      <c r="TAK70" s="24"/>
      <c r="TAL70" s="24"/>
      <c r="TAM70" s="24"/>
      <c r="TAN70" s="24"/>
      <c r="TAO70" s="24"/>
      <c r="TAP70" s="24"/>
      <c r="TAQ70" s="24"/>
      <c r="TAR70" s="24"/>
      <c r="TAS70" s="24"/>
      <c r="TAT70" s="24"/>
      <c r="TAU70" s="24"/>
      <c r="TAV70" s="24"/>
      <c r="TAW70" s="24"/>
      <c r="TAX70" s="24"/>
      <c r="TAY70" s="24"/>
      <c r="TAZ70" s="24"/>
      <c r="TBA70" s="24"/>
      <c r="TBB70" s="24"/>
      <c r="TBC70" s="24"/>
      <c r="TBD70" s="24"/>
      <c r="TBE70" s="24"/>
      <c r="TBF70" s="24"/>
      <c r="TBG70" s="24"/>
      <c r="TBH70" s="24"/>
      <c r="TBI70" s="24"/>
      <c r="TBJ70" s="24"/>
      <c r="TBK70" s="24"/>
      <c r="TBL70" s="24"/>
      <c r="TBM70" s="24"/>
      <c r="TBN70" s="24"/>
      <c r="TBO70" s="24"/>
      <c r="TBP70" s="24"/>
      <c r="TBQ70" s="24"/>
      <c r="TBR70" s="24"/>
      <c r="TBS70" s="24"/>
      <c r="TBT70" s="24"/>
      <c r="TBU70" s="24"/>
      <c r="TBV70" s="24"/>
      <c r="TBW70" s="24"/>
      <c r="TBX70" s="24"/>
      <c r="TBY70" s="24"/>
      <c r="TBZ70" s="24"/>
      <c r="TCA70" s="24"/>
      <c r="TCB70" s="24"/>
      <c r="TCC70" s="24"/>
      <c r="TCD70" s="24"/>
      <c r="TCE70" s="24"/>
      <c r="TCF70" s="24"/>
      <c r="TCG70" s="24"/>
      <c r="TCH70" s="24"/>
      <c r="TCI70" s="24"/>
      <c r="TCJ70" s="24"/>
      <c r="TCK70" s="24"/>
      <c r="TCL70" s="24"/>
      <c r="TCM70" s="24"/>
      <c r="TCN70" s="24"/>
      <c r="TCO70" s="24"/>
      <c r="TCP70" s="24"/>
      <c r="TCQ70" s="24"/>
      <c r="TCR70" s="24"/>
      <c r="TCS70" s="24"/>
      <c r="TCT70" s="24"/>
      <c r="TCU70" s="24"/>
      <c r="TCV70" s="24"/>
      <c r="TCW70" s="24"/>
      <c r="TCX70" s="24"/>
      <c r="TCY70" s="24"/>
      <c r="TCZ70" s="24"/>
      <c r="TDA70" s="24"/>
      <c r="TDB70" s="24"/>
      <c r="TDC70" s="24"/>
      <c r="TDD70" s="24"/>
      <c r="TDE70" s="24"/>
      <c r="TDF70" s="24"/>
      <c r="TDG70" s="24"/>
      <c r="TDH70" s="24"/>
      <c r="TDI70" s="24"/>
      <c r="TDJ70" s="24"/>
      <c r="TDK70" s="24"/>
      <c r="TDL70" s="24"/>
      <c r="TDM70" s="24"/>
      <c r="TDN70" s="24"/>
      <c r="TDO70" s="24"/>
      <c r="TDP70" s="24"/>
      <c r="TDQ70" s="24"/>
      <c r="TDR70" s="24"/>
      <c r="TDS70" s="24"/>
      <c r="TDT70" s="24"/>
      <c r="TDU70" s="24"/>
      <c r="TDV70" s="24"/>
      <c r="TDW70" s="24"/>
      <c r="TDX70" s="24"/>
      <c r="TDY70" s="24"/>
      <c r="TDZ70" s="24"/>
      <c r="TEA70" s="24"/>
      <c r="TEB70" s="24"/>
      <c r="TEC70" s="24"/>
      <c r="TED70" s="24"/>
      <c r="TEE70" s="24"/>
      <c r="TEF70" s="24"/>
      <c r="TEG70" s="24"/>
      <c r="TEH70" s="24"/>
      <c r="TEI70" s="24"/>
      <c r="TEJ70" s="24"/>
      <c r="TEK70" s="24"/>
      <c r="TEL70" s="24"/>
      <c r="TEM70" s="24"/>
      <c r="TEN70" s="24"/>
      <c r="TEO70" s="24"/>
      <c r="TEP70" s="24"/>
      <c r="TEQ70" s="24"/>
      <c r="TER70" s="24"/>
      <c r="TES70" s="24"/>
      <c r="TET70" s="24"/>
      <c r="TEU70" s="24"/>
      <c r="TEV70" s="24"/>
      <c r="TEW70" s="24"/>
      <c r="TEX70" s="24"/>
      <c r="TEY70" s="24"/>
      <c r="TEZ70" s="24"/>
      <c r="TFA70" s="24"/>
      <c r="TFB70" s="24"/>
      <c r="TFC70" s="24"/>
      <c r="TFD70" s="24"/>
      <c r="TFE70" s="24"/>
      <c r="TFF70" s="24"/>
      <c r="TFG70" s="24"/>
      <c r="TFH70" s="24"/>
      <c r="TFI70" s="24"/>
      <c r="TFJ70" s="24"/>
      <c r="TFK70" s="24"/>
      <c r="TFL70" s="24"/>
      <c r="TFM70" s="24"/>
      <c r="TFN70" s="24"/>
      <c r="TFO70" s="24"/>
      <c r="TFP70" s="24"/>
      <c r="TFQ70" s="24"/>
      <c r="TFR70" s="24"/>
      <c r="TFS70" s="24"/>
      <c r="TFT70" s="24"/>
      <c r="TFU70" s="24"/>
      <c r="TFV70" s="24"/>
      <c r="TFW70" s="24"/>
      <c r="TFX70" s="24"/>
      <c r="TFY70" s="24"/>
      <c r="TFZ70" s="24"/>
      <c r="TGA70" s="24"/>
      <c r="TGB70" s="24"/>
      <c r="TGC70" s="24"/>
      <c r="TGD70" s="24"/>
      <c r="TGE70" s="24"/>
      <c r="TGF70" s="24"/>
      <c r="TGG70" s="24"/>
      <c r="TGH70" s="24"/>
      <c r="TGI70" s="24"/>
      <c r="TGJ70" s="24"/>
      <c r="TGK70" s="24"/>
      <c r="TGL70" s="24"/>
      <c r="TGM70" s="24"/>
      <c r="TGN70" s="24"/>
      <c r="TGO70" s="24"/>
      <c r="TGP70" s="24"/>
      <c r="TGQ70" s="24"/>
      <c r="TGR70" s="24"/>
      <c r="TGS70" s="24"/>
      <c r="TGT70" s="24"/>
      <c r="TGU70" s="24"/>
      <c r="TGV70" s="24"/>
      <c r="TGW70" s="24"/>
      <c r="TGX70" s="24"/>
      <c r="TGY70" s="24"/>
      <c r="TGZ70" s="24"/>
      <c r="THA70" s="24"/>
      <c r="THB70" s="24"/>
      <c r="THC70" s="24"/>
      <c r="THD70" s="24"/>
      <c r="THE70" s="24"/>
      <c r="THF70" s="24"/>
      <c r="THG70" s="24"/>
      <c r="THH70" s="24"/>
      <c r="THI70" s="24"/>
      <c r="THJ70" s="24"/>
      <c r="THK70" s="24"/>
      <c r="THL70" s="24"/>
      <c r="THM70" s="24"/>
      <c r="THN70" s="24"/>
      <c r="THO70" s="24"/>
      <c r="THP70" s="24"/>
      <c r="THQ70" s="24"/>
      <c r="THR70" s="24"/>
      <c r="THS70" s="24"/>
      <c r="THT70" s="24"/>
      <c r="THU70" s="24"/>
      <c r="THV70" s="24"/>
      <c r="THW70" s="24"/>
      <c r="THX70" s="24"/>
      <c r="THY70" s="24"/>
      <c r="THZ70" s="24"/>
      <c r="TIA70" s="24"/>
      <c r="TIB70" s="24"/>
      <c r="TIC70" s="24"/>
      <c r="TID70" s="24"/>
      <c r="TIE70" s="24"/>
      <c r="TIF70" s="24"/>
      <c r="TIG70" s="24"/>
      <c r="TIH70" s="24"/>
      <c r="TII70" s="24"/>
      <c r="TIJ70" s="24"/>
      <c r="TIK70" s="24"/>
      <c r="TIL70" s="24"/>
      <c r="TIM70" s="24"/>
      <c r="TIN70" s="24"/>
      <c r="TIO70" s="24"/>
      <c r="TIP70" s="24"/>
      <c r="TIQ70" s="24"/>
      <c r="TIR70" s="24"/>
      <c r="TIS70" s="24"/>
      <c r="TIT70" s="24"/>
      <c r="TIU70" s="24"/>
      <c r="TIV70" s="24"/>
      <c r="TIW70" s="24"/>
      <c r="TIX70" s="24"/>
      <c r="TIY70" s="24"/>
      <c r="TIZ70" s="24"/>
      <c r="TJA70" s="24"/>
      <c r="TJB70" s="24"/>
      <c r="TJC70" s="24"/>
      <c r="TJD70" s="24"/>
      <c r="TJE70" s="24"/>
      <c r="TJF70" s="24"/>
      <c r="TJG70" s="24"/>
      <c r="TJH70" s="24"/>
      <c r="TJI70" s="24"/>
      <c r="TJJ70" s="24"/>
      <c r="TJK70" s="24"/>
      <c r="TJL70" s="24"/>
      <c r="TJM70" s="24"/>
      <c r="TJN70" s="24"/>
      <c r="TJO70" s="24"/>
      <c r="TJP70" s="24"/>
      <c r="TJQ70" s="24"/>
      <c r="TJR70" s="24"/>
      <c r="TJS70" s="24"/>
      <c r="TJT70" s="24"/>
      <c r="TJU70" s="24"/>
      <c r="TJV70" s="24"/>
      <c r="TJW70" s="24"/>
      <c r="TJX70" s="24"/>
      <c r="TJY70" s="24"/>
      <c r="TJZ70" s="24"/>
      <c r="TKA70" s="24"/>
      <c r="TKB70" s="24"/>
      <c r="TKC70" s="24"/>
      <c r="TKD70" s="24"/>
      <c r="TKE70" s="24"/>
      <c r="TKF70" s="24"/>
      <c r="TKG70" s="24"/>
      <c r="TKH70" s="24"/>
      <c r="TKI70" s="24"/>
      <c r="TKJ70" s="24"/>
      <c r="TKK70" s="24"/>
      <c r="TKL70" s="24"/>
      <c r="TKM70" s="24"/>
      <c r="TKN70" s="24"/>
      <c r="TKO70" s="24"/>
      <c r="TKP70" s="24"/>
      <c r="TKQ70" s="24"/>
      <c r="TKR70" s="24"/>
      <c r="TKS70" s="24"/>
      <c r="TKT70" s="24"/>
      <c r="TKU70" s="24"/>
      <c r="TKV70" s="24"/>
      <c r="TKW70" s="24"/>
      <c r="TKX70" s="24"/>
      <c r="TKY70" s="24"/>
      <c r="TKZ70" s="24"/>
      <c r="TLA70" s="24"/>
      <c r="TLB70" s="24"/>
      <c r="TLC70" s="24"/>
      <c r="TLD70" s="24"/>
      <c r="TLE70" s="24"/>
      <c r="TLF70" s="24"/>
      <c r="TLG70" s="24"/>
      <c r="TLH70" s="24"/>
      <c r="TLI70" s="24"/>
      <c r="TLJ70" s="24"/>
      <c r="TLK70" s="24"/>
      <c r="TLL70" s="24"/>
      <c r="TLM70" s="24"/>
      <c r="TLN70" s="24"/>
      <c r="TLO70" s="24"/>
      <c r="TLP70" s="24"/>
      <c r="TLQ70" s="24"/>
      <c r="TLR70" s="24"/>
      <c r="TLS70" s="24"/>
      <c r="TLT70" s="24"/>
      <c r="TLU70" s="24"/>
      <c r="TLV70" s="24"/>
      <c r="TLW70" s="24"/>
      <c r="TLX70" s="24"/>
      <c r="TLY70" s="24"/>
      <c r="TLZ70" s="24"/>
      <c r="TMA70" s="24"/>
      <c r="TMB70" s="24"/>
      <c r="TMC70" s="24"/>
      <c r="TMD70" s="24"/>
      <c r="TME70" s="24"/>
      <c r="TMF70" s="24"/>
      <c r="TMG70" s="24"/>
      <c r="TMH70" s="24"/>
      <c r="TMI70" s="24"/>
      <c r="TMJ70" s="24"/>
      <c r="TMK70" s="24"/>
      <c r="TML70" s="24"/>
      <c r="TMM70" s="24"/>
      <c r="TMN70" s="24"/>
      <c r="TMO70" s="24"/>
      <c r="TMP70" s="24"/>
      <c r="TMQ70" s="24"/>
      <c r="TMR70" s="24"/>
      <c r="TMS70" s="24"/>
      <c r="TMT70" s="24"/>
      <c r="TMU70" s="24"/>
      <c r="TMV70" s="24"/>
      <c r="TMW70" s="24"/>
      <c r="TMX70" s="24"/>
      <c r="TMY70" s="24"/>
      <c r="TMZ70" s="24"/>
      <c r="TNA70" s="24"/>
      <c r="TNB70" s="24"/>
      <c r="TNC70" s="24"/>
      <c r="TND70" s="24"/>
      <c r="TNE70" s="24"/>
      <c r="TNF70" s="24"/>
      <c r="TNG70" s="24"/>
      <c r="TNH70" s="24"/>
      <c r="TNI70" s="24"/>
      <c r="TNJ70" s="24"/>
      <c r="TNK70" s="24"/>
      <c r="TNL70" s="24"/>
      <c r="TNM70" s="24"/>
      <c r="TNN70" s="24"/>
      <c r="TNO70" s="24"/>
      <c r="TNP70" s="24"/>
      <c r="TNQ70" s="24"/>
      <c r="TNR70" s="24"/>
      <c r="TNS70" s="24"/>
      <c r="TNT70" s="24"/>
      <c r="TNU70" s="24"/>
      <c r="TNV70" s="24"/>
      <c r="TNW70" s="24"/>
      <c r="TNX70" s="24"/>
      <c r="TNY70" s="24"/>
      <c r="TNZ70" s="24"/>
      <c r="TOA70" s="24"/>
      <c r="TOB70" s="24"/>
      <c r="TOC70" s="24"/>
      <c r="TOD70" s="24"/>
      <c r="TOE70" s="24"/>
      <c r="TOF70" s="24"/>
      <c r="TOG70" s="24"/>
      <c r="TOH70" s="24"/>
      <c r="TOI70" s="24"/>
      <c r="TOJ70" s="24"/>
      <c r="TOK70" s="24"/>
      <c r="TOL70" s="24"/>
      <c r="TOM70" s="24"/>
      <c r="TON70" s="24"/>
      <c r="TOO70" s="24"/>
      <c r="TOP70" s="24"/>
      <c r="TOQ70" s="24"/>
      <c r="TOR70" s="24"/>
      <c r="TOS70" s="24"/>
      <c r="TOT70" s="24"/>
      <c r="TOU70" s="24"/>
      <c r="TOV70" s="24"/>
      <c r="TOW70" s="24"/>
      <c r="TOX70" s="24"/>
      <c r="TOY70" s="24"/>
      <c r="TOZ70" s="24"/>
      <c r="TPA70" s="24"/>
      <c r="TPB70" s="24"/>
      <c r="TPC70" s="24"/>
      <c r="TPD70" s="24"/>
      <c r="TPE70" s="24"/>
      <c r="TPF70" s="24"/>
      <c r="TPG70" s="24"/>
      <c r="TPH70" s="24"/>
      <c r="TPI70" s="24"/>
      <c r="TPJ70" s="24"/>
      <c r="TPK70" s="24"/>
      <c r="TPL70" s="24"/>
      <c r="TPM70" s="24"/>
      <c r="TPN70" s="24"/>
      <c r="TPO70" s="24"/>
      <c r="TPP70" s="24"/>
      <c r="TPQ70" s="24"/>
      <c r="TPR70" s="24"/>
      <c r="TPS70" s="24"/>
      <c r="TPT70" s="24"/>
      <c r="TPU70" s="24"/>
      <c r="TPV70" s="24"/>
      <c r="TPW70" s="24"/>
      <c r="TPX70" s="24"/>
      <c r="TPY70" s="24"/>
      <c r="TPZ70" s="24"/>
      <c r="TQA70" s="24"/>
      <c r="TQB70" s="24"/>
      <c r="TQC70" s="24"/>
      <c r="TQD70" s="24"/>
      <c r="TQE70" s="24"/>
      <c r="TQF70" s="24"/>
      <c r="TQG70" s="24"/>
      <c r="TQH70" s="24"/>
      <c r="TQI70" s="24"/>
      <c r="TQJ70" s="24"/>
      <c r="TQK70" s="24"/>
      <c r="TQL70" s="24"/>
      <c r="TQM70" s="24"/>
      <c r="TQN70" s="24"/>
      <c r="TQO70" s="24"/>
      <c r="TQP70" s="24"/>
      <c r="TQQ70" s="24"/>
      <c r="TQR70" s="24"/>
      <c r="TQS70" s="24"/>
      <c r="TQT70" s="24"/>
      <c r="TQU70" s="24"/>
      <c r="TQV70" s="24"/>
      <c r="TQW70" s="24"/>
      <c r="TQX70" s="24"/>
      <c r="TQY70" s="24"/>
      <c r="TQZ70" s="24"/>
      <c r="TRA70" s="24"/>
      <c r="TRB70" s="24"/>
      <c r="TRC70" s="24"/>
      <c r="TRD70" s="24"/>
      <c r="TRE70" s="24"/>
      <c r="TRF70" s="24"/>
      <c r="TRG70" s="24"/>
      <c r="TRH70" s="24"/>
      <c r="TRI70" s="24"/>
      <c r="TRJ70" s="24"/>
      <c r="TRK70" s="24"/>
      <c r="TRL70" s="24"/>
      <c r="TRM70" s="24"/>
      <c r="TRN70" s="24"/>
      <c r="TRO70" s="24"/>
      <c r="TRP70" s="24"/>
      <c r="TRQ70" s="24"/>
      <c r="TRR70" s="24"/>
      <c r="TRS70" s="24"/>
      <c r="TRT70" s="24"/>
      <c r="TRU70" s="24"/>
      <c r="TRV70" s="24"/>
      <c r="TRW70" s="24"/>
      <c r="TRX70" s="24"/>
      <c r="TRY70" s="24"/>
      <c r="TRZ70" s="24"/>
      <c r="TSA70" s="24"/>
      <c r="TSB70" s="24"/>
      <c r="TSC70" s="24"/>
      <c r="TSD70" s="24"/>
      <c r="TSE70" s="24"/>
      <c r="TSF70" s="24"/>
      <c r="TSG70" s="24"/>
      <c r="TSH70" s="24"/>
      <c r="TSI70" s="24"/>
      <c r="TSJ70" s="24"/>
      <c r="TSK70" s="24"/>
      <c r="TSL70" s="24"/>
      <c r="TSM70" s="24"/>
      <c r="TSN70" s="24"/>
      <c r="TSO70" s="24"/>
      <c r="TSP70" s="24"/>
      <c r="TSQ70" s="24"/>
      <c r="TSR70" s="24"/>
      <c r="TSS70" s="24"/>
      <c r="TST70" s="24"/>
      <c r="TSU70" s="24"/>
      <c r="TSV70" s="24"/>
      <c r="TSW70" s="24"/>
      <c r="TSX70" s="24"/>
      <c r="TSY70" s="24"/>
      <c r="TSZ70" s="24"/>
      <c r="TTA70" s="24"/>
      <c r="TTB70" s="24"/>
      <c r="TTC70" s="24"/>
      <c r="TTD70" s="24"/>
      <c r="TTE70" s="24"/>
      <c r="TTF70" s="24"/>
      <c r="TTG70" s="24"/>
      <c r="TTH70" s="24"/>
      <c r="TTI70" s="24"/>
      <c r="TTJ70" s="24"/>
      <c r="TTK70" s="24"/>
      <c r="TTL70" s="24"/>
      <c r="TTM70" s="24"/>
      <c r="TTN70" s="24"/>
      <c r="TTO70" s="24"/>
      <c r="TTP70" s="24"/>
      <c r="TTQ70" s="24"/>
      <c r="TTR70" s="24"/>
      <c r="TTS70" s="24"/>
      <c r="TTT70" s="24"/>
      <c r="TTU70" s="24"/>
      <c r="TTV70" s="24"/>
      <c r="TTW70" s="24"/>
      <c r="TTX70" s="24"/>
      <c r="TTY70" s="24"/>
      <c r="TTZ70" s="24"/>
      <c r="TUA70" s="24"/>
      <c r="TUB70" s="24"/>
      <c r="TUC70" s="24"/>
      <c r="TUD70" s="24"/>
      <c r="TUE70" s="24"/>
      <c r="TUF70" s="24"/>
      <c r="TUG70" s="24"/>
      <c r="TUH70" s="24"/>
      <c r="TUI70" s="24"/>
      <c r="TUJ70" s="24"/>
      <c r="TUK70" s="24"/>
      <c r="TUL70" s="24"/>
      <c r="TUM70" s="24"/>
      <c r="TUN70" s="24"/>
      <c r="TUO70" s="24"/>
      <c r="TUP70" s="24"/>
      <c r="TUQ70" s="24"/>
      <c r="TUR70" s="24"/>
      <c r="TUS70" s="24"/>
      <c r="TUT70" s="24"/>
      <c r="TUU70" s="24"/>
      <c r="TUV70" s="24"/>
      <c r="TUW70" s="24"/>
      <c r="TUX70" s="24"/>
      <c r="TUY70" s="24"/>
      <c r="TUZ70" s="24"/>
      <c r="TVA70" s="24"/>
      <c r="TVB70" s="24"/>
      <c r="TVC70" s="24"/>
      <c r="TVD70" s="24"/>
      <c r="TVE70" s="24"/>
      <c r="TVF70" s="24"/>
      <c r="TVG70" s="24"/>
      <c r="TVH70" s="24"/>
      <c r="TVI70" s="24"/>
      <c r="TVJ70" s="24"/>
      <c r="TVK70" s="24"/>
      <c r="TVL70" s="24"/>
      <c r="TVM70" s="24"/>
      <c r="TVN70" s="24"/>
      <c r="TVO70" s="24"/>
      <c r="TVP70" s="24"/>
      <c r="TVQ70" s="24"/>
      <c r="TVR70" s="24"/>
      <c r="TVS70" s="24"/>
      <c r="TVT70" s="24"/>
      <c r="TVU70" s="24"/>
      <c r="TVV70" s="24"/>
      <c r="TVW70" s="24"/>
      <c r="TVX70" s="24"/>
      <c r="TVY70" s="24"/>
      <c r="TVZ70" s="24"/>
      <c r="TWA70" s="24"/>
      <c r="TWB70" s="24"/>
      <c r="TWC70" s="24"/>
      <c r="TWD70" s="24"/>
      <c r="TWE70" s="24"/>
      <c r="TWF70" s="24"/>
      <c r="TWG70" s="24"/>
      <c r="TWH70" s="24"/>
      <c r="TWI70" s="24"/>
      <c r="TWJ70" s="24"/>
      <c r="TWK70" s="24"/>
      <c r="TWL70" s="24"/>
      <c r="TWM70" s="24"/>
      <c r="TWN70" s="24"/>
      <c r="TWO70" s="24"/>
      <c r="TWP70" s="24"/>
      <c r="TWQ70" s="24"/>
      <c r="TWR70" s="24"/>
      <c r="TWS70" s="24"/>
      <c r="TWT70" s="24"/>
      <c r="TWU70" s="24"/>
      <c r="TWV70" s="24"/>
      <c r="TWW70" s="24"/>
      <c r="TWX70" s="24"/>
      <c r="TWY70" s="24"/>
      <c r="TWZ70" s="24"/>
      <c r="TXA70" s="24"/>
      <c r="TXB70" s="24"/>
      <c r="TXC70" s="24"/>
      <c r="TXD70" s="24"/>
      <c r="TXE70" s="24"/>
      <c r="TXF70" s="24"/>
      <c r="TXG70" s="24"/>
      <c r="TXH70" s="24"/>
      <c r="TXI70" s="24"/>
      <c r="TXJ70" s="24"/>
      <c r="TXK70" s="24"/>
      <c r="TXL70" s="24"/>
      <c r="TXM70" s="24"/>
      <c r="TXN70" s="24"/>
      <c r="TXO70" s="24"/>
      <c r="TXP70" s="24"/>
      <c r="TXQ70" s="24"/>
      <c r="TXR70" s="24"/>
      <c r="TXS70" s="24"/>
      <c r="TXT70" s="24"/>
      <c r="TXU70" s="24"/>
      <c r="TXV70" s="24"/>
      <c r="TXW70" s="24"/>
      <c r="TXX70" s="24"/>
      <c r="TXY70" s="24"/>
      <c r="TXZ70" s="24"/>
      <c r="TYA70" s="24"/>
      <c r="TYB70" s="24"/>
      <c r="TYC70" s="24"/>
      <c r="TYD70" s="24"/>
      <c r="TYE70" s="24"/>
      <c r="TYF70" s="24"/>
      <c r="TYG70" s="24"/>
      <c r="TYH70" s="24"/>
      <c r="TYI70" s="24"/>
      <c r="TYJ70" s="24"/>
      <c r="TYK70" s="24"/>
      <c r="TYL70" s="24"/>
      <c r="TYM70" s="24"/>
      <c r="TYN70" s="24"/>
      <c r="TYO70" s="24"/>
      <c r="TYP70" s="24"/>
      <c r="TYQ70" s="24"/>
      <c r="TYR70" s="24"/>
      <c r="TYS70" s="24"/>
      <c r="TYT70" s="24"/>
      <c r="TYU70" s="24"/>
      <c r="TYV70" s="24"/>
      <c r="TYW70" s="24"/>
      <c r="TYX70" s="24"/>
      <c r="TYY70" s="24"/>
      <c r="TYZ70" s="24"/>
      <c r="TZA70" s="24"/>
      <c r="TZB70" s="24"/>
      <c r="TZC70" s="24"/>
      <c r="TZD70" s="24"/>
      <c r="TZE70" s="24"/>
      <c r="TZF70" s="24"/>
      <c r="TZG70" s="24"/>
      <c r="TZH70" s="24"/>
      <c r="TZI70" s="24"/>
      <c r="TZJ70" s="24"/>
      <c r="TZK70" s="24"/>
      <c r="TZL70" s="24"/>
      <c r="TZM70" s="24"/>
      <c r="TZN70" s="24"/>
      <c r="TZO70" s="24"/>
      <c r="TZP70" s="24"/>
      <c r="TZQ70" s="24"/>
      <c r="TZR70" s="24"/>
      <c r="TZS70" s="24"/>
      <c r="TZT70" s="24"/>
      <c r="TZU70" s="24"/>
      <c r="TZV70" s="24"/>
      <c r="TZW70" s="24"/>
      <c r="TZX70" s="24"/>
      <c r="TZY70" s="24"/>
      <c r="TZZ70" s="24"/>
      <c r="UAA70" s="24"/>
      <c r="UAB70" s="24"/>
      <c r="UAC70" s="24"/>
      <c r="UAD70" s="24"/>
      <c r="UAE70" s="24"/>
      <c r="UAF70" s="24"/>
      <c r="UAG70" s="24"/>
      <c r="UAH70" s="24"/>
      <c r="UAI70" s="24"/>
      <c r="UAJ70" s="24"/>
      <c r="UAK70" s="24"/>
      <c r="UAL70" s="24"/>
      <c r="UAM70" s="24"/>
      <c r="UAN70" s="24"/>
      <c r="UAO70" s="24"/>
      <c r="UAP70" s="24"/>
      <c r="UAQ70" s="24"/>
      <c r="UAR70" s="24"/>
      <c r="UAS70" s="24"/>
      <c r="UAT70" s="24"/>
      <c r="UAU70" s="24"/>
      <c r="UAV70" s="24"/>
      <c r="UAW70" s="24"/>
      <c r="UAX70" s="24"/>
      <c r="UAY70" s="24"/>
      <c r="UAZ70" s="24"/>
      <c r="UBA70" s="24"/>
      <c r="UBB70" s="24"/>
      <c r="UBC70" s="24"/>
      <c r="UBD70" s="24"/>
      <c r="UBE70" s="24"/>
      <c r="UBF70" s="24"/>
      <c r="UBG70" s="24"/>
      <c r="UBH70" s="24"/>
      <c r="UBI70" s="24"/>
      <c r="UBJ70" s="24"/>
      <c r="UBK70" s="24"/>
      <c r="UBL70" s="24"/>
      <c r="UBM70" s="24"/>
      <c r="UBN70" s="24"/>
      <c r="UBO70" s="24"/>
      <c r="UBP70" s="24"/>
      <c r="UBQ70" s="24"/>
      <c r="UBR70" s="24"/>
      <c r="UBS70" s="24"/>
      <c r="UBT70" s="24"/>
      <c r="UBU70" s="24"/>
      <c r="UBV70" s="24"/>
      <c r="UBW70" s="24"/>
      <c r="UBX70" s="24"/>
      <c r="UBY70" s="24"/>
      <c r="UBZ70" s="24"/>
      <c r="UCA70" s="24"/>
      <c r="UCB70" s="24"/>
      <c r="UCC70" s="24"/>
      <c r="UCD70" s="24"/>
      <c r="UCE70" s="24"/>
      <c r="UCF70" s="24"/>
      <c r="UCG70" s="24"/>
      <c r="UCH70" s="24"/>
      <c r="UCI70" s="24"/>
      <c r="UCJ70" s="24"/>
      <c r="UCK70" s="24"/>
      <c r="UCL70" s="24"/>
      <c r="UCM70" s="24"/>
      <c r="UCN70" s="24"/>
      <c r="UCO70" s="24"/>
      <c r="UCP70" s="24"/>
      <c r="UCQ70" s="24"/>
      <c r="UCR70" s="24"/>
      <c r="UCS70" s="24"/>
      <c r="UCT70" s="24"/>
      <c r="UCU70" s="24"/>
      <c r="UCV70" s="24"/>
      <c r="UCW70" s="24"/>
      <c r="UCX70" s="24"/>
      <c r="UCY70" s="24"/>
      <c r="UCZ70" s="24"/>
      <c r="UDA70" s="24"/>
      <c r="UDB70" s="24"/>
      <c r="UDC70" s="24"/>
      <c r="UDD70" s="24"/>
      <c r="UDE70" s="24"/>
      <c r="UDF70" s="24"/>
      <c r="UDG70" s="24"/>
      <c r="UDH70" s="24"/>
      <c r="UDI70" s="24"/>
      <c r="UDJ70" s="24"/>
      <c r="UDK70" s="24"/>
      <c r="UDL70" s="24"/>
      <c r="UDM70" s="24"/>
      <c r="UDN70" s="24"/>
      <c r="UDO70" s="24"/>
      <c r="UDP70" s="24"/>
      <c r="UDQ70" s="24"/>
      <c r="UDR70" s="24"/>
      <c r="UDS70" s="24"/>
      <c r="UDT70" s="24"/>
      <c r="UDU70" s="24"/>
      <c r="UDV70" s="24"/>
      <c r="UDW70" s="24"/>
      <c r="UDX70" s="24"/>
      <c r="UDY70" s="24"/>
      <c r="UDZ70" s="24"/>
      <c r="UEA70" s="24"/>
      <c r="UEB70" s="24"/>
      <c r="UEC70" s="24"/>
      <c r="UED70" s="24"/>
      <c r="UEE70" s="24"/>
      <c r="UEF70" s="24"/>
      <c r="UEG70" s="24"/>
      <c r="UEH70" s="24"/>
      <c r="UEI70" s="24"/>
      <c r="UEJ70" s="24"/>
      <c r="UEK70" s="24"/>
      <c r="UEL70" s="24"/>
      <c r="UEM70" s="24"/>
      <c r="UEN70" s="24"/>
      <c r="UEO70" s="24"/>
      <c r="UEP70" s="24"/>
      <c r="UEQ70" s="24"/>
      <c r="UER70" s="24"/>
      <c r="UES70" s="24"/>
      <c r="UET70" s="24"/>
      <c r="UEU70" s="24"/>
      <c r="UEV70" s="24"/>
      <c r="UEW70" s="24"/>
      <c r="UEX70" s="24"/>
      <c r="UEY70" s="24"/>
      <c r="UEZ70" s="24"/>
      <c r="UFA70" s="24"/>
      <c r="UFB70" s="24"/>
      <c r="UFC70" s="24"/>
      <c r="UFD70" s="24"/>
      <c r="UFE70" s="24"/>
      <c r="UFF70" s="24"/>
      <c r="UFG70" s="24"/>
      <c r="UFH70" s="24"/>
      <c r="UFI70" s="24"/>
      <c r="UFJ70" s="24"/>
      <c r="UFK70" s="24"/>
      <c r="UFL70" s="24"/>
      <c r="UFM70" s="24"/>
      <c r="UFN70" s="24"/>
      <c r="UFO70" s="24"/>
      <c r="UFP70" s="24"/>
      <c r="UFQ70" s="24"/>
      <c r="UFR70" s="24"/>
      <c r="UFS70" s="24"/>
      <c r="UFT70" s="24"/>
      <c r="UFU70" s="24"/>
      <c r="UFV70" s="24"/>
      <c r="UFW70" s="24"/>
      <c r="UFX70" s="24"/>
      <c r="UFY70" s="24"/>
      <c r="UFZ70" s="24"/>
      <c r="UGA70" s="24"/>
      <c r="UGB70" s="24"/>
      <c r="UGC70" s="24"/>
      <c r="UGD70" s="24"/>
      <c r="UGE70" s="24"/>
      <c r="UGF70" s="24"/>
      <c r="UGG70" s="24"/>
      <c r="UGH70" s="24"/>
      <c r="UGI70" s="24"/>
      <c r="UGJ70" s="24"/>
      <c r="UGK70" s="24"/>
      <c r="UGL70" s="24"/>
      <c r="UGM70" s="24"/>
      <c r="UGN70" s="24"/>
      <c r="UGO70" s="24"/>
      <c r="UGP70" s="24"/>
      <c r="UGQ70" s="24"/>
      <c r="UGR70" s="24"/>
      <c r="UGS70" s="24"/>
      <c r="UGT70" s="24"/>
      <c r="UGU70" s="24"/>
      <c r="UGV70" s="24"/>
      <c r="UGW70" s="24"/>
      <c r="UGX70" s="24"/>
      <c r="UGY70" s="24"/>
      <c r="UGZ70" s="24"/>
      <c r="UHA70" s="24"/>
      <c r="UHB70" s="24"/>
      <c r="UHC70" s="24"/>
      <c r="UHD70" s="24"/>
      <c r="UHE70" s="24"/>
      <c r="UHF70" s="24"/>
      <c r="UHG70" s="24"/>
      <c r="UHH70" s="24"/>
      <c r="UHI70" s="24"/>
      <c r="UHJ70" s="24"/>
      <c r="UHK70" s="24"/>
      <c r="UHL70" s="24"/>
      <c r="UHM70" s="24"/>
      <c r="UHN70" s="24"/>
      <c r="UHO70" s="24"/>
      <c r="UHP70" s="24"/>
      <c r="UHQ70" s="24"/>
      <c r="UHR70" s="24"/>
      <c r="UHS70" s="24"/>
      <c r="UHT70" s="24"/>
      <c r="UHU70" s="24"/>
      <c r="UHV70" s="24"/>
      <c r="UHW70" s="24"/>
      <c r="UHX70" s="24"/>
      <c r="UHY70" s="24"/>
      <c r="UHZ70" s="24"/>
      <c r="UIA70" s="24"/>
      <c r="UIB70" s="24"/>
      <c r="UIC70" s="24"/>
      <c r="UID70" s="24"/>
      <c r="UIE70" s="24"/>
      <c r="UIF70" s="24"/>
      <c r="UIG70" s="24"/>
      <c r="UIH70" s="24"/>
      <c r="UII70" s="24"/>
      <c r="UIJ70" s="24"/>
      <c r="UIK70" s="24"/>
      <c r="UIL70" s="24"/>
      <c r="UIM70" s="24"/>
      <c r="UIN70" s="24"/>
      <c r="UIO70" s="24"/>
      <c r="UIP70" s="24"/>
      <c r="UIQ70" s="24"/>
      <c r="UIR70" s="24"/>
      <c r="UIS70" s="24"/>
      <c r="UIT70" s="24"/>
      <c r="UIU70" s="24"/>
      <c r="UIV70" s="24"/>
      <c r="UIW70" s="24"/>
      <c r="UIX70" s="24"/>
      <c r="UIY70" s="24"/>
      <c r="UIZ70" s="24"/>
      <c r="UJA70" s="24"/>
      <c r="UJB70" s="24"/>
      <c r="UJC70" s="24"/>
      <c r="UJD70" s="24"/>
      <c r="UJE70" s="24"/>
      <c r="UJF70" s="24"/>
      <c r="UJG70" s="24"/>
      <c r="UJH70" s="24"/>
      <c r="UJI70" s="24"/>
      <c r="UJJ70" s="24"/>
      <c r="UJK70" s="24"/>
      <c r="UJL70" s="24"/>
      <c r="UJM70" s="24"/>
      <c r="UJN70" s="24"/>
      <c r="UJO70" s="24"/>
      <c r="UJP70" s="24"/>
      <c r="UJQ70" s="24"/>
      <c r="UJR70" s="24"/>
      <c r="UJS70" s="24"/>
      <c r="UJT70" s="24"/>
      <c r="UJU70" s="24"/>
      <c r="UJV70" s="24"/>
      <c r="UJW70" s="24"/>
      <c r="UJX70" s="24"/>
      <c r="UJY70" s="24"/>
      <c r="UJZ70" s="24"/>
      <c r="UKA70" s="24"/>
      <c r="UKB70" s="24"/>
      <c r="UKC70" s="24"/>
      <c r="UKD70" s="24"/>
      <c r="UKE70" s="24"/>
      <c r="UKF70" s="24"/>
      <c r="UKG70" s="24"/>
      <c r="UKH70" s="24"/>
      <c r="UKI70" s="24"/>
      <c r="UKJ70" s="24"/>
      <c r="UKK70" s="24"/>
      <c r="UKL70" s="24"/>
      <c r="UKM70" s="24"/>
      <c r="UKN70" s="24"/>
      <c r="UKO70" s="24"/>
      <c r="UKP70" s="24"/>
      <c r="UKQ70" s="24"/>
      <c r="UKR70" s="24"/>
      <c r="UKS70" s="24"/>
      <c r="UKT70" s="24"/>
      <c r="UKU70" s="24"/>
      <c r="UKV70" s="24"/>
      <c r="UKW70" s="24"/>
      <c r="UKX70" s="24"/>
      <c r="UKY70" s="24"/>
      <c r="UKZ70" s="24"/>
      <c r="ULA70" s="24"/>
      <c r="ULB70" s="24"/>
      <c r="ULC70" s="24"/>
      <c r="ULD70" s="24"/>
      <c r="ULE70" s="24"/>
      <c r="ULF70" s="24"/>
      <c r="ULG70" s="24"/>
      <c r="ULH70" s="24"/>
      <c r="ULI70" s="24"/>
      <c r="ULJ70" s="24"/>
      <c r="ULK70" s="24"/>
      <c r="ULL70" s="24"/>
      <c r="ULM70" s="24"/>
      <c r="ULN70" s="24"/>
      <c r="ULO70" s="24"/>
      <c r="ULP70" s="24"/>
      <c r="ULQ70" s="24"/>
      <c r="ULR70" s="24"/>
      <c r="ULS70" s="24"/>
      <c r="ULT70" s="24"/>
      <c r="ULU70" s="24"/>
      <c r="ULV70" s="24"/>
      <c r="ULW70" s="24"/>
      <c r="ULX70" s="24"/>
      <c r="ULY70" s="24"/>
      <c r="ULZ70" s="24"/>
      <c r="UMA70" s="24"/>
      <c r="UMB70" s="24"/>
      <c r="UMC70" s="24"/>
      <c r="UMD70" s="24"/>
      <c r="UME70" s="24"/>
      <c r="UMF70" s="24"/>
      <c r="UMG70" s="24"/>
      <c r="UMH70" s="24"/>
      <c r="UMI70" s="24"/>
      <c r="UMJ70" s="24"/>
      <c r="UMK70" s="24"/>
      <c r="UML70" s="24"/>
      <c r="UMM70" s="24"/>
      <c r="UMN70" s="24"/>
      <c r="UMO70" s="24"/>
      <c r="UMP70" s="24"/>
      <c r="UMQ70" s="24"/>
      <c r="UMR70" s="24"/>
      <c r="UMS70" s="24"/>
      <c r="UMT70" s="24"/>
      <c r="UMU70" s="24"/>
      <c r="UMV70" s="24"/>
      <c r="UMW70" s="24"/>
      <c r="UMX70" s="24"/>
      <c r="UMY70" s="24"/>
      <c r="UMZ70" s="24"/>
      <c r="UNA70" s="24"/>
      <c r="UNB70" s="24"/>
      <c r="UNC70" s="24"/>
      <c r="UND70" s="24"/>
      <c r="UNE70" s="24"/>
      <c r="UNF70" s="24"/>
      <c r="UNG70" s="24"/>
      <c r="UNH70" s="24"/>
      <c r="UNI70" s="24"/>
      <c r="UNJ70" s="24"/>
      <c r="UNK70" s="24"/>
      <c r="UNL70" s="24"/>
      <c r="UNM70" s="24"/>
      <c r="UNN70" s="24"/>
      <c r="UNO70" s="24"/>
      <c r="UNP70" s="24"/>
      <c r="UNQ70" s="24"/>
      <c r="UNR70" s="24"/>
      <c r="UNS70" s="24"/>
      <c r="UNT70" s="24"/>
      <c r="UNU70" s="24"/>
      <c r="UNV70" s="24"/>
      <c r="UNW70" s="24"/>
      <c r="UNX70" s="24"/>
      <c r="UNY70" s="24"/>
      <c r="UNZ70" s="24"/>
      <c r="UOA70" s="24"/>
      <c r="UOB70" s="24"/>
      <c r="UOC70" s="24"/>
      <c r="UOD70" s="24"/>
      <c r="UOE70" s="24"/>
      <c r="UOF70" s="24"/>
      <c r="UOG70" s="24"/>
      <c r="UOH70" s="24"/>
      <c r="UOI70" s="24"/>
      <c r="UOJ70" s="24"/>
      <c r="UOK70" s="24"/>
      <c r="UOL70" s="24"/>
      <c r="UOM70" s="24"/>
      <c r="UON70" s="24"/>
      <c r="UOO70" s="24"/>
      <c r="UOP70" s="24"/>
      <c r="UOQ70" s="24"/>
      <c r="UOR70" s="24"/>
      <c r="UOS70" s="24"/>
      <c r="UOT70" s="24"/>
      <c r="UOU70" s="24"/>
      <c r="UOV70" s="24"/>
      <c r="UOW70" s="24"/>
      <c r="UOX70" s="24"/>
      <c r="UOY70" s="24"/>
      <c r="UOZ70" s="24"/>
      <c r="UPA70" s="24"/>
      <c r="UPB70" s="24"/>
      <c r="UPC70" s="24"/>
      <c r="UPD70" s="24"/>
      <c r="UPE70" s="24"/>
      <c r="UPF70" s="24"/>
      <c r="UPG70" s="24"/>
      <c r="UPH70" s="24"/>
      <c r="UPI70" s="24"/>
      <c r="UPJ70" s="24"/>
      <c r="UPK70" s="24"/>
      <c r="UPL70" s="24"/>
      <c r="UPM70" s="24"/>
      <c r="UPN70" s="24"/>
      <c r="UPO70" s="24"/>
      <c r="UPP70" s="24"/>
      <c r="UPQ70" s="24"/>
      <c r="UPR70" s="24"/>
      <c r="UPS70" s="24"/>
      <c r="UPT70" s="24"/>
      <c r="UPU70" s="24"/>
      <c r="UPV70" s="24"/>
      <c r="UPW70" s="24"/>
      <c r="UPX70" s="24"/>
      <c r="UPY70" s="24"/>
      <c r="UPZ70" s="24"/>
      <c r="UQA70" s="24"/>
      <c r="UQB70" s="24"/>
      <c r="UQC70" s="24"/>
      <c r="UQD70" s="24"/>
      <c r="UQE70" s="24"/>
      <c r="UQF70" s="24"/>
      <c r="UQG70" s="24"/>
      <c r="UQH70" s="24"/>
      <c r="UQI70" s="24"/>
      <c r="UQJ70" s="24"/>
      <c r="UQK70" s="24"/>
      <c r="UQL70" s="24"/>
      <c r="UQM70" s="24"/>
      <c r="UQN70" s="24"/>
      <c r="UQO70" s="24"/>
      <c r="UQP70" s="24"/>
      <c r="UQQ70" s="24"/>
      <c r="UQR70" s="24"/>
      <c r="UQS70" s="24"/>
      <c r="UQT70" s="24"/>
      <c r="UQU70" s="24"/>
      <c r="UQV70" s="24"/>
      <c r="UQW70" s="24"/>
      <c r="UQX70" s="24"/>
      <c r="UQY70" s="24"/>
      <c r="UQZ70" s="24"/>
      <c r="URA70" s="24"/>
      <c r="URB70" s="24"/>
      <c r="URC70" s="24"/>
      <c r="URD70" s="24"/>
      <c r="URE70" s="24"/>
      <c r="URF70" s="24"/>
      <c r="URG70" s="24"/>
      <c r="URH70" s="24"/>
      <c r="URI70" s="24"/>
      <c r="URJ70" s="24"/>
      <c r="URK70" s="24"/>
      <c r="URL70" s="24"/>
      <c r="URM70" s="24"/>
      <c r="URN70" s="24"/>
      <c r="URO70" s="24"/>
      <c r="URP70" s="24"/>
      <c r="URQ70" s="24"/>
      <c r="URR70" s="24"/>
      <c r="URS70" s="24"/>
      <c r="URT70" s="24"/>
      <c r="URU70" s="24"/>
      <c r="URV70" s="24"/>
      <c r="URW70" s="24"/>
      <c r="URX70" s="24"/>
      <c r="URY70" s="24"/>
      <c r="URZ70" s="24"/>
      <c r="USA70" s="24"/>
      <c r="USB70" s="24"/>
      <c r="USC70" s="24"/>
      <c r="USD70" s="24"/>
      <c r="USE70" s="24"/>
      <c r="USF70" s="24"/>
      <c r="USG70" s="24"/>
      <c r="USH70" s="24"/>
      <c r="USI70" s="24"/>
      <c r="USJ70" s="24"/>
      <c r="USK70" s="24"/>
      <c r="USL70" s="24"/>
      <c r="USM70" s="24"/>
      <c r="USN70" s="24"/>
      <c r="USO70" s="24"/>
      <c r="USP70" s="24"/>
      <c r="USQ70" s="24"/>
      <c r="USR70" s="24"/>
      <c r="USS70" s="24"/>
      <c r="UST70" s="24"/>
      <c r="USU70" s="24"/>
      <c r="USV70" s="24"/>
      <c r="USW70" s="24"/>
      <c r="USX70" s="24"/>
      <c r="USY70" s="24"/>
      <c r="USZ70" s="24"/>
      <c r="UTA70" s="24"/>
      <c r="UTB70" s="24"/>
      <c r="UTC70" s="24"/>
      <c r="UTD70" s="24"/>
      <c r="UTE70" s="24"/>
      <c r="UTF70" s="24"/>
      <c r="UTG70" s="24"/>
      <c r="UTH70" s="24"/>
      <c r="UTI70" s="24"/>
      <c r="UTJ70" s="24"/>
      <c r="UTK70" s="24"/>
      <c r="UTL70" s="24"/>
      <c r="UTM70" s="24"/>
      <c r="UTN70" s="24"/>
      <c r="UTO70" s="24"/>
      <c r="UTP70" s="24"/>
      <c r="UTQ70" s="24"/>
      <c r="UTR70" s="24"/>
      <c r="UTS70" s="24"/>
      <c r="UTT70" s="24"/>
      <c r="UTU70" s="24"/>
      <c r="UTV70" s="24"/>
      <c r="UTW70" s="24"/>
      <c r="UTX70" s="24"/>
      <c r="UTY70" s="24"/>
      <c r="UTZ70" s="24"/>
      <c r="UUA70" s="24"/>
      <c r="UUB70" s="24"/>
      <c r="UUC70" s="24"/>
      <c r="UUD70" s="24"/>
      <c r="UUE70" s="24"/>
      <c r="UUF70" s="24"/>
      <c r="UUG70" s="24"/>
      <c r="UUH70" s="24"/>
      <c r="UUI70" s="24"/>
      <c r="UUJ70" s="24"/>
      <c r="UUK70" s="24"/>
      <c r="UUL70" s="24"/>
      <c r="UUM70" s="24"/>
      <c r="UUN70" s="24"/>
      <c r="UUO70" s="24"/>
      <c r="UUP70" s="24"/>
      <c r="UUQ70" s="24"/>
      <c r="UUR70" s="24"/>
      <c r="UUS70" s="24"/>
      <c r="UUT70" s="24"/>
      <c r="UUU70" s="24"/>
      <c r="UUV70" s="24"/>
      <c r="UUW70" s="24"/>
      <c r="UUX70" s="24"/>
      <c r="UUY70" s="24"/>
      <c r="UUZ70" s="24"/>
      <c r="UVA70" s="24"/>
      <c r="UVB70" s="24"/>
      <c r="UVC70" s="24"/>
      <c r="UVD70" s="24"/>
      <c r="UVE70" s="24"/>
      <c r="UVF70" s="24"/>
      <c r="UVG70" s="24"/>
      <c r="UVH70" s="24"/>
      <c r="UVI70" s="24"/>
      <c r="UVJ70" s="24"/>
      <c r="UVK70" s="24"/>
      <c r="UVL70" s="24"/>
      <c r="UVM70" s="24"/>
      <c r="UVN70" s="24"/>
      <c r="UVO70" s="24"/>
      <c r="UVP70" s="24"/>
      <c r="UVQ70" s="24"/>
      <c r="UVR70" s="24"/>
      <c r="UVS70" s="24"/>
      <c r="UVT70" s="24"/>
      <c r="UVU70" s="24"/>
      <c r="UVV70" s="24"/>
      <c r="UVW70" s="24"/>
      <c r="UVX70" s="24"/>
      <c r="UVY70" s="24"/>
      <c r="UVZ70" s="24"/>
      <c r="UWA70" s="24"/>
      <c r="UWB70" s="24"/>
      <c r="UWC70" s="24"/>
      <c r="UWD70" s="24"/>
      <c r="UWE70" s="24"/>
      <c r="UWF70" s="24"/>
      <c r="UWG70" s="24"/>
      <c r="UWH70" s="24"/>
      <c r="UWI70" s="24"/>
      <c r="UWJ70" s="24"/>
      <c r="UWK70" s="24"/>
      <c r="UWL70" s="24"/>
      <c r="UWM70" s="24"/>
      <c r="UWN70" s="24"/>
      <c r="UWO70" s="24"/>
      <c r="UWP70" s="24"/>
      <c r="UWQ70" s="24"/>
      <c r="UWR70" s="24"/>
      <c r="UWS70" s="24"/>
      <c r="UWT70" s="24"/>
      <c r="UWU70" s="24"/>
      <c r="UWV70" s="24"/>
      <c r="UWW70" s="24"/>
      <c r="UWX70" s="24"/>
      <c r="UWY70" s="24"/>
      <c r="UWZ70" s="24"/>
      <c r="UXA70" s="24"/>
      <c r="UXB70" s="24"/>
      <c r="UXC70" s="24"/>
      <c r="UXD70" s="24"/>
      <c r="UXE70" s="24"/>
      <c r="UXF70" s="24"/>
      <c r="UXG70" s="24"/>
      <c r="UXH70" s="24"/>
      <c r="UXI70" s="24"/>
      <c r="UXJ70" s="24"/>
      <c r="UXK70" s="24"/>
      <c r="UXL70" s="24"/>
      <c r="UXM70" s="24"/>
      <c r="UXN70" s="24"/>
      <c r="UXO70" s="24"/>
      <c r="UXP70" s="24"/>
      <c r="UXQ70" s="24"/>
      <c r="UXR70" s="24"/>
      <c r="UXS70" s="24"/>
      <c r="UXT70" s="24"/>
      <c r="UXU70" s="24"/>
      <c r="UXV70" s="24"/>
      <c r="UXW70" s="24"/>
      <c r="UXX70" s="24"/>
      <c r="UXY70" s="24"/>
      <c r="UXZ70" s="24"/>
      <c r="UYA70" s="24"/>
      <c r="UYB70" s="24"/>
      <c r="UYC70" s="24"/>
      <c r="UYD70" s="24"/>
      <c r="UYE70" s="24"/>
      <c r="UYF70" s="24"/>
      <c r="UYG70" s="24"/>
      <c r="UYH70" s="24"/>
      <c r="UYI70" s="24"/>
      <c r="UYJ70" s="24"/>
      <c r="UYK70" s="24"/>
      <c r="UYL70" s="24"/>
      <c r="UYM70" s="24"/>
      <c r="UYN70" s="24"/>
      <c r="UYO70" s="24"/>
      <c r="UYP70" s="24"/>
      <c r="UYQ70" s="24"/>
      <c r="UYR70" s="24"/>
      <c r="UYS70" s="24"/>
      <c r="UYT70" s="24"/>
      <c r="UYU70" s="24"/>
      <c r="UYV70" s="24"/>
      <c r="UYW70" s="24"/>
      <c r="UYX70" s="24"/>
      <c r="UYY70" s="24"/>
      <c r="UYZ70" s="24"/>
      <c r="UZA70" s="24"/>
      <c r="UZB70" s="24"/>
      <c r="UZC70" s="24"/>
      <c r="UZD70" s="24"/>
      <c r="UZE70" s="24"/>
      <c r="UZF70" s="24"/>
      <c r="UZG70" s="24"/>
      <c r="UZH70" s="24"/>
      <c r="UZI70" s="24"/>
      <c r="UZJ70" s="24"/>
      <c r="UZK70" s="24"/>
      <c r="UZL70" s="24"/>
      <c r="UZM70" s="24"/>
      <c r="UZN70" s="24"/>
      <c r="UZO70" s="24"/>
      <c r="UZP70" s="24"/>
      <c r="UZQ70" s="24"/>
      <c r="UZR70" s="24"/>
      <c r="UZS70" s="24"/>
      <c r="UZT70" s="24"/>
      <c r="UZU70" s="24"/>
      <c r="UZV70" s="24"/>
      <c r="UZW70" s="24"/>
      <c r="UZX70" s="24"/>
      <c r="UZY70" s="24"/>
      <c r="UZZ70" s="24"/>
      <c r="VAA70" s="24"/>
      <c r="VAB70" s="24"/>
      <c r="VAC70" s="24"/>
      <c r="VAD70" s="24"/>
      <c r="VAE70" s="24"/>
      <c r="VAF70" s="24"/>
      <c r="VAG70" s="24"/>
      <c r="VAH70" s="24"/>
      <c r="VAI70" s="24"/>
      <c r="VAJ70" s="24"/>
      <c r="VAK70" s="24"/>
      <c r="VAL70" s="24"/>
      <c r="VAM70" s="24"/>
      <c r="VAN70" s="24"/>
      <c r="VAO70" s="24"/>
      <c r="VAP70" s="24"/>
      <c r="VAQ70" s="24"/>
      <c r="VAR70" s="24"/>
      <c r="VAS70" s="24"/>
      <c r="VAT70" s="24"/>
      <c r="VAU70" s="24"/>
      <c r="VAV70" s="24"/>
      <c r="VAW70" s="24"/>
      <c r="VAX70" s="24"/>
      <c r="VAY70" s="24"/>
      <c r="VAZ70" s="24"/>
      <c r="VBA70" s="24"/>
      <c r="VBB70" s="24"/>
      <c r="VBC70" s="24"/>
      <c r="VBD70" s="24"/>
      <c r="VBE70" s="24"/>
      <c r="VBF70" s="24"/>
      <c r="VBG70" s="24"/>
      <c r="VBH70" s="24"/>
      <c r="VBI70" s="24"/>
      <c r="VBJ70" s="24"/>
      <c r="VBK70" s="24"/>
      <c r="VBL70" s="24"/>
      <c r="VBM70" s="24"/>
      <c r="VBN70" s="24"/>
      <c r="VBO70" s="24"/>
      <c r="VBP70" s="24"/>
      <c r="VBQ70" s="24"/>
      <c r="VBR70" s="24"/>
      <c r="VBS70" s="24"/>
      <c r="VBT70" s="24"/>
      <c r="VBU70" s="24"/>
      <c r="VBV70" s="24"/>
      <c r="VBW70" s="24"/>
      <c r="VBX70" s="24"/>
      <c r="VBY70" s="24"/>
      <c r="VBZ70" s="24"/>
      <c r="VCA70" s="24"/>
      <c r="VCB70" s="24"/>
      <c r="VCC70" s="24"/>
      <c r="VCD70" s="24"/>
      <c r="VCE70" s="24"/>
      <c r="VCF70" s="24"/>
      <c r="VCG70" s="24"/>
      <c r="VCH70" s="24"/>
      <c r="VCI70" s="24"/>
      <c r="VCJ70" s="24"/>
      <c r="VCK70" s="24"/>
      <c r="VCL70" s="24"/>
      <c r="VCM70" s="24"/>
      <c r="VCN70" s="24"/>
      <c r="VCO70" s="24"/>
      <c r="VCP70" s="24"/>
      <c r="VCQ70" s="24"/>
      <c r="VCR70" s="24"/>
      <c r="VCS70" s="24"/>
      <c r="VCT70" s="24"/>
      <c r="VCU70" s="24"/>
      <c r="VCV70" s="24"/>
      <c r="VCW70" s="24"/>
      <c r="VCX70" s="24"/>
      <c r="VCY70" s="24"/>
      <c r="VCZ70" s="24"/>
      <c r="VDA70" s="24"/>
      <c r="VDB70" s="24"/>
      <c r="VDC70" s="24"/>
      <c r="VDD70" s="24"/>
      <c r="VDE70" s="24"/>
      <c r="VDF70" s="24"/>
      <c r="VDG70" s="24"/>
      <c r="VDH70" s="24"/>
      <c r="VDI70" s="24"/>
      <c r="VDJ70" s="24"/>
      <c r="VDK70" s="24"/>
      <c r="VDL70" s="24"/>
      <c r="VDM70" s="24"/>
      <c r="VDN70" s="24"/>
      <c r="VDO70" s="24"/>
      <c r="VDP70" s="24"/>
      <c r="VDQ70" s="24"/>
      <c r="VDR70" s="24"/>
      <c r="VDS70" s="24"/>
      <c r="VDT70" s="24"/>
      <c r="VDU70" s="24"/>
      <c r="VDV70" s="24"/>
      <c r="VDW70" s="24"/>
      <c r="VDX70" s="24"/>
      <c r="VDY70" s="24"/>
      <c r="VDZ70" s="24"/>
      <c r="VEA70" s="24"/>
      <c r="VEB70" s="24"/>
      <c r="VEC70" s="24"/>
      <c r="VED70" s="24"/>
      <c r="VEE70" s="24"/>
      <c r="VEF70" s="24"/>
      <c r="VEG70" s="24"/>
      <c r="VEH70" s="24"/>
      <c r="VEI70" s="24"/>
      <c r="VEJ70" s="24"/>
      <c r="VEK70" s="24"/>
      <c r="VEL70" s="24"/>
      <c r="VEM70" s="24"/>
      <c r="VEN70" s="24"/>
      <c r="VEO70" s="24"/>
      <c r="VEP70" s="24"/>
      <c r="VEQ70" s="24"/>
      <c r="VER70" s="24"/>
      <c r="VES70" s="24"/>
      <c r="VET70" s="24"/>
      <c r="VEU70" s="24"/>
      <c r="VEV70" s="24"/>
      <c r="VEW70" s="24"/>
      <c r="VEX70" s="24"/>
      <c r="VEY70" s="24"/>
      <c r="VEZ70" s="24"/>
      <c r="VFA70" s="24"/>
      <c r="VFB70" s="24"/>
      <c r="VFC70" s="24"/>
      <c r="VFD70" s="24"/>
      <c r="VFE70" s="24"/>
      <c r="VFF70" s="24"/>
      <c r="VFG70" s="24"/>
      <c r="VFH70" s="24"/>
      <c r="VFI70" s="24"/>
      <c r="VFJ70" s="24"/>
      <c r="VFK70" s="24"/>
      <c r="VFL70" s="24"/>
      <c r="VFM70" s="24"/>
      <c r="VFN70" s="24"/>
      <c r="VFO70" s="24"/>
      <c r="VFP70" s="24"/>
      <c r="VFQ70" s="24"/>
      <c r="VFR70" s="24"/>
      <c r="VFS70" s="24"/>
      <c r="VFT70" s="24"/>
      <c r="VFU70" s="24"/>
      <c r="VFV70" s="24"/>
      <c r="VFW70" s="24"/>
      <c r="VFX70" s="24"/>
      <c r="VFY70" s="24"/>
      <c r="VFZ70" s="24"/>
      <c r="VGA70" s="24"/>
      <c r="VGB70" s="24"/>
      <c r="VGC70" s="24"/>
      <c r="VGD70" s="24"/>
      <c r="VGE70" s="24"/>
      <c r="VGF70" s="24"/>
      <c r="VGG70" s="24"/>
      <c r="VGH70" s="24"/>
      <c r="VGI70" s="24"/>
      <c r="VGJ70" s="24"/>
      <c r="VGK70" s="24"/>
      <c r="VGL70" s="24"/>
      <c r="VGM70" s="24"/>
      <c r="VGN70" s="24"/>
      <c r="VGO70" s="24"/>
      <c r="VGP70" s="24"/>
      <c r="VGQ70" s="24"/>
      <c r="VGR70" s="24"/>
      <c r="VGS70" s="24"/>
      <c r="VGT70" s="24"/>
      <c r="VGU70" s="24"/>
      <c r="VGV70" s="24"/>
      <c r="VGW70" s="24"/>
      <c r="VGX70" s="24"/>
      <c r="VGY70" s="24"/>
      <c r="VGZ70" s="24"/>
      <c r="VHA70" s="24"/>
      <c r="VHB70" s="24"/>
      <c r="VHC70" s="24"/>
      <c r="VHD70" s="24"/>
      <c r="VHE70" s="24"/>
      <c r="VHF70" s="24"/>
      <c r="VHG70" s="24"/>
      <c r="VHH70" s="24"/>
      <c r="VHI70" s="24"/>
      <c r="VHJ70" s="24"/>
      <c r="VHK70" s="24"/>
      <c r="VHL70" s="24"/>
      <c r="VHM70" s="24"/>
      <c r="VHN70" s="24"/>
      <c r="VHO70" s="24"/>
      <c r="VHP70" s="24"/>
      <c r="VHQ70" s="24"/>
      <c r="VHR70" s="24"/>
      <c r="VHS70" s="24"/>
      <c r="VHT70" s="24"/>
      <c r="VHU70" s="24"/>
      <c r="VHV70" s="24"/>
      <c r="VHW70" s="24"/>
      <c r="VHX70" s="24"/>
      <c r="VHY70" s="24"/>
      <c r="VHZ70" s="24"/>
      <c r="VIA70" s="24"/>
      <c r="VIB70" s="24"/>
      <c r="VIC70" s="24"/>
      <c r="VID70" s="24"/>
      <c r="VIE70" s="24"/>
      <c r="VIF70" s="24"/>
      <c r="VIG70" s="24"/>
      <c r="VIH70" s="24"/>
      <c r="VII70" s="24"/>
      <c r="VIJ70" s="24"/>
      <c r="VIK70" s="24"/>
      <c r="VIL70" s="24"/>
      <c r="VIM70" s="24"/>
      <c r="VIN70" s="24"/>
      <c r="VIO70" s="24"/>
      <c r="VIP70" s="24"/>
      <c r="VIQ70" s="24"/>
      <c r="VIR70" s="24"/>
      <c r="VIS70" s="24"/>
      <c r="VIT70" s="24"/>
      <c r="VIU70" s="24"/>
      <c r="VIV70" s="24"/>
      <c r="VIW70" s="24"/>
      <c r="VIX70" s="24"/>
      <c r="VIY70" s="24"/>
      <c r="VIZ70" s="24"/>
      <c r="VJA70" s="24"/>
      <c r="VJB70" s="24"/>
      <c r="VJC70" s="24"/>
      <c r="VJD70" s="24"/>
      <c r="VJE70" s="24"/>
      <c r="VJF70" s="24"/>
      <c r="VJG70" s="24"/>
      <c r="VJH70" s="24"/>
      <c r="VJI70" s="24"/>
      <c r="VJJ70" s="24"/>
      <c r="VJK70" s="24"/>
      <c r="VJL70" s="24"/>
      <c r="VJM70" s="24"/>
      <c r="VJN70" s="24"/>
      <c r="VJO70" s="24"/>
      <c r="VJP70" s="24"/>
      <c r="VJQ70" s="24"/>
      <c r="VJR70" s="24"/>
      <c r="VJS70" s="24"/>
      <c r="VJT70" s="24"/>
      <c r="VJU70" s="24"/>
      <c r="VJV70" s="24"/>
      <c r="VJW70" s="24"/>
      <c r="VJX70" s="24"/>
      <c r="VJY70" s="24"/>
      <c r="VJZ70" s="24"/>
      <c r="VKA70" s="24"/>
      <c r="VKB70" s="24"/>
      <c r="VKC70" s="24"/>
      <c r="VKD70" s="24"/>
      <c r="VKE70" s="24"/>
      <c r="VKF70" s="24"/>
      <c r="VKG70" s="24"/>
      <c r="VKH70" s="24"/>
      <c r="VKI70" s="24"/>
      <c r="VKJ70" s="24"/>
      <c r="VKK70" s="24"/>
      <c r="VKL70" s="24"/>
      <c r="VKM70" s="24"/>
      <c r="VKN70" s="24"/>
      <c r="VKO70" s="24"/>
      <c r="VKP70" s="24"/>
      <c r="VKQ70" s="24"/>
      <c r="VKR70" s="24"/>
      <c r="VKS70" s="24"/>
      <c r="VKT70" s="24"/>
      <c r="VKU70" s="24"/>
      <c r="VKV70" s="24"/>
      <c r="VKW70" s="24"/>
      <c r="VKX70" s="24"/>
      <c r="VKY70" s="24"/>
      <c r="VKZ70" s="24"/>
      <c r="VLA70" s="24"/>
      <c r="VLB70" s="24"/>
      <c r="VLC70" s="24"/>
      <c r="VLD70" s="24"/>
      <c r="VLE70" s="24"/>
      <c r="VLF70" s="24"/>
      <c r="VLG70" s="24"/>
      <c r="VLH70" s="24"/>
      <c r="VLI70" s="24"/>
      <c r="VLJ70" s="24"/>
      <c r="VLK70" s="24"/>
      <c r="VLL70" s="24"/>
      <c r="VLM70" s="24"/>
      <c r="VLN70" s="24"/>
      <c r="VLO70" s="24"/>
      <c r="VLP70" s="24"/>
      <c r="VLQ70" s="24"/>
      <c r="VLR70" s="24"/>
      <c r="VLS70" s="24"/>
      <c r="VLT70" s="24"/>
      <c r="VLU70" s="24"/>
      <c r="VLV70" s="24"/>
      <c r="VLW70" s="24"/>
      <c r="VLX70" s="24"/>
      <c r="VLY70" s="24"/>
      <c r="VLZ70" s="24"/>
      <c r="VMA70" s="24"/>
      <c r="VMB70" s="24"/>
      <c r="VMC70" s="24"/>
      <c r="VMD70" s="24"/>
      <c r="VME70" s="24"/>
      <c r="VMF70" s="24"/>
      <c r="VMG70" s="24"/>
      <c r="VMH70" s="24"/>
      <c r="VMI70" s="24"/>
      <c r="VMJ70" s="24"/>
      <c r="VMK70" s="24"/>
      <c r="VML70" s="24"/>
      <c r="VMM70" s="24"/>
      <c r="VMN70" s="24"/>
      <c r="VMO70" s="24"/>
      <c r="VMP70" s="24"/>
      <c r="VMQ70" s="24"/>
      <c r="VMR70" s="24"/>
      <c r="VMS70" s="24"/>
      <c r="VMT70" s="24"/>
      <c r="VMU70" s="24"/>
      <c r="VMV70" s="24"/>
      <c r="VMW70" s="24"/>
      <c r="VMX70" s="24"/>
      <c r="VMY70" s="24"/>
      <c r="VMZ70" s="24"/>
      <c r="VNA70" s="24"/>
      <c r="VNB70" s="24"/>
      <c r="VNC70" s="24"/>
      <c r="VND70" s="24"/>
      <c r="VNE70" s="24"/>
      <c r="VNF70" s="24"/>
      <c r="VNG70" s="24"/>
      <c r="VNH70" s="24"/>
      <c r="VNI70" s="24"/>
      <c r="VNJ70" s="24"/>
      <c r="VNK70" s="24"/>
      <c r="VNL70" s="24"/>
      <c r="VNM70" s="24"/>
      <c r="VNN70" s="24"/>
      <c r="VNO70" s="24"/>
      <c r="VNP70" s="24"/>
      <c r="VNQ70" s="24"/>
      <c r="VNR70" s="24"/>
      <c r="VNS70" s="24"/>
      <c r="VNT70" s="24"/>
      <c r="VNU70" s="24"/>
      <c r="VNV70" s="24"/>
      <c r="VNW70" s="24"/>
      <c r="VNX70" s="24"/>
      <c r="VNY70" s="24"/>
      <c r="VNZ70" s="24"/>
      <c r="VOA70" s="24"/>
      <c r="VOB70" s="24"/>
      <c r="VOC70" s="24"/>
      <c r="VOD70" s="24"/>
      <c r="VOE70" s="24"/>
      <c r="VOF70" s="24"/>
      <c r="VOG70" s="24"/>
      <c r="VOH70" s="24"/>
      <c r="VOI70" s="24"/>
      <c r="VOJ70" s="24"/>
      <c r="VOK70" s="24"/>
      <c r="VOL70" s="24"/>
      <c r="VOM70" s="24"/>
      <c r="VON70" s="24"/>
      <c r="VOO70" s="24"/>
      <c r="VOP70" s="24"/>
      <c r="VOQ70" s="24"/>
      <c r="VOR70" s="24"/>
      <c r="VOS70" s="24"/>
      <c r="VOT70" s="24"/>
      <c r="VOU70" s="24"/>
      <c r="VOV70" s="24"/>
      <c r="VOW70" s="24"/>
      <c r="VOX70" s="24"/>
      <c r="VOY70" s="24"/>
      <c r="VOZ70" s="24"/>
      <c r="VPA70" s="24"/>
      <c r="VPB70" s="24"/>
      <c r="VPC70" s="24"/>
      <c r="VPD70" s="24"/>
      <c r="VPE70" s="24"/>
      <c r="VPF70" s="24"/>
      <c r="VPG70" s="24"/>
      <c r="VPH70" s="24"/>
      <c r="VPI70" s="24"/>
      <c r="VPJ70" s="24"/>
      <c r="VPK70" s="24"/>
      <c r="VPL70" s="24"/>
      <c r="VPM70" s="24"/>
      <c r="VPN70" s="24"/>
      <c r="VPO70" s="24"/>
      <c r="VPP70" s="24"/>
      <c r="VPQ70" s="24"/>
      <c r="VPR70" s="24"/>
      <c r="VPS70" s="24"/>
      <c r="VPT70" s="24"/>
      <c r="VPU70" s="24"/>
      <c r="VPV70" s="24"/>
      <c r="VPW70" s="24"/>
      <c r="VPX70" s="24"/>
      <c r="VPY70" s="24"/>
      <c r="VPZ70" s="24"/>
      <c r="VQA70" s="24"/>
      <c r="VQB70" s="24"/>
      <c r="VQC70" s="24"/>
      <c r="VQD70" s="24"/>
      <c r="VQE70" s="24"/>
      <c r="VQF70" s="24"/>
      <c r="VQG70" s="24"/>
      <c r="VQH70" s="24"/>
      <c r="VQI70" s="24"/>
      <c r="VQJ70" s="24"/>
      <c r="VQK70" s="24"/>
      <c r="VQL70" s="24"/>
      <c r="VQM70" s="24"/>
      <c r="VQN70" s="24"/>
      <c r="VQO70" s="24"/>
      <c r="VQP70" s="24"/>
      <c r="VQQ70" s="24"/>
      <c r="VQR70" s="24"/>
      <c r="VQS70" s="24"/>
      <c r="VQT70" s="24"/>
      <c r="VQU70" s="24"/>
      <c r="VQV70" s="24"/>
      <c r="VQW70" s="24"/>
      <c r="VQX70" s="24"/>
      <c r="VQY70" s="24"/>
      <c r="VQZ70" s="24"/>
      <c r="VRA70" s="24"/>
      <c r="VRB70" s="24"/>
      <c r="VRC70" s="24"/>
      <c r="VRD70" s="24"/>
      <c r="VRE70" s="24"/>
      <c r="VRF70" s="24"/>
      <c r="VRG70" s="24"/>
      <c r="VRH70" s="24"/>
      <c r="VRI70" s="24"/>
      <c r="VRJ70" s="24"/>
      <c r="VRK70" s="24"/>
      <c r="VRL70" s="24"/>
      <c r="VRM70" s="24"/>
      <c r="VRN70" s="24"/>
      <c r="VRO70" s="24"/>
      <c r="VRP70" s="24"/>
      <c r="VRQ70" s="24"/>
      <c r="VRR70" s="24"/>
      <c r="VRS70" s="24"/>
      <c r="VRT70" s="24"/>
      <c r="VRU70" s="24"/>
      <c r="VRV70" s="24"/>
      <c r="VRW70" s="24"/>
      <c r="VRX70" s="24"/>
      <c r="VRY70" s="24"/>
      <c r="VRZ70" s="24"/>
      <c r="VSA70" s="24"/>
      <c r="VSB70" s="24"/>
      <c r="VSC70" s="24"/>
      <c r="VSD70" s="24"/>
      <c r="VSE70" s="24"/>
      <c r="VSF70" s="24"/>
      <c r="VSG70" s="24"/>
      <c r="VSH70" s="24"/>
      <c r="VSI70" s="24"/>
      <c r="VSJ70" s="24"/>
      <c r="VSK70" s="24"/>
      <c r="VSL70" s="24"/>
      <c r="VSM70" s="24"/>
      <c r="VSN70" s="24"/>
      <c r="VSO70" s="24"/>
      <c r="VSP70" s="24"/>
      <c r="VSQ70" s="24"/>
      <c r="VSR70" s="24"/>
      <c r="VSS70" s="24"/>
      <c r="VST70" s="24"/>
      <c r="VSU70" s="24"/>
      <c r="VSV70" s="24"/>
      <c r="VSW70" s="24"/>
      <c r="VSX70" s="24"/>
      <c r="VSY70" s="24"/>
      <c r="VSZ70" s="24"/>
      <c r="VTA70" s="24"/>
      <c r="VTB70" s="24"/>
      <c r="VTC70" s="24"/>
      <c r="VTD70" s="24"/>
      <c r="VTE70" s="24"/>
      <c r="VTF70" s="24"/>
      <c r="VTG70" s="24"/>
      <c r="VTH70" s="24"/>
      <c r="VTI70" s="24"/>
      <c r="VTJ70" s="24"/>
      <c r="VTK70" s="24"/>
      <c r="VTL70" s="24"/>
      <c r="VTM70" s="24"/>
      <c r="VTN70" s="24"/>
      <c r="VTO70" s="24"/>
      <c r="VTP70" s="24"/>
      <c r="VTQ70" s="24"/>
      <c r="VTR70" s="24"/>
      <c r="VTS70" s="24"/>
      <c r="VTT70" s="24"/>
      <c r="VTU70" s="24"/>
      <c r="VTV70" s="24"/>
      <c r="VTW70" s="24"/>
      <c r="VTX70" s="24"/>
      <c r="VTY70" s="24"/>
      <c r="VTZ70" s="24"/>
      <c r="VUA70" s="24"/>
      <c r="VUB70" s="24"/>
      <c r="VUC70" s="24"/>
      <c r="VUD70" s="24"/>
      <c r="VUE70" s="24"/>
      <c r="VUF70" s="24"/>
      <c r="VUG70" s="24"/>
      <c r="VUH70" s="24"/>
      <c r="VUI70" s="24"/>
      <c r="VUJ70" s="24"/>
      <c r="VUK70" s="24"/>
      <c r="VUL70" s="24"/>
      <c r="VUM70" s="24"/>
      <c r="VUN70" s="24"/>
      <c r="VUO70" s="24"/>
      <c r="VUP70" s="24"/>
      <c r="VUQ70" s="24"/>
      <c r="VUR70" s="24"/>
      <c r="VUS70" s="24"/>
      <c r="VUT70" s="24"/>
      <c r="VUU70" s="24"/>
      <c r="VUV70" s="24"/>
      <c r="VUW70" s="24"/>
      <c r="VUX70" s="24"/>
      <c r="VUY70" s="24"/>
      <c r="VUZ70" s="24"/>
      <c r="VVA70" s="24"/>
      <c r="VVB70" s="24"/>
      <c r="VVC70" s="24"/>
      <c r="VVD70" s="24"/>
      <c r="VVE70" s="24"/>
      <c r="VVF70" s="24"/>
      <c r="VVG70" s="24"/>
      <c r="VVH70" s="24"/>
      <c r="VVI70" s="24"/>
      <c r="VVJ70" s="24"/>
      <c r="VVK70" s="24"/>
      <c r="VVL70" s="24"/>
      <c r="VVM70" s="24"/>
      <c r="VVN70" s="24"/>
      <c r="VVO70" s="24"/>
      <c r="VVP70" s="24"/>
      <c r="VVQ70" s="24"/>
      <c r="VVR70" s="24"/>
      <c r="VVS70" s="24"/>
      <c r="VVT70" s="24"/>
      <c r="VVU70" s="24"/>
      <c r="VVV70" s="24"/>
      <c r="VVW70" s="24"/>
      <c r="VVX70" s="24"/>
      <c r="VVY70" s="24"/>
      <c r="VVZ70" s="24"/>
      <c r="VWA70" s="24"/>
      <c r="VWB70" s="24"/>
      <c r="VWC70" s="24"/>
      <c r="VWD70" s="24"/>
      <c r="VWE70" s="24"/>
      <c r="VWF70" s="24"/>
      <c r="VWG70" s="24"/>
      <c r="VWH70" s="24"/>
      <c r="VWI70" s="24"/>
      <c r="VWJ70" s="24"/>
      <c r="VWK70" s="24"/>
      <c r="VWL70" s="24"/>
      <c r="VWM70" s="24"/>
      <c r="VWN70" s="24"/>
      <c r="VWO70" s="24"/>
      <c r="VWP70" s="24"/>
      <c r="VWQ70" s="24"/>
      <c r="VWR70" s="24"/>
      <c r="VWS70" s="24"/>
      <c r="VWT70" s="24"/>
      <c r="VWU70" s="24"/>
      <c r="VWV70" s="24"/>
      <c r="VWW70" s="24"/>
      <c r="VWX70" s="24"/>
      <c r="VWY70" s="24"/>
      <c r="VWZ70" s="24"/>
      <c r="VXA70" s="24"/>
      <c r="VXB70" s="24"/>
      <c r="VXC70" s="24"/>
      <c r="VXD70" s="24"/>
      <c r="VXE70" s="24"/>
      <c r="VXF70" s="24"/>
      <c r="VXG70" s="24"/>
      <c r="VXH70" s="24"/>
      <c r="VXI70" s="24"/>
      <c r="VXJ70" s="24"/>
      <c r="VXK70" s="24"/>
      <c r="VXL70" s="24"/>
      <c r="VXM70" s="24"/>
      <c r="VXN70" s="24"/>
      <c r="VXO70" s="24"/>
      <c r="VXP70" s="24"/>
      <c r="VXQ70" s="24"/>
      <c r="VXR70" s="24"/>
      <c r="VXS70" s="24"/>
      <c r="VXT70" s="24"/>
      <c r="VXU70" s="24"/>
      <c r="VXV70" s="24"/>
      <c r="VXW70" s="24"/>
      <c r="VXX70" s="24"/>
      <c r="VXY70" s="24"/>
      <c r="VXZ70" s="24"/>
      <c r="VYA70" s="24"/>
      <c r="VYB70" s="24"/>
      <c r="VYC70" s="24"/>
      <c r="VYD70" s="24"/>
      <c r="VYE70" s="24"/>
      <c r="VYF70" s="24"/>
      <c r="VYG70" s="24"/>
      <c r="VYH70" s="24"/>
      <c r="VYI70" s="24"/>
      <c r="VYJ70" s="24"/>
      <c r="VYK70" s="24"/>
      <c r="VYL70" s="24"/>
      <c r="VYM70" s="24"/>
      <c r="VYN70" s="24"/>
      <c r="VYO70" s="24"/>
      <c r="VYP70" s="24"/>
      <c r="VYQ70" s="24"/>
      <c r="VYR70" s="24"/>
      <c r="VYS70" s="24"/>
      <c r="VYT70" s="24"/>
      <c r="VYU70" s="24"/>
      <c r="VYV70" s="24"/>
      <c r="VYW70" s="24"/>
      <c r="VYX70" s="24"/>
      <c r="VYY70" s="24"/>
      <c r="VYZ70" s="24"/>
      <c r="VZA70" s="24"/>
      <c r="VZB70" s="24"/>
      <c r="VZC70" s="24"/>
      <c r="VZD70" s="24"/>
      <c r="VZE70" s="24"/>
      <c r="VZF70" s="24"/>
      <c r="VZG70" s="24"/>
      <c r="VZH70" s="24"/>
      <c r="VZI70" s="24"/>
      <c r="VZJ70" s="24"/>
      <c r="VZK70" s="24"/>
      <c r="VZL70" s="24"/>
      <c r="VZM70" s="24"/>
      <c r="VZN70" s="24"/>
      <c r="VZO70" s="24"/>
      <c r="VZP70" s="24"/>
      <c r="VZQ70" s="24"/>
      <c r="VZR70" s="24"/>
      <c r="VZS70" s="24"/>
      <c r="VZT70" s="24"/>
      <c r="VZU70" s="24"/>
      <c r="VZV70" s="24"/>
      <c r="VZW70" s="24"/>
      <c r="VZX70" s="24"/>
      <c r="VZY70" s="24"/>
      <c r="VZZ70" s="24"/>
      <c r="WAA70" s="24"/>
      <c r="WAB70" s="24"/>
      <c r="WAC70" s="24"/>
      <c r="WAD70" s="24"/>
      <c r="WAE70" s="24"/>
      <c r="WAF70" s="24"/>
      <c r="WAG70" s="24"/>
      <c r="WAH70" s="24"/>
      <c r="WAI70" s="24"/>
      <c r="WAJ70" s="24"/>
      <c r="WAK70" s="24"/>
      <c r="WAL70" s="24"/>
      <c r="WAM70" s="24"/>
      <c r="WAN70" s="24"/>
      <c r="WAO70" s="24"/>
      <c r="WAP70" s="24"/>
      <c r="WAQ70" s="24"/>
      <c r="WAR70" s="24"/>
      <c r="WAS70" s="24"/>
      <c r="WAT70" s="24"/>
      <c r="WAU70" s="24"/>
      <c r="WAV70" s="24"/>
      <c r="WAW70" s="24"/>
      <c r="WAX70" s="24"/>
      <c r="WAY70" s="24"/>
      <c r="WAZ70" s="24"/>
      <c r="WBA70" s="24"/>
      <c r="WBB70" s="24"/>
      <c r="WBC70" s="24"/>
      <c r="WBD70" s="24"/>
      <c r="WBE70" s="24"/>
      <c r="WBF70" s="24"/>
      <c r="WBG70" s="24"/>
      <c r="WBH70" s="24"/>
      <c r="WBI70" s="24"/>
      <c r="WBJ70" s="24"/>
      <c r="WBK70" s="24"/>
      <c r="WBL70" s="24"/>
      <c r="WBM70" s="24"/>
      <c r="WBN70" s="24"/>
      <c r="WBO70" s="24"/>
      <c r="WBP70" s="24"/>
      <c r="WBQ70" s="24"/>
      <c r="WBR70" s="24"/>
      <c r="WBS70" s="24"/>
      <c r="WBT70" s="24"/>
      <c r="WBU70" s="24"/>
      <c r="WBV70" s="24"/>
      <c r="WBW70" s="24"/>
      <c r="WBX70" s="24"/>
      <c r="WBY70" s="24"/>
      <c r="WBZ70" s="24"/>
      <c r="WCA70" s="24"/>
      <c r="WCB70" s="24"/>
      <c r="WCC70" s="24"/>
      <c r="WCD70" s="24"/>
      <c r="WCE70" s="24"/>
      <c r="WCF70" s="24"/>
      <c r="WCG70" s="24"/>
      <c r="WCH70" s="24"/>
      <c r="WCI70" s="24"/>
      <c r="WCJ70" s="24"/>
      <c r="WCK70" s="24"/>
      <c r="WCL70" s="24"/>
      <c r="WCM70" s="24"/>
      <c r="WCN70" s="24"/>
      <c r="WCO70" s="24"/>
      <c r="WCP70" s="24"/>
      <c r="WCQ70" s="24"/>
      <c r="WCR70" s="24"/>
      <c r="WCS70" s="24"/>
      <c r="WCT70" s="24"/>
      <c r="WCU70" s="24"/>
      <c r="WCV70" s="24"/>
      <c r="WCW70" s="24"/>
      <c r="WCX70" s="24"/>
      <c r="WCY70" s="24"/>
      <c r="WCZ70" s="24"/>
      <c r="WDA70" s="24"/>
      <c r="WDB70" s="24"/>
      <c r="WDC70" s="24"/>
      <c r="WDD70" s="24"/>
      <c r="WDE70" s="24"/>
      <c r="WDF70" s="24"/>
      <c r="WDG70" s="24"/>
      <c r="WDH70" s="24"/>
      <c r="WDI70" s="24"/>
      <c r="WDJ70" s="24"/>
      <c r="WDK70" s="24"/>
      <c r="WDL70" s="24"/>
      <c r="WDM70" s="24"/>
      <c r="WDN70" s="24"/>
      <c r="WDO70" s="24"/>
      <c r="WDP70" s="24"/>
      <c r="WDQ70" s="24"/>
      <c r="WDR70" s="24"/>
      <c r="WDS70" s="24"/>
      <c r="WDT70" s="24"/>
      <c r="WDU70" s="24"/>
      <c r="WDV70" s="24"/>
      <c r="WDW70" s="24"/>
      <c r="WDX70" s="24"/>
      <c r="WDY70" s="24"/>
      <c r="WDZ70" s="24"/>
      <c r="WEA70" s="24"/>
      <c r="WEB70" s="24"/>
      <c r="WEC70" s="24"/>
      <c r="WED70" s="24"/>
      <c r="WEE70" s="24"/>
      <c r="WEF70" s="24"/>
      <c r="WEG70" s="24"/>
      <c r="WEH70" s="24"/>
      <c r="WEI70" s="24"/>
      <c r="WEJ70" s="24"/>
      <c r="WEK70" s="24"/>
      <c r="WEL70" s="24"/>
      <c r="WEM70" s="24"/>
      <c r="WEN70" s="24"/>
      <c r="WEO70" s="24"/>
      <c r="WEP70" s="24"/>
      <c r="WEQ70" s="24"/>
      <c r="WER70" s="24"/>
      <c r="WES70" s="24"/>
      <c r="WET70" s="24"/>
      <c r="WEU70" s="24"/>
      <c r="WEV70" s="24"/>
      <c r="WEW70" s="24"/>
      <c r="WEX70" s="24"/>
      <c r="WEY70" s="24"/>
      <c r="WEZ70" s="24"/>
      <c r="WFA70" s="24"/>
      <c r="WFB70" s="24"/>
      <c r="WFC70" s="24"/>
      <c r="WFD70" s="24"/>
      <c r="WFE70" s="24"/>
      <c r="WFF70" s="24"/>
      <c r="WFG70" s="24"/>
      <c r="WFH70" s="24"/>
      <c r="WFI70" s="24"/>
      <c r="WFJ70" s="24"/>
      <c r="WFK70" s="24"/>
      <c r="WFL70" s="24"/>
      <c r="WFM70" s="24"/>
      <c r="WFN70" s="24"/>
      <c r="WFO70" s="24"/>
      <c r="WFP70" s="24"/>
      <c r="WFQ70" s="24"/>
      <c r="WFR70" s="24"/>
      <c r="WFS70" s="24"/>
      <c r="WFT70" s="24"/>
      <c r="WFU70" s="24"/>
      <c r="WFV70" s="24"/>
      <c r="WFW70" s="24"/>
      <c r="WFX70" s="24"/>
      <c r="WFY70" s="24"/>
      <c r="WFZ70" s="24"/>
      <c r="WGA70" s="24"/>
      <c r="WGB70" s="24"/>
      <c r="WGC70" s="24"/>
      <c r="WGD70" s="24"/>
      <c r="WGE70" s="24"/>
      <c r="WGF70" s="24"/>
      <c r="WGG70" s="24"/>
      <c r="WGH70" s="24"/>
      <c r="WGI70" s="24"/>
      <c r="WGJ70" s="24"/>
      <c r="WGK70" s="24"/>
      <c r="WGL70" s="24"/>
      <c r="WGM70" s="24"/>
      <c r="WGN70" s="24"/>
      <c r="WGO70" s="24"/>
      <c r="WGP70" s="24"/>
      <c r="WGQ70" s="24"/>
      <c r="WGR70" s="24"/>
      <c r="WGS70" s="24"/>
      <c r="WGT70" s="24"/>
      <c r="WGU70" s="24"/>
      <c r="WGV70" s="24"/>
      <c r="WGW70" s="24"/>
      <c r="WGX70" s="24"/>
      <c r="WGY70" s="24"/>
      <c r="WGZ70" s="24"/>
      <c r="WHA70" s="24"/>
      <c r="WHB70" s="24"/>
      <c r="WHC70" s="24"/>
      <c r="WHD70" s="24"/>
      <c r="WHE70" s="24"/>
      <c r="WHF70" s="24"/>
      <c r="WHG70" s="24"/>
      <c r="WHH70" s="24"/>
      <c r="WHI70" s="24"/>
      <c r="WHJ70" s="24"/>
      <c r="WHK70" s="24"/>
      <c r="WHL70" s="24"/>
      <c r="WHM70" s="24"/>
      <c r="WHN70" s="24"/>
      <c r="WHO70" s="24"/>
      <c r="WHP70" s="24"/>
      <c r="WHQ70" s="24"/>
      <c r="WHR70" s="24"/>
      <c r="WHS70" s="24"/>
      <c r="WHT70" s="24"/>
      <c r="WHU70" s="24"/>
      <c r="WHV70" s="24"/>
      <c r="WHW70" s="24"/>
      <c r="WHX70" s="24"/>
      <c r="WHY70" s="24"/>
      <c r="WHZ70" s="24"/>
      <c r="WIA70" s="24"/>
      <c r="WIB70" s="24"/>
      <c r="WIC70" s="24"/>
      <c r="WID70" s="24"/>
      <c r="WIE70" s="24"/>
      <c r="WIF70" s="24"/>
      <c r="WIG70" s="24"/>
      <c r="WIH70" s="24"/>
      <c r="WII70" s="24"/>
      <c r="WIJ70" s="24"/>
      <c r="WIK70" s="24"/>
      <c r="WIL70" s="24"/>
      <c r="WIM70" s="24"/>
      <c r="WIN70" s="24"/>
      <c r="WIO70" s="24"/>
      <c r="WIP70" s="24"/>
      <c r="WIQ70" s="24"/>
      <c r="WIR70" s="24"/>
      <c r="WIS70" s="24"/>
      <c r="WIT70" s="24"/>
      <c r="WIU70" s="24"/>
      <c r="WIV70" s="24"/>
      <c r="WIW70" s="24"/>
      <c r="WIX70" s="24"/>
      <c r="WIY70" s="24"/>
      <c r="WIZ70" s="24"/>
      <c r="WJA70" s="24"/>
      <c r="WJB70" s="24"/>
      <c r="WJC70" s="24"/>
      <c r="WJD70" s="24"/>
      <c r="WJE70" s="24"/>
      <c r="WJF70" s="24"/>
      <c r="WJG70" s="24"/>
      <c r="WJH70" s="24"/>
      <c r="WJI70" s="24"/>
      <c r="WJJ70" s="24"/>
      <c r="WJK70" s="24"/>
      <c r="WJL70" s="24"/>
      <c r="WJM70" s="24"/>
      <c r="WJN70" s="24"/>
      <c r="WJO70" s="24"/>
      <c r="WJP70" s="24"/>
      <c r="WJQ70" s="24"/>
      <c r="WJR70" s="24"/>
      <c r="WJS70" s="24"/>
      <c r="WJT70" s="24"/>
      <c r="WJU70" s="24"/>
      <c r="WJV70" s="24"/>
      <c r="WJW70" s="24"/>
      <c r="WJX70" s="24"/>
      <c r="WJY70" s="24"/>
      <c r="WJZ70" s="24"/>
      <c r="WKA70" s="24"/>
      <c r="WKB70" s="24"/>
      <c r="WKC70" s="24"/>
      <c r="WKD70" s="24"/>
      <c r="WKE70" s="24"/>
      <c r="WKF70" s="24"/>
      <c r="WKG70" s="24"/>
      <c r="WKH70" s="24"/>
      <c r="WKI70" s="24"/>
      <c r="WKJ70" s="24"/>
      <c r="WKK70" s="24"/>
      <c r="WKL70" s="24"/>
      <c r="WKM70" s="24"/>
      <c r="WKN70" s="24"/>
      <c r="WKO70" s="24"/>
      <c r="WKP70" s="24"/>
      <c r="WKQ70" s="24"/>
      <c r="WKR70" s="24"/>
      <c r="WKS70" s="24"/>
      <c r="WKT70" s="24"/>
      <c r="WKU70" s="24"/>
      <c r="WKV70" s="24"/>
      <c r="WKW70" s="24"/>
      <c r="WKX70" s="24"/>
      <c r="WKY70" s="24"/>
      <c r="WKZ70" s="24"/>
      <c r="WLA70" s="24"/>
      <c r="WLB70" s="24"/>
      <c r="WLC70" s="24"/>
      <c r="WLD70" s="24"/>
      <c r="WLE70" s="24"/>
      <c r="WLF70" s="24"/>
      <c r="WLG70" s="24"/>
      <c r="WLH70" s="24"/>
      <c r="WLI70" s="24"/>
      <c r="WLJ70" s="24"/>
      <c r="WLK70" s="24"/>
      <c r="WLL70" s="24"/>
      <c r="WLM70" s="24"/>
      <c r="WLN70" s="24"/>
      <c r="WLO70" s="24"/>
      <c r="WLP70" s="24"/>
      <c r="WLQ70" s="24"/>
      <c r="WLR70" s="24"/>
      <c r="WLS70" s="24"/>
      <c r="WLT70" s="24"/>
      <c r="WLU70" s="24"/>
      <c r="WLV70" s="24"/>
      <c r="WLW70" s="24"/>
      <c r="WLX70" s="24"/>
      <c r="WLY70" s="24"/>
      <c r="WLZ70" s="24"/>
      <c r="WMA70" s="24"/>
      <c r="WMB70" s="24"/>
      <c r="WMC70" s="24"/>
      <c r="WMD70" s="24"/>
      <c r="WME70" s="24"/>
      <c r="WMF70" s="24"/>
      <c r="WMG70" s="24"/>
      <c r="WMH70" s="24"/>
      <c r="WMI70" s="24"/>
      <c r="WMJ70" s="24"/>
      <c r="WMK70" s="24"/>
      <c r="WML70" s="24"/>
      <c r="WMM70" s="24"/>
      <c r="WMN70" s="24"/>
      <c r="WMO70" s="24"/>
      <c r="WMP70" s="24"/>
      <c r="WMQ70" s="24"/>
      <c r="WMR70" s="24"/>
      <c r="WMS70" s="24"/>
      <c r="WMT70" s="24"/>
      <c r="WMU70" s="24"/>
      <c r="WMV70" s="24"/>
      <c r="WMW70" s="24"/>
      <c r="WMX70" s="24"/>
      <c r="WMY70" s="24"/>
      <c r="WMZ70" s="24"/>
      <c r="WNA70" s="24"/>
      <c r="WNB70" s="24"/>
      <c r="WNC70" s="24"/>
      <c r="WND70" s="24"/>
      <c r="WNE70" s="24"/>
      <c r="WNF70" s="24"/>
      <c r="WNG70" s="24"/>
      <c r="WNH70" s="24"/>
      <c r="WNI70" s="24"/>
      <c r="WNJ70" s="24"/>
      <c r="WNK70" s="24"/>
      <c r="WNL70" s="24"/>
      <c r="WNM70" s="24"/>
      <c r="WNN70" s="24"/>
      <c r="WNO70" s="24"/>
      <c r="WNP70" s="24"/>
      <c r="WNQ70" s="24"/>
      <c r="WNR70" s="24"/>
      <c r="WNS70" s="24"/>
      <c r="WNT70" s="24"/>
      <c r="WNU70" s="24"/>
      <c r="WNV70" s="24"/>
      <c r="WNW70" s="24"/>
      <c r="WNX70" s="24"/>
      <c r="WNY70" s="24"/>
      <c r="WNZ70" s="24"/>
      <c r="WOA70" s="24"/>
      <c r="WOB70" s="24"/>
      <c r="WOC70" s="24"/>
      <c r="WOD70" s="24"/>
      <c r="WOE70" s="24"/>
      <c r="WOF70" s="24"/>
      <c r="WOG70" s="24"/>
      <c r="WOH70" s="24"/>
      <c r="WOI70" s="24"/>
      <c r="WOJ70" s="24"/>
      <c r="WOK70" s="24"/>
      <c r="WOL70" s="24"/>
      <c r="WOM70" s="24"/>
      <c r="WON70" s="24"/>
      <c r="WOO70" s="24"/>
      <c r="WOP70" s="24"/>
      <c r="WOQ70" s="24"/>
      <c r="WOR70" s="24"/>
      <c r="WOS70" s="24"/>
      <c r="WOT70" s="24"/>
      <c r="WOU70" s="24"/>
      <c r="WOV70" s="24"/>
      <c r="WOW70" s="24"/>
      <c r="WOX70" s="24"/>
      <c r="WOY70" s="24"/>
      <c r="WOZ70" s="24"/>
      <c r="WPA70" s="24"/>
      <c r="WPB70" s="24"/>
      <c r="WPC70" s="24"/>
      <c r="WPD70" s="24"/>
      <c r="WPE70" s="24"/>
      <c r="WPF70" s="24"/>
      <c r="WPG70" s="24"/>
      <c r="WPH70" s="24"/>
      <c r="WPI70" s="24"/>
      <c r="WPJ70" s="24"/>
      <c r="WPK70" s="24"/>
      <c r="WPL70" s="24"/>
      <c r="WPM70" s="24"/>
      <c r="WPN70" s="24"/>
      <c r="WPO70" s="24"/>
      <c r="WPP70" s="24"/>
      <c r="WPQ70" s="24"/>
      <c r="WPR70" s="24"/>
      <c r="WPS70" s="24"/>
      <c r="WPT70" s="24"/>
      <c r="WPU70" s="24"/>
      <c r="WPV70" s="24"/>
      <c r="WPW70" s="24"/>
      <c r="WPX70" s="24"/>
      <c r="WPY70" s="24"/>
      <c r="WPZ70" s="24"/>
      <c r="WQA70" s="24"/>
      <c r="WQB70" s="24"/>
      <c r="WQC70" s="24"/>
      <c r="WQD70" s="24"/>
      <c r="WQE70" s="24"/>
      <c r="WQF70" s="24"/>
      <c r="WQG70" s="24"/>
      <c r="WQH70" s="24"/>
      <c r="WQI70" s="24"/>
      <c r="WQJ70" s="24"/>
      <c r="WQK70" s="24"/>
      <c r="WQL70" s="24"/>
      <c r="WQM70" s="24"/>
      <c r="WQN70" s="24"/>
      <c r="WQO70" s="24"/>
      <c r="WQP70" s="24"/>
      <c r="WQQ70" s="24"/>
      <c r="WQR70" s="24"/>
      <c r="WQS70" s="24"/>
      <c r="WQT70" s="24"/>
      <c r="WQU70" s="24"/>
      <c r="WQV70" s="24"/>
      <c r="WQW70" s="24"/>
      <c r="WQX70" s="24"/>
      <c r="WQY70" s="24"/>
      <c r="WQZ70" s="24"/>
      <c r="WRA70" s="24"/>
      <c r="WRB70" s="24"/>
      <c r="WRC70" s="24"/>
      <c r="WRD70" s="24"/>
      <c r="WRE70" s="24"/>
      <c r="WRF70" s="24"/>
      <c r="WRG70" s="24"/>
      <c r="WRH70" s="24"/>
      <c r="WRI70" s="24"/>
      <c r="WRJ70" s="24"/>
      <c r="WRK70" s="24"/>
      <c r="WRL70" s="24"/>
      <c r="WRM70" s="24"/>
      <c r="WRN70" s="24"/>
      <c r="WRO70" s="24"/>
      <c r="WRP70" s="24"/>
      <c r="WRQ70" s="24"/>
      <c r="WRR70" s="24"/>
      <c r="WRS70" s="24"/>
      <c r="WRT70" s="24"/>
      <c r="WRU70" s="24"/>
      <c r="WRV70" s="24"/>
      <c r="WRW70" s="24"/>
      <c r="WRX70" s="24"/>
      <c r="WRY70" s="24"/>
      <c r="WRZ70" s="24"/>
      <c r="WSA70" s="24"/>
      <c r="WSB70" s="24"/>
      <c r="WSC70" s="24"/>
      <c r="WSD70" s="24"/>
      <c r="WSE70" s="24"/>
      <c r="WSF70" s="24"/>
      <c r="WSG70" s="24"/>
      <c r="WSH70" s="24"/>
      <c r="WSI70" s="24"/>
      <c r="WSJ70" s="24"/>
      <c r="WSK70" s="24"/>
      <c r="WSL70" s="24"/>
      <c r="WSM70" s="24"/>
      <c r="WSN70" s="24"/>
      <c r="WSO70" s="24"/>
      <c r="WSP70" s="24"/>
      <c r="WSQ70" s="24"/>
      <c r="WSR70" s="24"/>
      <c r="WSS70" s="24"/>
      <c r="WST70" s="24"/>
      <c r="WSU70" s="24"/>
      <c r="WSV70" s="24"/>
      <c r="WSW70" s="24"/>
      <c r="WSX70" s="24"/>
      <c r="WSY70" s="24"/>
      <c r="WSZ70" s="24"/>
      <c r="WTA70" s="24"/>
      <c r="WTB70" s="24"/>
      <c r="WTC70" s="24"/>
      <c r="WTD70" s="24"/>
      <c r="WTE70" s="24"/>
      <c r="WTF70" s="24"/>
      <c r="WTG70" s="24"/>
      <c r="WTH70" s="24"/>
      <c r="WTI70" s="24"/>
      <c r="WTJ70" s="24"/>
      <c r="WTK70" s="24"/>
      <c r="WTL70" s="24"/>
      <c r="WTM70" s="24"/>
      <c r="WTN70" s="24"/>
      <c r="WTO70" s="24"/>
      <c r="WTP70" s="24"/>
      <c r="WTQ70" s="24"/>
      <c r="WTR70" s="24"/>
      <c r="WTS70" s="24"/>
      <c r="WTT70" s="24"/>
      <c r="WTU70" s="24"/>
      <c r="WTV70" s="24"/>
      <c r="WTW70" s="24"/>
      <c r="WTX70" s="24"/>
      <c r="WTY70" s="24"/>
      <c r="WTZ70" s="24"/>
      <c r="WUA70" s="24"/>
      <c r="WUB70" s="24"/>
      <c r="WUC70" s="24"/>
      <c r="WUD70" s="24"/>
      <c r="WUE70" s="24"/>
      <c r="WUF70" s="24"/>
      <c r="WUG70" s="24"/>
      <c r="WUH70" s="24"/>
      <c r="WUI70" s="24"/>
      <c r="WUJ70" s="24"/>
      <c r="WUK70" s="24"/>
      <c r="WUL70" s="24"/>
      <c r="WUM70" s="24"/>
      <c r="WUN70" s="24"/>
      <c r="WUO70" s="24"/>
      <c r="WUP70" s="24"/>
      <c r="WUQ70" s="24"/>
      <c r="WUR70" s="24"/>
      <c r="WUS70" s="24"/>
      <c r="WUT70" s="24"/>
      <c r="WUU70" s="24"/>
      <c r="WUV70" s="24"/>
      <c r="WUW70" s="24"/>
      <c r="WUX70" s="24"/>
      <c r="WUY70" s="24"/>
      <c r="WUZ70" s="24"/>
      <c r="WVA70" s="24"/>
      <c r="WVB70" s="24"/>
      <c r="WVC70" s="24"/>
      <c r="WVD70" s="24"/>
      <c r="WVE70" s="24"/>
      <c r="WVF70" s="24"/>
      <c r="WVG70" s="24"/>
      <c r="WVH70" s="24"/>
      <c r="WVI70" s="24"/>
      <c r="WVJ70" s="24"/>
      <c r="WVK70" s="24"/>
      <c r="WVL70" s="24"/>
      <c r="WVM70" s="24"/>
      <c r="WVN70" s="24"/>
      <c r="WVO70" s="24"/>
      <c r="WVP70" s="24"/>
      <c r="WVQ70" s="24"/>
      <c r="WVR70" s="24"/>
      <c r="WVS70" s="24"/>
      <c r="WVT70" s="24"/>
      <c r="WVU70" s="24"/>
      <c r="WVV70" s="24"/>
      <c r="WVW70" s="24"/>
      <c r="WVX70" s="24"/>
      <c r="WVY70" s="24"/>
      <c r="WVZ70" s="24"/>
      <c r="WWA70" s="24"/>
      <c r="WWB70" s="24"/>
      <c r="WWC70" s="24"/>
      <c r="WWD70" s="24"/>
      <c r="WWE70" s="24"/>
      <c r="WWF70" s="24"/>
      <c r="WWG70" s="24"/>
      <c r="WWH70" s="24"/>
      <c r="WWI70" s="24"/>
      <c r="WWJ70" s="24"/>
      <c r="WWK70" s="24"/>
      <c r="WWL70" s="24"/>
      <c r="WWM70" s="24"/>
      <c r="WWN70" s="24"/>
      <c r="WWO70" s="24"/>
      <c r="WWP70" s="24"/>
      <c r="WWQ70" s="24"/>
      <c r="WWR70" s="24"/>
      <c r="WWS70" s="24"/>
      <c r="WWT70" s="24"/>
      <c r="WWU70" s="24"/>
      <c r="WWV70" s="24"/>
      <c r="WWW70" s="24"/>
      <c r="WWX70" s="24"/>
      <c r="WWY70" s="24"/>
      <c r="WWZ70" s="24"/>
      <c r="WXA70" s="24"/>
      <c r="WXB70" s="24"/>
      <c r="WXC70" s="24"/>
      <c r="WXD70" s="24"/>
      <c r="WXE70" s="24"/>
      <c r="WXF70" s="24"/>
      <c r="WXG70" s="24"/>
      <c r="WXH70" s="24"/>
      <c r="WXI70" s="24"/>
      <c r="WXJ70" s="24"/>
      <c r="WXK70" s="24"/>
      <c r="WXL70" s="24"/>
      <c r="WXM70" s="24"/>
      <c r="WXN70" s="24"/>
      <c r="WXO70" s="24"/>
      <c r="WXP70" s="24"/>
      <c r="WXQ70" s="24"/>
      <c r="WXR70" s="24"/>
      <c r="WXS70" s="24"/>
      <c r="WXT70" s="24"/>
      <c r="WXU70" s="24"/>
      <c r="WXV70" s="24"/>
      <c r="WXW70" s="24"/>
      <c r="WXX70" s="24"/>
      <c r="WXY70" s="24"/>
      <c r="WXZ70" s="24"/>
      <c r="WYA70" s="24"/>
      <c r="WYB70" s="24"/>
      <c r="WYC70" s="24"/>
      <c r="WYD70" s="24"/>
      <c r="WYE70" s="24"/>
      <c r="WYF70" s="24"/>
      <c r="WYG70" s="24"/>
      <c r="WYH70" s="24"/>
      <c r="WYI70" s="24"/>
      <c r="WYJ70" s="24"/>
      <c r="WYK70" s="24"/>
      <c r="WYL70" s="24"/>
      <c r="WYM70" s="24"/>
      <c r="WYN70" s="24"/>
      <c r="WYO70" s="24"/>
      <c r="WYP70" s="24"/>
      <c r="WYQ70" s="24"/>
      <c r="WYR70" s="24"/>
      <c r="WYS70" s="24"/>
      <c r="WYT70" s="24"/>
      <c r="WYU70" s="24"/>
      <c r="WYV70" s="24"/>
      <c r="WYW70" s="24"/>
      <c r="WYX70" s="24"/>
      <c r="WYY70" s="24"/>
      <c r="WYZ70" s="24"/>
      <c r="WZA70" s="24"/>
      <c r="WZB70" s="24"/>
      <c r="WZC70" s="24"/>
      <c r="WZD70" s="24"/>
      <c r="WZE70" s="24"/>
      <c r="WZF70" s="24"/>
      <c r="WZG70" s="24"/>
      <c r="WZH70" s="24"/>
      <c r="WZI70" s="24"/>
      <c r="WZJ70" s="24"/>
      <c r="WZK70" s="24"/>
      <c r="WZL70" s="24"/>
      <c r="WZM70" s="24"/>
      <c r="WZN70" s="24"/>
      <c r="WZO70" s="24"/>
      <c r="WZP70" s="24"/>
      <c r="WZQ70" s="24"/>
      <c r="WZR70" s="24"/>
      <c r="WZS70" s="24"/>
      <c r="WZT70" s="24"/>
      <c r="WZU70" s="24"/>
      <c r="WZV70" s="24"/>
      <c r="WZW70" s="24"/>
      <c r="WZX70" s="24"/>
      <c r="WZY70" s="24"/>
      <c r="WZZ70" s="24"/>
      <c r="XAA70" s="24"/>
      <c r="XAB70" s="24"/>
      <c r="XAC70" s="24"/>
      <c r="XAD70" s="24"/>
      <c r="XAE70" s="24"/>
      <c r="XAF70" s="24"/>
      <c r="XAG70" s="24"/>
      <c r="XAH70" s="24"/>
      <c r="XAI70" s="24"/>
      <c r="XAJ70" s="24"/>
      <c r="XAK70" s="24"/>
      <c r="XAL70" s="24"/>
      <c r="XAM70" s="24"/>
      <c r="XAN70" s="24"/>
      <c r="XAO70" s="24"/>
      <c r="XAP70" s="24"/>
      <c r="XAQ70" s="24"/>
      <c r="XAR70" s="24"/>
      <c r="XAS70" s="24"/>
      <c r="XAT70" s="24"/>
      <c r="XAU70" s="24"/>
      <c r="XAV70" s="24"/>
      <c r="XAW70" s="24"/>
      <c r="XAX70" s="24"/>
      <c r="XAY70" s="24"/>
      <c r="XAZ70" s="24"/>
      <c r="XBA70" s="24"/>
      <c r="XBB70" s="24"/>
      <c r="XBC70" s="24"/>
      <c r="XBD70" s="24"/>
      <c r="XBE70" s="24"/>
      <c r="XBF70" s="24"/>
      <c r="XBG70" s="24"/>
      <c r="XBH70" s="24"/>
      <c r="XBI70" s="24"/>
      <c r="XBJ70" s="24"/>
      <c r="XBK70" s="24"/>
      <c r="XBL70" s="24"/>
      <c r="XBM70" s="24"/>
      <c r="XBN70" s="24"/>
      <c r="XBO70" s="24"/>
      <c r="XBP70" s="24"/>
      <c r="XBQ70" s="24"/>
      <c r="XBR70" s="24"/>
      <c r="XBS70" s="24"/>
      <c r="XBT70" s="24"/>
      <c r="XBU70" s="24"/>
      <c r="XBV70" s="24"/>
      <c r="XBW70" s="24"/>
      <c r="XBX70" s="24"/>
      <c r="XBY70" s="24"/>
      <c r="XBZ70" s="24"/>
      <c r="XCA70" s="24"/>
      <c r="XCB70" s="24"/>
      <c r="XCC70" s="24"/>
      <c r="XCD70" s="24"/>
      <c r="XCE70" s="24"/>
      <c r="XCF70" s="24"/>
      <c r="XCG70" s="24"/>
      <c r="XCH70" s="24"/>
      <c r="XCI70" s="24"/>
      <c r="XCJ70" s="24"/>
      <c r="XCK70" s="24"/>
      <c r="XCL70" s="24"/>
      <c r="XCM70" s="24"/>
      <c r="XCN70" s="24"/>
      <c r="XCO70" s="24"/>
      <c r="XCP70" s="24"/>
      <c r="XCQ70" s="24"/>
      <c r="XCR70" s="24"/>
      <c r="XCS70" s="24"/>
      <c r="XCT70" s="24"/>
      <c r="XCU70" s="24"/>
      <c r="XCV70" s="24"/>
      <c r="XCW70" s="24"/>
      <c r="XCX70" s="24"/>
      <c r="XCY70" s="24"/>
      <c r="XCZ70" s="24"/>
      <c r="XDA70" s="24"/>
      <c r="XDB70" s="24"/>
      <c r="XDC70" s="24"/>
      <c r="XDD70" s="24"/>
      <c r="XDE70" s="24"/>
      <c r="XDF70" s="24"/>
      <c r="XDG70" s="24"/>
      <c r="XDH70" s="24"/>
      <c r="XDI70" s="24"/>
      <c r="XDJ70" s="24"/>
      <c r="XDK70" s="24"/>
      <c r="XDL70" s="24"/>
      <c r="XDM70" s="24"/>
      <c r="XDN70" s="24"/>
      <c r="XDO70" s="24"/>
      <c r="XDP70" s="24"/>
      <c r="XDQ70" s="24"/>
      <c r="XDR70" s="24"/>
      <c r="XDS70" s="24"/>
      <c r="XDT70" s="24"/>
      <c r="XDU70" s="24"/>
      <c r="XDV70" s="24"/>
      <c r="XDW70" s="24"/>
      <c r="XDX70" s="24"/>
      <c r="XDY70" s="24"/>
      <c r="XDZ70" s="24"/>
      <c r="XEA70" s="24"/>
      <c r="XEB70" s="24"/>
      <c r="XEC70" s="24"/>
      <c r="XED70" s="24"/>
      <c r="XEE70" s="24"/>
      <c r="XEF70" s="24"/>
      <c r="XEG70" s="24"/>
      <c r="XEH70" s="24"/>
      <c r="XEI70" s="24"/>
      <c r="XEJ70" s="24"/>
      <c r="XEK70" s="24"/>
      <c r="XEL70" s="24"/>
      <c r="XEM70" s="24"/>
      <c r="XEN70" s="24"/>
      <c r="XEO70" s="24"/>
      <c r="XEP70" s="24"/>
      <c r="XEQ70" s="24"/>
      <c r="XER70" s="24"/>
      <c r="XES70" s="24"/>
      <c r="XET70" s="24"/>
      <c r="XEU70" s="24"/>
      <c r="XEV70" s="24"/>
      <c r="XEW70" s="24"/>
      <c r="XEX70" s="24"/>
      <c r="XEY70" s="24"/>
      <c r="XEZ70" s="24"/>
      <c r="XFA70" s="24"/>
      <c r="XFB70" s="24"/>
      <c r="XFC70" s="24"/>
    </row>
    <row r="71" spans="1:16383">
      <c r="A71" s="26" t="s">
        <v>258</v>
      </c>
      <c r="B71" s="26" t="s">
        <v>260</v>
      </c>
      <c r="C71" s="26" t="s">
        <v>259</v>
      </c>
      <c r="D71" s="25">
        <v>45143</v>
      </c>
      <c r="E71" s="26"/>
      <c r="F71" s="26"/>
      <c r="G71" s="26"/>
      <c r="H71" s="26"/>
      <c r="I71" s="26"/>
      <c r="J71" s="26"/>
      <c r="K71" s="26"/>
      <c r="L71" s="2" t="s">
        <v>48</v>
      </c>
      <c r="M71" s="26"/>
      <c r="N71" s="26"/>
      <c r="O71" s="26">
        <v>19800</v>
      </c>
      <c r="P71" s="26"/>
      <c r="Q71" s="26"/>
      <c r="R71" s="26" t="s">
        <v>195</v>
      </c>
      <c r="S71" s="26"/>
      <c r="T71" s="26"/>
      <c r="U71" s="26"/>
      <c r="V71" s="3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6"/>
      <c r="EW71" s="26"/>
      <c r="EX71" s="26"/>
      <c r="EY71" s="26"/>
      <c r="EZ71" s="26"/>
      <c r="FA71" s="26"/>
      <c r="FB71" s="26"/>
      <c r="FC71" s="26"/>
      <c r="FD71" s="26"/>
      <c r="FE71" s="26"/>
      <c r="FF71" s="26"/>
      <c r="FG71" s="26"/>
      <c r="FH71" s="26"/>
      <c r="FI71" s="26"/>
      <c r="FJ71" s="26"/>
      <c r="FK71" s="26"/>
      <c r="FL71" s="26"/>
      <c r="FM71" s="26"/>
      <c r="FN71" s="26"/>
      <c r="FO71" s="26"/>
      <c r="FP71" s="26"/>
      <c r="FQ71" s="26"/>
      <c r="FR71" s="26"/>
      <c r="FS71" s="26"/>
      <c r="FT71" s="26"/>
      <c r="FU71" s="26"/>
      <c r="FV71" s="26"/>
      <c r="FW71" s="26"/>
      <c r="FX71" s="26"/>
      <c r="FY71" s="26"/>
      <c r="FZ71" s="26"/>
      <c r="GA71" s="26"/>
      <c r="GB71" s="26"/>
      <c r="GC71" s="26"/>
      <c r="GD71" s="26"/>
      <c r="GE71" s="26"/>
      <c r="GF71" s="26"/>
      <c r="GG71" s="26"/>
      <c r="GH71" s="26"/>
      <c r="GI71" s="26"/>
      <c r="GJ71" s="26"/>
      <c r="GK71" s="26"/>
      <c r="GL71" s="26"/>
      <c r="GM71" s="26"/>
      <c r="GN71" s="26"/>
      <c r="GO71" s="26"/>
      <c r="GP71" s="26"/>
      <c r="GQ71" s="26"/>
      <c r="GR71" s="26"/>
      <c r="GS71" s="26"/>
      <c r="GT71" s="26"/>
      <c r="GU71" s="26"/>
      <c r="GV71" s="26"/>
      <c r="GW71" s="26"/>
      <c r="GX71" s="26"/>
      <c r="GY71" s="26"/>
      <c r="GZ71" s="26"/>
      <c r="HA71" s="26"/>
      <c r="HB71" s="26"/>
      <c r="HC71" s="26"/>
      <c r="HD71" s="26"/>
      <c r="HE71" s="26"/>
      <c r="HF71" s="26"/>
      <c r="HG71" s="26"/>
      <c r="HH71" s="26"/>
      <c r="HI71" s="26"/>
      <c r="HJ71" s="26"/>
      <c r="HK71" s="26"/>
      <c r="HL71" s="26"/>
      <c r="HM71" s="26"/>
      <c r="HN71" s="26"/>
      <c r="HO71" s="26"/>
      <c r="HP71" s="26"/>
      <c r="HQ71" s="26"/>
      <c r="HR71" s="26"/>
      <c r="HS71" s="26"/>
      <c r="HT71" s="26"/>
      <c r="HU71" s="26"/>
      <c r="HV71" s="26"/>
      <c r="HW71" s="26"/>
      <c r="HX71" s="26"/>
      <c r="HY71" s="26"/>
      <c r="HZ71" s="26"/>
      <c r="IA71" s="26"/>
      <c r="IB71" s="26"/>
      <c r="IC71" s="26"/>
      <c r="ID71" s="26"/>
      <c r="IE71" s="26"/>
      <c r="IF71" s="26"/>
      <c r="IG71" s="26"/>
      <c r="IH71" s="26"/>
      <c r="II71" s="26"/>
      <c r="IJ71" s="26"/>
      <c r="IK71" s="26"/>
      <c r="IL71" s="26"/>
      <c r="IM71" s="26"/>
      <c r="IN71" s="26"/>
      <c r="IO71" s="26"/>
      <c r="IP71" s="26"/>
      <c r="IQ71" s="26"/>
      <c r="IR71" s="26"/>
      <c r="IS71" s="26"/>
      <c r="IT71" s="26"/>
      <c r="IU71" s="26"/>
      <c r="IV71" s="26"/>
      <c r="IW71" s="26"/>
      <c r="IX71" s="26"/>
      <c r="IY71" s="26"/>
      <c r="IZ71" s="26"/>
      <c r="JA71" s="26"/>
      <c r="JB71" s="26"/>
      <c r="JC71" s="26"/>
      <c r="JD71" s="26"/>
      <c r="JE71" s="26"/>
      <c r="JF71" s="26"/>
      <c r="JG71" s="26"/>
      <c r="JH71" s="26"/>
      <c r="JI71" s="26"/>
      <c r="JJ71" s="26"/>
      <c r="JK71" s="26"/>
      <c r="JL71" s="26"/>
      <c r="JM71" s="26"/>
      <c r="JN71" s="26"/>
      <c r="JO71" s="26"/>
      <c r="JP71" s="26"/>
      <c r="JQ71" s="26"/>
      <c r="JR71" s="26"/>
      <c r="JS71" s="26"/>
      <c r="JT71" s="26"/>
      <c r="JU71" s="26"/>
      <c r="JV71" s="26"/>
      <c r="JW71" s="26"/>
      <c r="JX71" s="26"/>
      <c r="JY71" s="26"/>
      <c r="JZ71" s="26"/>
      <c r="KA71" s="26"/>
      <c r="KB71" s="26"/>
      <c r="KC71" s="26"/>
      <c r="KD71" s="26"/>
      <c r="KE71" s="26"/>
      <c r="KF71" s="26"/>
      <c r="KG71" s="26"/>
      <c r="KH71" s="26"/>
      <c r="KI71" s="26"/>
      <c r="KJ71" s="26"/>
      <c r="KK71" s="26"/>
      <c r="KL71" s="26"/>
      <c r="KM71" s="26"/>
      <c r="KN71" s="26"/>
      <c r="KO71" s="26"/>
      <c r="KP71" s="26"/>
      <c r="KQ71" s="26"/>
      <c r="KR71" s="26"/>
      <c r="KS71" s="26"/>
      <c r="KT71" s="26"/>
      <c r="KU71" s="26"/>
      <c r="KV71" s="26"/>
      <c r="KW71" s="26"/>
      <c r="KX71" s="26"/>
      <c r="KY71" s="26"/>
      <c r="KZ71" s="26"/>
      <c r="LA71" s="26"/>
      <c r="LB71" s="26"/>
      <c r="LC71" s="26"/>
      <c r="LD71" s="26"/>
      <c r="LE71" s="26"/>
      <c r="LF71" s="26"/>
      <c r="LG71" s="26"/>
      <c r="LH71" s="26"/>
      <c r="LI71" s="26"/>
      <c r="LJ71" s="26"/>
      <c r="LK71" s="26"/>
      <c r="LL71" s="26"/>
      <c r="LM71" s="26"/>
      <c r="LN71" s="26"/>
      <c r="LO71" s="26"/>
      <c r="LP71" s="26"/>
      <c r="LQ71" s="26"/>
      <c r="LR71" s="26"/>
      <c r="LS71" s="26"/>
      <c r="LT71" s="26"/>
      <c r="LU71" s="26"/>
      <c r="LV71" s="26"/>
      <c r="LW71" s="26"/>
      <c r="LX71" s="26"/>
      <c r="LY71" s="26"/>
      <c r="LZ71" s="26"/>
      <c r="MA71" s="26"/>
      <c r="MB71" s="26"/>
      <c r="MC71" s="26"/>
      <c r="MD71" s="26"/>
      <c r="ME71" s="26"/>
      <c r="MF71" s="26"/>
      <c r="MG71" s="26"/>
      <c r="MH71" s="26"/>
      <c r="MI71" s="26"/>
      <c r="MJ71" s="26"/>
      <c r="MK71" s="26"/>
      <c r="ML71" s="26"/>
      <c r="MM71" s="26"/>
      <c r="MN71" s="26"/>
      <c r="MO71" s="26"/>
      <c r="MP71" s="26"/>
      <c r="MQ71" s="26"/>
      <c r="MR71" s="26"/>
      <c r="MS71" s="26"/>
      <c r="MT71" s="26"/>
      <c r="MU71" s="26"/>
      <c r="MV71" s="26"/>
      <c r="MW71" s="26"/>
      <c r="MX71" s="26"/>
      <c r="MY71" s="26"/>
      <c r="MZ71" s="26"/>
      <c r="NA71" s="26"/>
      <c r="NB71" s="26"/>
      <c r="NC71" s="26"/>
      <c r="ND71" s="26"/>
      <c r="NE71" s="26"/>
      <c r="NF71" s="26"/>
      <c r="NG71" s="26"/>
      <c r="NH71" s="26"/>
      <c r="NI71" s="26"/>
      <c r="NJ71" s="26"/>
      <c r="NK71" s="26"/>
      <c r="NL71" s="26"/>
      <c r="NM71" s="26"/>
      <c r="NN71" s="26"/>
      <c r="NO71" s="26"/>
      <c r="NP71" s="26"/>
      <c r="NQ71" s="26"/>
      <c r="NR71" s="26"/>
      <c r="NS71" s="26"/>
      <c r="NT71" s="26"/>
      <c r="NU71" s="26"/>
      <c r="NV71" s="26"/>
      <c r="NW71" s="26"/>
      <c r="NX71" s="26"/>
      <c r="NY71" s="26"/>
      <c r="NZ71" s="26"/>
      <c r="OA71" s="26"/>
      <c r="OB71" s="26"/>
      <c r="OC71" s="26"/>
      <c r="OD71" s="26"/>
      <c r="OE71" s="26"/>
      <c r="OF71" s="26"/>
      <c r="OG71" s="26"/>
      <c r="OH71" s="26"/>
      <c r="OI71" s="26"/>
      <c r="OJ71" s="26"/>
      <c r="OK71" s="26"/>
      <c r="OL71" s="26"/>
      <c r="OM71" s="26"/>
      <c r="ON71" s="26"/>
      <c r="OO71" s="26"/>
      <c r="OP71" s="26"/>
      <c r="OQ71" s="26"/>
      <c r="OR71" s="26"/>
      <c r="OS71" s="26"/>
      <c r="OT71" s="26"/>
      <c r="OU71" s="26"/>
      <c r="OV71" s="26"/>
      <c r="OW71" s="26"/>
      <c r="OX71" s="26"/>
      <c r="OY71" s="26"/>
      <c r="OZ71" s="26"/>
      <c r="PA71" s="26"/>
      <c r="PB71" s="26"/>
      <c r="PC71" s="26"/>
      <c r="PD71" s="26"/>
      <c r="PE71" s="26"/>
      <c r="PF71" s="26"/>
      <c r="PG71" s="26"/>
      <c r="PH71" s="26"/>
      <c r="PI71" s="26"/>
      <c r="PJ71" s="26"/>
      <c r="PK71" s="26"/>
      <c r="PL71" s="26"/>
      <c r="PM71" s="26"/>
      <c r="PN71" s="26"/>
      <c r="PO71" s="26"/>
      <c r="PP71" s="26"/>
      <c r="PQ71" s="26"/>
      <c r="PR71" s="26"/>
      <c r="PS71" s="26"/>
      <c r="PT71" s="26"/>
      <c r="PU71" s="26"/>
      <c r="PV71" s="26"/>
      <c r="PW71" s="26"/>
      <c r="PX71" s="26"/>
      <c r="PY71" s="26"/>
      <c r="PZ71" s="26"/>
      <c r="QA71" s="26"/>
      <c r="QB71" s="26"/>
      <c r="QC71" s="26"/>
      <c r="QD71" s="26"/>
      <c r="QE71" s="26"/>
      <c r="QF71" s="26"/>
      <c r="QG71" s="26"/>
      <c r="QH71" s="26"/>
      <c r="QI71" s="26"/>
      <c r="QJ71" s="26"/>
      <c r="QK71" s="26"/>
      <c r="QL71" s="26"/>
      <c r="QM71" s="26"/>
      <c r="QN71" s="26"/>
      <c r="QO71" s="26"/>
      <c r="QP71" s="26"/>
      <c r="QQ71" s="26"/>
      <c r="QR71" s="26"/>
      <c r="QS71" s="26"/>
      <c r="QT71" s="26"/>
      <c r="QU71" s="26"/>
      <c r="QV71" s="26"/>
      <c r="QW71" s="26"/>
      <c r="QX71" s="26"/>
      <c r="QY71" s="26"/>
      <c r="QZ71" s="26"/>
      <c r="RA71" s="26"/>
      <c r="RB71" s="26"/>
      <c r="RC71" s="26"/>
      <c r="RD71" s="26"/>
      <c r="RE71" s="26"/>
      <c r="RF71" s="26"/>
      <c r="RG71" s="26"/>
      <c r="RH71" s="26"/>
      <c r="RI71" s="26"/>
      <c r="RJ71" s="26"/>
      <c r="RK71" s="26"/>
      <c r="RL71" s="26"/>
      <c r="RM71" s="26"/>
      <c r="RN71" s="26"/>
      <c r="RO71" s="26"/>
      <c r="RP71" s="26"/>
      <c r="RQ71" s="26"/>
      <c r="RR71" s="26"/>
      <c r="RS71" s="26"/>
      <c r="RT71" s="26"/>
      <c r="RU71" s="26"/>
      <c r="RV71" s="26"/>
      <c r="RW71" s="26"/>
      <c r="RX71" s="26"/>
      <c r="RY71" s="26"/>
      <c r="RZ71" s="26"/>
      <c r="SA71" s="26"/>
      <c r="SB71" s="26"/>
      <c r="SC71" s="26"/>
      <c r="SD71" s="26"/>
      <c r="SE71" s="26"/>
      <c r="SF71" s="26"/>
      <c r="SG71" s="26"/>
      <c r="SH71" s="26"/>
      <c r="SI71" s="26"/>
      <c r="SJ71" s="26"/>
      <c r="SK71" s="26"/>
      <c r="SL71" s="26"/>
      <c r="SM71" s="26"/>
      <c r="SN71" s="26"/>
      <c r="SO71" s="26"/>
      <c r="SP71" s="26"/>
      <c r="SQ71" s="26"/>
      <c r="SR71" s="26"/>
      <c r="SS71" s="26"/>
      <c r="ST71" s="26"/>
      <c r="SU71" s="26"/>
      <c r="SV71" s="26"/>
      <c r="SW71" s="26"/>
      <c r="SX71" s="26"/>
      <c r="SY71" s="26"/>
      <c r="SZ71" s="26"/>
      <c r="TA71" s="26"/>
      <c r="TB71" s="26"/>
      <c r="TC71" s="26"/>
      <c r="TD71" s="26"/>
      <c r="TE71" s="26"/>
      <c r="TF71" s="26"/>
      <c r="TG71" s="26"/>
      <c r="TH71" s="26"/>
      <c r="TI71" s="26"/>
      <c r="TJ71" s="26"/>
      <c r="TK71" s="26"/>
      <c r="TL71" s="26"/>
      <c r="TM71" s="26"/>
      <c r="TN71" s="26"/>
      <c r="TO71" s="26"/>
      <c r="TP71" s="26"/>
      <c r="TQ71" s="26"/>
      <c r="TR71" s="26"/>
      <c r="TS71" s="26"/>
      <c r="TT71" s="26"/>
      <c r="TU71" s="26"/>
      <c r="TV71" s="26"/>
      <c r="TW71" s="26"/>
      <c r="TX71" s="26"/>
      <c r="TY71" s="26"/>
      <c r="TZ71" s="26"/>
      <c r="UA71" s="26"/>
      <c r="UB71" s="26"/>
      <c r="UC71" s="26"/>
      <c r="UD71" s="26"/>
      <c r="UE71" s="26"/>
      <c r="UF71" s="26"/>
      <c r="UG71" s="26"/>
      <c r="UH71" s="26"/>
      <c r="UI71" s="26"/>
      <c r="UJ71" s="26"/>
      <c r="UK71" s="26"/>
      <c r="UL71" s="26"/>
      <c r="UM71" s="26"/>
      <c r="UN71" s="26"/>
      <c r="UO71" s="26"/>
      <c r="UP71" s="26"/>
      <c r="UQ71" s="26"/>
      <c r="UR71" s="26"/>
      <c r="US71" s="26"/>
      <c r="UT71" s="26"/>
      <c r="UU71" s="26"/>
      <c r="UV71" s="26"/>
      <c r="UW71" s="26"/>
      <c r="UX71" s="26"/>
      <c r="UY71" s="26"/>
      <c r="UZ71" s="26"/>
      <c r="VA71" s="26"/>
      <c r="VB71" s="26"/>
      <c r="VC71" s="26"/>
      <c r="VD71" s="26"/>
      <c r="VE71" s="26"/>
      <c r="VF71" s="26"/>
      <c r="VG71" s="26"/>
      <c r="VH71" s="26"/>
      <c r="VI71" s="26"/>
      <c r="VJ71" s="26"/>
      <c r="VK71" s="26"/>
      <c r="VL71" s="26"/>
      <c r="VM71" s="26"/>
      <c r="VN71" s="26"/>
      <c r="VO71" s="26"/>
      <c r="VP71" s="26"/>
      <c r="VQ71" s="26"/>
      <c r="VR71" s="26"/>
      <c r="VS71" s="26"/>
      <c r="VT71" s="26"/>
      <c r="VU71" s="26"/>
      <c r="VV71" s="26"/>
      <c r="VW71" s="26"/>
      <c r="VX71" s="26"/>
      <c r="VY71" s="26"/>
      <c r="VZ71" s="26"/>
      <c r="WA71" s="26"/>
      <c r="WB71" s="26"/>
      <c r="WC71" s="26"/>
      <c r="WD71" s="26"/>
      <c r="WE71" s="26"/>
      <c r="WF71" s="26"/>
      <c r="WG71" s="26"/>
      <c r="WH71" s="26"/>
      <c r="WI71" s="26"/>
      <c r="WJ71" s="26"/>
      <c r="WK71" s="26"/>
      <c r="WL71" s="26"/>
      <c r="WM71" s="26"/>
      <c r="WN71" s="26"/>
      <c r="WO71" s="26"/>
      <c r="WP71" s="26"/>
      <c r="WQ71" s="26"/>
      <c r="WR71" s="26"/>
      <c r="WS71" s="26"/>
      <c r="WT71" s="26"/>
      <c r="WU71" s="26"/>
      <c r="WV71" s="26"/>
      <c r="WW71" s="26"/>
      <c r="WX71" s="26"/>
      <c r="WY71" s="26"/>
      <c r="WZ71" s="26"/>
      <c r="XA71" s="26"/>
      <c r="XB71" s="26"/>
      <c r="XC71" s="26"/>
      <c r="XD71" s="26"/>
      <c r="XE71" s="26"/>
      <c r="XF71" s="26"/>
      <c r="XG71" s="26"/>
      <c r="XH71" s="26"/>
      <c r="XI71" s="26"/>
      <c r="XJ71" s="26"/>
      <c r="XK71" s="26"/>
      <c r="XL71" s="26"/>
      <c r="XM71" s="26"/>
      <c r="XN71" s="26"/>
      <c r="XO71" s="26"/>
      <c r="XP71" s="26"/>
      <c r="XQ71" s="26"/>
      <c r="XR71" s="26"/>
      <c r="XS71" s="26"/>
      <c r="XT71" s="26"/>
      <c r="XU71" s="26"/>
      <c r="XV71" s="26"/>
      <c r="XW71" s="26"/>
      <c r="XX71" s="26"/>
      <c r="XY71" s="26"/>
      <c r="XZ71" s="26"/>
      <c r="YA71" s="26"/>
      <c r="YB71" s="26"/>
      <c r="YC71" s="26"/>
      <c r="YD71" s="26"/>
      <c r="YE71" s="26"/>
      <c r="YF71" s="26"/>
      <c r="YG71" s="26"/>
      <c r="YH71" s="26"/>
      <c r="YI71" s="26"/>
      <c r="YJ71" s="26"/>
      <c r="YK71" s="26"/>
      <c r="YL71" s="26"/>
      <c r="YM71" s="26"/>
      <c r="YN71" s="26"/>
      <c r="YO71" s="26"/>
      <c r="YP71" s="26"/>
      <c r="YQ71" s="26"/>
      <c r="YR71" s="26"/>
      <c r="YS71" s="26"/>
      <c r="YT71" s="26"/>
      <c r="YU71" s="26"/>
      <c r="YV71" s="26"/>
      <c r="YW71" s="26"/>
      <c r="YX71" s="26"/>
      <c r="YY71" s="26"/>
      <c r="YZ71" s="26"/>
      <c r="ZA71" s="26"/>
      <c r="ZB71" s="26"/>
      <c r="ZC71" s="26"/>
      <c r="ZD71" s="26"/>
      <c r="ZE71" s="26"/>
      <c r="ZF71" s="26"/>
      <c r="ZG71" s="26"/>
      <c r="ZH71" s="26"/>
      <c r="ZI71" s="26"/>
      <c r="ZJ71" s="26"/>
      <c r="ZK71" s="26"/>
      <c r="ZL71" s="26"/>
      <c r="ZM71" s="26"/>
      <c r="ZN71" s="26"/>
      <c r="ZO71" s="26"/>
      <c r="ZP71" s="26"/>
      <c r="ZQ71" s="26"/>
      <c r="ZR71" s="26"/>
      <c r="ZS71" s="26"/>
      <c r="ZT71" s="26"/>
      <c r="ZU71" s="26"/>
      <c r="ZV71" s="26"/>
      <c r="ZW71" s="26"/>
      <c r="ZX71" s="26"/>
      <c r="ZY71" s="26"/>
      <c r="ZZ71" s="26"/>
      <c r="AAA71" s="26"/>
      <c r="AAB71" s="26"/>
      <c r="AAC71" s="26"/>
      <c r="AAD71" s="26"/>
      <c r="AAE71" s="26"/>
      <c r="AAF71" s="26"/>
      <c r="AAG71" s="26"/>
      <c r="AAH71" s="26"/>
      <c r="AAI71" s="26"/>
      <c r="AAJ71" s="26"/>
      <c r="AAK71" s="26"/>
      <c r="AAL71" s="26"/>
      <c r="AAM71" s="26"/>
      <c r="AAN71" s="26"/>
      <c r="AAO71" s="26"/>
      <c r="AAP71" s="26"/>
      <c r="AAQ71" s="26"/>
      <c r="AAR71" s="26"/>
      <c r="AAS71" s="26"/>
      <c r="AAT71" s="26"/>
      <c r="AAU71" s="26"/>
      <c r="AAV71" s="26"/>
      <c r="AAW71" s="26"/>
      <c r="AAX71" s="26"/>
      <c r="AAY71" s="26"/>
      <c r="AAZ71" s="26"/>
      <c r="ABA71" s="26"/>
      <c r="ABB71" s="26"/>
      <c r="ABC71" s="26"/>
      <c r="ABD71" s="26"/>
      <c r="ABE71" s="26"/>
      <c r="ABF71" s="26"/>
      <c r="ABG71" s="26"/>
      <c r="ABH71" s="26"/>
      <c r="ABI71" s="26"/>
      <c r="ABJ71" s="26"/>
      <c r="ABK71" s="26"/>
      <c r="ABL71" s="26"/>
      <c r="ABM71" s="26"/>
      <c r="ABN71" s="26"/>
      <c r="ABO71" s="26"/>
      <c r="ABP71" s="26"/>
      <c r="ABQ71" s="26"/>
      <c r="ABR71" s="26"/>
      <c r="ABS71" s="26"/>
      <c r="ABT71" s="26"/>
      <c r="ABU71" s="26"/>
      <c r="ABV71" s="26"/>
      <c r="ABW71" s="26"/>
      <c r="ABX71" s="26"/>
      <c r="ABY71" s="26"/>
      <c r="ABZ71" s="26"/>
      <c r="ACA71" s="26"/>
      <c r="ACB71" s="26"/>
      <c r="ACC71" s="26"/>
      <c r="ACD71" s="26"/>
      <c r="ACE71" s="26"/>
      <c r="ACF71" s="26"/>
      <c r="ACG71" s="26"/>
      <c r="ACH71" s="26"/>
      <c r="ACI71" s="26"/>
      <c r="ACJ71" s="26"/>
      <c r="ACK71" s="26"/>
      <c r="ACL71" s="26"/>
      <c r="ACM71" s="26"/>
      <c r="ACN71" s="26"/>
      <c r="ACO71" s="26"/>
      <c r="ACP71" s="26"/>
      <c r="ACQ71" s="26"/>
      <c r="ACR71" s="26"/>
      <c r="ACS71" s="26"/>
      <c r="ACT71" s="26"/>
      <c r="ACU71" s="26"/>
      <c r="ACV71" s="26"/>
      <c r="ACW71" s="26"/>
      <c r="ACX71" s="26"/>
      <c r="ACY71" s="26"/>
      <c r="ACZ71" s="26"/>
      <c r="ADA71" s="26"/>
      <c r="ADB71" s="26"/>
      <c r="ADC71" s="26"/>
      <c r="ADD71" s="26"/>
      <c r="ADE71" s="26"/>
      <c r="ADF71" s="26"/>
      <c r="ADG71" s="26"/>
      <c r="ADH71" s="26"/>
      <c r="ADI71" s="26"/>
      <c r="ADJ71" s="26"/>
      <c r="ADK71" s="26"/>
      <c r="ADL71" s="26"/>
      <c r="ADM71" s="26"/>
      <c r="ADN71" s="26"/>
      <c r="ADO71" s="26"/>
      <c r="ADP71" s="26"/>
      <c r="ADQ71" s="26"/>
      <c r="ADR71" s="26"/>
      <c r="ADS71" s="26"/>
      <c r="ADT71" s="26"/>
      <c r="ADU71" s="26"/>
      <c r="ADV71" s="26"/>
      <c r="ADW71" s="26"/>
      <c r="ADX71" s="26"/>
      <c r="ADY71" s="26"/>
      <c r="ADZ71" s="26"/>
      <c r="AEA71" s="26"/>
      <c r="AEB71" s="26"/>
      <c r="AEC71" s="26"/>
      <c r="AED71" s="26"/>
      <c r="AEE71" s="26"/>
      <c r="AEF71" s="26"/>
      <c r="AEG71" s="26"/>
      <c r="AEH71" s="26"/>
      <c r="AEI71" s="26"/>
      <c r="AEJ71" s="26"/>
      <c r="AEK71" s="26"/>
      <c r="AEL71" s="26"/>
      <c r="AEM71" s="26"/>
      <c r="AEN71" s="26"/>
      <c r="AEO71" s="26"/>
      <c r="AEP71" s="26"/>
      <c r="AEQ71" s="26"/>
      <c r="AER71" s="26"/>
      <c r="AES71" s="26"/>
      <c r="AET71" s="26"/>
      <c r="AEU71" s="26"/>
      <c r="AEV71" s="26"/>
      <c r="AEW71" s="26"/>
      <c r="AEX71" s="26"/>
      <c r="AEY71" s="26"/>
      <c r="AEZ71" s="26"/>
      <c r="AFA71" s="26"/>
      <c r="AFB71" s="26"/>
      <c r="AFC71" s="26"/>
      <c r="AFD71" s="26"/>
      <c r="AFE71" s="26"/>
      <c r="AFF71" s="26"/>
      <c r="AFG71" s="26"/>
      <c r="AFH71" s="26"/>
      <c r="AFI71" s="26"/>
      <c r="AFJ71" s="26"/>
      <c r="AFK71" s="26"/>
      <c r="AFL71" s="26"/>
      <c r="AFM71" s="26"/>
      <c r="AFN71" s="26"/>
      <c r="AFO71" s="26"/>
      <c r="AFP71" s="26"/>
      <c r="AFQ71" s="26"/>
      <c r="AFR71" s="26"/>
      <c r="AFS71" s="26"/>
      <c r="AFT71" s="26"/>
      <c r="AFU71" s="26"/>
      <c r="AFV71" s="26"/>
      <c r="AFW71" s="26"/>
      <c r="AFX71" s="26"/>
      <c r="AFY71" s="26"/>
      <c r="AFZ71" s="26"/>
      <c r="AGA71" s="26"/>
      <c r="AGB71" s="26"/>
      <c r="AGC71" s="26"/>
      <c r="AGD71" s="26"/>
      <c r="AGE71" s="26"/>
      <c r="AGF71" s="26"/>
      <c r="AGG71" s="26"/>
      <c r="AGH71" s="26"/>
      <c r="AGI71" s="26"/>
      <c r="AGJ71" s="26"/>
      <c r="AGK71" s="26"/>
      <c r="AGL71" s="26"/>
      <c r="AGM71" s="26"/>
      <c r="AGN71" s="26"/>
      <c r="AGO71" s="26"/>
      <c r="AGP71" s="26"/>
      <c r="AGQ71" s="26"/>
      <c r="AGR71" s="26"/>
      <c r="AGS71" s="26"/>
      <c r="AGT71" s="26"/>
      <c r="AGU71" s="26"/>
      <c r="AGV71" s="26"/>
      <c r="AGW71" s="26"/>
      <c r="AGX71" s="26"/>
      <c r="AGY71" s="26"/>
      <c r="AGZ71" s="26"/>
      <c r="AHA71" s="26"/>
      <c r="AHB71" s="26"/>
      <c r="AHC71" s="26"/>
      <c r="AHD71" s="26"/>
      <c r="AHE71" s="26"/>
      <c r="AHF71" s="26"/>
      <c r="AHG71" s="26"/>
      <c r="AHH71" s="26"/>
      <c r="AHI71" s="26"/>
      <c r="AHJ71" s="26"/>
      <c r="AHK71" s="26"/>
      <c r="AHL71" s="26"/>
      <c r="AHM71" s="26"/>
      <c r="AHN71" s="26"/>
      <c r="AHO71" s="26"/>
      <c r="AHP71" s="26"/>
      <c r="AHQ71" s="26"/>
      <c r="AHR71" s="26"/>
      <c r="AHS71" s="26"/>
      <c r="AHT71" s="26"/>
      <c r="AHU71" s="26"/>
      <c r="AHV71" s="26"/>
      <c r="AHW71" s="26"/>
      <c r="AHX71" s="26"/>
      <c r="AHY71" s="26"/>
      <c r="AHZ71" s="26"/>
      <c r="AIA71" s="26"/>
      <c r="AIB71" s="26"/>
      <c r="AIC71" s="26"/>
      <c r="AID71" s="26"/>
      <c r="AIE71" s="26"/>
      <c r="AIF71" s="26"/>
      <c r="AIG71" s="26"/>
      <c r="AIH71" s="26"/>
      <c r="AII71" s="26"/>
      <c r="AIJ71" s="26"/>
      <c r="AIK71" s="26"/>
      <c r="AIL71" s="26"/>
      <c r="AIM71" s="26"/>
      <c r="AIN71" s="26"/>
      <c r="AIO71" s="26"/>
      <c r="AIP71" s="26"/>
      <c r="AIQ71" s="26"/>
      <c r="AIR71" s="26"/>
      <c r="AIS71" s="26"/>
      <c r="AIT71" s="26"/>
      <c r="AIU71" s="26"/>
      <c r="AIV71" s="26"/>
      <c r="AIW71" s="26"/>
      <c r="AIX71" s="26"/>
      <c r="AIY71" s="26"/>
      <c r="AIZ71" s="26"/>
      <c r="AJA71" s="26"/>
      <c r="AJB71" s="26"/>
      <c r="AJC71" s="26"/>
      <c r="AJD71" s="26"/>
      <c r="AJE71" s="26"/>
      <c r="AJF71" s="26"/>
      <c r="AJG71" s="26"/>
      <c r="AJH71" s="26"/>
      <c r="AJI71" s="26"/>
      <c r="AJJ71" s="26"/>
      <c r="AJK71" s="26"/>
      <c r="AJL71" s="26"/>
      <c r="AJM71" s="26"/>
      <c r="AJN71" s="26"/>
      <c r="AJO71" s="26"/>
      <c r="AJP71" s="26"/>
      <c r="AJQ71" s="26"/>
      <c r="AJR71" s="26"/>
      <c r="AJS71" s="26"/>
      <c r="AJT71" s="26"/>
      <c r="AJU71" s="26"/>
      <c r="AJV71" s="26"/>
      <c r="AJW71" s="26"/>
      <c r="AJX71" s="26"/>
      <c r="AJY71" s="26"/>
      <c r="AJZ71" s="26"/>
      <c r="AKA71" s="26"/>
      <c r="AKB71" s="26"/>
      <c r="AKC71" s="26"/>
      <c r="AKD71" s="26"/>
      <c r="AKE71" s="26"/>
      <c r="AKF71" s="26"/>
      <c r="AKG71" s="26"/>
      <c r="AKH71" s="26"/>
      <c r="AKI71" s="26"/>
      <c r="AKJ71" s="26"/>
      <c r="AKK71" s="26"/>
      <c r="AKL71" s="26"/>
      <c r="AKM71" s="26"/>
      <c r="AKN71" s="26"/>
      <c r="AKO71" s="26"/>
      <c r="AKP71" s="26"/>
      <c r="AKQ71" s="26"/>
      <c r="AKR71" s="26"/>
      <c r="AKS71" s="26"/>
      <c r="AKT71" s="26"/>
      <c r="AKU71" s="26"/>
      <c r="AKV71" s="26"/>
      <c r="AKW71" s="26"/>
      <c r="AKX71" s="26"/>
      <c r="AKY71" s="26"/>
      <c r="AKZ71" s="26"/>
      <c r="ALA71" s="26"/>
      <c r="ALB71" s="26"/>
      <c r="ALC71" s="26"/>
      <c r="ALD71" s="26"/>
      <c r="ALE71" s="26"/>
      <c r="ALF71" s="26"/>
      <c r="ALG71" s="26"/>
      <c r="ALH71" s="26"/>
      <c r="ALI71" s="26"/>
      <c r="ALJ71" s="26"/>
      <c r="ALK71" s="26"/>
      <c r="ALL71" s="26"/>
      <c r="ALM71" s="26"/>
      <c r="ALN71" s="26"/>
      <c r="ALO71" s="26"/>
      <c r="ALP71" s="26"/>
      <c r="ALQ71" s="26"/>
      <c r="ALR71" s="26"/>
      <c r="ALS71" s="26"/>
      <c r="ALT71" s="26"/>
      <c r="ALU71" s="26"/>
      <c r="ALV71" s="26"/>
      <c r="ALW71" s="26"/>
      <c r="ALX71" s="26"/>
      <c r="ALY71" s="26"/>
      <c r="ALZ71" s="26"/>
      <c r="AMA71" s="26"/>
      <c r="AMB71" s="26"/>
      <c r="AMC71" s="26"/>
      <c r="AMD71" s="26"/>
      <c r="AME71" s="26"/>
      <c r="AMF71" s="26"/>
      <c r="AMG71" s="26"/>
      <c r="AMH71" s="26"/>
      <c r="AMI71" s="26"/>
      <c r="AMJ71" s="26"/>
      <c r="AMK71" s="26"/>
      <c r="AML71" s="26"/>
      <c r="AMM71" s="26"/>
      <c r="AMN71" s="26"/>
      <c r="AMO71" s="26"/>
      <c r="AMP71" s="26"/>
      <c r="AMQ71" s="26"/>
      <c r="AMR71" s="26"/>
      <c r="AMS71" s="26"/>
      <c r="AMT71" s="26"/>
      <c r="AMU71" s="26"/>
      <c r="AMV71" s="26"/>
      <c r="AMW71" s="26"/>
      <c r="AMX71" s="26"/>
      <c r="AMY71" s="26"/>
      <c r="AMZ71" s="26"/>
      <c r="ANA71" s="26"/>
      <c r="ANB71" s="26"/>
      <c r="ANC71" s="26"/>
      <c r="AND71" s="26"/>
      <c r="ANE71" s="26"/>
      <c r="ANF71" s="26"/>
      <c r="ANG71" s="26"/>
      <c r="ANH71" s="26"/>
      <c r="ANI71" s="26"/>
      <c r="ANJ71" s="26"/>
      <c r="ANK71" s="26"/>
      <c r="ANL71" s="26"/>
      <c r="ANM71" s="26"/>
      <c r="ANN71" s="26"/>
      <c r="ANO71" s="26"/>
      <c r="ANP71" s="26"/>
      <c r="ANQ71" s="26"/>
      <c r="ANR71" s="26"/>
      <c r="ANS71" s="26"/>
      <c r="ANT71" s="26"/>
      <c r="ANU71" s="26"/>
      <c r="ANV71" s="26"/>
      <c r="ANW71" s="26"/>
      <c r="ANX71" s="26"/>
      <c r="ANY71" s="26"/>
      <c r="ANZ71" s="26"/>
      <c r="AOA71" s="26"/>
      <c r="AOB71" s="26"/>
      <c r="AOC71" s="26"/>
      <c r="AOD71" s="26"/>
      <c r="AOE71" s="26"/>
      <c r="AOF71" s="26"/>
      <c r="AOG71" s="26"/>
      <c r="AOH71" s="26"/>
      <c r="AOI71" s="26"/>
      <c r="AOJ71" s="26"/>
      <c r="AOK71" s="26"/>
      <c r="AOL71" s="26"/>
      <c r="AOM71" s="26"/>
      <c r="AON71" s="26"/>
      <c r="AOO71" s="26"/>
      <c r="AOP71" s="26"/>
      <c r="AOQ71" s="26"/>
      <c r="AOR71" s="26"/>
      <c r="AOS71" s="26"/>
      <c r="AOT71" s="26"/>
      <c r="AOU71" s="26"/>
      <c r="AOV71" s="26"/>
      <c r="AOW71" s="26"/>
      <c r="AOX71" s="26"/>
      <c r="AOY71" s="26"/>
      <c r="AOZ71" s="26"/>
      <c r="APA71" s="26"/>
      <c r="APB71" s="26"/>
      <c r="APC71" s="26"/>
      <c r="APD71" s="26"/>
      <c r="APE71" s="26"/>
      <c r="APF71" s="26"/>
      <c r="APG71" s="26"/>
      <c r="APH71" s="26"/>
      <c r="API71" s="26"/>
      <c r="APJ71" s="26"/>
      <c r="APK71" s="26"/>
      <c r="APL71" s="26"/>
      <c r="APM71" s="26"/>
      <c r="APN71" s="26"/>
      <c r="APO71" s="26"/>
      <c r="APP71" s="26"/>
      <c r="APQ71" s="26"/>
      <c r="APR71" s="26"/>
      <c r="APS71" s="26"/>
      <c r="APT71" s="26"/>
      <c r="APU71" s="26"/>
      <c r="APV71" s="26"/>
      <c r="APW71" s="26"/>
      <c r="APX71" s="26"/>
      <c r="APY71" s="26"/>
      <c r="APZ71" s="26"/>
      <c r="AQA71" s="26"/>
      <c r="AQB71" s="26"/>
      <c r="AQC71" s="26"/>
      <c r="AQD71" s="26"/>
      <c r="AQE71" s="26"/>
      <c r="AQF71" s="26"/>
      <c r="AQG71" s="26"/>
      <c r="AQH71" s="26"/>
      <c r="AQI71" s="26"/>
      <c r="AQJ71" s="26"/>
      <c r="AQK71" s="26"/>
      <c r="AQL71" s="26"/>
      <c r="AQM71" s="26"/>
      <c r="AQN71" s="26"/>
      <c r="AQO71" s="26"/>
      <c r="AQP71" s="26"/>
      <c r="AQQ71" s="26"/>
      <c r="AQR71" s="26"/>
      <c r="AQS71" s="26"/>
      <c r="AQT71" s="26"/>
      <c r="AQU71" s="26"/>
      <c r="AQV71" s="26"/>
      <c r="AQW71" s="26"/>
      <c r="AQX71" s="26"/>
      <c r="AQY71" s="26"/>
      <c r="AQZ71" s="26"/>
      <c r="ARA71" s="26"/>
      <c r="ARB71" s="26"/>
      <c r="ARC71" s="26"/>
      <c r="ARD71" s="26"/>
      <c r="ARE71" s="26"/>
      <c r="ARF71" s="26"/>
      <c r="ARG71" s="26"/>
      <c r="ARH71" s="26"/>
      <c r="ARI71" s="26"/>
      <c r="ARJ71" s="26"/>
      <c r="ARK71" s="26"/>
      <c r="ARL71" s="26"/>
      <c r="ARM71" s="26"/>
      <c r="ARN71" s="26"/>
      <c r="ARO71" s="26"/>
      <c r="ARP71" s="26"/>
      <c r="ARQ71" s="26"/>
      <c r="ARR71" s="26"/>
      <c r="ARS71" s="26"/>
      <c r="ART71" s="26"/>
      <c r="ARU71" s="26"/>
      <c r="ARV71" s="26"/>
      <c r="ARW71" s="26"/>
      <c r="ARX71" s="26"/>
      <c r="ARY71" s="26"/>
      <c r="ARZ71" s="26"/>
      <c r="ASA71" s="26"/>
      <c r="ASB71" s="26"/>
      <c r="ASC71" s="26"/>
      <c r="ASD71" s="26"/>
      <c r="ASE71" s="26"/>
      <c r="ASF71" s="26"/>
      <c r="ASG71" s="26"/>
      <c r="ASH71" s="26"/>
      <c r="ASI71" s="26"/>
      <c r="ASJ71" s="26"/>
      <c r="ASK71" s="26"/>
      <c r="ASL71" s="26"/>
      <c r="ASM71" s="26"/>
      <c r="ASN71" s="26"/>
      <c r="ASO71" s="26"/>
      <c r="ASP71" s="26"/>
      <c r="ASQ71" s="26"/>
      <c r="ASR71" s="26"/>
      <c r="ASS71" s="26"/>
      <c r="AST71" s="26"/>
      <c r="ASU71" s="26"/>
      <c r="ASV71" s="26"/>
      <c r="ASW71" s="26"/>
      <c r="ASX71" s="26"/>
      <c r="ASY71" s="26"/>
      <c r="ASZ71" s="26"/>
      <c r="ATA71" s="26"/>
      <c r="ATB71" s="26"/>
      <c r="ATC71" s="26"/>
      <c r="ATD71" s="26"/>
      <c r="ATE71" s="26"/>
      <c r="ATF71" s="26"/>
      <c r="ATG71" s="26"/>
      <c r="ATH71" s="26"/>
      <c r="ATI71" s="26"/>
      <c r="ATJ71" s="26"/>
      <c r="ATK71" s="26"/>
      <c r="ATL71" s="26"/>
      <c r="ATM71" s="26"/>
      <c r="ATN71" s="26"/>
      <c r="ATO71" s="26"/>
      <c r="ATP71" s="26"/>
      <c r="ATQ71" s="26"/>
      <c r="ATR71" s="26"/>
      <c r="ATS71" s="26"/>
      <c r="ATT71" s="26"/>
      <c r="ATU71" s="26"/>
      <c r="ATV71" s="26"/>
      <c r="ATW71" s="26"/>
      <c r="ATX71" s="26"/>
      <c r="ATY71" s="26"/>
      <c r="ATZ71" s="26"/>
      <c r="AUA71" s="26"/>
      <c r="AUB71" s="26"/>
      <c r="AUC71" s="26"/>
      <c r="AUD71" s="26"/>
      <c r="AUE71" s="26"/>
      <c r="AUF71" s="26"/>
      <c r="AUG71" s="26"/>
      <c r="AUH71" s="26"/>
      <c r="AUI71" s="26"/>
      <c r="AUJ71" s="26"/>
      <c r="AUK71" s="26"/>
      <c r="AUL71" s="26"/>
      <c r="AUM71" s="26"/>
      <c r="AUN71" s="26"/>
      <c r="AUO71" s="26"/>
      <c r="AUP71" s="26"/>
      <c r="AUQ71" s="26"/>
      <c r="AUR71" s="26"/>
      <c r="AUS71" s="26"/>
      <c r="AUT71" s="26"/>
      <c r="AUU71" s="26"/>
      <c r="AUV71" s="26"/>
      <c r="AUW71" s="26"/>
      <c r="AUX71" s="26"/>
      <c r="AUY71" s="26"/>
      <c r="AUZ71" s="26"/>
      <c r="AVA71" s="26"/>
      <c r="AVB71" s="26"/>
      <c r="AVC71" s="26"/>
      <c r="AVD71" s="26"/>
      <c r="AVE71" s="26"/>
      <c r="AVF71" s="26"/>
      <c r="AVG71" s="26"/>
      <c r="AVH71" s="26"/>
      <c r="AVI71" s="26"/>
      <c r="AVJ71" s="26"/>
      <c r="AVK71" s="26"/>
      <c r="AVL71" s="26"/>
      <c r="AVM71" s="26"/>
      <c r="AVN71" s="26"/>
      <c r="AVO71" s="26"/>
      <c r="AVP71" s="26"/>
      <c r="AVQ71" s="26"/>
      <c r="AVR71" s="26"/>
      <c r="AVS71" s="26"/>
      <c r="AVT71" s="26"/>
      <c r="AVU71" s="26"/>
      <c r="AVV71" s="26"/>
      <c r="AVW71" s="26"/>
      <c r="AVX71" s="26"/>
      <c r="AVY71" s="26"/>
      <c r="AVZ71" s="26"/>
      <c r="AWA71" s="26"/>
      <c r="AWB71" s="26"/>
      <c r="AWC71" s="26"/>
      <c r="AWD71" s="26"/>
      <c r="AWE71" s="26"/>
      <c r="AWF71" s="26"/>
      <c r="AWG71" s="26"/>
      <c r="AWH71" s="26"/>
      <c r="AWI71" s="26"/>
      <c r="AWJ71" s="26"/>
      <c r="AWK71" s="26"/>
      <c r="AWL71" s="26"/>
      <c r="AWM71" s="26"/>
      <c r="AWN71" s="26"/>
      <c r="AWO71" s="26"/>
      <c r="AWP71" s="26"/>
      <c r="AWQ71" s="26"/>
      <c r="AWR71" s="26"/>
      <c r="AWS71" s="26"/>
      <c r="AWT71" s="26"/>
      <c r="AWU71" s="26"/>
      <c r="AWV71" s="26"/>
      <c r="AWW71" s="26"/>
      <c r="AWX71" s="26"/>
      <c r="AWY71" s="26"/>
      <c r="AWZ71" s="26"/>
      <c r="AXA71" s="26"/>
      <c r="AXB71" s="26"/>
      <c r="AXC71" s="26"/>
      <c r="AXD71" s="26"/>
      <c r="AXE71" s="26"/>
      <c r="AXF71" s="26"/>
      <c r="AXG71" s="26"/>
      <c r="AXH71" s="26"/>
      <c r="AXI71" s="26"/>
      <c r="AXJ71" s="26"/>
      <c r="AXK71" s="26"/>
      <c r="AXL71" s="26"/>
      <c r="AXM71" s="26"/>
      <c r="AXN71" s="26"/>
      <c r="AXO71" s="26"/>
      <c r="AXP71" s="26"/>
      <c r="AXQ71" s="26"/>
      <c r="AXR71" s="26"/>
      <c r="AXS71" s="26"/>
      <c r="AXT71" s="26"/>
      <c r="AXU71" s="26"/>
      <c r="AXV71" s="26"/>
      <c r="AXW71" s="26"/>
      <c r="AXX71" s="26"/>
      <c r="AXY71" s="26"/>
      <c r="AXZ71" s="26"/>
      <c r="AYA71" s="26"/>
      <c r="AYB71" s="26"/>
      <c r="AYC71" s="26"/>
      <c r="AYD71" s="26"/>
      <c r="AYE71" s="26"/>
      <c r="AYF71" s="26"/>
      <c r="AYG71" s="26"/>
      <c r="AYH71" s="26"/>
      <c r="AYI71" s="26"/>
      <c r="AYJ71" s="26"/>
      <c r="AYK71" s="26"/>
      <c r="AYL71" s="26"/>
      <c r="AYM71" s="26"/>
      <c r="AYN71" s="26"/>
      <c r="AYO71" s="26"/>
      <c r="AYP71" s="26"/>
      <c r="AYQ71" s="26"/>
      <c r="AYR71" s="26"/>
      <c r="AYS71" s="26"/>
      <c r="AYT71" s="26"/>
      <c r="AYU71" s="26"/>
      <c r="AYV71" s="26"/>
      <c r="AYW71" s="26"/>
      <c r="AYX71" s="26"/>
      <c r="AYY71" s="26"/>
      <c r="AYZ71" s="26"/>
      <c r="AZA71" s="26"/>
      <c r="AZB71" s="26"/>
      <c r="AZC71" s="26"/>
      <c r="AZD71" s="26"/>
      <c r="AZE71" s="26"/>
      <c r="AZF71" s="26"/>
      <c r="AZG71" s="26"/>
      <c r="AZH71" s="26"/>
      <c r="AZI71" s="26"/>
      <c r="AZJ71" s="26"/>
      <c r="AZK71" s="26"/>
      <c r="AZL71" s="26"/>
      <c r="AZM71" s="26"/>
      <c r="AZN71" s="26"/>
      <c r="AZO71" s="26"/>
      <c r="AZP71" s="26"/>
      <c r="AZQ71" s="26"/>
      <c r="AZR71" s="26"/>
      <c r="AZS71" s="26"/>
      <c r="AZT71" s="26"/>
      <c r="AZU71" s="26"/>
      <c r="AZV71" s="26"/>
      <c r="AZW71" s="26"/>
      <c r="AZX71" s="26"/>
      <c r="AZY71" s="26"/>
      <c r="AZZ71" s="26"/>
      <c r="BAA71" s="26"/>
      <c r="BAB71" s="26"/>
      <c r="BAC71" s="26"/>
      <c r="BAD71" s="26"/>
      <c r="BAE71" s="26"/>
      <c r="BAF71" s="26"/>
      <c r="BAG71" s="26"/>
      <c r="BAH71" s="26"/>
      <c r="BAI71" s="26"/>
      <c r="BAJ71" s="26"/>
      <c r="BAK71" s="26"/>
      <c r="BAL71" s="26"/>
      <c r="BAM71" s="26"/>
      <c r="BAN71" s="26"/>
      <c r="BAO71" s="26"/>
      <c r="BAP71" s="26"/>
      <c r="BAQ71" s="26"/>
      <c r="BAR71" s="26"/>
      <c r="BAS71" s="26"/>
      <c r="BAT71" s="26"/>
      <c r="BAU71" s="26"/>
      <c r="BAV71" s="26"/>
      <c r="BAW71" s="26"/>
      <c r="BAX71" s="26"/>
      <c r="BAY71" s="26"/>
      <c r="BAZ71" s="26"/>
      <c r="BBA71" s="26"/>
      <c r="BBB71" s="26"/>
      <c r="BBC71" s="26"/>
      <c r="BBD71" s="26"/>
      <c r="BBE71" s="26"/>
      <c r="BBF71" s="26"/>
      <c r="BBG71" s="26"/>
      <c r="BBH71" s="26"/>
      <c r="BBI71" s="26"/>
      <c r="BBJ71" s="26"/>
      <c r="BBK71" s="26"/>
      <c r="BBL71" s="26"/>
      <c r="BBM71" s="26"/>
      <c r="BBN71" s="26"/>
      <c r="BBO71" s="26"/>
      <c r="BBP71" s="26"/>
      <c r="BBQ71" s="26"/>
      <c r="BBR71" s="26"/>
      <c r="BBS71" s="26"/>
      <c r="BBT71" s="26"/>
      <c r="BBU71" s="26"/>
      <c r="BBV71" s="26"/>
      <c r="BBW71" s="26"/>
      <c r="BBX71" s="26"/>
      <c r="BBY71" s="26"/>
      <c r="BBZ71" s="26"/>
      <c r="BCA71" s="26"/>
      <c r="BCB71" s="26"/>
      <c r="BCC71" s="26"/>
      <c r="BCD71" s="26"/>
      <c r="BCE71" s="26"/>
      <c r="BCF71" s="26"/>
      <c r="BCG71" s="26"/>
      <c r="BCH71" s="26"/>
      <c r="BCI71" s="26"/>
      <c r="BCJ71" s="26"/>
      <c r="BCK71" s="26"/>
      <c r="BCL71" s="26"/>
      <c r="BCM71" s="26"/>
      <c r="BCN71" s="26"/>
      <c r="BCO71" s="26"/>
      <c r="BCP71" s="26"/>
      <c r="BCQ71" s="26"/>
      <c r="BCR71" s="26"/>
      <c r="BCS71" s="26"/>
      <c r="BCT71" s="26"/>
      <c r="BCU71" s="26"/>
      <c r="BCV71" s="26"/>
      <c r="BCW71" s="26"/>
      <c r="BCX71" s="26"/>
      <c r="BCY71" s="26"/>
      <c r="BCZ71" s="26"/>
      <c r="BDA71" s="26"/>
      <c r="BDB71" s="26"/>
      <c r="BDC71" s="26"/>
      <c r="BDD71" s="26"/>
      <c r="BDE71" s="26"/>
      <c r="BDF71" s="26"/>
      <c r="BDG71" s="26"/>
      <c r="BDH71" s="26"/>
      <c r="BDI71" s="26"/>
      <c r="BDJ71" s="26"/>
      <c r="BDK71" s="26"/>
      <c r="BDL71" s="26"/>
      <c r="BDM71" s="26"/>
      <c r="BDN71" s="26"/>
      <c r="BDO71" s="26"/>
      <c r="BDP71" s="26"/>
      <c r="BDQ71" s="26"/>
      <c r="BDR71" s="26"/>
      <c r="BDS71" s="26"/>
      <c r="BDT71" s="26"/>
      <c r="BDU71" s="26"/>
      <c r="BDV71" s="26"/>
      <c r="BDW71" s="26"/>
      <c r="BDX71" s="26"/>
      <c r="BDY71" s="26"/>
      <c r="BDZ71" s="26"/>
      <c r="BEA71" s="26"/>
      <c r="BEB71" s="26"/>
      <c r="BEC71" s="26"/>
      <c r="BED71" s="26"/>
      <c r="BEE71" s="26"/>
      <c r="BEF71" s="26"/>
      <c r="BEG71" s="26"/>
      <c r="BEH71" s="26"/>
      <c r="BEI71" s="26"/>
      <c r="BEJ71" s="26"/>
      <c r="BEK71" s="26"/>
      <c r="BEL71" s="26"/>
      <c r="BEM71" s="26"/>
      <c r="BEN71" s="26"/>
      <c r="BEO71" s="26"/>
      <c r="BEP71" s="26"/>
      <c r="BEQ71" s="26"/>
      <c r="BER71" s="26"/>
      <c r="BES71" s="26"/>
      <c r="BET71" s="26"/>
      <c r="BEU71" s="26"/>
      <c r="BEV71" s="26"/>
      <c r="BEW71" s="26"/>
      <c r="BEX71" s="26"/>
      <c r="BEY71" s="26"/>
      <c r="BEZ71" s="26"/>
      <c r="BFA71" s="26"/>
      <c r="BFB71" s="26"/>
      <c r="BFC71" s="26"/>
      <c r="BFD71" s="26"/>
      <c r="BFE71" s="26"/>
      <c r="BFF71" s="26"/>
      <c r="BFG71" s="26"/>
      <c r="BFH71" s="26"/>
      <c r="BFI71" s="26"/>
      <c r="BFJ71" s="26"/>
      <c r="BFK71" s="26"/>
      <c r="BFL71" s="26"/>
      <c r="BFM71" s="26"/>
      <c r="BFN71" s="26"/>
      <c r="BFO71" s="26"/>
      <c r="BFP71" s="26"/>
      <c r="BFQ71" s="26"/>
      <c r="BFR71" s="26"/>
      <c r="BFS71" s="26"/>
      <c r="BFT71" s="26"/>
      <c r="BFU71" s="26"/>
      <c r="BFV71" s="26"/>
      <c r="BFW71" s="26"/>
      <c r="BFX71" s="26"/>
      <c r="BFY71" s="26"/>
      <c r="BFZ71" s="26"/>
      <c r="BGA71" s="26"/>
      <c r="BGB71" s="26"/>
      <c r="BGC71" s="26"/>
      <c r="BGD71" s="26"/>
      <c r="BGE71" s="26"/>
      <c r="BGF71" s="26"/>
      <c r="BGG71" s="26"/>
      <c r="BGH71" s="26"/>
      <c r="BGI71" s="26"/>
      <c r="BGJ71" s="26"/>
      <c r="BGK71" s="26"/>
      <c r="BGL71" s="26"/>
      <c r="BGM71" s="26"/>
      <c r="BGN71" s="26"/>
      <c r="BGO71" s="26"/>
      <c r="BGP71" s="26"/>
      <c r="BGQ71" s="26"/>
      <c r="BGR71" s="26"/>
      <c r="BGS71" s="26"/>
      <c r="BGT71" s="26"/>
      <c r="BGU71" s="26"/>
      <c r="BGV71" s="26"/>
      <c r="BGW71" s="26"/>
      <c r="BGX71" s="26"/>
      <c r="BGY71" s="26"/>
      <c r="BGZ71" s="26"/>
      <c r="BHA71" s="26"/>
      <c r="BHB71" s="26"/>
      <c r="BHC71" s="26"/>
      <c r="BHD71" s="26"/>
      <c r="BHE71" s="26"/>
      <c r="BHF71" s="26"/>
      <c r="BHG71" s="26"/>
      <c r="BHH71" s="26"/>
      <c r="BHI71" s="26"/>
      <c r="BHJ71" s="26"/>
      <c r="BHK71" s="26"/>
      <c r="BHL71" s="26"/>
      <c r="BHM71" s="26"/>
      <c r="BHN71" s="26"/>
      <c r="BHO71" s="26"/>
      <c r="BHP71" s="26"/>
      <c r="BHQ71" s="26"/>
      <c r="BHR71" s="26"/>
      <c r="BHS71" s="26"/>
      <c r="BHT71" s="26"/>
      <c r="BHU71" s="26"/>
      <c r="BHV71" s="26"/>
      <c r="BHW71" s="26"/>
      <c r="BHX71" s="26"/>
      <c r="BHY71" s="26"/>
      <c r="BHZ71" s="26"/>
      <c r="BIA71" s="26"/>
      <c r="BIB71" s="26"/>
      <c r="BIC71" s="26"/>
      <c r="BID71" s="26"/>
      <c r="BIE71" s="26"/>
      <c r="BIF71" s="26"/>
      <c r="BIG71" s="26"/>
      <c r="BIH71" s="26"/>
      <c r="BII71" s="26"/>
      <c r="BIJ71" s="26"/>
      <c r="BIK71" s="26"/>
      <c r="BIL71" s="26"/>
      <c r="BIM71" s="26"/>
      <c r="BIN71" s="26"/>
      <c r="BIO71" s="26"/>
      <c r="BIP71" s="26"/>
      <c r="BIQ71" s="26"/>
      <c r="BIR71" s="26"/>
      <c r="BIS71" s="26"/>
      <c r="BIT71" s="26"/>
      <c r="BIU71" s="26"/>
      <c r="BIV71" s="26"/>
      <c r="BIW71" s="26"/>
      <c r="BIX71" s="26"/>
      <c r="BIY71" s="26"/>
      <c r="BIZ71" s="26"/>
      <c r="BJA71" s="26"/>
      <c r="BJB71" s="26"/>
      <c r="BJC71" s="26"/>
      <c r="BJD71" s="26"/>
      <c r="BJE71" s="26"/>
      <c r="BJF71" s="26"/>
      <c r="BJG71" s="26"/>
      <c r="BJH71" s="26"/>
      <c r="BJI71" s="26"/>
      <c r="BJJ71" s="26"/>
      <c r="BJK71" s="26"/>
      <c r="BJL71" s="26"/>
      <c r="BJM71" s="26"/>
      <c r="BJN71" s="26"/>
      <c r="BJO71" s="26"/>
      <c r="BJP71" s="26"/>
      <c r="BJQ71" s="26"/>
      <c r="BJR71" s="26"/>
      <c r="BJS71" s="26"/>
      <c r="BJT71" s="26"/>
      <c r="BJU71" s="26"/>
      <c r="BJV71" s="26"/>
      <c r="BJW71" s="26"/>
      <c r="BJX71" s="26"/>
      <c r="BJY71" s="26"/>
      <c r="BJZ71" s="26"/>
      <c r="BKA71" s="26"/>
      <c r="BKB71" s="26"/>
      <c r="BKC71" s="26"/>
      <c r="BKD71" s="26"/>
      <c r="BKE71" s="26"/>
      <c r="BKF71" s="26"/>
      <c r="BKG71" s="26"/>
      <c r="BKH71" s="26"/>
      <c r="BKI71" s="26"/>
      <c r="BKJ71" s="26"/>
      <c r="BKK71" s="26"/>
      <c r="BKL71" s="26"/>
      <c r="BKM71" s="26"/>
      <c r="BKN71" s="26"/>
      <c r="BKO71" s="26"/>
      <c r="BKP71" s="26"/>
      <c r="BKQ71" s="26"/>
      <c r="BKR71" s="26"/>
      <c r="BKS71" s="26"/>
      <c r="BKT71" s="26"/>
      <c r="BKU71" s="26"/>
      <c r="BKV71" s="26"/>
      <c r="BKW71" s="26"/>
      <c r="BKX71" s="26"/>
      <c r="BKY71" s="26"/>
      <c r="BKZ71" s="26"/>
      <c r="BLA71" s="26"/>
      <c r="BLB71" s="26"/>
      <c r="BLC71" s="26"/>
      <c r="BLD71" s="26"/>
      <c r="BLE71" s="26"/>
      <c r="BLF71" s="26"/>
      <c r="BLG71" s="26"/>
      <c r="BLH71" s="26"/>
      <c r="BLI71" s="26"/>
      <c r="BLJ71" s="26"/>
      <c r="BLK71" s="26"/>
      <c r="BLL71" s="26"/>
      <c r="BLM71" s="26"/>
      <c r="BLN71" s="26"/>
      <c r="BLO71" s="26"/>
      <c r="BLP71" s="26"/>
      <c r="BLQ71" s="26"/>
      <c r="BLR71" s="26"/>
      <c r="BLS71" s="26"/>
      <c r="BLT71" s="26"/>
      <c r="BLU71" s="26"/>
      <c r="BLV71" s="26"/>
      <c r="BLW71" s="26"/>
      <c r="BLX71" s="26"/>
      <c r="BLY71" s="26"/>
      <c r="BLZ71" s="26"/>
      <c r="BMA71" s="26"/>
      <c r="BMB71" s="26"/>
      <c r="BMC71" s="26"/>
      <c r="BMD71" s="26"/>
      <c r="BME71" s="26"/>
      <c r="BMF71" s="26"/>
      <c r="BMG71" s="26"/>
      <c r="BMH71" s="26"/>
      <c r="BMI71" s="26"/>
      <c r="BMJ71" s="26"/>
      <c r="BMK71" s="26"/>
      <c r="BML71" s="26"/>
      <c r="BMM71" s="26"/>
      <c r="BMN71" s="26"/>
      <c r="BMO71" s="26"/>
      <c r="BMP71" s="26"/>
      <c r="BMQ71" s="26"/>
      <c r="BMR71" s="26"/>
      <c r="BMS71" s="26"/>
      <c r="BMT71" s="26"/>
      <c r="BMU71" s="26"/>
      <c r="BMV71" s="26"/>
      <c r="BMW71" s="26"/>
      <c r="BMX71" s="26"/>
      <c r="BMY71" s="26"/>
      <c r="BMZ71" s="26"/>
      <c r="BNA71" s="26"/>
      <c r="BNB71" s="26"/>
      <c r="BNC71" s="26"/>
      <c r="BND71" s="26"/>
      <c r="BNE71" s="26"/>
      <c r="BNF71" s="26"/>
      <c r="BNG71" s="26"/>
      <c r="BNH71" s="26"/>
      <c r="BNI71" s="26"/>
      <c r="BNJ71" s="26"/>
      <c r="BNK71" s="26"/>
      <c r="BNL71" s="26"/>
      <c r="BNM71" s="26"/>
      <c r="BNN71" s="26"/>
      <c r="BNO71" s="26"/>
      <c r="BNP71" s="26"/>
      <c r="BNQ71" s="26"/>
      <c r="BNR71" s="26"/>
      <c r="BNS71" s="26"/>
      <c r="BNT71" s="26"/>
      <c r="BNU71" s="26"/>
      <c r="BNV71" s="26"/>
      <c r="BNW71" s="26"/>
      <c r="BNX71" s="26"/>
      <c r="BNY71" s="26"/>
      <c r="BNZ71" s="26"/>
      <c r="BOA71" s="26"/>
      <c r="BOB71" s="26"/>
      <c r="BOC71" s="26"/>
      <c r="BOD71" s="26"/>
      <c r="BOE71" s="26"/>
      <c r="BOF71" s="26"/>
      <c r="BOG71" s="26"/>
      <c r="BOH71" s="26"/>
      <c r="BOI71" s="26"/>
      <c r="BOJ71" s="26"/>
      <c r="BOK71" s="26"/>
      <c r="BOL71" s="26"/>
      <c r="BOM71" s="26"/>
      <c r="BON71" s="26"/>
      <c r="BOO71" s="26"/>
      <c r="BOP71" s="26"/>
      <c r="BOQ71" s="26"/>
      <c r="BOR71" s="26"/>
      <c r="BOS71" s="26"/>
      <c r="BOT71" s="26"/>
      <c r="BOU71" s="26"/>
      <c r="BOV71" s="26"/>
      <c r="BOW71" s="26"/>
      <c r="BOX71" s="26"/>
      <c r="BOY71" s="26"/>
      <c r="BOZ71" s="26"/>
      <c r="BPA71" s="26"/>
      <c r="BPB71" s="26"/>
      <c r="BPC71" s="26"/>
      <c r="BPD71" s="26"/>
      <c r="BPE71" s="26"/>
      <c r="BPF71" s="26"/>
      <c r="BPG71" s="26"/>
      <c r="BPH71" s="26"/>
      <c r="BPI71" s="26"/>
      <c r="BPJ71" s="26"/>
      <c r="BPK71" s="26"/>
      <c r="BPL71" s="26"/>
      <c r="BPM71" s="26"/>
      <c r="BPN71" s="26"/>
      <c r="BPO71" s="26"/>
      <c r="BPP71" s="26"/>
      <c r="BPQ71" s="26"/>
      <c r="BPR71" s="26"/>
      <c r="BPS71" s="26"/>
      <c r="BPT71" s="26"/>
      <c r="BPU71" s="26"/>
      <c r="BPV71" s="26"/>
      <c r="BPW71" s="26"/>
      <c r="BPX71" s="26"/>
      <c r="BPY71" s="26"/>
      <c r="BPZ71" s="26"/>
      <c r="BQA71" s="26"/>
      <c r="BQB71" s="26"/>
      <c r="BQC71" s="26"/>
      <c r="BQD71" s="26"/>
      <c r="BQE71" s="26"/>
      <c r="BQF71" s="26"/>
      <c r="BQG71" s="26"/>
      <c r="BQH71" s="26"/>
      <c r="BQI71" s="26"/>
      <c r="BQJ71" s="26"/>
      <c r="BQK71" s="26"/>
      <c r="BQL71" s="26"/>
      <c r="BQM71" s="26"/>
      <c r="BQN71" s="26"/>
      <c r="BQO71" s="26"/>
      <c r="BQP71" s="26"/>
      <c r="BQQ71" s="26"/>
      <c r="BQR71" s="26"/>
      <c r="BQS71" s="26"/>
      <c r="BQT71" s="26"/>
      <c r="BQU71" s="26"/>
      <c r="BQV71" s="26"/>
      <c r="BQW71" s="26"/>
      <c r="BQX71" s="26"/>
      <c r="BQY71" s="26"/>
      <c r="BQZ71" s="26"/>
      <c r="BRA71" s="26"/>
      <c r="BRB71" s="26"/>
      <c r="BRC71" s="26"/>
      <c r="BRD71" s="26"/>
      <c r="BRE71" s="26"/>
      <c r="BRF71" s="26"/>
      <c r="BRG71" s="26"/>
      <c r="BRH71" s="26"/>
      <c r="BRI71" s="26"/>
      <c r="BRJ71" s="26"/>
      <c r="BRK71" s="26"/>
      <c r="BRL71" s="26"/>
      <c r="BRM71" s="26"/>
      <c r="BRN71" s="26"/>
      <c r="BRO71" s="26"/>
      <c r="BRP71" s="26"/>
      <c r="BRQ71" s="26"/>
      <c r="BRR71" s="26"/>
      <c r="BRS71" s="26"/>
      <c r="BRT71" s="26"/>
      <c r="BRU71" s="26"/>
      <c r="BRV71" s="26"/>
      <c r="BRW71" s="26"/>
      <c r="BRX71" s="26"/>
      <c r="BRY71" s="26"/>
      <c r="BRZ71" s="26"/>
      <c r="BSA71" s="26"/>
      <c r="BSB71" s="26"/>
      <c r="BSC71" s="26"/>
      <c r="BSD71" s="26"/>
      <c r="BSE71" s="26"/>
      <c r="BSF71" s="26"/>
      <c r="BSG71" s="26"/>
      <c r="BSH71" s="26"/>
      <c r="BSI71" s="26"/>
      <c r="BSJ71" s="26"/>
      <c r="BSK71" s="26"/>
      <c r="BSL71" s="26"/>
      <c r="BSM71" s="26"/>
      <c r="BSN71" s="26"/>
      <c r="BSO71" s="26"/>
      <c r="BSP71" s="26"/>
      <c r="BSQ71" s="26"/>
      <c r="BSR71" s="26"/>
      <c r="BSS71" s="26"/>
      <c r="BST71" s="26"/>
      <c r="BSU71" s="26"/>
      <c r="BSV71" s="26"/>
      <c r="BSW71" s="26"/>
      <c r="BSX71" s="26"/>
      <c r="BSY71" s="26"/>
      <c r="BSZ71" s="26"/>
      <c r="BTA71" s="26"/>
      <c r="BTB71" s="26"/>
      <c r="BTC71" s="26"/>
      <c r="BTD71" s="26"/>
      <c r="BTE71" s="26"/>
      <c r="BTF71" s="26"/>
      <c r="BTG71" s="26"/>
      <c r="BTH71" s="26"/>
      <c r="BTI71" s="26"/>
      <c r="BTJ71" s="26"/>
      <c r="BTK71" s="26"/>
      <c r="BTL71" s="26"/>
      <c r="BTM71" s="26"/>
      <c r="BTN71" s="26"/>
      <c r="BTO71" s="26"/>
      <c r="BTP71" s="26"/>
      <c r="BTQ71" s="26"/>
      <c r="BTR71" s="26"/>
      <c r="BTS71" s="26"/>
      <c r="BTT71" s="26"/>
      <c r="BTU71" s="26"/>
      <c r="BTV71" s="26"/>
      <c r="BTW71" s="26"/>
      <c r="BTX71" s="26"/>
      <c r="BTY71" s="26"/>
      <c r="BTZ71" s="26"/>
      <c r="BUA71" s="26"/>
      <c r="BUB71" s="26"/>
      <c r="BUC71" s="26"/>
      <c r="BUD71" s="26"/>
      <c r="BUE71" s="26"/>
      <c r="BUF71" s="26"/>
      <c r="BUG71" s="26"/>
      <c r="BUH71" s="26"/>
      <c r="BUI71" s="26"/>
      <c r="BUJ71" s="26"/>
      <c r="BUK71" s="26"/>
      <c r="BUL71" s="26"/>
      <c r="BUM71" s="26"/>
      <c r="BUN71" s="26"/>
      <c r="BUO71" s="26"/>
      <c r="BUP71" s="26"/>
      <c r="BUQ71" s="26"/>
      <c r="BUR71" s="26"/>
      <c r="BUS71" s="26"/>
      <c r="BUT71" s="26"/>
      <c r="BUU71" s="26"/>
      <c r="BUV71" s="26"/>
      <c r="BUW71" s="26"/>
      <c r="BUX71" s="26"/>
      <c r="BUY71" s="26"/>
      <c r="BUZ71" s="26"/>
      <c r="BVA71" s="26"/>
      <c r="BVB71" s="26"/>
      <c r="BVC71" s="26"/>
      <c r="BVD71" s="26"/>
      <c r="BVE71" s="26"/>
      <c r="BVF71" s="26"/>
      <c r="BVG71" s="26"/>
      <c r="BVH71" s="26"/>
      <c r="BVI71" s="26"/>
      <c r="BVJ71" s="26"/>
      <c r="BVK71" s="26"/>
      <c r="BVL71" s="26"/>
      <c r="BVM71" s="26"/>
      <c r="BVN71" s="26"/>
      <c r="BVO71" s="26"/>
      <c r="BVP71" s="26"/>
      <c r="BVQ71" s="26"/>
      <c r="BVR71" s="26"/>
      <c r="BVS71" s="26"/>
      <c r="BVT71" s="26"/>
      <c r="BVU71" s="26"/>
      <c r="BVV71" s="26"/>
      <c r="BVW71" s="26"/>
      <c r="BVX71" s="26"/>
      <c r="BVY71" s="26"/>
      <c r="BVZ71" s="26"/>
      <c r="BWA71" s="26"/>
      <c r="BWB71" s="26"/>
      <c r="BWC71" s="26"/>
      <c r="BWD71" s="26"/>
      <c r="BWE71" s="26"/>
      <c r="BWF71" s="26"/>
      <c r="BWG71" s="26"/>
      <c r="BWH71" s="26"/>
      <c r="BWI71" s="26"/>
      <c r="BWJ71" s="26"/>
      <c r="BWK71" s="26"/>
      <c r="BWL71" s="26"/>
      <c r="BWM71" s="26"/>
      <c r="BWN71" s="26"/>
      <c r="BWO71" s="26"/>
      <c r="BWP71" s="26"/>
      <c r="BWQ71" s="26"/>
      <c r="BWR71" s="26"/>
      <c r="BWS71" s="26"/>
      <c r="BWT71" s="26"/>
      <c r="BWU71" s="26"/>
      <c r="BWV71" s="26"/>
      <c r="BWW71" s="26"/>
      <c r="BWX71" s="26"/>
      <c r="BWY71" s="26"/>
      <c r="BWZ71" s="26"/>
      <c r="BXA71" s="26"/>
      <c r="BXB71" s="26"/>
      <c r="BXC71" s="26"/>
      <c r="BXD71" s="26"/>
      <c r="BXE71" s="26"/>
      <c r="BXF71" s="26"/>
      <c r="BXG71" s="26"/>
      <c r="BXH71" s="26"/>
      <c r="BXI71" s="26"/>
      <c r="BXJ71" s="26"/>
      <c r="BXK71" s="26"/>
      <c r="BXL71" s="26"/>
      <c r="BXM71" s="26"/>
      <c r="BXN71" s="26"/>
      <c r="BXO71" s="26"/>
      <c r="BXP71" s="26"/>
      <c r="BXQ71" s="26"/>
      <c r="BXR71" s="26"/>
      <c r="BXS71" s="26"/>
      <c r="BXT71" s="26"/>
      <c r="BXU71" s="26"/>
      <c r="BXV71" s="26"/>
      <c r="BXW71" s="26"/>
      <c r="BXX71" s="26"/>
      <c r="BXY71" s="26"/>
      <c r="BXZ71" s="26"/>
      <c r="BYA71" s="26"/>
      <c r="BYB71" s="26"/>
      <c r="BYC71" s="26"/>
      <c r="BYD71" s="26"/>
      <c r="BYE71" s="26"/>
      <c r="BYF71" s="26"/>
      <c r="BYG71" s="26"/>
      <c r="BYH71" s="26"/>
      <c r="BYI71" s="26"/>
      <c r="BYJ71" s="26"/>
      <c r="BYK71" s="26"/>
      <c r="BYL71" s="26"/>
      <c r="BYM71" s="26"/>
      <c r="BYN71" s="26"/>
      <c r="BYO71" s="26"/>
      <c r="BYP71" s="26"/>
      <c r="BYQ71" s="26"/>
      <c r="BYR71" s="26"/>
      <c r="BYS71" s="26"/>
      <c r="BYT71" s="26"/>
      <c r="BYU71" s="26"/>
      <c r="BYV71" s="26"/>
      <c r="BYW71" s="26"/>
      <c r="BYX71" s="26"/>
      <c r="BYY71" s="26"/>
      <c r="BYZ71" s="26"/>
      <c r="BZA71" s="26"/>
      <c r="BZB71" s="26"/>
      <c r="BZC71" s="26"/>
      <c r="BZD71" s="26"/>
      <c r="BZE71" s="26"/>
      <c r="BZF71" s="26"/>
      <c r="BZG71" s="26"/>
      <c r="BZH71" s="26"/>
      <c r="BZI71" s="26"/>
      <c r="BZJ71" s="26"/>
      <c r="BZK71" s="26"/>
      <c r="BZL71" s="26"/>
      <c r="BZM71" s="26"/>
      <c r="BZN71" s="26"/>
      <c r="BZO71" s="26"/>
      <c r="BZP71" s="26"/>
      <c r="BZQ71" s="26"/>
      <c r="BZR71" s="26"/>
      <c r="BZS71" s="26"/>
      <c r="BZT71" s="26"/>
      <c r="BZU71" s="26"/>
      <c r="BZV71" s="26"/>
      <c r="BZW71" s="26"/>
      <c r="BZX71" s="26"/>
      <c r="BZY71" s="26"/>
      <c r="BZZ71" s="26"/>
      <c r="CAA71" s="26"/>
      <c r="CAB71" s="26"/>
      <c r="CAC71" s="26"/>
      <c r="CAD71" s="26"/>
      <c r="CAE71" s="26"/>
      <c r="CAF71" s="26"/>
      <c r="CAG71" s="26"/>
      <c r="CAH71" s="26"/>
      <c r="CAI71" s="26"/>
      <c r="CAJ71" s="26"/>
      <c r="CAK71" s="26"/>
      <c r="CAL71" s="26"/>
      <c r="CAM71" s="26"/>
      <c r="CAN71" s="26"/>
      <c r="CAO71" s="26"/>
      <c r="CAP71" s="26"/>
      <c r="CAQ71" s="26"/>
      <c r="CAR71" s="26"/>
      <c r="CAS71" s="26"/>
      <c r="CAT71" s="26"/>
      <c r="CAU71" s="26"/>
      <c r="CAV71" s="26"/>
      <c r="CAW71" s="26"/>
      <c r="CAX71" s="26"/>
      <c r="CAY71" s="26"/>
      <c r="CAZ71" s="26"/>
      <c r="CBA71" s="26"/>
      <c r="CBB71" s="26"/>
      <c r="CBC71" s="26"/>
      <c r="CBD71" s="26"/>
      <c r="CBE71" s="26"/>
      <c r="CBF71" s="26"/>
      <c r="CBG71" s="26"/>
      <c r="CBH71" s="26"/>
      <c r="CBI71" s="26"/>
      <c r="CBJ71" s="26"/>
      <c r="CBK71" s="26"/>
      <c r="CBL71" s="26"/>
      <c r="CBM71" s="26"/>
      <c r="CBN71" s="26"/>
      <c r="CBO71" s="26"/>
      <c r="CBP71" s="26"/>
      <c r="CBQ71" s="26"/>
      <c r="CBR71" s="26"/>
      <c r="CBS71" s="26"/>
      <c r="CBT71" s="26"/>
      <c r="CBU71" s="26"/>
      <c r="CBV71" s="26"/>
      <c r="CBW71" s="26"/>
      <c r="CBX71" s="26"/>
      <c r="CBY71" s="26"/>
      <c r="CBZ71" s="26"/>
      <c r="CCA71" s="26"/>
      <c r="CCB71" s="26"/>
      <c r="CCC71" s="26"/>
      <c r="CCD71" s="26"/>
      <c r="CCE71" s="26"/>
      <c r="CCF71" s="26"/>
      <c r="CCG71" s="26"/>
      <c r="CCH71" s="26"/>
      <c r="CCI71" s="26"/>
      <c r="CCJ71" s="26"/>
      <c r="CCK71" s="26"/>
      <c r="CCL71" s="26"/>
      <c r="CCM71" s="26"/>
      <c r="CCN71" s="26"/>
      <c r="CCO71" s="26"/>
      <c r="CCP71" s="26"/>
      <c r="CCQ71" s="26"/>
      <c r="CCR71" s="26"/>
      <c r="CCS71" s="26"/>
      <c r="CCT71" s="26"/>
      <c r="CCU71" s="26"/>
      <c r="CCV71" s="26"/>
      <c r="CCW71" s="26"/>
      <c r="CCX71" s="26"/>
      <c r="CCY71" s="26"/>
      <c r="CCZ71" s="26"/>
      <c r="CDA71" s="26"/>
      <c r="CDB71" s="26"/>
      <c r="CDC71" s="26"/>
      <c r="CDD71" s="26"/>
      <c r="CDE71" s="26"/>
      <c r="CDF71" s="26"/>
      <c r="CDG71" s="26"/>
      <c r="CDH71" s="26"/>
      <c r="CDI71" s="26"/>
      <c r="CDJ71" s="26"/>
      <c r="CDK71" s="26"/>
      <c r="CDL71" s="26"/>
      <c r="CDM71" s="26"/>
      <c r="CDN71" s="26"/>
      <c r="CDO71" s="26"/>
      <c r="CDP71" s="26"/>
      <c r="CDQ71" s="26"/>
      <c r="CDR71" s="26"/>
      <c r="CDS71" s="26"/>
      <c r="CDT71" s="26"/>
      <c r="CDU71" s="26"/>
      <c r="CDV71" s="26"/>
      <c r="CDW71" s="26"/>
      <c r="CDX71" s="26"/>
      <c r="CDY71" s="26"/>
      <c r="CDZ71" s="26"/>
      <c r="CEA71" s="26"/>
      <c r="CEB71" s="26"/>
      <c r="CEC71" s="26"/>
      <c r="CED71" s="26"/>
      <c r="CEE71" s="26"/>
      <c r="CEF71" s="26"/>
      <c r="CEG71" s="26"/>
      <c r="CEH71" s="26"/>
      <c r="CEI71" s="26"/>
      <c r="CEJ71" s="26"/>
      <c r="CEK71" s="26"/>
      <c r="CEL71" s="26"/>
      <c r="CEM71" s="26"/>
      <c r="CEN71" s="26"/>
      <c r="CEO71" s="26"/>
      <c r="CEP71" s="26"/>
      <c r="CEQ71" s="26"/>
      <c r="CER71" s="26"/>
      <c r="CES71" s="26"/>
      <c r="CET71" s="26"/>
      <c r="CEU71" s="26"/>
      <c r="CEV71" s="26"/>
      <c r="CEW71" s="26"/>
      <c r="CEX71" s="26"/>
      <c r="CEY71" s="26"/>
      <c r="CEZ71" s="26"/>
      <c r="CFA71" s="26"/>
      <c r="CFB71" s="26"/>
      <c r="CFC71" s="26"/>
      <c r="CFD71" s="26"/>
      <c r="CFE71" s="26"/>
      <c r="CFF71" s="26"/>
      <c r="CFG71" s="26"/>
      <c r="CFH71" s="26"/>
      <c r="CFI71" s="26"/>
      <c r="CFJ71" s="26"/>
      <c r="CFK71" s="26"/>
      <c r="CFL71" s="26"/>
      <c r="CFM71" s="26"/>
      <c r="CFN71" s="26"/>
      <c r="CFO71" s="26"/>
      <c r="CFP71" s="26"/>
      <c r="CFQ71" s="26"/>
      <c r="CFR71" s="26"/>
      <c r="CFS71" s="26"/>
      <c r="CFT71" s="26"/>
      <c r="CFU71" s="26"/>
      <c r="CFV71" s="26"/>
      <c r="CFW71" s="26"/>
      <c r="CFX71" s="26"/>
      <c r="CFY71" s="26"/>
      <c r="CFZ71" s="26"/>
      <c r="CGA71" s="26"/>
      <c r="CGB71" s="26"/>
      <c r="CGC71" s="26"/>
      <c r="CGD71" s="26"/>
      <c r="CGE71" s="26"/>
      <c r="CGF71" s="26"/>
      <c r="CGG71" s="26"/>
      <c r="CGH71" s="26"/>
      <c r="CGI71" s="26"/>
      <c r="CGJ71" s="26"/>
      <c r="CGK71" s="26"/>
      <c r="CGL71" s="26"/>
      <c r="CGM71" s="26"/>
      <c r="CGN71" s="26"/>
      <c r="CGO71" s="26"/>
      <c r="CGP71" s="26"/>
      <c r="CGQ71" s="26"/>
      <c r="CGR71" s="26"/>
      <c r="CGS71" s="26"/>
      <c r="CGT71" s="26"/>
      <c r="CGU71" s="26"/>
      <c r="CGV71" s="26"/>
      <c r="CGW71" s="26"/>
      <c r="CGX71" s="26"/>
      <c r="CGY71" s="26"/>
      <c r="CGZ71" s="26"/>
      <c r="CHA71" s="26"/>
      <c r="CHB71" s="26"/>
      <c r="CHC71" s="26"/>
      <c r="CHD71" s="26"/>
      <c r="CHE71" s="26"/>
      <c r="CHF71" s="26"/>
      <c r="CHG71" s="26"/>
      <c r="CHH71" s="26"/>
      <c r="CHI71" s="26"/>
      <c r="CHJ71" s="26"/>
      <c r="CHK71" s="26"/>
      <c r="CHL71" s="26"/>
      <c r="CHM71" s="26"/>
      <c r="CHN71" s="26"/>
      <c r="CHO71" s="26"/>
      <c r="CHP71" s="26"/>
      <c r="CHQ71" s="26"/>
      <c r="CHR71" s="26"/>
      <c r="CHS71" s="26"/>
      <c r="CHT71" s="26"/>
      <c r="CHU71" s="26"/>
      <c r="CHV71" s="26"/>
      <c r="CHW71" s="26"/>
      <c r="CHX71" s="26"/>
      <c r="CHY71" s="26"/>
      <c r="CHZ71" s="26"/>
      <c r="CIA71" s="26"/>
      <c r="CIB71" s="26"/>
      <c r="CIC71" s="26"/>
      <c r="CID71" s="26"/>
      <c r="CIE71" s="26"/>
      <c r="CIF71" s="26"/>
      <c r="CIG71" s="26"/>
      <c r="CIH71" s="26"/>
      <c r="CII71" s="26"/>
      <c r="CIJ71" s="26"/>
      <c r="CIK71" s="26"/>
      <c r="CIL71" s="26"/>
      <c r="CIM71" s="26"/>
      <c r="CIN71" s="26"/>
      <c r="CIO71" s="26"/>
      <c r="CIP71" s="26"/>
      <c r="CIQ71" s="26"/>
      <c r="CIR71" s="26"/>
      <c r="CIS71" s="26"/>
      <c r="CIT71" s="26"/>
      <c r="CIU71" s="26"/>
      <c r="CIV71" s="26"/>
      <c r="CIW71" s="26"/>
      <c r="CIX71" s="26"/>
      <c r="CIY71" s="26"/>
      <c r="CIZ71" s="26"/>
      <c r="CJA71" s="26"/>
      <c r="CJB71" s="26"/>
      <c r="CJC71" s="26"/>
      <c r="CJD71" s="26"/>
      <c r="CJE71" s="26"/>
      <c r="CJF71" s="26"/>
      <c r="CJG71" s="26"/>
      <c r="CJH71" s="26"/>
      <c r="CJI71" s="26"/>
      <c r="CJJ71" s="26"/>
      <c r="CJK71" s="26"/>
      <c r="CJL71" s="26"/>
      <c r="CJM71" s="26"/>
      <c r="CJN71" s="26"/>
      <c r="CJO71" s="26"/>
      <c r="CJP71" s="26"/>
      <c r="CJQ71" s="26"/>
      <c r="CJR71" s="26"/>
      <c r="CJS71" s="26"/>
      <c r="CJT71" s="26"/>
      <c r="CJU71" s="26"/>
      <c r="CJV71" s="26"/>
      <c r="CJW71" s="26"/>
      <c r="CJX71" s="26"/>
      <c r="CJY71" s="26"/>
      <c r="CJZ71" s="26"/>
      <c r="CKA71" s="26"/>
      <c r="CKB71" s="26"/>
      <c r="CKC71" s="26"/>
      <c r="CKD71" s="26"/>
      <c r="CKE71" s="26"/>
      <c r="CKF71" s="26"/>
      <c r="CKG71" s="26"/>
      <c r="CKH71" s="26"/>
      <c r="CKI71" s="26"/>
      <c r="CKJ71" s="26"/>
      <c r="CKK71" s="26"/>
      <c r="CKL71" s="26"/>
      <c r="CKM71" s="26"/>
      <c r="CKN71" s="26"/>
      <c r="CKO71" s="26"/>
      <c r="CKP71" s="26"/>
      <c r="CKQ71" s="26"/>
      <c r="CKR71" s="26"/>
      <c r="CKS71" s="26"/>
      <c r="CKT71" s="26"/>
      <c r="CKU71" s="26"/>
      <c r="CKV71" s="26"/>
      <c r="CKW71" s="26"/>
      <c r="CKX71" s="26"/>
      <c r="CKY71" s="26"/>
      <c r="CKZ71" s="26"/>
      <c r="CLA71" s="26"/>
      <c r="CLB71" s="26"/>
      <c r="CLC71" s="26"/>
      <c r="CLD71" s="26"/>
      <c r="CLE71" s="26"/>
      <c r="CLF71" s="26"/>
      <c r="CLG71" s="26"/>
      <c r="CLH71" s="26"/>
      <c r="CLI71" s="26"/>
      <c r="CLJ71" s="26"/>
      <c r="CLK71" s="26"/>
      <c r="CLL71" s="26"/>
      <c r="CLM71" s="26"/>
      <c r="CLN71" s="26"/>
      <c r="CLO71" s="26"/>
      <c r="CLP71" s="26"/>
      <c r="CLQ71" s="26"/>
      <c r="CLR71" s="26"/>
      <c r="CLS71" s="26"/>
      <c r="CLT71" s="26"/>
      <c r="CLU71" s="26"/>
      <c r="CLV71" s="26"/>
      <c r="CLW71" s="26"/>
      <c r="CLX71" s="26"/>
      <c r="CLY71" s="26"/>
      <c r="CLZ71" s="26"/>
      <c r="CMA71" s="26"/>
      <c r="CMB71" s="26"/>
      <c r="CMC71" s="26"/>
      <c r="CMD71" s="26"/>
      <c r="CME71" s="26"/>
      <c r="CMF71" s="26"/>
      <c r="CMG71" s="26"/>
      <c r="CMH71" s="26"/>
      <c r="CMI71" s="26"/>
      <c r="CMJ71" s="26"/>
      <c r="CMK71" s="26"/>
      <c r="CML71" s="26"/>
      <c r="CMM71" s="26"/>
      <c r="CMN71" s="26"/>
      <c r="CMO71" s="26"/>
      <c r="CMP71" s="26"/>
      <c r="CMQ71" s="26"/>
      <c r="CMR71" s="26"/>
      <c r="CMS71" s="26"/>
      <c r="CMT71" s="26"/>
      <c r="CMU71" s="26"/>
      <c r="CMV71" s="26"/>
      <c r="CMW71" s="26"/>
      <c r="CMX71" s="26"/>
      <c r="CMY71" s="26"/>
      <c r="CMZ71" s="26"/>
      <c r="CNA71" s="26"/>
      <c r="CNB71" s="26"/>
      <c r="CNC71" s="26"/>
      <c r="CND71" s="26"/>
      <c r="CNE71" s="26"/>
      <c r="CNF71" s="26"/>
      <c r="CNG71" s="26"/>
      <c r="CNH71" s="26"/>
      <c r="CNI71" s="26"/>
      <c r="CNJ71" s="26"/>
      <c r="CNK71" s="26"/>
      <c r="CNL71" s="26"/>
      <c r="CNM71" s="26"/>
      <c r="CNN71" s="26"/>
      <c r="CNO71" s="26"/>
      <c r="CNP71" s="26"/>
      <c r="CNQ71" s="26"/>
      <c r="CNR71" s="26"/>
      <c r="CNS71" s="26"/>
      <c r="CNT71" s="26"/>
      <c r="CNU71" s="26"/>
      <c r="CNV71" s="26"/>
      <c r="CNW71" s="26"/>
      <c r="CNX71" s="26"/>
      <c r="CNY71" s="26"/>
      <c r="CNZ71" s="26"/>
      <c r="COA71" s="26"/>
      <c r="COB71" s="26"/>
      <c r="COC71" s="26"/>
      <c r="COD71" s="26"/>
      <c r="COE71" s="26"/>
      <c r="COF71" s="26"/>
      <c r="COG71" s="26"/>
      <c r="COH71" s="26"/>
      <c r="COI71" s="26"/>
      <c r="COJ71" s="26"/>
      <c r="COK71" s="26"/>
      <c r="COL71" s="26"/>
      <c r="COM71" s="26"/>
      <c r="CON71" s="26"/>
      <c r="COO71" s="26"/>
      <c r="COP71" s="26"/>
      <c r="COQ71" s="26"/>
      <c r="COR71" s="26"/>
      <c r="COS71" s="26"/>
      <c r="COT71" s="26"/>
      <c r="COU71" s="26"/>
      <c r="COV71" s="26"/>
      <c r="COW71" s="26"/>
      <c r="COX71" s="26"/>
      <c r="COY71" s="26"/>
      <c r="COZ71" s="26"/>
      <c r="CPA71" s="26"/>
      <c r="CPB71" s="26"/>
      <c r="CPC71" s="26"/>
      <c r="CPD71" s="26"/>
      <c r="CPE71" s="26"/>
      <c r="CPF71" s="26"/>
      <c r="CPG71" s="26"/>
      <c r="CPH71" s="26"/>
      <c r="CPI71" s="26"/>
      <c r="CPJ71" s="26"/>
      <c r="CPK71" s="26"/>
      <c r="CPL71" s="26"/>
      <c r="CPM71" s="26"/>
      <c r="CPN71" s="26"/>
      <c r="CPO71" s="26"/>
      <c r="CPP71" s="26"/>
      <c r="CPQ71" s="26"/>
      <c r="CPR71" s="26"/>
      <c r="CPS71" s="26"/>
      <c r="CPT71" s="26"/>
      <c r="CPU71" s="26"/>
      <c r="CPV71" s="26"/>
      <c r="CPW71" s="26"/>
      <c r="CPX71" s="26"/>
      <c r="CPY71" s="26"/>
      <c r="CPZ71" s="26"/>
      <c r="CQA71" s="26"/>
      <c r="CQB71" s="26"/>
      <c r="CQC71" s="26"/>
      <c r="CQD71" s="26"/>
      <c r="CQE71" s="26"/>
      <c r="CQF71" s="26"/>
      <c r="CQG71" s="26"/>
      <c r="CQH71" s="26"/>
      <c r="CQI71" s="26"/>
      <c r="CQJ71" s="26"/>
      <c r="CQK71" s="26"/>
      <c r="CQL71" s="26"/>
      <c r="CQM71" s="26"/>
      <c r="CQN71" s="26"/>
      <c r="CQO71" s="26"/>
      <c r="CQP71" s="26"/>
      <c r="CQQ71" s="26"/>
      <c r="CQR71" s="26"/>
      <c r="CQS71" s="26"/>
      <c r="CQT71" s="26"/>
      <c r="CQU71" s="26"/>
      <c r="CQV71" s="26"/>
      <c r="CQW71" s="26"/>
      <c r="CQX71" s="26"/>
      <c r="CQY71" s="26"/>
      <c r="CQZ71" s="26"/>
      <c r="CRA71" s="26"/>
      <c r="CRB71" s="26"/>
      <c r="CRC71" s="26"/>
      <c r="CRD71" s="26"/>
      <c r="CRE71" s="26"/>
      <c r="CRF71" s="26"/>
      <c r="CRG71" s="26"/>
      <c r="CRH71" s="26"/>
      <c r="CRI71" s="26"/>
      <c r="CRJ71" s="26"/>
      <c r="CRK71" s="26"/>
      <c r="CRL71" s="26"/>
      <c r="CRM71" s="26"/>
      <c r="CRN71" s="26"/>
      <c r="CRO71" s="26"/>
      <c r="CRP71" s="26"/>
      <c r="CRQ71" s="26"/>
      <c r="CRR71" s="26"/>
      <c r="CRS71" s="26"/>
      <c r="CRT71" s="26"/>
      <c r="CRU71" s="26"/>
      <c r="CRV71" s="26"/>
      <c r="CRW71" s="26"/>
      <c r="CRX71" s="26"/>
      <c r="CRY71" s="26"/>
      <c r="CRZ71" s="26"/>
      <c r="CSA71" s="26"/>
      <c r="CSB71" s="26"/>
      <c r="CSC71" s="26"/>
      <c r="CSD71" s="26"/>
      <c r="CSE71" s="26"/>
      <c r="CSF71" s="26"/>
      <c r="CSG71" s="26"/>
      <c r="CSH71" s="26"/>
      <c r="CSI71" s="26"/>
      <c r="CSJ71" s="26"/>
      <c r="CSK71" s="26"/>
      <c r="CSL71" s="26"/>
      <c r="CSM71" s="26"/>
      <c r="CSN71" s="26"/>
      <c r="CSO71" s="26"/>
      <c r="CSP71" s="26"/>
      <c r="CSQ71" s="26"/>
      <c r="CSR71" s="26"/>
      <c r="CSS71" s="26"/>
      <c r="CST71" s="26"/>
      <c r="CSU71" s="26"/>
      <c r="CSV71" s="26"/>
      <c r="CSW71" s="26"/>
      <c r="CSX71" s="26"/>
      <c r="CSY71" s="26"/>
      <c r="CSZ71" s="26"/>
      <c r="CTA71" s="26"/>
      <c r="CTB71" s="26"/>
      <c r="CTC71" s="26"/>
      <c r="CTD71" s="26"/>
      <c r="CTE71" s="26"/>
      <c r="CTF71" s="26"/>
      <c r="CTG71" s="26"/>
      <c r="CTH71" s="26"/>
      <c r="CTI71" s="26"/>
      <c r="CTJ71" s="26"/>
      <c r="CTK71" s="26"/>
      <c r="CTL71" s="26"/>
      <c r="CTM71" s="26"/>
      <c r="CTN71" s="26"/>
      <c r="CTO71" s="26"/>
      <c r="CTP71" s="26"/>
      <c r="CTQ71" s="26"/>
      <c r="CTR71" s="26"/>
      <c r="CTS71" s="26"/>
      <c r="CTT71" s="26"/>
      <c r="CTU71" s="26"/>
      <c r="CTV71" s="26"/>
      <c r="CTW71" s="26"/>
      <c r="CTX71" s="26"/>
      <c r="CTY71" s="26"/>
      <c r="CTZ71" s="26"/>
      <c r="CUA71" s="26"/>
      <c r="CUB71" s="26"/>
      <c r="CUC71" s="26"/>
      <c r="CUD71" s="26"/>
      <c r="CUE71" s="26"/>
      <c r="CUF71" s="26"/>
      <c r="CUG71" s="26"/>
      <c r="CUH71" s="26"/>
      <c r="CUI71" s="26"/>
      <c r="CUJ71" s="26"/>
      <c r="CUK71" s="26"/>
      <c r="CUL71" s="26"/>
      <c r="CUM71" s="26"/>
      <c r="CUN71" s="26"/>
      <c r="CUO71" s="26"/>
      <c r="CUP71" s="26"/>
      <c r="CUQ71" s="26"/>
      <c r="CUR71" s="26"/>
      <c r="CUS71" s="26"/>
      <c r="CUT71" s="26"/>
      <c r="CUU71" s="26"/>
      <c r="CUV71" s="26"/>
      <c r="CUW71" s="26"/>
      <c r="CUX71" s="26"/>
      <c r="CUY71" s="26"/>
      <c r="CUZ71" s="26"/>
      <c r="CVA71" s="26"/>
      <c r="CVB71" s="26"/>
      <c r="CVC71" s="26"/>
      <c r="CVD71" s="26"/>
      <c r="CVE71" s="26"/>
      <c r="CVF71" s="26"/>
      <c r="CVG71" s="26"/>
      <c r="CVH71" s="26"/>
      <c r="CVI71" s="26"/>
      <c r="CVJ71" s="26"/>
      <c r="CVK71" s="26"/>
      <c r="CVL71" s="26"/>
      <c r="CVM71" s="26"/>
      <c r="CVN71" s="26"/>
      <c r="CVO71" s="26"/>
      <c r="CVP71" s="26"/>
      <c r="CVQ71" s="26"/>
      <c r="CVR71" s="26"/>
      <c r="CVS71" s="26"/>
      <c r="CVT71" s="26"/>
      <c r="CVU71" s="26"/>
      <c r="CVV71" s="26"/>
      <c r="CVW71" s="26"/>
      <c r="CVX71" s="26"/>
      <c r="CVY71" s="26"/>
      <c r="CVZ71" s="26"/>
      <c r="CWA71" s="26"/>
      <c r="CWB71" s="26"/>
      <c r="CWC71" s="26"/>
      <c r="CWD71" s="26"/>
      <c r="CWE71" s="26"/>
      <c r="CWF71" s="26"/>
      <c r="CWG71" s="26"/>
      <c r="CWH71" s="26"/>
      <c r="CWI71" s="26"/>
      <c r="CWJ71" s="26"/>
      <c r="CWK71" s="26"/>
      <c r="CWL71" s="26"/>
      <c r="CWM71" s="26"/>
      <c r="CWN71" s="26"/>
      <c r="CWO71" s="26"/>
      <c r="CWP71" s="26"/>
      <c r="CWQ71" s="26"/>
      <c r="CWR71" s="26"/>
      <c r="CWS71" s="26"/>
      <c r="CWT71" s="26"/>
      <c r="CWU71" s="26"/>
      <c r="CWV71" s="26"/>
      <c r="CWW71" s="26"/>
      <c r="CWX71" s="26"/>
      <c r="CWY71" s="26"/>
      <c r="CWZ71" s="26"/>
      <c r="CXA71" s="26"/>
      <c r="CXB71" s="26"/>
      <c r="CXC71" s="26"/>
      <c r="CXD71" s="26"/>
      <c r="CXE71" s="26"/>
      <c r="CXF71" s="26"/>
      <c r="CXG71" s="26"/>
      <c r="CXH71" s="26"/>
      <c r="CXI71" s="26"/>
      <c r="CXJ71" s="26"/>
      <c r="CXK71" s="26"/>
      <c r="CXL71" s="26"/>
      <c r="CXM71" s="26"/>
      <c r="CXN71" s="26"/>
      <c r="CXO71" s="26"/>
      <c r="CXP71" s="26"/>
      <c r="CXQ71" s="26"/>
      <c r="CXR71" s="26"/>
      <c r="CXS71" s="26"/>
      <c r="CXT71" s="26"/>
      <c r="CXU71" s="26"/>
      <c r="CXV71" s="26"/>
      <c r="CXW71" s="26"/>
      <c r="CXX71" s="26"/>
      <c r="CXY71" s="26"/>
      <c r="CXZ71" s="26"/>
      <c r="CYA71" s="26"/>
      <c r="CYB71" s="26"/>
      <c r="CYC71" s="26"/>
      <c r="CYD71" s="26"/>
      <c r="CYE71" s="26"/>
      <c r="CYF71" s="26"/>
      <c r="CYG71" s="26"/>
      <c r="CYH71" s="26"/>
      <c r="CYI71" s="26"/>
      <c r="CYJ71" s="26"/>
      <c r="CYK71" s="26"/>
      <c r="CYL71" s="26"/>
      <c r="CYM71" s="26"/>
      <c r="CYN71" s="26"/>
      <c r="CYO71" s="26"/>
      <c r="CYP71" s="26"/>
      <c r="CYQ71" s="26"/>
      <c r="CYR71" s="26"/>
      <c r="CYS71" s="26"/>
      <c r="CYT71" s="26"/>
      <c r="CYU71" s="26"/>
      <c r="CYV71" s="26"/>
      <c r="CYW71" s="26"/>
      <c r="CYX71" s="26"/>
      <c r="CYY71" s="26"/>
      <c r="CYZ71" s="26"/>
      <c r="CZA71" s="26"/>
      <c r="CZB71" s="26"/>
      <c r="CZC71" s="26"/>
      <c r="CZD71" s="26"/>
      <c r="CZE71" s="26"/>
      <c r="CZF71" s="26"/>
      <c r="CZG71" s="26"/>
      <c r="CZH71" s="26"/>
      <c r="CZI71" s="26"/>
      <c r="CZJ71" s="26"/>
      <c r="CZK71" s="26"/>
      <c r="CZL71" s="26"/>
      <c r="CZM71" s="26"/>
      <c r="CZN71" s="26"/>
      <c r="CZO71" s="26"/>
      <c r="CZP71" s="26"/>
      <c r="CZQ71" s="26"/>
      <c r="CZR71" s="26"/>
      <c r="CZS71" s="26"/>
      <c r="CZT71" s="26"/>
      <c r="CZU71" s="26"/>
      <c r="CZV71" s="26"/>
      <c r="CZW71" s="26"/>
      <c r="CZX71" s="26"/>
      <c r="CZY71" s="26"/>
      <c r="CZZ71" s="26"/>
      <c r="DAA71" s="26"/>
      <c r="DAB71" s="26"/>
      <c r="DAC71" s="26"/>
      <c r="DAD71" s="26"/>
      <c r="DAE71" s="26"/>
      <c r="DAF71" s="26"/>
      <c r="DAG71" s="26"/>
      <c r="DAH71" s="26"/>
      <c r="DAI71" s="26"/>
      <c r="DAJ71" s="26"/>
      <c r="DAK71" s="26"/>
      <c r="DAL71" s="26"/>
      <c r="DAM71" s="26"/>
      <c r="DAN71" s="26"/>
      <c r="DAO71" s="26"/>
      <c r="DAP71" s="26"/>
      <c r="DAQ71" s="26"/>
      <c r="DAR71" s="26"/>
      <c r="DAS71" s="26"/>
      <c r="DAT71" s="26"/>
      <c r="DAU71" s="26"/>
      <c r="DAV71" s="26"/>
      <c r="DAW71" s="26"/>
      <c r="DAX71" s="26"/>
      <c r="DAY71" s="26"/>
      <c r="DAZ71" s="26"/>
      <c r="DBA71" s="26"/>
      <c r="DBB71" s="26"/>
      <c r="DBC71" s="26"/>
      <c r="DBD71" s="26"/>
      <c r="DBE71" s="26"/>
      <c r="DBF71" s="26"/>
      <c r="DBG71" s="26"/>
      <c r="DBH71" s="26"/>
      <c r="DBI71" s="26"/>
      <c r="DBJ71" s="26"/>
      <c r="DBK71" s="26"/>
      <c r="DBL71" s="26"/>
      <c r="DBM71" s="26"/>
      <c r="DBN71" s="26"/>
      <c r="DBO71" s="26"/>
      <c r="DBP71" s="26"/>
      <c r="DBQ71" s="26"/>
      <c r="DBR71" s="26"/>
      <c r="DBS71" s="26"/>
      <c r="DBT71" s="26"/>
      <c r="DBU71" s="26"/>
      <c r="DBV71" s="26"/>
      <c r="DBW71" s="26"/>
      <c r="DBX71" s="26"/>
      <c r="DBY71" s="26"/>
      <c r="DBZ71" s="26"/>
      <c r="DCA71" s="26"/>
      <c r="DCB71" s="26"/>
      <c r="DCC71" s="26"/>
      <c r="DCD71" s="26"/>
      <c r="DCE71" s="26"/>
      <c r="DCF71" s="26"/>
      <c r="DCG71" s="26"/>
      <c r="DCH71" s="26"/>
      <c r="DCI71" s="26"/>
      <c r="DCJ71" s="26"/>
      <c r="DCK71" s="26"/>
      <c r="DCL71" s="26"/>
      <c r="DCM71" s="26"/>
      <c r="DCN71" s="26"/>
      <c r="DCO71" s="26"/>
      <c r="DCP71" s="26"/>
      <c r="DCQ71" s="26"/>
      <c r="DCR71" s="26"/>
      <c r="DCS71" s="26"/>
      <c r="DCT71" s="26"/>
      <c r="DCU71" s="26"/>
      <c r="DCV71" s="26"/>
      <c r="DCW71" s="26"/>
      <c r="DCX71" s="26"/>
      <c r="DCY71" s="26"/>
      <c r="DCZ71" s="26"/>
      <c r="DDA71" s="26"/>
      <c r="DDB71" s="26"/>
      <c r="DDC71" s="26"/>
      <c r="DDD71" s="26"/>
      <c r="DDE71" s="26"/>
      <c r="DDF71" s="26"/>
      <c r="DDG71" s="26"/>
      <c r="DDH71" s="26"/>
      <c r="DDI71" s="26"/>
      <c r="DDJ71" s="26"/>
      <c r="DDK71" s="26"/>
      <c r="DDL71" s="26"/>
      <c r="DDM71" s="26"/>
      <c r="DDN71" s="26"/>
      <c r="DDO71" s="26"/>
      <c r="DDP71" s="26"/>
      <c r="DDQ71" s="26"/>
      <c r="DDR71" s="26"/>
      <c r="DDS71" s="26"/>
      <c r="DDT71" s="26"/>
      <c r="DDU71" s="26"/>
      <c r="DDV71" s="26"/>
      <c r="DDW71" s="26"/>
      <c r="DDX71" s="26"/>
      <c r="DDY71" s="26"/>
      <c r="DDZ71" s="26"/>
      <c r="DEA71" s="26"/>
      <c r="DEB71" s="26"/>
      <c r="DEC71" s="26"/>
      <c r="DED71" s="26"/>
      <c r="DEE71" s="26"/>
      <c r="DEF71" s="26"/>
      <c r="DEG71" s="26"/>
      <c r="DEH71" s="26"/>
      <c r="DEI71" s="26"/>
      <c r="DEJ71" s="26"/>
      <c r="DEK71" s="26"/>
      <c r="DEL71" s="26"/>
      <c r="DEM71" s="26"/>
      <c r="DEN71" s="26"/>
      <c r="DEO71" s="26"/>
      <c r="DEP71" s="26"/>
      <c r="DEQ71" s="26"/>
      <c r="DER71" s="26"/>
      <c r="DES71" s="26"/>
      <c r="DET71" s="26"/>
      <c r="DEU71" s="26"/>
      <c r="DEV71" s="26"/>
      <c r="DEW71" s="26"/>
      <c r="DEX71" s="26"/>
      <c r="DEY71" s="26"/>
      <c r="DEZ71" s="26"/>
      <c r="DFA71" s="26"/>
      <c r="DFB71" s="26"/>
      <c r="DFC71" s="26"/>
      <c r="DFD71" s="26"/>
      <c r="DFE71" s="26"/>
      <c r="DFF71" s="26"/>
      <c r="DFG71" s="26"/>
      <c r="DFH71" s="26"/>
      <c r="DFI71" s="26"/>
      <c r="DFJ71" s="26"/>
      <c r="DFK71" s="26"/>
      <c r="DFL71" s="26"/>
      <c r="DFM71" s="26"/>
      <c r="DFN71" s="26"/>
      <c r="DFO71" s="26"/>
      <c r="DFP71" s="26"/>
      <c r="DFQ71" s="26"/>
      <c r="DFR71" s="26"/>
      <c r="DFS71" s="26"/>
      <c r="DFT71" s="26"/>
      <c r="DFU71" s="26"/>
      <c r="DFV71" s="26"/>
      <c r="DFW71" s="26"/>
      <c r="DFX71" s="26"/>
      <c r="DFY71" s="26"/>
      <c r="DFZ71" s="26"/>
      <c r="DGA71" s="26"/>
      <c r="DGB71" s="26"/>
      <c r="DGC71" s="26"/>
      <c r="DGD71" s="26"/>
      <c r="DGE71" s="26"/>
      <c r="DGF71" s="26"/>
      <c r="DGG71" s="26"/>
      <c r="DGH71" s="26"/>
      <c r="DGI71" s="26"/>
      <c r="DGJ71" s="26"/>
      <c r="DGK71" s="26"/>
      <c r="DGL71" s="26"/>
      <c r="DGM71" s="26"/>
      <c r="DGN71" s="26"/>
      <c r="DGO71" s="26"/>
      <c r="DGP71" s="26"/>
      <c r="DGQ71" s="26"/>
      <c r="DGR71" s="26"/>
      <c r="DGS71" s="26"/>
      <c r="DGT71" s="26"/>
      <c r="DGU71" s="26"/>
      <c r="DGV71" s="26"/>
      <c r="DGW71" s="26"/>
      <c r="DGX71" s="26"/>
      <c r="DGY71" s="26"/>
      <c r="DGZ71" s="26"/>
      <c r="DHA71" s="26"/>
      <c r="DHB71" s="26"/>
      <c r="DHC71" s="26"/>
      <c r="DHD71" s="26"/>
      <c r="DHE71" s="26"/>
      <c r="DHF71" s="26"/>
      <c r="DHG71" s="26"/>
      <c r="DHH71" s="26"/>
      <c r="DHI71" s="26"/>
      <c r="DHJ71" s="26"/>
      <c r="DHK71" s="26"/>
      <c r="DHL71" s="26"/>
      <c r="DHM71" s="26"/>
      <c r="DHN71" s="26"/>
      <c r="DHO71" s="26"/>
      <c r="DHP71" s="26"/>
      <c r="DHQ71" s="26"/>
      <c r="DHR71" s="26"/>
      <c r="DHS71" s="26"/>
      <c r="DHT71" s="26"/>
      <c r="DHU71" s="26"/>
      <c r="DHV71" s="26"/>
      <c r="DHW71" s="26"/>
      <c r="DHX71" s="26"/>
      <c r="DHY71" s="26"/>
      <c r="DHZ71" s="26"/>
      <c r="DIA71" s="26"/>
      <c r="DIB71" s="26"/>
      <c r="DIC71" s="26"/>
      <c r="DID71" s="26"/>
      <c r="DIE71" s="26"/>
      <c r="DIF71" s="26"/>
      <c r="DIG71" s="26"/>
      <c r="DIH71" s="26"/>
      <c r="DII71" s="26"/>
      <c r="DIJ71" s="26"/>
      <c r="DIK71" s="26"/>
      <c r="DIL71" s="26"/>
      <c r="DIM71" s="26"/>
      <c r="DIN71" s="26"/>
      <c r="DIO71" s="26"/>
      <c r="DIP71" s="26"/>
      <c r="DIQ71" s="26"/>
      <c r="DIR71" s="26"/>
      <c r="DIS71" s="26"/>
      <c r="DIT71" s="26"/>
      <c r="DIU71" s="26"/>
      <c r="DIV71" s="26"/>
      <c r="DIW71" s="26"/>
      <c r="DIX71" s="26"/>
      <c r="DIY71" s="26"/>
      <c r="DIZ71" s="26"/>
      <c r="DJA71" s="26"/>
      <c r="DJB71" s="26"/>
      <c r="DJC71" s="26"/>
      <c r="DJD71" s="26"/>
      <c r="DJE71" s="26"/>
      <c r="DJF71" s="26"/>
      <c r="DJG71" s="26"/>
      <c r="DJH71" s="26"/>
      <c r="DJI71" s="26"/>
      <c r="DJJ71" s="26"/>
      <c r="DJK71" s="26"/>
      <c r="DJL71" s="26"/>
      <c r="DJM71" s="26"/>
      <c r="DJN71" s="26"/>
      <c r="DJO71" s="26"/>
      <c r="DJP71" s="26"/>
      <c r="DJQ71" s="26"/>
      <c r="DJR71" s="26"/>
      <c r="DJS71" s="26"/>
      <c r="DJT71" s="26"/>
      <c r="DJU71" s="26"/>
      <c r="DJV71" s="26"/>
      <c r="DJW71" s="26"/>
      <c r="DJX71" s="26"/>
      <c r="DJY71" s="26"/>
      <c r="DJZ71" s="26"/>
      <c r="DKA71" s="26"/>
      <c r="DKB71" s="26"/>
      <c r="DKC71" s="26"/>
      <c r="DKD71" s="26"/>
      <c r="DKE71" s="26"/>
      <c r="DKF71" s="26"/>
      <c r="DKG71" s="26"/>
      <c r="DKH71" s="26"/>
      <c r="DKI71" s="26"/>
      <c r="DKJ71" s="26"/>
      <c r="DKK71" s="26"/>
      <c r="DKL71" s="26"/>
      <c r="DKM71" s="26"/>
      <c r="DKN71" s="26"/>
      <c r="DKO71" s="26"/>
      <c r="DKP71" s="26"/>
      <c r="DKQ71" s="26"/>
      <c r="DKR71" s="26"/>
      <c r="DKS71" s="26"/>
      <c r="DKT71" s="26"/>
      <c r="DKU71" s="26"/>
      <c r="DKV71" s="26"/>
      <c r="DKW71" s="26"/>
      <c r="DKX71" s="26"/>
      <c r="DKY71" s="26"/>
      <c r="DKZ71" s="26"/>
      <c r="DLA71" s="26"/>
      <c r="DLB71" s="26"/>
      <c r="DLC71" s="26"/>
      <c r="DLD71" s="26"/>
      <c r="DLE71" s="26"/>
      <c r="DLF71" s="26"/>
      <c r="DLG71" s="26"/>
      <c r="DLH71" s="26"/>
      <c r="DLI71" s="26"/>
      <c r="DLJ71" s="26"/>
      <c r="DLK71" s="26"/>
      <c r="DLL71" s="26"/>
      <c r="DLM71" s="26"/>
      <c r="DLN71" s="26"/>
      <c r="DLO71" s="26"/>
      <c r="DLP71" s="26"/>
      <c r="DLQ71" s="26"/>
      <c r="DLR71" s="26"/>
      <c r="DLS71" s="26"/>
      <c r="DLT71" s="26"/>
      <c r="DLU71" s="26"/>
      <c r="DLV71" s="26"/>
      <c r="DLW71" s="26"/>
      <c r="DLX71" s="26"/>
      <c r="DLY71" s="26"/>
      <c r="DLZ71" s="26"/>
      <c r="DMA71" s="26"/>
      <c r="DMB71" s="26"/>
      <c r="DMC71" s="26"/>
      <c r="DMD71" s="26"/>
      <c r="DME71" s="26"/>
      <c r="DMF71" s="26"/>
      <c r="DMG71" s="26"/>
      <c r="DMH71" s="26"/>
      <c r="DMI71" s="26"/>
      <c r="DMJ71" s="26"/>
      <c r="DMK71" s="26"/>
      <c r="DML71" s="26"/>
      <c r="DMM71" s="26"/>
      <c r="DMN71" s="26"/>
      <c r="DMO71" s="26"/>
      <c r="DMP71" s="26"/>
      <c r="DMQ71" s="26"/>
      <c r="DMR71" s="26"/>
      <c r="DMS71" s="26"/>
      <c r="DMT71" s="26"/>
      <c r="DMU71" s="26"/>
      <c r="DMV71" s="26"/>
      <c r="DMW71" s="26"/>
      <c r="DMX71" s="26"/>
      <c r="DMY71" s="26"/>
      <c r="DMZ71" s="26"/>
      <c r="DNA71" s="26"/>
      <c r="DNB71" s="26"/>
      <c r="DNC71" s="26"/>
      <c r="DND71" s="26"/>
      <c r="DNE71" s="26"/>
      <c r="DNF71" s="26"/>
      <c r="DNG71" s="26"/>
      <c r="DNH71" s="26"/>
      <c r="DNI71" s="26"/>
      <c r="DNJ71" s="26"/>
      <c r="DNK71" s="26"/>
      <c r="DNL71" s="26"/>
      <c r="DNM71" s="26"/>
      <c r="DNN71" s="26"/>
      <c r="DNO71" s="26"/>
      <c r="DNP71" s="26"/>
      <c r="DNQ71" s="26"/>
      <c r="DNR71" s="26"/>
      <c r="DNS71" s="26"/>
      <c r="DNT71" s="26"/>
      <c r="DNU71" s="26"/>
      <c r="DNV71" s="26"/>
      <c r="DNW71" s="26"/>
      <c r="DNX71" s="26"/>
      <c r="DNY71" s="26"/>
      <c r="DNZ71" s="26"/>
      <c r="DOA71" s="26"/>
      <c r="DOB71" s="26"/>
      <c r="DOC71" s="26"/>
      <c r="DOD71" s="26"/>
      <c r="DOE71" s="26"/>
      <c r="DOF71" s="26"/>
      <c r="DOG71" s="26"/>
      <c r="DOH71" s="26"/>
      <c r="DOI71" s="26"/>
      <c r="DOJ71" s="26"/>
      <c r="DOK71" s="26"/>
      <c r="DOL71" s="26"/>
      <c r="DOM71" s="26"/>
      <c r="DON71" s="26"/>
      <c r="DOO71" s="26"/>
      <c r="DOP71" s="26"/>
      <c r="DOQ71" s="26"/>
      <c r="DOR71" s="26"/>
      <c r="DOS71" s="26"/>
      <c r="DOT71" s="26"/>
      <c r="DOU71" s="26"/>
      <c r="DOV71" s="26"/>
      <c r="DOW71" s="26"/>
      <c r="DOX71" s="26"/>
      <c r="DOY71" s="26"/>
      <c r="DOZ71" s="26"/>
      <c r="DPA71" s="26"/>
      <c r="DPB71" s="26"/>
      <c r="DPC71" s="26"/>
      <c r="DPD71" s="26"/>
      <c r="DPE71" s="26"/>
      <c r="DPF71" s="26"/>
      <c r="DPG71" s="26"/>
      <c r="DPH71" s="26"/>
      <c r="DPI71" s="26"/>
      <c r="DPJ71" s="26"/>
      <c r="DPK71" s="26"/>
      <c r="DPL71" s="26"/>
      <c r="DPM71" s="26"/>
      <c r="DPN71" s="26"/>
      <c r="DPO71" s="26"/>
      <c r="DPP71" s="26"/>
      <c r="DPQ71" s="26"/>
      <c r="DPR71" s="26"/>
      <c r="DPS71" s="26"/>
      <c r="DPT71" s="26"/>
      <c r="DPU71" s="26"/>
      <c r="DPV71" s="26"/>
      <c r="DPW71" s="26"/>
      <c r="DPX71" s="26"/>
      <c r="DPY71" s="26"/>
      <c r="DPZ71" s="26"/>
      <c r="DQA71" s="26"/>
      <c r="DQB71" s="26"/>
      <c r="DQC71" s="26"/>
      <c r="DQD71" s="26"/>
      <c r="DQE71" s="26"/>
      <c r="DQF71" s="26"/>
      <c r="DQG71" s="26"/>
      <c r="DQH71" s="26"/>
      <c r="DQI71" s="26"/>
      <c r="DQJ71" s="26"/>
      <c r="DQK71" s="26"/>
      <c r="DQL71" s="26"/>
      <c r="DQM71" s="26"/>
      <c r="DQN71" s="26"/>
      <c r="DQO71" s="26"/>
      <c r="DQP71" s="26"/>
      <c r="DQQ71" s="26"/>
      <c r="DQR71" s="26"/>
      <c r="DQS71" s="26"/>
      <c r="DQT71" s="26"/>
      <c r="DQU71" s="26"/>
      <c r="DQV71" s="26"/>
      <c r="DQW71" s="26"/>
      <c r="DQX71" s="26"/>
      <c r="DQY71" s="26"/>
      <c r="DQZ71" s="26"/>
      <c r="DRA71" s="26"/>
      <c r="DRB71" s="26"/>
      <c r="DRC71" s="26"/>
      <c r="DRD71" s="26"/>
      <c r="DRE71" s="26"/>
      <c r="DRF71" s="26"/>
      <c r="DRG71" s="26"/>
      <c r="DRH71" s="26"/>
      <c r="DRI71" s="26"/>
      <c r="DRJ71" s="26"/>
      <c r="DRK71" s="26"/>
      <c r="DRL71" s="26"/>
      <c r="DRM71" s="26"/>
      <c r="DRN71" s="26"/>
      <c r="DRO71" s="26"/>
      <c r="DRP71" s="26"/>
      <c r="DRQ71" s="26"/>
      <c r="DRR71" s="26"/>
      <c r="DRS71" s="26"/>
      <c r="DRT71" s="26"/>
      <c r="DRU71" s="26"/>
      <c r="DRV71" s="26"/>
      <c r="DRW71" s="26"/>
      <c r="DRX71" s="26"/>
      <c r="DRY71" s="26"/>
      <c r="DRZ71" s="26"/>
      <c r="DSA71" s="26"/>
      <c r="DSB71" s="26"/>
      <c r="DSC71" s="26"/>
      <c r="DSD71" s="26"/>
      <c r="DSE71" s="26"/>
      <c r="DSF71" s="26"/>
      <c r="DSG71" s="26"/>
      <c r="DSH71" s="26"/>
      <c r="DSI71" s="26"/>
      <c r="DSJ71" s="26"/>
      <c r="DSK71" s="26"/>
      <c r="DSL71" s="26"/>
      <c r="DSM71" s="26"/>
      <c r="DSN71" s="26"/>
      <c r="DSO71" s="26"/>
      <c r="DSP71" s="26"/>
      <c r="DSQ71" s="26"/>
      <c r="DSR71" s="26"/>
      <c r="DSS71" s="26"/>
      <c r="DST71" s="26"/>
      <c r="DSU71" s="26"/>
      <c r="DSV71" s="26"/>
      <c r="DSW71" s="26"/>
      <c r="DSX71" s="26"/>
      <c r="DSY71" s="26"/>
      <c r="DSZ71" s="26"/>
      <c r="DTA71" s="26"/>
      <c r="DTB71" s="26"/>
      <c r="DTC71" s="26"/>
      <c r="DTD71" s="26"/>
      <c r="DTE71" s="26"/>
      <c r="DTF71" s="26"/>
      <c r="DTG71" s="26"/>
      <c r="DTH71" s="26"/>
      <c r="DTI71" s="26"/>
      <c r="DTJ71" s="26"/>
      <c r="DTK71" s="26"/>
      <c r="DTL71" s="26"/>
      <c r="DTM71" s="26"/>
      <c r="DTN71" s="26"/>
      <c r="DTO71" s="26"/>
      <c r="DTP71" s="26"/>
      <c r="DTQ71" s="26"/>
      <c r="DTR71" s="26"/>
      <c r="DTS71" s="26"/>
      <c r="DTT71" s="26"/>
      <c r="DTU71" s="26"/>
      <c r="DTV71" s="26"/>
      <c r="DTW71" s="26"/>
      <c r="DTX71" s="26"/>
      <c r="DTY71" s="26"/>
      <c r="DTZ71" s="26"/>
      <c r="DUA71" s="26"/>
      <c r="DUB71" s="26"/>
      <c r="DUC71" s="26"/>
      <c r="DUD71" s="26"/>
      <c r="DUE71" s="26"/>
      <c r="DUF71" s="26"/>
      <c r="DUG71" s="26"/>
      <c r="DUH71" s="26"/>
      <c r="DUI71" s="26"/>
      <c r="DUJ71" s="26"/>
      <c r="DUK71" s="26"/>
      <c r="DUL71" s="26"/>
      <c r="DUM71" s="26"/>
      <c r="DUN71" s="26"/>
      <c r="DUO71" s="26"/>
      <c r="DUP71" s="26"/>
      <c r="DUQ71" s="26"/>
      <c r="DUR71" s="26"/>
      <c r="DUS71" s="26"/>
      <c r="DUT71" s="26"/>
      <c r="DUU71" s="26"/>
      <c r="DUV71" s="26"/>
      <c r="DUW71" s="26"/>
      <c r="DUX71" s="26"/>
      <c r="DUY71" s="26"/>
      <c r="DUZ71" s="26"/>
      <c r="DVA71" s="26"/>
      <c r="DVB71" s="26"/>
      <c r="DVC71" s="26"/>
      <c r="DVD71" s="26"/>
      <c r="DVE71" s="26"/>
      <c r="DVF71" s="26"/>
      <c r="DVG71" s="26"/>
      <c r="DVH71" s="26"/>
      <c r="DVI71" s="26"/>
      <c r="DVJ71" s="26"/>
      <c r="DVK71" s="26"/>
      <c r="DVL71" s="26"/>
      <c r="DVM71" s="26"/>
      <c r="DVN71" s="26"/>
      <c r="DVO71" s="26"/>
      <c r="DVP71" s="26"/>
      <c r="DVQ71" s="26"/>
      <c r="DVR71" s="26"/>
      <c r="DVS71" s="26"/>
      <c r="DVT71" s="26"/>
      <c r="DVU71" s="26"/>
      <c r="DVV71" s="26"/>
      <c r="DVW71" s="26"/>
      <c r="DVX71" s="26"/>
      <c r="DVY71" s="26"/>
      <c r="DVZ71" s="26"/>
      <c r="DWA71" s="26"/>
      <c r="DWB71" s="26"/>
      <c r="DWC71" s="26"/>
      <c r="DWD71" s="26"/>
      <c r="DWE71" s="26"/>
      <c r="DWF71" s="26"/>
      <c r="DWG71" s="26"/>
      <c r="DWH71" s="26"/>
      <c r="DWI71" s="26"/>
      <c r="DWJ71" s="26"/>
      <c r="DWK71" s="26"/>
      <c r="DWL71" s="26"/>
      <c r="DWM71" s="26"/>
      <c r="DWN71" s="26"/>
      <c r="DWO71" s="26"/>
      <c r="DWP71" s="26"/>
      <c r="DWQ71" s="26"/>
      <c r="DWR71" s="26"/>
      <c r="DWS71" s="26"/>
      <c r="DWT71" s="26"/>
      <c r="DWU71" s="26"/>
      <c r="DWV71" s="26"/>
      <c r="DWW71" s="26"/>
      <c r="DWX71" s="26"/>
      <c r="DWY71" s="26"/>
      <c r="DWZ71" s="26"/>
      <c r="DXA71" s="26"/>
      <c r="DXB71" s="26"/>
      <c r="DXC71" s="26"/>
      <c r="DXD71" s="26"/>
      <c r="DXE71" s="26"/>
      <c r="DXF71" s="26"/>
      <c r="DXG71" s="26"/>
      <c r="DXH71" s="26"/>
      <c r="DXI71" s="26"/>
      <c r="DXJ71" s="26"/>
      <c r="DXK71" s="26"/>
      <c r="DXL71" s="26"/>
      <c r="DXM71" s="26"/>
      <c r="DXN71" s="26"/>
      <c r="DXO71" s="26"/>
      <c r="DXP71" s="26"/>
      <c r="DXQ71" s="26"/>
      <c r="DXR71" s="26"/>
      <c r="DXS71" s="26"/>
      <c r="DXT71" s="26"/>
      <c r="DXU71" s="26"/>
      <c r="DXV71" s="26"/>
      <c r="DXW71" s="26"/>
      <c r="DXX71" s="26"/>
      <c r="DXY71" s="26"/>
      <c r="DXZ71" s="26"/>
      <c r="DYA71" s="26"/>
      <c r="DYB71" s="26"/>
      <c r="DYC71" s="26"/>
      <c r="DYD71" s="26"/>
      <c r="DYE71" s="26"/>
      <c r="DYF71" s="26"/>
      <c r="DYG71" s="26"/>
      <c r="DYH71" s="26"/>
      <c r="DYI71" s="26"/>
      <c r="DYJ71" s="26"/>
      <c r="DYK71" s="26"/>
      <c r="DYL71" s="26"/>
      <c r="DYM71" s="26"/>
      <c r="DYN71" s="26"/>
      <c r="DYO71" s="26"/>
      <c r="DYP71" s="26"/>
      <c r="DYQ71" s="26"/>
      <c r="DYR71" s="26"/>
      <c r="DYS71" s="26"/>
      <c r="DYT71" s="26"/>
      <c r="DYU71" s="26"/>
      <c r="DYV71" s="26"/>
      <c r="DYW71" s="26"/>
      <c r="DYX71" s="26"/>
      <c r="DYY71" s="26"/>
      <c r="DYZ71" s="26"/>
      <c r="DZA71" s="26"/>
      <c r="DZB71" s="26"/>
      <c r="DZC71" s="26"/>
      <c r="DZD71" s="26"/>
      <c r="DZE71" s="26"/>
      <c r="DZF71" s="26"/>
      <c r="DZG71" s="26"/>
      <c r="DZH71" s="26"/>
      <c r="DZI71" s="26"/>
      <c r="DZJ71" s="26"/>
      <c r="DZK71" s="26"/>
      <c r="DZL71" s="26"/>
      <c r="DZM71" s="26"/>
      <c r="DZN71" s="26"/>
      <c r="DZO71" s="26"/>
      <c r="DZP71" s="26"/>
      <c r="DZQ71" s="26"/>
      <c r="DZR71" s="26"/>
      <c r="DZS71" s="26"/>
      <c r="DZT71" s="26"/>
      <c r="DZU71" s="26"/>
      <c r="DZV71" s="26"/>
      <c r="DZW71" s="26"/>
      <c r="DZX71" s="26"/>
      <c r="DZY71" s="26"/>
      <c r="DZZ71" s="26"/>
      <c r="EAA71" s="26"/>
      <c r="EAB71" s="26"/>
      <c r="EAC71" s="26"/>
      <c r="EAD71" s="26"/>
      <c r="EAE71" s="26"/>
      <c r="EAF71" s="26"/>
      <c r="EAG71" s="26"/>
      <c r="EAH71" s="26"/>
      <c r="EAI71" s="26"/>
      <c r="EAJ71" s="26"/>
      <c r="EAK71" s="26"/>
      <c r="EAL71" s="26"/>
      <c r="EAM71" s="26"/>
      <c r="EAN71" s="26"/>
      <c r="EAO71" s="26"/>
      <c r="EAP71" s="26"/>
      <c r="EAQ71" s="26"/>
      <c r="EAR71" s="26"/>
      <c r="EAS71" s="26"/>
      <c r="EAT71" s="26"/>
      <c r="EAU71" s="26"/>
      <c r="EAV71" s="26"/>
      <c r="EAW71" s="26"/>
      <c r="EAX71" s="26"/>
      <c r="EAY71" s="26"/>
      <c r="EAZ71" s="26"/>
      <c r="EBA71" s="26"/>
      <c r="EBB71" s="26"/>
      <c r="EBC71" s="26"/>
      <c r="EBD71" s="26"/>
      <c r="EBE71" s="26"/>
      <c r="EBF71" s="26"/>
      <c r="EBG71" s="26"/>
      <c r="EBH71" s="26"/>
      <c r="EBI71" s="26"/>
      <c r="EBJ71" s="26"/>
      <c r="EBK71" s="26"/>
      <c r="EBL71" s="26"/>
      <c r="EBM71" s="26"/>
      <c r="EBN71" s="26"/>
      <c r="EBO71" s="26"/>
      <c r="EBP71" s="26"/>
      <c r="EBQ71" s="26"/>
      <c r="EBR71" s="26"/>
      <c r="EBS71" s="26"/>
      <c r="EBT71" s="26"/>
      <c r="EBU71" s="26"/>
      <c r="EBV71" s="26"/>
      <c r="EBW71" s="26"/>
      <c r="EBX71" s="26"/>
      <c r="EBY71" s="26"/>
      <c r="EBZ71" s="26"/>
      <c r="ECA71" s="26"/>
      <c r="ECB71" s="26"/>
      <c r="ECC71" s="26"/>
      <c r="ECD71" s="26"/>
      <c r="ECE71" s="26"/>
      <c r="ECF71" s="26"/>
      <c r="ECG71" s="26"/>
      <c r="ECH71" s="26"/>
      <c r="ECI71" s="26"/>
      <c r="ECJ71" s="26"/>
      <c r="ECK71" s="26"/>
      <c r="ECL71" s="26"/>
      <c r="ECM71" s="26"/>
      <c r="ECN71" s="26"/>
      <c r="ECO71" s="26"/>
      <c r="ECP71" s="26"/>
      <c r="ECQ71" s="26"/>
      <c r="ECR71" s="26"/>
      <c r="ECS71" s="26"/>
      <c r="ECT71" s="26"/>
      <c r="ECU71" s="26"/>
      <c r="ECV71" s="26"/>
      <c r="ECW71" s="26"/>
      <c r="ECX71" s="26"/>
      <c r="ECY71" s="26"/>
      <c r="ECZ71" s="26"/>
      <c r="EDA71" s="26"/>
      <c r="EDB71" s="26"/>
      <c r="EDC71" s="26"/>
      <c r="EDD71" s="26"/>
      <c r="EDE71" s="26"/>
      <c r="EDF71" s="26"/>
      <c r="EDG71" s="26"/>
      <c r="EDH71" s="26"/>
      <c r="EDI71" s="26"/>
      <c r="EDJ71" s="26"/>
      <c r="EDK71" s="26"/>
      <c r="EDL71" s="26"/>
      <c r="EDM71" s="26"/>
      <c r="EDN71" s="26"/>
      <c r="EDO71" s="26"/>
      <c r="EDP71" s="26"/>
      <c r="EDQ71" s="26"/>
      <c r="EDR71" s="26"/>
      <c r="EDS71" s="26"/>
      <c r="EDT71" s="26"/>
      <c r="EDU71" s="26"/>
      <c r="EDV71" s="26"/>
      <c r="EDW71" s="26"/>
      <c r="EDX71" s="26"/>
      <c r="EDY71" s="26"/>
      <c r="EDZ71" s="26"/>
      <c r="EEA71" s="26"/>
      <c r="EEB71" s="26"/>
      <c r="EEC71" s="26"/>
      <c r="EED71" s="26"/>
      <c r="EEE71" s="26"/>
      <c r="EEF71" s="26"/>
      <c r="EEG71" s="26"/>
      <c r="EEH71" s="26"/>
      <c r="EEI71" s="26"/>
      <c r="EEJ71" s="26"/>
      <c r="EEK71" s="26"/>
      <c r="EEL71" s="26"/>
      <c r="EEM71" s="26"/>
      <c r="EEN71" s="26"/>
      <c r="EEO71" s="26"/>
      <c r="EEP71" s="26"/>
      <c r="EEQ71" s="26"/>
      <c r="EER71" s="26"/>
      <c r="EES71" s="26"/>
      <c r="EET71" s="26"/>
      <c r="EEU71" s="26"/>
      <c r="EEV71" s="26"/>
      <c r="EEW71" s="26"/>
      <c r="EEX71" s="26"/>
      <c r="EEY71" s="26"/>
      <c r="EEZ71" s="26"/>
      <c r="EFA71" s="26"/>
      <c r="EFB71" s="26"/>
      <c r="EFC71" s="26"/>
      <c r="EFD71" s="26"/>
      <c r="EFE71" s="26"/>
      <c r="EFF71" s="26"/>
      <c r="EFG71" s="26"/>
      <c r="EFH71" s="26"/>
      <c r="EFI71" s="26"/>
      <c r="EFJ71" s="26"/>
      <c r="EFK71" s="26"/>
      <c r="EFL71" s="26"/>
      <c r="EFM71" s="26"/>
      <c r="EFN71" s="26"/>
      <c r="EFO71" s="26"/>
      <c r="EFP71" s="26"/>
      <c r="EFQ71" s="26"/>
      <c r="EFR71" s="26"/>
      <c r="EFS71" s="26"/>
      <c r="EFT71" s="26"/>
      <c r="EFU71" s="26"/>
      <c r="EFV71" s="26"/>
      <c r="EFW71" s="26"/>
      <c r="EFX71" s="26"/>
      <c r="EFY71" s="26"/>
      <c r="EFZ71" s="26"/>
      <c r="EGA71" s="26"/>
      <c r="EGB71" s="26"/>
      <c r="EGC71" s="26"/>
      <c r="EGD71" s="26"/>
      <c r="EGE71" s="26"/>
      <c r="EGF71" s="26"/>
      <c r="EGG71" s="26"/>
      <c r="EGH71" s="26"/>
      <c r="EGI71" s="26"/>
      <c r="EGJ71" s="26"/>
      <c r="EGK71" s="26"/>
      <c r="EGL71" s="26"/>
      <c r="EGM71" s="26"/>
      <c r="EGN71" s="26"/>
      <c r="EGO71" s="26"/>
      <c r="EGP71" s="26"/>
      <c r="EGQ71" s="26"/>
      <c r="EGR71" s="26"/>
      <c r="EGS71" s="26"/>
      <c r="EGT71" s="26"/>
      <c r="EGU71" s="26"/>
      <c r="EGV71" s="26"/>
      <c r="EGW71" s="26"/>
      <c r="EGX71" s="26"/>
      <c r="EGY71" s="26"/>
      <c r="EGZ71" s="26"/>
      <c r="EHA71" s="26"/>
      <c r="EHB71" s="26"/>
      <c r="EHC71" s="26"/>
      <c r="EHD71" s="26"/>
      <c r="EHE71" s="26"/>
      <c r="EHF71" s="26"/>
      <c r="EHG71" s="26"/>
      <c r="EHH71" s="26"/>
      <c r="EHI71" s="26"/>
      <c r="EHJ71" s="26"/>
      <c r="EHK71" s="26"/>
      <c r="EHL71" s="26"/>
      <c r="EHM71" s="26"/>
      <c r="EHN71" s="26"/>
      <c r="EHO71" s="26"/>
      <c r="EHP71" s="26"/>
      <c r="EHQ71" s="26"/>
      <c r="EHR71" s="26"/>
      <c r="EHS71" s="26"/>
      <c r="EHT71" s="26"/>
      <c r="EHU71" s="26"/>
      <c r="EHV71" s="26"/>
      <c r="EHW71" s="26"/>
      <c r="EHX71" s="26"/>
      <c r="EHY71" s="26"/>
      <c r="EHZ71" s="26"/>
      <c r="EIA71" s="26"/>
      <c r="EIB71" s="26"/>
      <c r="EIC71" s="26"/>
      <c r="EID71" s="26"/>
      <c r="EIE71" s="26"/>
      <c r="EIF71" s="26"/>
      <c r="EIG71" s="26"/>
      <c r="EIH71" s="26"/>
      <c r="EII71" s="26"/>
      <c r="EIJ71" s="26"/>
      <c r="EIK71" s="26"/>
      <c r="EIL71" s="26"/>
      <c r="EIM71" s="26"/>
      <c r="EIN71" s="26"/>
      <c r="EIO71" s="26"/>
      <c r="EIP71" s="26"/>
      <c r="EIQ71" s="26"/>
      <c r="EIR71" s="26"/>
      <c r="EIS71" s="26"/>
      <c r="EIT71" s="26"/>
      <c r="EIU71" s="26"/>
      <c r="EIV71" s="26"/>
      <c r="EIW71" s="26"/>
      <c r="EIX71" s="26"/>
      <c r="EIY71" s="26"/>
      <c r="EIZ71" s="26"/>
      <c r="EJA71" s="26"/>
      <c r="EJB71" s="26"/>
      <c r="EJC71" s="26"/>
      <c r="EJD71" s="26"/>
      <c r="EJE71" s="26"/>
      <c r="EJF71" s="26"/>
      <c r="EJG71" s="26"/>
      <c r="EJH71" s="26"/>
      <c r="EJI71" s="26"/>
      <c r="EJJ71" s="26"/>
      <c r="EJK71" s="26"/>
      <c r="EJL71" s="26"/>
      <c r="EJM71" s="26"/>
      <c r="EJN71" s="26"/>
      <c r="EJO71" s="26"/>
      <c r="EJP71" s="26"/>
      <c r="EJQ71" s="26"/>
      <c r="EJR71" s="26"/>
      <c r="EJS71" s="26"/>
      <c r="EJT71" s="26"/>
      <c r="EJU71" s="26"/>
      <c r="EJV71" s="26"/>
      <c r="EJW71" s="26"/>
      <c r="EJX71" s="26"/>
      <c r="EJY71" s="26"/>
      <c r="EJZ71" s="26"/>
      <c r="EKA71" s="26"/>
      <c r="EKB71" s="26"/>
      <c r="EKC71" s="26"/>
      <c r="EKD71" s="26"/>
      <c r="EKE71" s="26"/>
      <c r="EKF71" s="26"/>
      <c r="EKG71" s="26"/>
      <c r="EKH71" s="26"/>
      <c r="EKI71" s="26"/>
      <c r="EKJ71" s="26"/>
      <c r="EKK71" s="26"/>
      <c r="EKL71" s="26"/>
      <c r="EKM71" s="26"/>
      <c r="EKN71" s="26"/>
      <c r="EKO71" s="26"/>
      <c r="EKP71" s="26"/>
      <c r="EKQ71" s="26"/>
      <c r="EKR71" s="26"/>
      <c r="EKS71" s="26"/>
      <c r="EKT71" s="26"/>
      <c r="EKU71" s="26"/>
      <c r="EKV71" s="26"/>
      <c r="EKW71" s="26"/>
      <c r="EKX71" s="26"/>
      <c r="EKY71" s="26"/>
      <c r="EKZ71" s="26"/>
      <c r="ELA71" s="26"/>
      <c r="ELB71" s="26"/>
      <c r="ELC71" s="26"/>
      <c r="ELD71" s="26"/>
      <c r="ELE71" s="26"/>
      <c r="ELF71" s="26"/>
      <c r="ELG71" s="26"/>
      <c r="ELH71" s="26"/>
      <c r="ELI71" s="26"/>
      <c r="ELJ71" s="26"/>
      <c r="ELK71" s="26"/>
      <c r="ELL71" s="26"/>
      <c r="ELM71" s="26"/>
      <c r="ELN71" s="26"/>
      <c r="ELO71" s="26"/>
      <c r="ELP71" s="26"/>
      <c r="ELQ71" s="26"/>
      <c r="ELR71" s="26"/>
      <c r="ELS71" s="26"/>
      <c r="ELT71" s="26"/>
      <c r="ELU71" s="26"/>
      <c r="ELV71" s="26"/>
      <c r="ELW71" s="26"/>
      <c r="ELX71" s="26"/>
      <c r="ELY71" s="26"/>
      <c r="ELZ71" s="26"/>
      <c r="EMA71" s="26"/>
      <c r="EMB71" s="26"/>
      <c r="EMC71" s="26"/>
      <c r="EMD71" s="26"/>
      <c r="EME71" s="26"/>
      <c r="EMF71" s="26"/>
      <c r="EMG71" s="26"/>
      <c r="EMH71" s="26"/>
      <c r="EMI71" s="26"/>
      <c r="EMJ71" s="26"/>
      <c r="EMK71" s="26"/>
      <c r="EML71" s="26"/>
      <c r="EMM71" s="26"/>
      <c r="EMN71" s="26"/>
      <c r="EMO71" s="26"/>
      <c r="EMP71" s="26"/>
      <c r="EMQ71" s="26"/>
      <c r="EMR71" s="26"/>
      <c r="EMS71" s="26"/>
      <c r="EMT71" s="26"/>
      <c r="EMU71" s="26"/>
      <c r="EMV71" s="26"/>
      <c r="EMW71" s="26"/>
      <c r="EMX71" s="26"/>
      <c r="EMY71" s="26"/>
      <c r="EMZ71" s="26"/>
      <c r="ENA71" s="26"/>
      <c r="ENB71" s="26"/>
      <c r="ENC71" s="26"/>
      <c r="END71" s="26"/>
      <c r="ENE71" s="26"/>
      <c r="ENF71" s="26"/>
      <c r="ENG71" s="26"/>
      <c r="ENH71" s="26"/>
      <c r="ENI71" s="26"/>
      <c r="ENJ71" s="26"/>
      <c r="ENK71" s="26"/>
      <c r="ENL71" s="26"/>
      <c r="ENM71" s="26"/>
      <c r="ENN71" s="26"/>
      <c r="ENO71" s="26"/>
      <c r="ENP71" s="26"/>
      <c r="ENQ71" s="26"/>
      <c r="ENR71" s="26"/>
      <c r="ENS71" s="26"/>
      <c r="ENT71" s="26"/>
      <c r="ENU71" s="26"/>
      <c r="ENV71" s="26"/>
      <c r="ENW71" s="26"/>
      <c r="ENX71" s="26"/>
      <c r="ENY71" s="26"/>
      <c r="ENZ71" s="26"/>
      <c r="EOA71" s="26"/>
      <c r="EOB71" s="26"/>
      <c r="EOC71" s="26"/>
      <c r="EOD71" s="26"/>
      <c r="EOE71" s="26"/>
      <c r="EOF71" s="26"/>
      <c r="EOG71" s="26"/>
      <c r="EOH71" s="26"/>
      <c r="EOI71" s="26"/>
      <c r="EOJ71" s="26"/>
      <c r="EOK71" s="26"/>
      <c r="EOL71" s="26"/>
      <c r="EOM71" s="26"/>
      <c r="EON71" s="26"/>
      <c r="EOO71" s="26"/>
      <c r="EOP71" s="26"/>
      <c r="EOQ71" s="26"/>
      <c r="EOR71" s="26"/>
      <c r="EOS71" s="26"/>
      <c r="EOT71" s="26"/>
      <c r="EOU71" s="26"/>
      <c r="EOV71" s="26"/>
      <c r="EOW71" s="26"/>
      <c r="EOX71" s="26"/>
      <c r="EOY71" s="26"/>
      <c r="EOZ71" s="26"/>
      <c r="EPA71" s="26"/>
      <c r="EPB71" s="26"/>
      <c r="EPC71" s="26"/>
      <c r="EPD71" s="26"/>
      <c r="EPE71" s="26"/>
      <c r="EPF71" s="26"/>
      <c r="EPG71" s="26"/>
      <c r="EPH71" s="26"/>
      <c r="EPI71" s="26"/>
      <c r="EPJ71" s="26"/>
      <c r="EPK71" s="26"/>
      <c r="EPL71" s="26"/>
      <c r="EPM71" s="26"/>
      <c r="EPN71" s="26"/>
      <c r="EPO71" s="26"/>
      <c r="EPP71" s="26"/>
      <c r="EPQ71" s="26"/>
      <c r="EPR71" s="26"/>
      <c r="EPS71" s="26"/>
      <c r="EPT71" s="26"/>
      <c r="EPU71" s="26"/>
      <c r="EPV71" s="26"/>
      <c r="EPW71" s="26"/>
      <c r="EPX71" s="26"/>
      <c r="EPY71" s="26"/>
      <c r="EPZ71" s="26"/>
      <c r="EQA71" s="26"/>
      <c r="EQB71" s="26"/>
      <c r="EQC71" s="26"/>
      <c r="EQD71" s="26"/>
      <c r="EQE71" s="26"/>
      <c r="EQF71" s="26"/>
      <c r="EQG71" s="26"/>
      <c r="EQH71" s="26"/>
      <c r="EQI71" s="26"/>
      <c r="EQJ71" s="26"/>
      <c r="EQK71" s="26"/>
      <c r="EQL71" s="26"/>
      <c r="EQM71" s="26"/>
      <c r="EQN71" s="26"/>
      <c r="EQO71" s="26"/>
      <c r="EQP71" s="26"/>
      <c r="EQQ71" s="26"/>
      <c r="EQR71" s="26"/>
      <c r="EQS71" s="26"/>
      <c r="EQT71" s="26"/>
      <c r="EQU71" s="26"/>
      <c r="EQV71" s="26"/>
      <c r="EQW71" s="26"/>
      <c r="EQX71" s="26"/>
      <c r="EQY71" s="26"/>
      <c r="EQZ71" s="26"/>
      <c r="ERA71" s="26"/>
      <c r="ERB71" s="26"/>
      <c r="ERC71" s="26"/>
      <c r="ERD71" s="26"/>
      <c r="ERE71" s="26"/>
      <c r="ERF71" s="26"/>
      <c r="ERG71" s="26"/>
      <c r="ERH71" s="26"/>
      <c r="ERI71" s="26"/>
      <c r="ERJ71" s="26"/>
      <c r="ERK71" s="26"/>
      <c r="ERL71" s="26"/>
      <c r="ERM71" s="26"/>
      <c r="ERN71" s="26"/>
      <c r="ERO71" s="26"/>
      <c r="ERP71" s="26"/>
      <c r="ERQ71" s="26"/>
      <c r="ERR71" s="26"/>
      <c r="ERS71" s="26"/>
      <c r="ERT71" s="26"/>
      <c r="ERU71" s="26"/>
      <c r="ERV71" s="26"/>
      <c r="ERW71" s="26"/>
      <c r="ERX71" s="26"/>
      <c r="ERY71" s="26"/>
      <c r="ERZ71" s="26"/>
      <c r="ESA71" s="26"/>
      <c r="ESB71" s="26"/>
      <c r="ESC71" s="26"/>
      <c r="ESD71" s="26"/>
      <c r="ESE71" s="26"/>
      <c r="ESF71" s="26"/>
      <c r="ESG71" s="26"/>
      <c r="ESH71" s="26"/>
      <c r="ESI71" s="26"/>
      <c r="ESJ71" s="26"/>
      <c r="ESK71" s="26"/>
      <c r="ESL71" s="26"/>
      <c r="ESM71" s="26"/>
      <c r="ESN71" s="26"/>
      <c r="ESO71" s="26"/>
      <c r="ESP71" s="26"/>
      <c r="ESQ71" s="26"/>
      <c r="ESR71" s="26"/>
      <c r="ESS71" s="26"/>
      <c r="EST71" s="26"/>
      <c r="ESU71" s="26"/>
      <c r="ESV71" s="26"/>
      <c r="ESW71" s="26"/>
      <c r="ESX71" s="26"/>
      <c r="ESY71" s="26"/>
      <c r="ESZ71" s="26"/>
      <c r="ETA71" s="26"/>
      <c r="ETB71" s="26"/>
      <c r="ETC71" s="26"/>
      <c r="ETD71" s="26"/>
      <c r="ETE71" s="26"/>
      <c r="ETF71" s="26"/>
      <c r="ETG71" s="26"/>
      <c r="ETH71" s="26"/>
      <c r="ETI71" s="26"/>
      <c r="ETJ71" s="26"/>
      <c r="ETK71" s="26"/>
      <c r="ETL71" s="26"/>
      <c r="ETM71" s="26"/>
      <c r="ETN71" s="26"/>
      <c r="ETO71" s="26"/>
      <c r="ETP71" s="26"/>
      <c r="ETQ71" s="26"/>
      <c r="ETR71" s="26"/>
      <c r="ETS71" s="26"/>
      <c r="ETT71" s="26"/>
      <c r="ETU71" s="26"/>
      <c r="ETV71" s="26"/>
      <c r="ETW71" s="26"/>
      <c r="ETX71" s="26"/>
      <c r="ETY71" s="26"/>
      <c r="ETZ71" s="26"/>
      <c r="EUA71" s="26"/>
      <c r="EUB71" s="26"/>
      <c r="EUC71" s="26"/>
      <c r="EUD71" s="26"/>
      <c r="EUE71" s="26"/>
      <c r="EUF71" s="26"/>
      <c r="EUG71" s="26"/>
      <c r="EUH71" s="26"/>
      <c r="EUI71" s="26"/>
      <c r="EUJ71" s="26"/>
      <c r="EUK71" s="26"/>
      <c r="EUL71" s="26"/>
      <c r="EUM71" s="26"/>
      <c r="EUN71" s="26"/>
      <c r="EUO71" s="26"/>
      <c r="EUP71" s="26"/>
      <c r="EUQ71" s="26"/>
      <c r="EUR71" s="26"/>
      <c r="EUS71" s="26"/>
      <c r="EUT71" s="26"/>
      <c r="EUU71" s="26"/>
      <c r="EUV71" s="26"/>
      <c r="EUW71" s="26"/>
      <c r="EUX71" s="26"/>
      <c r="EUY71" s="26"/>
      <c r="EUZ71" s="26"/>
      <c r="EVA71" s="26"/>
      <c r="EVB71" s="26"/>
      <c r="EVC71" s="26"/>
      <c r="EVD71" s="26"/>
      <c r="EVE71" s="26"/>
      <c r="EVF71" s="26"/>
      <c r="EVG71" s="26"/>
      <c r="EVH71" s="26"/>
      <c r="EVI71" s="26"/>
      <c r="EVJ71" s="26"/>
      <c r="EVK71" s="26"/>
      <c r="EVL71" s="26"/>
      <c r="EVM71" s="26"/>
      <c r="EVN71" s="26"/>
      <c r="EVO71" s="26"/>
      <c r="EVP71" s="26"/>
      <c r="EVQ71" s="26"/>
      <c r="EVR71" s="26"/>
      <c r="EVS71" s="26"/>
      <c r="EVT71" s="26"/>
      <c r="EVU71" s="26"/>
      <c r="EVV71" s="26"/>
      <c r="EVW71" s="26"/>
      <c r="EVX71" s="26"/>
      <c r="EVY71" s="26"/>
      <c r="EVZ71" s="26"/>
      <c r="EWA71" s="26"/>
      <c r="EWB71" s="26"/>
      <c r="EWC71" s="26"/>
      <c r="EWD71" s="26"/>
      <c r="EWE71" s="26"/>
      <c r="EWF71" s="26"/>
      <c r="EWG71" s="26"/>
      <c r="EWH71" s="26"/>
      <c r="EWI71" s="26"/>
      <c r="EWJ71" s="26"/>
      <c r="EWK71" s="26"/>
      <c r="EWL71" s="26"/>
      <c r="EWM71" s="26"/>
      <c r="EWN71" s="26"/>
      <c r="EWO71" s="26"/>
      <c r="EWP71" s="26"/>
      <c r="EWQ71" s="26"/>
      <c r="EWR71" s="26"/>
      <c r="EWS71" s="26"/>
      <c r="EWT71" s="26"/>
      <c r="EWU71" s="26"/>
      <c r="EWV71" s="26"/>
      <c r="EWW71" s="26"/>
      <c r="EWX71" s="26"/>
      <c r="EWY71" s="26"/>
      <c r="EWZ71" s="26"/>
      <c r="EXA71" s="26"/>
      <c r="EXB71" s="26"/>
      <c r="EXC71" s="26"/>
      <c r="EXD71" s="26"/>
      <c r="EXE71" s="26"/>
      <c r="EXF71" s="26"/>
      <c r="EXG71" s="26"/>
      <c r="EXH71" s="26"/>
      <c r="EXI71" s="26"/>
      <c r="EXJ71" s="26"/>
      <c r="EXK71" s="26"/>
      <c r="EXL71" s="26"/>
      <c r="EXM71" s="26"/>
      <c r="EXN71" s="26"/>
      <c r="EXO71" s="26"/>
      <c r="EXP71" s="26"/>
      <c r="EXQ71" s="26"/>
      <c r="EXR71" s="26"/>
      <c r="EXS71" s="26"/>
      <c r="EXT71" s="26"/>
      <c r="EXU71" s="26"/>
      <c r="EXV71" s="26"/>
      <c r="EXW71" s="26"/>
      <c r="EXX71" s="26"/>
      <c r="EXY71" s="26"/>
      <c r="EXZ71" s="26"/>
      <c r="EYA71" s="26"/>
      <c r="EYB71" s="26"/>
      <c r="EYC71" s="26"/>
      <c r="EYD71" s="26"/>
      <c r="EYE71" s="26"/>
      <c r="EYF71" s="26"/>
      <c r="EYG71" s="26"/>
      <c r="EYH71" s="26"/>
      <c r="EYI71" s="26"/>
      <c r="EYJ71" s="26"/>
      <c r="EYK71" s="26"/>
      <c r="EYL71" s="26"/>
      <c r="EYM71" s="26"/>
      <c r="EYN71" s="26"/>
      <c r="EYO71" s="26"/>
      <c r="EYP71" s="26"/>
      <c r="EYQ71" s="26"/>
      <c r="EYR71" s="26"/>
      <c r="EYS71" s="26"/>
      <c r="EYT71" s="26"/>
      <c r="EYU71" s="26"/>
      <c r="EYV71" s="26"/>
      <c r="EYW71" s="26"/>
      <c r="EYX71" s="26"/>
      <c r="EYY71" s="26"/>
      <c r="EYZ71" s="26"/>
      <c r="EZA71" s="26"/>
      <c r="EZB71" s="26"/>
      <c r="EZC71" s="26"/>
      <c r="EZD71" s="26"/>
      <c r="EZE71" s="26"/>
      <c r="EZF71" s="26"/>
      <c r="EZG71" s="26"/>
      <c r="EZH71" s="26"/>
      <c r="EZI71" s="26"/>
      <c r="EZJ71" s="26"/>
      <c r="EZK71" s="26"/>
      <c r="EZL71" s="26"/>
      <c r="EZM71" s="26"/>
      <c r="EZN71" s="26"/>
      <c r="EZO71" s="26"/>
      <c r="EZP71" s="26"/>
      <c r="EZQ71" s="26"/>
      <c r="EZR71" s="26"/>
      <c r="EZS71" s="26"/>
      <c r="EZT71" s="26"/>
      <c r="EZU71" s="26"/>
      <c r="EZV71" s="26"/>
      <c r="EZW71" s="26"/>
      <c r="EZX71" s="26"/>
      <c r="EZY71" s="26"/>
      <c r="EZZ71" s="26"/>
      <c r="FAA71" s="26"/>
      <c r="FAB71" s="26"/>
      <c r="FAC71" s="26"/>
      <c r="FAD71" s="26"/>
      <c r="FAE71" s="26"/>
      <c r="FAF71" s="26"/>
      <c r="FAG71" s="26"/>
      <c r="FAH71" s="26"/>
      <c r="FAI71" s="26"/>
      <c r="FAJ71" s="26"/>
      <c r="FAK71" s="26"/>
      <c r="FAL71" s="26"/>
      <c r="FAM71" s="26"/>
      <c r="FAN71" s="26"/>
      <c r="FAO71" s="26"/>
      <c r="FAP71" s="26"/>
      <c r="FAQ71" s="26"/>
      <c r="FAR71" s="26"/>
      <c r="FAS71" s="26"/>
      <c r="FAT71" s="26"/>
      <c r="FAU71" s="26"/>
      <c r="FAV71" s="26"/>
      <c r="FAW71" s="26"/>
      <c r="FAX71" s="26"/>
      <c r="FAY71" s="26"/>
      <c r="FAZ71" s="26"/>
      <c r="FBA71" s="26"/>
      <c r="FBB71" s="26"/>
      <c r="FBC71" s="26"/>
      <c r="FBD71" s="26"/>
      <c r="FBE71" s="26"/>
      <c r="FBF71" s="26"/>
      <c r="FBG71" s="26"/>
      <c r="FBH71" s="26"/>
      <c r="FBI71" s="26"/>
      <c r="FBJ71" s="26"/>
      <c r="FBK71" s="26"/>
      <c r="FBL71" s="26"/>
      <c r="FBM71" s="26"/>
      <c r="FBN71" s="26"/>
      <c r="FBO71" s="26"/>
      <c r="FBP71" s="26"/>
      <c r="FBQ71" s="26"/>
      <c r="FBR71" s="26"/>
      <c r="FBS71" s="26"/>
      <c r="FBT71" s="26"/>
      <c r="FBU71" s="26"/>
      <c r="FBV71" s="26"/>
      <c r="FBW71" s="26"/>
      <c r="FBX71" s="26"/>
      <c r="FBY71" s="26"/>
      <c r="FBZ71" s="26"/>
      <c r="FCA71" s="26"/>
      <c r="FCB71" s="26"/>
      <c r="FCC71" s="26"/>
      <c r="FCD71" s="26"/>
      <c r="FCE71" s="26"/>
      <c r="FCF71" s="26"/>
      <c r="FCG71" s="26"/>
      <c r="FCH71" s="26"/>
      <c r="FCI71" s="26"/>
      <c r="FCJ71" s="26"/>
      <c r="FCK71" s="26"/>
      <c r="FCL71" s="26"/>
      <c r="FCM71" s="26"/>
      <c r="FCN71" s="26"/>
      <c r="FCO71" s="26"/>
      <c r="FCP71" s="26"/>
      <c r="FCQ71" s="26"/>
      <c r="FCR71" s="26"/>
      <c r="FCS71" s="26"/>
      <c r="FCT71" s="26"/>
      <c r="FCU71" s="26"/>
      <c r="FCV71" s="26"/>
      <c r="FCW71" s="26"/>
      <c r="FCX71" s="26"/>
      <c r="FCY71" s="26"/>
      <c r="FCZ71" s="26"/>
      <c r="FDA71" s="26"/>
      <c r="FDB71" s="26"/>
      <c r="FDC71" s="26"/>
      <c r="FDD71" s="26"/>
      <c r="FDE71" s="26"/>
      <c r="FDF71" s="26"/>
      <c r="FDG71" s="26"/>
      <c r="FDH71" s="26"/>
      <c r="FDI71" s="26"/>
      <c r="FDJ71" s="26"/>
      <c r="FDK71" s="26"/>
      <c r="FDL71" s="26"/>
      <c r="FDM71" s="26"/>
      <c r="FDN71" s="26"/>
      <c r="FDO71" s="26"/>
      <c r="FDP71" s="26"/>
      <c r="FDQ71" s="26"/>
      <c r="FDR71" s="26"/>
      <c r="FDS71" s="26"/>
      <c r="FDT71" s="26"/>
      <c r="FDU71" s="26"/>
      <c r="FDV71" s="26"/>
      <c r="FDW71" s="26"/>
      <c r="FDX71" s="26"/>
      <c r="FDY71" s="26"/>
      <c r="FDZ71" s="26"/>
      <c r="FEA71" s="26"/>
      <c r="FEB71" s="26"/>
      <c r="FEC71" s="26"/>
      <c r="FED71" s="26"/>
      <c r="FEE71" s="26"/>
      <c r="FEF71" s="26"/>
      <c r="FEG71" s="26"/>
      <c r="FEH71" s="26"/>
      <c r="FEI71" s="26"/>
      <c r="FEJ71" s="26"/>
      <c r="FEK71" s="26"/>
      <c r="FEL71" s="26"/>
      <c r="FEM71" s="26"/>
      <c r="FEN71" s="26"/>
      <c r="FEO71" s="26"/>
      <c r="FEP71" s="26"/>
      <c r="FEQ71" s="26"/>
      <c r="FER71" s="26"/>
      <c r="FES71" s="26"/>
      <c r="FET71" s="26"/>
      <c r="FEU71" s="26"/>
      <c r="FEV71" s="26"/>
      <c r="FEW71" s="26"/>
      <c r="FEX71" s="26"/>
      <c r="FEY71" s="26"/>
      <c r="FEZ71" s="26"/>
      <c r="FFA71" s="26"/>
      <c r="FFB71" s="26"/>
      <c r="FFC71" s="26"/>
      <c r="FFD71" s="26"/>
      <c r="FFE71" s="26"/>
      <c r="FFF71" s="26"/>
      <c r="FFG71" s="26"/>
      <c r="FFH71" s="26"/>
      <c r="FFI71" s="26"/>
      <c r="FFJ71" s="26"/>
      <c r="FFK71" s="26"/>
      <c r="FFL71" s="26"/>
      <c r="FFM71" s="26"/>
      <c r="FFN71" s="26"/>
      <c r="FFO71" s="26"/>
      <c r="FFP71" s="26"/>
      <c r="FFQ71" s="26"/>
      <c r="FFR71" s="26"/>
      <c r="FFS71" s="26"/>
      <c r="FFT71" s="26"/>
      <c r="FFU71" s="26"/>
      <c r="FFV71" s="26"/>
      <c r="FFW71" s="26"/>
      <c r="FFX71" s="26"/>
      <c r="FFY71" s="26"/>
      <c r="FFZ71" s="26"/>
      <c r="FGA71" s="26"/>
      <c r="FGB71" s="26"/>
      <c r="FGC71" s="26"/>
      <c r="FGD71" s="26"/>
      <c r="FGE71" s="26"/>
      <c r="FGF71" s="26"/>
      <c r="FGG71" s="26"/>
      <c r="FGH71" s="26"/>
      <c r="FGI71" s="26"/>
      <c r="FGJ71" s="26"/>
      <c r="FGK71" s="26"/>
      <c r="FGL71" s="26"/>
      <c r="FGM71" s="26"/>
      <c r="FGN71" s="26"/>
      <c r="FGO71" s="26"/>
      <c r="FGP71" s="26"/>
      <c r="FGQ71" s="26"/>
      <c r="FGR71" s="26"/>
      <c r="FGS71" s="26"/>
      <c r="FGT71" s="26"/>
      <c r="FGU71" s="26"/>
      <c r="FGV71" s="26"/>
      <c r="FGW71" s="26"/>
      <c r="FGX71" s="26"/>
      <c r="FGY71" s="26"/>
      <c r="FGZ71" s="26"/>
      <c r="FHA71" s="26"/>
      <c r="FHB71" s="26"/>
      <c r="FHC71" s="26"/>
      <c r="FHD71" s="26"/>
      <c r="FHE71" s="26"/>
      <c r="FHF71" s="26"/>
      <c r="FHG71" s="26"/>
      <c r="FHH71" s="26"/>
      <c r="FHI71" s="26"/>
      <c r="FHJ71" s="26"/>
      <c r="FHK71" s="26"/>
      <c r="FHL71" s="26"/>
      <c r="FHM71" s="26"/>
      <c r="FHN71" s="26"/>
      <c r="FHO71" s="26"/>
      <c r="FHP71" s="26"/>
      <c r="FHQ71" s="26"/>
      <c r="FHR71" s="26"/>
      <c r="FHS71" s="26"/>
      <c r="FHT71" s="26"/>
      <c r="FHU71" s="26"/>
      <c r="FHV71" s="26"/>
      <c r="FHW71" s="26"/>
      <c r="FHX71" s="26"/>
      <c r="FHY71" s="26"/>
      <c r="FHZ71" s="26"/>
      <c r="FIA71" s="26"/>
      <c r="FIB71" s="26"/>
      <c r="FIC71" s="26"/>
      <c r="FID71" s="26"/>
      <c r="FIE71" s="26"/>
      <c r="FIF71" s="26"/>
      <c r="FIG71" s="26"/>
      <c r="FIH71" s="26"/>
      <c r="FII71" s="26"/>
      <c r="FIJ71" s="26"/>
      <c r="FIK71" s="26"/>
      <c r="FIL71" s="26"/>
      <c r="FIM71" s="26"/>
      <c r="FIN71" s="26"/>
      <c r="FIO71" s="26"/>
      <c r="FIP71" s="26"/>
      <c r="FIQ71" s="26"/>
      <c r="FIR71" s="26"/>
      <c r="FIS71" s="26"/>
      <c r="FIT71" s="26"/>
      <c r="FIU71" s="26"/>
      <c r="FIV71" s="26"/>
      <c r="FIW71" s="26"/>
      <c r="FIX71" s="26"/>
      <c r="FIY71" s="26"/>
      <c r="FIZ71" s="26"/>
      <c r="FJA71" s="26"/>
      <c r="FJB71" s="26"/>
      <c r="FJC71" s="26"/>
      <c r="FJD71" s="26"/>
      <c r="FJE71" s="26"/>
      <c r="FJF71" s="26"/>
      <c r="FJG71" s="26"/>
      <c r="FJH71" s="26"/>
      <c r="FJI71" s="26"/>
      <c r="FJJ71" s="26"/>
      <c r="FJK71" s="26"/>
      <c r="FJL71" s="26"/>
      <c r="FJM71" s="26"/>
      <c r="FJN71" s="26"/>
      <c r="FJO71" s="26"/>
      <c r="FJP71" s="26"/>
      <c r="FJQ71" s="26"/>
      <c r="FJR71" s="26"/>
      <c r="FJS71" s="26"/>
      <c r="FJT71" s="26"/>
      <c r="FJU71" s="26"/>
      <c r="FJV71" s="26"/>
      <c r="FJW71" s="26"/>
      <c r="FJX71" s="26"/>
      <c r="FJY71" s="26"/>
      <c r="FJZ71" s="26"/>
      <c r="FKA71" s="26"/>
      <c r="FKB71" s="26"/>
      <c r="FKC71" s="26"/>
      <c r="FKD71" s="26"/>
      <c r="FKE71" s="26"/>
      <c r="FKF71" s="26"/>
      <c r="FKG71" s="26"/>
      <c r="FKH71" s="26"/>
      <c r="FKI71" s="26"/>
      <c r="FKJ71" s="26"/>
      <c r="FKK71" s="26"/>
      <c r="FKL71" s="26"/>
      <c r="FKM71" s="26"/>
      <c r="FKN71" s="26"/>
      <c r="FKO71" s="26"/>
      <c r="FKP71" s="26"/>
      <c r="FKQ71" s="26"/>
      <c r="FKR71" s="26"/>
      <c r="FKS71" s="26"/>
      <c r="FKT71" s="26"/>
      <c r="FKU71" s="26"/>
      <c r="FKV71" s="26"/>
      <c r="FKW71" s="26"/>
      <c r="FKX71" s="26"/>
      <c r="FKY71" s="26"/>
      <c r="FKZ71" s="26"/>
      <c r="FLA71" s="26"/>
      <c r="FLB71" s="26"/>
      <c r="FLC71" s="26"/>
      <c r="FLD71" s="26"/>
      <c r="FLE71" s="26"/>
      <c r="FLF71" s="26"/>
      <c r="FLG71" s="26"/>
      <c r="FLH71" s="26"/>
      <c r="FLI71" s="26"/>
      <c r="FLJ71" s="26"/>
      <c r="FLK71" s="26"/>
      <c r="FLL71" s="26"/>
      <c r="FLM71" s="26"/>
      <c r="FLN71" s="26"/>
      <c r="FLO71" s="26"/>
      <c r="FLP71" s="26"/>
      <c r="FLQ71" s="26"/>
      <c r="FLR71" s="26"/>
      <c r="FLS71" s="26"/>
      <c r="FLT71" s="26"/>
      <c r="FLU71" s="26"/>
      <c r="FLV71" s="26"/>
      <c r="FLW71" s="26"/>
      <c r="FLX71" s="26"/>
      <c r="FLY71" s="26"/>
      <c r="FLZ71" s="26"/>
      <c r="FMA71" s="26"/>
      <c r="FMB71" s="26"/>
      <c r="FMC71" s="26"/>
      <c r="FMD71" s="26"/>
      <c r="FME71" s="26"/>
      <c r="FMF71" s="26"/>
      <c r="FMG71" s="26"/>
      <c r="FMH71" s="26"/>
      <c r="FMI71" s="26"/>
      <c r="FMJ71" s="26"/>
      <c r="FMK71" s="26"/>
      <c r="FML71" s="26"/>
      <c r="FMM71" s="26"/>
      <c r="FMN71" s="26"/>
      <c r="FMO71" s="26"/>
      <c r="FMP71" s="26"/>
      <c r="FMQ71" s="26"/>
      <c r="FMR71" s="26"/>
      <c r="FMS71" s="26"/>
      <c r="FMT71" s="26"/>
      <c r="FMU71" s="26"/>
      <c r="FMV71" s="26"/>
      <c r="FMW71" s="26"/>
      <c r="FMX71" s="26"/>
      <c r="FMY71" s="26"/>
      <c r="FMZ71" s="26"/>
      <c r="FNA71" s="26"/>
      <c r="FNB71" s="26"/>
      <c r="FNC71" s="26"/>
      <c r="FND71" s="26"/>
      <c r="FNE71" s="26"/>
      <c r="FNF71" s="26"/>
      <c r="FNG71" s="26"/>
      <c r="FNH71" s="26"/>
      <c r="FNI71" s="26"/>
      <c r="FNJ71" s="26"/>
      <c r="FNK71" s="26"/>
      <c r="FNL71" s="26"/>
      <c r="FNM71" s="26"/>
      <c r="FNN71" s="26"/>
      <c r="FNO71" s="26"/>
      <c r="FNP71" s="26"/>
      <c r="FNQ71" s="26"/>
      <c r="FNR71" s="26"/>
      <c r="FNS71" s="26"/>
      <c r="FNT71" s="26"/>
      <c r="FNU71" s="26"/>
      <c r="FNV71" s="26"/>
      <c r="FNW71" s="26"/>
      <c r="FNX71" s="26"/>
      <c r="FNY71" s="26"/>
      <c r="FNZ71" s="26"/>
      <c r="FOA71" s="26"/>
      <c r="FOB71" s="26"/>
      <c r="FOC71" s="26"/>
      <c r="FOD71" s="26"/>
      <c r="FOE71" s="26"/>
      <c r="FOF71" s="26"/>
      <c r="FOG71" s="26"/>
      <c r="FOH71" s="26"/>
      <c r="FOI71" s="26"/>
      <c r="FOJ71" s="26"/>
      <c r="FOK71" s="26"/>
      <c r="FOL71" s="26"/>
      <c r="FOM71" s="26"/>
      <c r="FON71" s="26"/>
      <c r="FOO71" s="26"/>
      <c r="FOP71" s="26"/>
      <c r="FOQ71" s="26"/>
      <c r="FOR71" s="26"/>
      <c r="FOS71" s="26"/>
      <c r="FOT71" s="26"/>
      <c r="FOU71" s="26"/>
      <c r="FOV71" s="26"/>
      <c r="FOW71" s="26"/>
      <c r="FOX71" s="26"/>
      <c r="FOY71" s="26"/>
      <c r="FOZ71" s="26"/>
      <c r="FPA71" s="26"/>
      <c r="FPB71" s="26"/>
      <c r="FPC71" s="26"/>
      <c r="FPD71" s="26"/>
      <c r="FPE71" s="26"/>
      <c r="FPF71" s="26"/>
      <c r="FPG71" s="26"/>
      <c r="FPH71" s="26"/>
      <c r="FPI71" s="26"/>
      <c r="FPJ71" s="26"/>
      <c r="FPK71" s="26"/>
      <c r="FPL71" s="26"/>
      <c r="FPM71" s="26"/>
      <c r="FPN71" s="26"/>
      <c r="FPO71" s="26"/>
      <c r="FPP71" s="26"/>
      <c r="FPQ71" s="26"/>
      <c r="FPR71" s="26"/>
      <c r="FPS71" s="26"/>
      <c r="FPT71" s="26"/>
      <c r="FPU71" s="26"/>
      <c r="FPV71" s="26"/>
      <c r="FPW71" s="26"/>
      <c r="FPX71" s="26"/>
      <c r="FPY71" s="26"/>
      <c r="FPZ71" s="26"/>
      <c r="FQA71" s="26"/>
      <c r="FQB71" s="26"/>
      <c r="FQC71" s="26"/>
      <c r="FQD71" s="26"/>
      <c r="FQE71" s="26"/>
      <c r="FQF71" s="26"/>
      <c r="FQG71" s="26"/>
      <c r="FQH71" s="26"/>
      <c r="FQI71" s="26"/>
      <c r="FQJ71" s="26"/>
      <c r="FQK71" s="26"/>
      <c r="FQL71" s="26"/>
      <c r="FQM71" s="26"/>
      <c r="FQN71" s="26"/>
      <c r="FQO71" s="26"/>
      <c r="FQP71" s="26"/>
      <c r="FQQ71" s="26"/>
      <c r="FQR71" s="26"/>
      <c r="FQS71" s="26"/>
      <c r="FQT71" s="26"/>
      <c r="FQU71" s="26"/>
      <c r="FQV71" s="26"/>
      <c r="FQW71" s="26"/>
      <c r="FQX71" s="26"/>
      <c r="FQY71" s="26"/>
      <c r="FQZ71" s="26"/>
      <c r="FRA71" s="26"/>
      <c r="FRB71" s="26"/>
      <c r="FRC71" s="26"/>
      <c r="FRD71" s="26"/>
      <c r="FRE71" s="26"/>
      <c r="FRF71" s="26"/>
      <c r="FRG71" s="26"/>
      <c r="FRH71" s="26"/>
      <c r="FRI71" s="26"/>
      <c r="FRJ71" s="26"/>
      <c r="FRK71" s="26"/>
      <c r="FRL71" s="26"/>
      <c r="FRM71" s="26"/>
      <c r="FRN71" s="26"/>
      <c r="FRO71" s="26"/>
      <c r="FRP71" s="26"/>
      <c r="FRQ71" s="26"/>
      <c r="FRR71" s="26"/>
      <c r="FRS71" s="26"/>
      <c r="FRT71" s="26"/>
      <c r="FRU71" s="26"/>
      <c r="FRV71" s="26"/>
      <c r="FRW71" s="26"/>
      <c r="FRX71" s="26"/>
      <c r="FRY71" s="26"/>
      <c r="FRZ71" s="26"/>
      <c r="FSA71" s="26"/>
      <c r="FSB71" s="26"/>
      <c r="FSC71" s="26"/>
      <c r="FSD71" s="26"/>
      <c r="FSE71" s="26"/>
      <c r="FSF71" s="26"/>
      <c r="FSG71" s="26"/>
      <c r="FSH71" s="26"/>
      <c r="FSI71" s="26"/>
      <c r="FSJ71" s="26"/>
      <c r="FSK71" s="26"/>
      <c r="FSL71" s="26"/>
      <c r="FSM71" s="26"/>
      <c r="FSN71" s="26"/>
      <c r="FSO71" s="26"/>
      <c r="FSP71" s="26"/>
      <c r="FSQ71" s="26"/>
      <c r="FSR71" s="26"/>
      <c r="FSS71" s="26"/>
      <c r="FST71" s="26"/>
      <c r="FSU71" s="26"/>
      <c r="FSV71" s="26"/>
      <c r="FSW71" s="26"/>
      <c r="FSX71" s="26"/>
      <c r="FSY71" s="26"/>
      <c r="FSZ71" s="26"/>
      <c r="FTA71" s="26"/>
      <c r="FTB71" s="26"/>
      <c r="FTC71" s="26"/>
      <c r="FTD71" s="26"/>
      <c r="FTE71" s="26"/>
      <c r="FTF71" s="26"/>
      <c r="FTG71" s="26"/>
      <c r="FTH71" s="26"/>
      <c r="FTI71" s="26"/>
      <c r="FTJ71" s="26"/>
      <c r="FTK71" s="26"/>
      <c r="FTL71" s="26"/>
      <c r="FTM71" s="26"/>
      <c r="FTN71" s="26"/>
      <c r="FTO71" s="26"/>
      <c r="FTP71" s="26"/>
      <c r="FTQ71" s="26"/>
      <c r="FTR71" s="26"/>
      <c r="FTS71" s="26"/>
      <c r="FTT71" s="26"/>
      <c r="FTU71" s="26"/>
      <c r="FTV71" s="26"/>
      <c r="FTW71" s="26"/>
      <c r="FTX71" s="26"/>
      <c r="FTY71" s="26"/>
      <c r="FTZ71" s="26"/>
      <c r="FUA71" s="26"/>
      <c r="FUB71" s="26"/>
      <c r="FUC71" s="26"/>
      <c r="FUD71" s="26"/>
      <c r="FUE71" s="26"/>
      <c r="FUF71" s="26"/>
      <c r="FUG71" s="26"/>
      <c r="FUH71" s="26"/>
      <c r="FUI71" s="26"/>
      <c r="FUJ71" s="26"/>
      <c r="FUK71" s="26"/>
      <c r="FUL71" s="26"/>
      <c r="FUM71" s="26"/>
      <c r="FUN71" s="26"/>
      <c r="FUO71" s="26"/>
      <c r="FUP71" s="26"/>
      <c r="FUQ71" s="26"/>
      <c r="FUR71" s="26"/>
      <c r="FUS71" s="26"/>
      <c r="FUT71" s="26"/>
      <c r="FUU71" s="26"/>
      <c r="FUV71" s="26"/>
      <c r="FUW71" s="26"/>
      <c r="FUX71" s="26"/>
      <c r="FUY71" s="26"/>
      <c r="FUZ71" s="26"/>
      <c r="FVA71" s="26"/>
      <c r="FVB71" s="26"/>
      <c r="FVC71" s="26"/>
      <c r="FVD71" s="26"/>
      <c r="FVE71" s="26"/>
      <c r="FVF71" s="26"/>
      <c r="FVG71" s="26"/>
      <c r="FVH71" s="26"/>
      <c r="FVI71" s="26"/>
      <c r="FVJ71" s="26"/>
      <c r="FVK71" s="26"/>
      <c r="FVL71" s="26"/>
      <c r="FVM71" s="26"/>
      <c r="FVN71" s="26"/>
      <c r="FVO71" s="26"/>
      <c r="FVP71" s="26"/>
      <c r="FVQ71" s="26"/>
      <c r="FVR71" s="26"/>
      <c r="FVS71" s="26"/>
      <c r="FVT71" s="26"/>
      <c r="FVU71" s="26"/>
      <c r="FVV71" s="26"/>
      <c r="FVW71" s="26"/>
      <c r="FVX71" s="26"/>
      <c r="FVY71" s="26"/>
      <c r="FVZ71" s="26"/>
      <c r="FWA71" s="26"/>
      <c r="FWB71" s="26"/>
      <c r="FWC71" s="26"/>
      <c r="FWD71" s="26"/>
      <c r="FWE71" s="26"/>
      <c r="FWF71" s="26"/>
      <c r="FWG71" s="26"/>
      <c r="FWH71" s="26"/>
      <c r="FWI71" s="26"/>
      <c r="FWJ71" s="26"/>
      <c r="FWK71" s="26"/>
      <c r="FWL71" s="26"/>
      <c r="FWM71" s="26"/>
      <c r="FWN71" s="26"/>
      <c r="FWO71" s="26"/>
      <c r="FWP71" s="26"/>
      <c r="FWQ71" s="26"/>
      <c r="FWR71" s="26"/>
      <c r="FWS71" s="26"/>
      <c r="FWT71" s="26"/>
      <c r="FWU71" s="26"/>
      <c r="FWV71" s="26"/>
      <c r="FWW71" s="26"/>
      <c r="FWX71" s="26"/>
      <c r="FWY71" s="26"/>
      <c r="FWZ71" s="26"/>
      <c r="FXA71" s="26"/>
      <c r="FXB71" s="26"/>
      <c r="FXC71" s="26"/>
      <c r="FXD71" s="26"/>
      <c r="FXE71" s="26"/>
      <c r="FXF71" s="26"/>
      <c r="FXG71" s="26"/>
      <c r="FXH71" s="26"/>
      <c r="FXI71" s="26"/>
      <c r="FXJ71" s="26"/>
      <c r="FXK71" s="26"/>
      <c r="FXL71" s="26"/>
      <c r="FXM71" s="26"/>
      <c r="FXN71" s="26"/>
      <c r="FXO71" s="26"/>
      <c r="FXP71" s="26"/>
      <c r="FXQ71" s="26"/>
      <c r="FXR71" s="26"/>
      <c r="FXS71" s="26"/>
      <c r="FXT71" s="26"/>
      <c r="FXU71" s="26"/>
      <c r="FXV71" s="26"/>
      <c r="FXW71" s="26"/>
      <c r="FXX71" s="26"/>
      <c r="FXY71" s="26"/>
      <c r="FXZ71" s="26"/>
      <c r="FYA71" s="26"/>
      <c r="FYB71" s="26"/>
      <c r="FYC71" s="26"/>
      <c r="FYD71" s="26"/>
      <c r="FYE71" s="26"/>
      <c r="FYF71" s="26"/>
      <c r="FYG71" s="26"/>
      <c r="FYH71" s="26"/>
      <c r="FYI71" s="26"/>
      <c r="FYJ71" s="26"/>
      <c r="FYK71" s="26"/>
      <c r="FYL71" s="26"/>
      <c r="FYM71" s="26"/>
      <c r="FYN71" s="26"/>
      <c r="FYO71" s="26"/>
      <c r="FYP71" s="26"/>
      <c r="FYQ71" s="26"/>
      <c r="FYR71" s="26"/>
      <c r="FYS71" s="26"/>
      <c r="FYT71" s="26"/>
      <c r="FYU71" s="26"/>
      <c r="FYV71" s="26"/>
      <c r="FYW71" s="26"/>
      <c r="FYX71" s="26"/>
      <c r="FYY71" s="26"/>
      <c r="FYZ71" s="26"/>
      <c r="FZA71" s="26"/>
      <c r="FZB71" s="26"/>
      <c r="FZC71" s="26"/>
      <c r="FZD71" s="26"/>
      <c r="FZE71" s="26"/>
      <c r="FZF71" s="26"/>
      <c r="FZG71" s="26"/>
      <c r="FZH71" s="26"/>
      <c r="FZI71" s="26"/>
      <c r="FZJ71" s="26"/>
      <c r="FZK71" s="26"/>
      <c r="FZL71" s="26"/>
      <c r="FZM71" s="26"/>
      <c r="FZN71" s="26"/>
      <c r="FZO71" s="26"/>
      <c r="FZP71" s="26"/>
      <c r="FZQ71" s="26"/>
      <c r="FZR71" s="26"/>
      <c r="FZS71" s="26"/>
      <c r="FZT71" s="26"/>
      <c r="FZU71" s="26"/>
      <c r="FZV71" s="26"/>
      <c r="FZW71" s="26"/>
      <c r="FZX71" s="26"/>
      <c r="FZY71" s="26"/>
      <c r="FZZ71" s="26"/>
      <c r="GAA71" s="26"/>
      <c r="GAB71" s="26"/>
      <c r="GAC71" s="26"/>
      <c r="GAD71" s="26"/>
      <c r="GAE71" s="26"/>
      <c r="GAF71" s="26"/>
      <c r="GAG71" s="26"/>
      <c r="GAH71" s="26"/>
      <c r="GAI71" s="26"/>
      <c r="GAJ71" s="26"/>
      <c r="GAK71" s="26"/>
      <c r="GAL71" s="26"/>
      <c r="GAM71" s="26"/>
      <c r="GAN71" s="26"/>
      <c r="GAO71" s="26"/>
      <c r="GAP71" s="26"/>
      <c r="GAQ71" s="26"/>
      <c r="GAR71" s="26"/>
      <c r="GAS71" s="26"/>
      <c r="GAT71" s="26"/>
      <c r="GAU71" s="26"/>
      <c r="GAV71" s="26"/>
      <c r="GAW71" s="26"/>
      <c r="GAX71" s="26"/>
      <c r="GAY71" s="26"/>
      <c r="GAZ71" s="26"/>
      <c r="GBA71" s="26"/>
      <c r="GBB71" s="26"/>
      <c r="GBC71" s="26"/>
      <c r="GBD71" s="26"/>
      <c r="GBE71" s="26"/>
      <c r="GBF71" s="26"/>
      <c r="GBG71" s="26"/>
      <c r="GBH71" s="26"/>
      <c r="GBI71" s="26"/>
      <c r="GBJ71" s="26"/>
      <c r="GBK71" s="26"/>
      <c r="GBL71" s="26"/>
      <c r="GBM71" s="26"/>
      <c r="GBN71" s="26"/>
      <c r="GBO71" s="26"/>
      <c r="GBP71" s="26"/>
      <c r="GBQ71" s="26"/>
      <c r="GBR71" s="26"/>
      <c r="GBS71" s="26"/>
      <c r="GBT71" s="26"/>
      <c r="GBU71" s="26"/>
      <c r="GBV71" s="26"/>
      <c r="GBW71" s="26"/>
      <c r="GBX71" s="26"/>
      <c r="GBY71" s="26"/>
      <c r="GBZ71" s="26"/>
      <c r="GCA71" s="26"/>
      <c r="GCB71" s="26"/>
      <c r="GCC71" s="26"/>
      <c r="GCD71" s="26"/>
      <c r="GCE71" s="26"/>
      <c r="GCF71" s="26"/>
      <c r="GCG71" s="26"/>
      <c r="GCH71" s="26"/>
      <c r="GCI71" s="26"/>
      <c r="GCJ71" s="26"/>
      <c r="GCK71" s="26"/>
      <c r="GCL71" s="26"/>
      <c r="GCM71" s="26"/>
      <c r="GCN71" s="26"/>
      <c r="GCO71" s="26"/>
      <c r="GCP71" s="26"/>
      <c r="GCQ71" s="26"/>
      <c r="GCR71" s="26"/>
      <c r="GCS71" s="26"/>
      <c r="GCT71" s="26"/>
      <c r="GCU71" s="26"/>
      <c r="GCV71" s="26"/>
      <c r="GCW71" s="26"/>
      <c r="GCX71" s="26"/>
      <c r="GCY71" s="26"/>
      <c r="GCZ71" s="26"/>
      <c r="GDA71" s="26"/>
      <c r="GDB71" s="26"/>
      <c r="GDC71" s="26"/>
      <c r="GDD71" s="26"/>
      <c r="GDE71" s="26"/>
      <c r="GDF71" s="26"/>
      <c r="GDG71" s="26"/>
      <c r="GDH71" s="26"/>
      <c r="GDI71" s="26"/>
      <c r="GDJ71" s="26"/>
      <c r="GDK71" s="26"/>
      <c r="GDL71" s="26"/>
      <c r="GDM71" s="26"/>
      <c r="GDN71" s="26"/>
      <c r="GDO71" s="26"/>
      <c r="GDP71" s="26"/>
      <c r="GDQ71" s="26"/>
      <c r="GDR71" s="26"/>
      <c r="GDS71" s="26"/>
      <c r="GDT71" s="26"/>
      <c r="GDU71" s="26"/>
      <c r="GDV71" s="26"/>
      <c r="GDW71" s="26"/>
      <c r="GDX71" s="26"/>
      <c r="GDY71" s="26"/>
      <c r="GDZ71" s="26"/>
      <c r="GEA71" s="26"/>
      <c r="GEB71" s="26"/>
      <c r="GEC71" s="26"/>
      <c r="GED71" s="26"/>
      <c r="GEE71" s="26"/>
      <c r="GEF71" s="26"/>
      <c r="GEG71" s="26"/>
      <c r="GEH71" s="26"/>
      <c r="GEI71" s="26"/>
      <c r="GEJ71" s="26"/>
      <c r="GEK71" s="26"/>
      <c r="GEL71" s="26"/>
      <c r="GEM71" s="26"/>
      <c r="GEN71" s="26"/>
      <c r="GEO71" s="26"/>
      <c r="GEP71" s="26"/>
      <c r="GEQ71" s="26"/>
      <c r="GER71" s="26"/>
      <c r="GES71" s="26"/>
      <c r="GET71" s="26"/>
      <c r="GEU71" s="26"/>
      <c r="GEV71" s="26"/>
      <c r="GEW71" s="26"/>
      <c r="GEX71" s="26"/>
      <c r="GEY71" s="26"/>
      <c r="GEZ71" s="26"/>
      <c r="GFA71" s="26"/>
      <c r="GFB71" s="26"/>
      <c r="GFC71" s="26"/>
      <c r="GFD71" s="26"/>
      <c r="GFE71" s="26"/>
      <c r="GFF71" s="26"/>
      <c r="GFG71" s="26"/>
      <c r="GFH71" s="26"/>
      <c r="GFI71" s="26"/>
      <c r="GFJ71" s="26"/>
      <c r="GFK71" s="26"/>
      <c r="GFL71" s="26"/>
      <c r="GFM71" s="26"/>
      <c r="GFN71" s="26"/>
      <c r="GFO71" s="26"/>
      <c r="GFP71" s="26"/>
      <c r="GFQ71" s="26"/>
      <c r="GFR71" s="26"/>
      <c r="GFS71" s="26"/>
      <c r="GFT71" s="26"/>
      <c r="GFU71" s="26"/>
      <c r="GFV71" s="26"/>
      <c r="GFW71" s="26"/>
      <c r="GFX71" s="26"/>
      <c r="GFY71" s="26"/>
      <c r="GFZ71" s="26"/>
      <c r="GGA71" s="26"/>
      <c r="GGB71" s="26"/>
      <c r="GGC71" s="26"/>
      <c r="GGD71" s="26"/>
      <c r="GGE71" s="26"/>
      <c r="GGF71" s="26"/>
      <c r="GGG71" s="26"/>
      <c r="GGH71" s="26"/>
      <c r="GGI71" s="26"/>
      <c r="GGJ71" s="26"/>
      <c r="GGK71" s="26"/>
      <c r="GGL71" s="26"/>
      <c r="GGM71" s="26"/>
      <c r="GGN71" s="26"/>
      <c r="GGO71" s="26"/>
      <c r="GGP71" s="26"/>
      <c r="GGQ71" s="26"/>
      <c r="GGR71" s="26"/>
      <c r="GGS71" s="26"/>
      <c r="GGT71" s="26"/>
      <c r="GGU71" s="26"/>
      <c r="GGV71" s="26"/>
      <c r="GGW71" s="26"/>
      <c r="GGX71" s="26"/>
      <c r="GGY71" s="26"/>
      <c r="GGZ71" s="26"/>
      <c r="GHA71" s="26"/>
      <c r="GHB71" s="26"/>
      <c r="GHC71" s="26"/>
      <c r="GHD71" s="26"/>
      <c r="GHE71" s="26"/>
      <c r="GHF71" s="26"/>
      <c r="GHG71" s="26"/>
      <c r="GHH71" s="26"/>
      <c r="GHI71" s="26"/>
      <c r="GHJ71" s="26"/>
      <c r="GHK71" s="26"/>
      <c r="GHL71" s="26"/>
      <c r="GHM71" s="26"/>
      <c r="GHN71" s="26"/>
      <c r="GHO71" s="26"/>
      <c r="GHP71" s="26"/>
      <c r="GHQ71" s="26"/>
      <c r="GHR71" s="26"/>
      <c r="GHS71" s="26"/>
      <c r="GHT71" s="26"/>
      <c r="GHU71" s="26"/>
      <c r="GHV71" s="26"/>
      <c r="GHW71" s="26"/>
      <c r="GHX71" s="26"/>
      <c r="GHY71" s="26"/>
      <c r="GHZ71" s="26"/>
      <c r="GIA71" s="26"/>
      <c r="GIB71" s="26"/>
      <c r="GIC71" s="26"/>
      <c r="GID71" s="26"/>
      <c r="GIE71" s="26"/>
      <c r="GIF71" s="26"/>
      <c r="GIG71" s="26"/>
      <c r="GIH71" s="26"/>
      <c r="GII71" s="26"/>
      <c r="GIJ71" s="26"/>
      <c r="GIK71" s="26"/>
      <c r="GIL71" s="26"/>
      <c r="GIM71" s="26"/>
      <c r="GIN71" s="26"/>
      <c r="GIO71" s="26"/>
      <c r="GIP71" s="26"/>
      <c r="GIQ71" s="26"/>
      <c r="GIR71" s="26"/>
      <c r="GIS71" s="26"/>
      <c r="GIT71" s="26"/>
      <c r="GIU71" s="26"/>
      <c r="GIV71" s="26"/>
      <c r="GIW71" s="26"/>
      <c r="GIX71" s="26"/>
      <c r="GIY71" s="26"/>
      <c r="GIZ71" s="26"/>
      <c r="GJA71" s="26"/>
      <c r="GJB71" s="26"/>
      <c r="GJC71" s="26"/>
      <c r="GJD71" s="26"/>
      <c r="GJE71" s="26"/>
      <c r="GJF71" s="26"/>
      <c r="GJG71" s="26"/>
      <c r="GJH71" s="26"/>
      <c r="GJI71" s="26"/>
      <c r="GJJ71" s="26"/>
      <c r="GJK71" s="26"/>
      <c r="GJL71" s="26"/>
      <c r="GJM71" s="26"/>
      <c r="GJN71" s="26"/>
      <c r="GJO71" s="26"/>
      <c r="GJP71" s="26"/>
      <c r="GJQ71" s="26"/>
      <c r="GJR71" s="26"/>
      <c r="GJS71" s="26"/>
      <c r="GJT71" s="26"/>
      <c r="GJU71" s="26"/>
      <c r="GJV71" s="26"/>
      <c r="GJW71" s="26"/>
      <c r="GJX71" s="26"/>
      <c r="GJY71" s="26"/>
      <c r="GJZ71" s="26"/>
      <c r="GKA71" s="26"/>
      <c r="GKB71" s="26"/>
      <c r="GKC71" s="26"/>
      <c r="GKD71" s="26"/>
      <c r="GKE71" s="26"/>
      <c r="GKF71" s="26"/>
      <c r="GKG71" s="26"/>
      <c r="GKH71" s="26"/>
      <c r="GKI71" s="26"/>
      <c r="GKJ71" s="26"/>
      <c r="GKK71" s="26"/>
      <c r="GKL71" s="26"/>
      <c r="GKM71" s="26"/>
      <c r="GKN71" s="26"/>
      <c r="GKO71" s="26"/>
      <c r="GKP71" s="26"/>
      <c r="GKQ71" s="26"/>
      <c r="GKR71" s="26"/>
      <c r="GKS71" s="26"/>
      <c r="GKT71" s="26"/>
      <c r="GKU71" s="26"/>
      <c r="GKV71" s="26"/>
      <c r="GKW71" s="26"/>
      <c r="GKX71" s="26"/>
      <c r="GKY71" s="26"/>
      <c r="GKZ71" s="26"/>
      <c r="GLA71" s="26"/>
      <c r="GLB71" s="26"/>
      <c r="GLC71" s="26"/>
      <c r="GLD71" s="26"/>
      <c r="GLE71" s="26"/>
      <c r="GLF71" s="26"/>
      <c r="GLG71" s="26"/>
      <c r="GLH71" s="26"/>
      <c r="GLI71" s="26"/>
      <c r="GLJ71" s="26"/>
      <c r="GLK71" s="26"/>
      <c r="GLL71" s="26"/>
      <c r="GLM71" s="26"/>
      <c r="GLN71" s="26"/>
      <c r="GLO71" s="26"/>
      <c r="GLP71" s="26"/>
      <c r="GLQ71" s="26"/>
      <c r="GLR71" s="26"/>
      <c r="GLS71" s="26"/>
      <c r="GLT71" s="26"/>
      <c r="GLU71" s="26"/>
      <c r="GLV71" s="26"/>
      <c r="GLW71" s="26"/>
      <c r="GLX71" s="26"/>
      <c r="GLY71" s="26"/>
      <c r="GLZ71" s="26"/>
      <c r="GMA71" s="26"/>
      <c r="GMB71" s="26"/>
      <c r="GMC71" s="26"/>
      <c r="GMD71" s="26"/>
      <c r="GME71" s="26"/>
      <c r="GMF71" s="26"/>
      <c r="GMG71" s="26"/>
      <c r="GMH71" s="26"/>
      <c r="GMI71" s="26"/>
      <c r="GMJ71" s="26"/>
      <c r="GMK71" s="26"/>
      <c r="GML71" s="26"/>
      <c r="GMM71" s="26"/>
      <c r="GMN71" s="26"/>
      <c r="GMO71" s="26"/>
      <c r="GMP71" s="26"/>
      <c r="GMQ71" s="26"/>
      <c r="GMR71" s="26"/>
      <c r="GMS71" s="26"/>
      <c r="GMT71" s="26"/>
      <c r="GMU71" s="26"/>
      <c r="GMV71" s="26"/>
      <c r="GMW71" s="26"/>
      <c r="GMX71" s="26"/>
      <c r="GMY71" s="26"/>
      <c r="GMZ71" s="26"/>
      <c r="GNA71" s="26"/>
      <c r="GNB71" s="26"/>
      <c r="GNC71" s="26"/>
      <c r="GND71" s="26"/>
      <c r="GNE71" s="26"/>
      <c r="GNF71" s="26"/>
      <c r="GNG71" s="26"/>
      <c r="GNH71" s="26"/>
      <c r="GNI71" s="26"/>
      <c r="GNJ71" s="26"/>
      <c r="GNK71" s="26"/>
      <c r="GNL71" s="26"/>
      <c r="GNM71" s="26"/>
      <c r="GNN71" s="26"/>
      <c r="GNO71" s="26"/>
      <c r="GNP71" s="26"/>
      <c r="GNQ71" s="26"/>
      <c r="GNR71" s="26"/>
      <c r="GNS71" s="26"/>
      <c r="GNT71" s="26"/>
      <c r="GNU71" s="26"/>
      <c r="GNV71" s="26"/>
      <c r="GNW71" s="26"/>
      <c r="GNX71" s="26"/>
      <c r="GNY71" s="26"/>
      <c r="GNZ71" s="26"/>
      <c r="GOA71" s="26"/>
      <c r="GOB71" s="26"/>
      <c r="GOC71" s="26"/>
      <c r="GOD71" s="26"/>
      <c r="GOE71" s="26"/>
      <c r="GOF71" s="26"/>
      <c r="GOG71" s="26"/>
      <c r="GOH71" s="26"/>
      <c r="GOI71" s="26"/>
      <c r="GOJ71" s="26"/>
      <c r="GOK71" s="26"/>
      <c r="GOL71" s="26"/>
      <c r="GOM71" s="26"/>
      <c r="GON71" s="26"/>
      <c r="GOO71" s="26"/>
      <c r="GOP71" s="26"/>
      <c r="GOQ71" s="26"/>
      <c r="GOR71" s="26"/>
      <c r="GOS71" s="26"/>
      <c r="GOT71" s="26"/>
      <c r="GOU71" s="26"/>
      <c r="GOV71" s="26"/>
      <c r="GOW71" s="26"/>
      <c r="GOX71" s="26"/>
      <c r="GOY71" s="26"/>
      <c r="GOZ71" s="26"/>
      <c r="GPA71" s="26"/>
      <c r="GPB71" s="26"/>
      <c r="GPC71" s="26"/>
      <c r="GPD71" s="26"/>
      <c r="GPE71" s="26"/>
      <c r="GPF71" s="26"/>
      <c r="GPG71" s="26"/>
      <c r="GPH71" s="26"/>
      <c r="GPI71" s="26"/>
      <c r="GPJ71" s="26"/>
      <c r="GPK71" s="26"/>
      <c r="GPL71" s="26"/>
      <c r="GPM71" s="26"/>
      <c r="GPN71" s="26"/>
      <c r="GPO71" s="26"/>
      <c r="GPP71" s="26"/>
      <c r="GPQ71" s="26"/>
      <c r="GPR71" s="26"/>
      <c r="GPS71" s="26"/>
      <c r="GPT71" s="26"/>
      <c r="GPU71" s="26"/>
      <c r="GPV71" s="26"/>
      <c r="GPW71" s="26"/>
      <c r="GPX71" s="26"/>
      <c r="GPY71" s="26"/>
      <c r="GPZ71" s="26"/>
      <c r="GQA71" s="26"/>
      <c r="GQB71" s="26"/>
      <c r="GQC71" s="26"/>
      <c r="GQD71" s="26"/>
      <c r="GQE71" s="26"/>
      <c r="GQF71" s="26"/>
      <c r="GQG71" s="26"/>
      <c r="GQH71" s="26"/>
      <c r="GQI71" s="26"/>
      <c r="GQJ71" s="26"/>
      <c r="GQK71" s="26"/>
      <c r="GQL71" s="26"/>
      <c r="GQM71" s="26"/>
      <c r="GQN71" s="26"/>
      <c r="GQO71" s="26"/>
      <c r="GQP71" s="26"/>
      <c r="GQQ71" s="26"/>
      <c r="GQR71" s="26"/>
      <c r="GQS71" s="26"/>
      <c r="GQT71" s="26"/>
      <c r="GQU71" s="26"/>
      <c r="GQV71" s="26"/>
      <c r="GQW71" s="26"/>
      <c r="GQX71" s="26"/>
      <c r="GQY71" s="26"/>
      <c r="GQZ71" s="26"/>
      <c r="GRA71" s="26"/>
      <c r="GRB71" s="26"/>
      <c r="GRC71" s="26"/>
      <c r="GRD71" s="26"/>
      <c r="GRE71" s="26"/>
      <c r="GRF71" s="26"/>
      <c r="GRG71" s="26"/>
      <c r="GRH71" s="26"/>
      <c r="GRI71" s="26"/>
      <c r="GRJ71" s="26"/>
      <c r="GRK71" s="26"/>
      <c r="GRL71" s="26"/>
      <c r="GRM71" s="26"/>
      <c r="GRN71" s="26"/>
      <c r="GRO71" s="26"/>
      <c r="GRP71" s="26"/>
      <c r="GRQ71" s="26"/>
      <c r="GRR71" s="26"/>
      <c r="GRS71" s="26"/>
      <c r="GRT71" s="26"/>
      <c r="GRU71" s="26"/>
      <c r="GRV71" s="26"/>
      <c r="GRW71" s="26"/>
      <c r="GRX71" s="26"/>
      <c r="GRY71" s="26"/>
      <c r="GRZ71" s="26"/>
      <c r="GSA71" s="26"/>
      <c r="GSB71" s="26"/>
      <c r="GSC71" s="26"/>
      <c r="GSD71" s="26"/>
      <c r="GSE71" s="26"/>
      <c r="GSF71" s="26"/>
      <c r="GSG71" s="26"/>
      <c r="GSH71" s="26"/>
      <c r="GSI71" s="26"/>
      <c r="GSJ71" s="26"/>
      <c r="GSK71" s="26"/>
      <c r="GSL71" s="26"/>
      <c r="GSM71" s="26"/>
      <c r="GSN71" s="26"/>
      <c r="GSO71" s="26"/>
      <c r="GSP71" s="26"/>
      <c r="GSQ71" s="26"/>
      <c r="GSR71" s="26"/>
      <c r="GSS71" s="26"/>
      <c r="GST71" s="26"/>
      <c r="GSU71" s="26"/>
      <c r="GSV71" s="26"/>
      <c r="GSW71" s="26"/>
      <c r="GSX71" s="26"/>
      <c r="GSY71" s="26"/>
      <c r="GSZ71" s="26"/>
      <c r="GTA71" s="26"/>
      <c r="GTB71" s="26"/>
      <c r="GTC71" s="26"/>
      <c r="GTD71" s="26"/>
      <c r="GTE71" s="26"/>
      <c r="GTF71" s="26"/>
      <c r="GTG71" s="26"/>
      <c r="GTH71" s="26"/>
      <c r="GTI71" s="26"/>
      <c r="GTJ71" s="26"/>
      <c r="GTK71" s="26"/>
      <c r="GTL71" s="26"/>
      <c r="GTM71" s="26"/>
      <c r="GTN71" s="26"/>
      <c r="GTO71" s="26"/>
      <c r="GTP71" s="26"/>
      <c r="GTQ71" s="26"/>
      <c r="GTR71" s="26"/>
      <c r="GTS71" s="26"/>
      <c r="GTT71" s="26"/>
      <c r="GTU71" s="26"/>
      <c r="GTV71" s="26"/>
      <c r="GTW71" s="26"/>
      <c r="GTX71" s="26"/>
      <c r="GTY71" s="26"/>
      <c r="GTZ71" s="26"/>
      <c r="GUA71" s="26"/>
      <c r="GUB71" s="26"/>
      <c r="GUC71" s="26"/>
      <c r="GUD71" s="26"/>
      <c r="GUE71" s="26"/>
      <c r="GUF71" s="26"/>
      <c r="GUG71" s="26"/>
      <c r="GUH71" s="26"/>
      <c r="GUI71" s="26"/>
      <c r="GUJ71" s="26"/>
      <c r="GUK71" s="26"/>
      <c r="GUL71" s="26"/>
      <c r="GUM71" s="26"/>
      <c r="GUN71" s="26"/>
      <c r="GUO71" s="26"/>
      <c r="GUP71" s="26"/>
      <c r="GUQ71" s="26"/>
      <c r="GUR71" s="26"/>
      <c r="GUS71" s="26"/>
      <c r="GUT71" s="26"/>
      <c r="GUU71" s="26"/>
      <c r="GUV71" s="26"/>
      <c r="GUW71" s="26"/>
      <c r="GUX71" s="26"/>
      <c r="GUY71" s="26"/>
      <c r="GUZ71" s="26"/>
      <c r="GVA71" s="26"/>
      <c r="GVB71" s="26"/>
      <c r="GVC71" s="26"/>
      <c r="GVD71" s="26"/>
      <c r="GVE71" s="26"/>
      <c r="GVF71" s="26"/>
      <c r="GVG71" s="26"/>
      <c r="GVH71" s="26"/>
      <c r="GVI71" s="26"/>
      <c r="GVJ71" s="26"/>
      <c r="GVK71" s="26"/>
      <c r="GVL71" s="26"/>
      <c r="GVM71" s="26"/>
      <c r="GVN71" s="26"/>
      <c r="GVO71" s="26"/>
      <c r="GVP71" s="26"/>
      <c r="GVQ71" s="26"/>
      <c r="GVR71" s="26"/>
      <c r="GVS71" s="26"/>
      <c r="GVT71" s="26"/>
      <c r="GVU71" s="26"/>
      <c r="GVV71" s="26"/>
      <c r="GVW71" s="26"/>
      <c r="GVX71" s="26"/>
      <c r="GVY71" s="26"/>
      <c r="GVZ71" s="26"/>
      <c r="GWA71" s="26"/>
      <c r="GWB71" s="26"/>
      <c r="GWC71" s="26"/>
      <c r="GWD71" s="26"/>
      <c r="GWE71" s="26"/>
      <c r="GWF71" s="26"/>
      <c r="GWG71" s="26"/>
      <c r="GWH71" s="26"/>
      <c r="GWI71" s="26"/>
      <c r="GWJ71" s="26"/>
      <c r="GWK71" s="26"/>
      <c r="GWL71" s="26"/>
      <c r="GWM71" s="26"/>
      <c r="GWN71" s="26"/>
      <c r="GWO71" s="26"/>
      <c r="GWP71" s="26"/>
      <c r="GWQ71" s="26"/>
      <c r="GWR71" s="26"/>
      <c r="GWS71" s="26"/>
      <c r="GWT71" s="26"/>
      <c r="GWU71" s="26"/>
      <c r="GWV71" s="26"/>
      <c r="GWW71" s="26"/>
      <c r="GWX71" s="26"/>
      <c r="GWY71" s="26"/>
      <c r="GWZ71" s="26"/>
      <c r="GXA71" s="26"/>
      <c r="GXB71" s="26"/>
      <c r="GXC71" s="26"/>
      <c r="GXD71" s="26"/>
      <c r="GXE71" s="26"/>
      <c r="GXF71" s="26"/>
      <c r="GXG71" s="26"/>
      <c r="GXH71" s="26"/>
      <c r="GXI71" s="26"/>
      <c r="GXJ71" s="26"/>
      <c r="GXK71" s="26"/>
      <c r="GXL71" s="26"/>
      <c r="GXM71" s="26"/>
      <c r="GXN71" s="26"/>
      <c r="GXO71" s="26"/>
      <c r="GXP71" s="26"/>
      <c r="GXQ71" s="26"/>
      <c r="GXR71" s="26"/>
      <c r="GXS71" s="26"/>
      <c r="GXT71" s="26"/>
      <c r="GXU71" s="26"/>
      <c r="GXV71" s="26"/>
      <c r="GXW71" s="26"/>
      <c r="GXX71" s="26"/>
      <c r="GXY71" s="26"/>
      <c r="GXZ71" s="26"/>
      <c r="GYA71" s="26"/>
      <c r="GYB71" s="26"/>
      <c r="GYC71" s="26"/>
      <c r="GYD71" s="26"/>
      <c r="GYE71" s="26"/>
      <c r="GYF71" s="26"/>
      <c r="GYG71" s="26"/>
      <c r="GYH71" s="26"/>
      <c r="GYI71" s="26"/>
      <c r="GYJ71" s="26"/>
      <c r="GYK71" s="26"/>
      <c r="GYL71" s="26"/>
      <c r="GYM71" s="26"/>
      <c r="GYN71" s="26"/>
      <c r="GYO71" s="26"/>
      <c r="GYP71" s="26"/>
      <c r="GYQ71" s="26"/>
      <c r="GYR71" s="26"/>
      <c r="GYS71" s="26"/>
      <c r="GYT71" s="26"/>
      <c r="GYU71" s="26"/>
      <c r="GYV71" s="26"/>
      <c r="GYW71" s="26"/>
      <c r="GYX71" s="26"/>
      <c r="GYY71" s="26"/>
      <c r="GYZ71" s="26"/>
      <c r="GZA71" s="26"/>
      <c r="GZB71" s="26"/>
      <c r="GZC71" s="26"/>
      <c r="GZD71" s="26"/>
      <c r="GZE71" s="26"/>
      <c r="GZF71" s="26"/>
      <c r="GZG71" s="26"/>
      <c r="GZH71" s="26"/>
      <c r="GZI71" s="26"/>
      <c r="GZJ71" s="26"/>
      <c r="GZK71" s="26"/>
      <c r="GZL71" s="26"/>
      <c r="GZM71" s="26"/>
      <c r="GZN71" s="26"/>
      <c r="GZO71" s="26"/>
      <c r="GZP71" s="26"/>
      <c r="GZQ71" s="26"/>
      <c r="GZR71" s="26"/>
      <c r="GZS71" s="26"/>
      <c r="GZT71" s="26"/>
      <c r="GZU71" s="26"/>
      <c r="GZV71" s="26"/>
      <c r="GZW71" s="26"/>
      <c r="GZX71" s="26"/>
      <c r="GZY71" s="26"/>
      <c r="GZZ71" s="26"/>
      <c r="HAA71" s="26"/>
      <c r="HAB71" s="26"/>
      <c r="HAC71" s="26"/>
      <c r="HAD71" s="26"/>
      <c r="HAE71" s="26"/>
      <c r="HAF71" s="26"/>
      <c r="HAG71" s="26"/>
      <c r="HAH71" s="26"/>
      <c r="HAI71" s="26"/>
      <c r="HAJ71" s="26"/>
      <c r="HAK71" s="26"/>
      <c r="HAL71" s="26"/>
      <c r="HAM71" s="26"/>
      <c r="HAN71" s="26"/>
      <c r="HAO71" s="26"/>
      <c r="HAP71" s="26"/>
      <c r="HAQ71" s="26"/>
      <c r="HAR71" s="26"/>
      <c r="HAS71" s="26"/>
      <c r="HAT71" s="26"/>
      <c r="HAU71" s="26"/>
      <c r="HAV71" s="26"/>
      <c r="HAW71" s="26"/>
      <c r="HAX71" s="26"/>
      <c r="HAY71" s="26"/>
      <c r="HAZ71" s="26"/>
      <c r="HBA71" s="26"/>
      <c r="HBB71" s="26"/>
      <c r="HBC71" s="26"/>
      <c r="HBD71" s="26"/>
      <c r="HBE71" s="26"/>
      <c r="HBF71" s="26"/>
      <c r="HBG71" s="26"/>
      <c r="HBH71" s="26"/>
      <c r="HBI71" s="26"/>
      <c r="HBJ71" s="26"/>
      <c r="HBK71" s="26"/>
      <c r="HBL71" s="26"/>
      <c r="HBM71" s="26"/>
      <c r="HBN71" s="26"/>
      <c r="HBO71" s="26"/>
      <c r="HBP71" s="26"/>
      <c r="HBQ71" s="26"/>
      <c r="HBR71" s="26"/>
      <c r="HBS71" s="26"/>
      <c r="HBT71" s="26"/>
      <c r="HBU71" s="26"/>
      <c r="HBV71" s="26"/>
      <c r="HBW71" s="26"/>
      <c r="HBX71" s="26"/>
      <c r="HBY71" s="26"/>
      <c r="HBZ71" s="26"/>
      <c r="HCA71" s="26"/>
      <c r="HCB71" s="26"/>
      <c r="HCC71" s="26"/>
      <c r="HCD71" s="26"/>
      <c r="HCE71" s="26"/>
      <c r="HCF71" s="26"/>
      <c r="HCG71" s="26"/>
      <c r="HCH71" s="26"/>
      <c r="HCI71" s="26"/>
      <c r="HCJ71" s="26"/>
      <c r="HCK71" s="26"/>
      <c r="HCL71" s="26"/>
      <c r="HCM71" s="26"/>
      <c r="HCN71" s="26"/>
      <c r="HCO71" s="26"/>
      <c r="HCP71" s="26"/>
      <c r="HCQ71" s="26"/>
      <c r="HCR71" s="26"/>
      <c r="HCS71" s="26"/>
      <c r="HCT71" s="26"/>
      <c r="HCU71" s="26"/>
      <c r="HCV71" s="26"/>
      <c r="HCW71" s="26"/>
      <c r="HCX71" s="26"/>
      <c r="HCY71" s="26"/>
      <c r="HCZ71" s="26"/>
      <c r="HDA71" s="26"/>
      <c r="HDB71" s="26"/>
      <c r="HDC71" s="26"/>
      <c r="HDD71" s="26"/>
      <c r="HDE71" s="26"/>
      <c r="HDF71" s="26"/>
      <c r="HDG71" s="26"/>
      <c r="HDH71" s="26"/>
      <c r="HDI71" s="26"/>
      <c r="HDJ71" s="26"/>
      <c r="HDK71" s="26"/>
      <c r="HDL71" s="26"/>
      <c r="HDM71" s="26"/>
      <c r="HDN71" s="26"/>
      <c r="HDO71" s="26"/>
      <c r="HDP71" s="26"/>
      <c r="HDQ71" s="26"/>
      <c r="HDR71" s="26"/>
      <c r="HDS71" s="26"/>
      <c r="HDT71" s="26"/>
      <c r="HDU71" s="26"/>
      <c r="HDV71" s="26"/>
      <c r="HDW71" s="26"/>
      <c r="HDX71" s="26"/>
      <c r="HDY71" s="26"/>
      <c r="HDZ71" s="26"/>
      <c r="HEA71" s="26"/>
      <c r="HEB71" s="26"/>
      <c r="HEC71" s="26"/>
      <c r="HED71" s="26"/>
      <c r="HEE71" s="26"/>
      <c r="HEF71" s="26"/>
      <c r="HEG71" s="26"/>
      <c r="HEH71" s="26"/>
      <c r="HEI71" s="26"/>
      <c r="HEJ71" s="26"/>
      <c r="HEK71" s="26"/>
      <c r="HEL71" s="26"/>
      <c r="HEM71" s="26"/>
      <c r="HEN71" s="26"/>
      <c r="HEO71" s="26"/>
      <c r="HEP71" s="26"/>
      <c r="HEQ71" s="26"/>
      <c r="HER71" s="26"/>
      <c r="HES71" s="26"/>
      <c r="HET71" s="26"/>
      <c r="HEU71" s="26"/>
      <c r="HEV71" s="26"/>
      <c r="HEW71" s="26"/>
      <c r="HEX71" s="26"/>
      <c r="HEY71" s="26"/>
      <c r="HEZ71" s="26"/>
      <c r="HFA71" s="26"/>
      <c r="HFB71" s="26"/>
      <c r="HFC71" s="26"/>
      <c r="HFD71" s="26"/>
      <c r="HFE71" s="26"/>
      <c r="HFF71" s="26"/>
      <c r="HFG71" s="26"/>
      <c r="HFH71" s="26"/>
      <c r="HFI71" s="26"/>
      <c r="HFJ71" s="26"/>
      <c r="HFK71" s="26"/>
      <c r="HFL71" s="26"/>
      <c r="HFM71" s="26"/>
      <c r="HFN71" s="26"/>
      <c r="HFO71" s="26"/>
      <c r="HFP71" s="26"/>
      <c r="HFQ71" s="26"/>
      <c r="HFR71" s="26"/>
      <c r="HFS71" s="26"/>
      <c r="HFT71" s="26"/>
      <c r="HFU71" s="26"/>
      <c r="HFV71" s="26"/>
      <c r="HFW71" s="26"/>
      <c r="HFX71" s="26"/>
      <c r="HFY71" s="26"/>
      <c r="HFZ71" s="26"/>
      <c r="HGA71" s="26"/>
      <c r="HGB71" s="26"/>
      <c r="HGC71" s="26"/>
      <c r="HGD71" s="26"/>
      <c r="HGE71" s="26"/>
      <c r="HGF71" s="26"/>
      <c r="HGG71" s="26"/>
      <c r="HGH71" s="26"/>
      <c r="HGI71" s="26"/>
      <c r="HGJ71" s="26"/>
      <c r="HGK71" s="26"/>
      <c r="HGL71" s="26"/>
      <c r="HGM71" s="26"/>
      <c r="HGN71" s="26"/>
      <c r="HGO71" s="26"/>
      <c r="HGP71" s="26"/>
      <c r="HGQ71" s="26"/>
      <c r="HGR71" s="26"/>
      <c r="HGS71" s="26"/>
      <c r="HGT71" s="26"/>
      <c r="HGU71" s="26"/>
      <c r="HGV71" s="26"/>
      <c r="HGW71" s="26"/>
      <c r="HGX71" s="26"/>
      <c r="HGY71" s="26"/>
      <c r="HGZ71" s="26"/>
      <c r="HHA71" s="26"/>
      <c r="HHB71" s="26"/>
      <c r="HHC71" s="26"/>
      <c r="HHD71" s="26"/>
      <c r="HHE71" s="26"/>
      <c r="HHF71" s="26"/>
      <c r="HHG71" s="26"/>
      <c r="HHH71" s="26"/>
      <c r="HHI71" s="26"/>
      <c r="HHJ71" s="26"/>
      <c r="HHK71" s="26"/>
      <c r="HHL71" s="26"/>
      <c r="HHM71" s="26"/>
      <c r="HHN71" s="26"/>
      <c r="HHO71" s="26"/>
      <c r="HHP71" s="26"/>
      <c r="HHQ71" s="26"/>
      <c r="HHR71" s="26"/>
      <c r="HHS71" s="26"/>
      <c r="HHT71" s="26"/>
      <c r="HHU71" s="26"/>
      <c r="HHV71" s="26"/>
      <c r="HHW71" s="26"/>
      <c r="HHX71" s="26"/>
      <c r="HHY71" s="26"/>
      <c r="HHZ71" s="26"/>
      <c r="HIA71" s="26"/>
      <c r="HIB71" s="26"/>
      <c r="HIC71" s="26"/>
      <c r="HID71" s="26"/>
      <c r="HIE71" s="26"/>
      <c r="HIF71" s="26"/>
      <c r="HIG71" s="26"/>
      <c r="HIH71" s="26"/>
      <c r="HII71" s="26"/>
      <c r="HIJ71" s="26"/>
      <c r="HIK71" s="26"/>
      <c r="HIL71" s="26"/>
      <c r="HIM71" s="26"/>
      <c r="HIN71" s="26"/>
      <c r="HIO71" s="26"/>
      <c r="HIP71" s="26"/>
      <c r="HIQ71" s="26"/>
      <c r="HIR71" s="26"/>
      <c r="HIS71" s="26"/>
      <c r="HIT71" s="26"/>
      <c r="HIU71" s="26"/>
      <c r="HIV71" s="26"/>
      <c r="HIW71" s="26"/>
      <c r="HIX71" s="26"/>
      <c r="HIY71" s="26"/>
      <c r="HIZ71" s="26"/>
      <c r="HJA71" s="26"/>
      <c r="HJB71" s="26"/>
      <c r="HJC71" s="26"/>
      <c r="HJD71" s="26"/>
      <c r="HJE71" s="26"/>
      <c r="HJF71" s="26"/>
      <c r="HJG71" s="26"/>
      <c r="HJH71" s="26"/>
      <c r="HJI71" s="26"/>
      <c r="HJJ71" s="26"/>
      <c r="HJK71" s="26"/>
      <c r="HJL71" s="26"/>
      <c r="HJM71" s="26"/>
      <c r="HJN71" s="26"/>
      <c r="HJO71" s="26"/>
      <c r="HJP71" s="26"/>
      <c r="HJQ71" s="26"/>
      <c r="HJR71" s="26"/>
      <c r="HJS71" s="26"/>
      <c r="HJT71" s="26"/>
      <c r="HJU71" s="26"/>
      <c r="HJV71" s="26"/>
      <c r="HJW71" s="26"/>
      <c r="HJX71" s="26"/>
      <c r="HJY71" s="26"/>
      <c r="HJZ71" s="26"/>
      <c r="HKA71" s="26"/>
      <c r="HKB71" s="26"/>
      <c r="HKC71" s="26"/>
      <c r="HKD71" s="26"/>
      <c r="HKE71" s="26"/>
      <c r="HKF71" s="26"/>
      <c r="HKG71" s="26"/>
      <c r="HKH71" s="26"/>
      <c r="HKI71" s="26"/>
      <c r="HKJ71" s="26"/>
      <c r="HKK71" s="26"/>
      <c r="HKL71" s="26"/>
      <c r="HKM71" s="26"/>
      <c r="HKN71" s="26"/>
      <c r="HKO71" s="26"/>
      <c r="HKP71" s="26"/>
      <c r="HKQ71" s="26"/>
      <c r="HKR71" s="26"/>
      <c r="HKS71" s="26"/>
      <c r="HKT71" s="26"/>
      <c r="HKU71" s="26"/>
      <c r="HKV71" s="26"/>
      <c r="HKW71" s="26"/>
      <c r="HKX71" s="26"/>
      <c r="HKY71" s="26"/>
      <c r="HKZ71" s="26"/>
      <c r="HLA71" s="26"/>
      <c r="HLB71" s="26"/>
      <c r="HLC71" s="26"/>
      <c r="HLD71" s="26"/>
      <c r="HLE71" s="26"/>
      <c r="HLF71" s="26"/>
      <c r="HLG71" s="26"/>
      <c r="HLH71" s="26"/>
      <c r="HLI71" s="26"/>
      <c r="HLJ71" s="26"/>
      <c r="HLK71" s="26"/>
      <c r="HLL71" s="26"/>
      <c r="HLM71" s="26"/>
      <c r="HLN71" s="26"/>
      <c r="HLO71" s="26"/>
      <c r="HLP71" s="26"/>
      <c r="HLQ71" s="26"/>
      <c r="HLR71" s="26"/>
      <c r="HLS71" s="26"/>
      <c r="HLT71" s="26"/>
      <c r="HLU71" s="26"/>
      <c r="HLV71" s="26"/>
      <c r="HLW71" s="26"/>
      <c r="HLX71" s="26"/>
      <c r="HLY71" s="26"/>
      <c r="HLZ71" s="26"/>
      <c r="HMA71" s="26"/>
      <c r="HMB71" s="26"/>
      <c r="HMC71" s="26"/>
      <c r="HMD71" s="26"/>
      <c r="HME71" s="26"/>
      <c r="HMF71" s="26"/>
      <c r="HMG71" s="26"/>
      <c r="HMH71" s="26"/>
      <c r="HMI71" s="26"/>
      <c r="HMJ71" s="26"/>
      <c r="HMK71" s="26"/>
      <c r="HML71" s="26"/>
      <c r="HMM71" s="26"/>
      <c r="HMN71" s="26"/>
      <c r="HMO71" s="26"/>
      <c r="HMP71" s="26"/>
      <c r="HMQ71" s="26"/>
      <c r="HMR71" s="26"/>
      <c r="HMS71" s="26"/>
      <c r="HMT71" s="26"/>
      <c r="HMU71" s="26"/>
      <c r="HMV71" s="26"/>
      <c r="HMW71" s="26"/>
      <c r="HMX71" s="26"/>
      <c r="HMY71" s="26"/>
      <c r="HMZ71" s="26"/>
      <c r="HNA71" s="26"/>
      <c r="HNB71" s="26"/>
      <c r="HNC71" s="26"/>
      <c r="HND71" s="26"/>
      <c r="HNE71" s="26"/>
      <c r="HNF71" s="26"/>
      <c r="HNG71" s="26"/>
      <c r="HNH71" s="26"/>
      <c r="HNI71" s="26"/>
      <c r="HNJ71" s="26"/>
      <c r="HNK71" s="26"/>
      <c r="HNL71" s="26"/>
      <c r="HNM71" s="26"/>
      <c r="HNN71" s="26"/>
      <c r="HNO71" s="26"/>
      <c r="HNP71" s="26"/>
      <c r="HNQ71" s="26"/>
      <c r="HNR71" s="26"/>
      <c r="HNS71" s="26"/>
      <c r="HNT71" s="26"/>
      <c r="HNU71" s="26"/>
      <c r="HNV71" s="26"/>
      <c r="HNW71" s="26"/>
      <c r="HNX71" s="26"/>
      <c r="HNY71" s="26"/>
      <c r="HNZ71" s="26"/>
      <c r="HOA71" s="26"/>
      <c r="HOB71" s="26"/>
      <c r="HOC71" s="26"/>
      <c r="HOD71" s="26"/>
      <c r="HOE71" s="26"/>
      <c r="HOF71" s="26"/>
      <c r="HOG71" s="26"/>
      <c r="HOH71" s="26"/>
      <c r="HOI71" s="26"/>
      <c r="HOJ71" s="26"/>
      <c r="HOK71" s="26"/>
      <c r="HOL71" s="26"/>
      <c r="HOM71" s="26"/>
      <c r="HON71" s="26"/>
      <c r="HOO71" s="26"/>
      <c r="HOP71" s="26"/>
      <c r="HOQ71" s="26"/>
      <c r="HOR71" s="26"/>
      <c r="HOS71" s="26"/>
      <c r="HOT71" s="26"/>
      <c r="HOU71" s="26"/>
      <c r="HOV71" s="26"/>
      <c r="HOW71" s="26"/>
      <c r="HOX71" s="26"/>
      <c r="HOY71" s="26"/>
      <c r="HOZ71" s="26"/>
      <c r="HPA71" s="26"/>
      <c r="HPB71" s="26"/>
      <c r="HPC71" s="26"/>
      <c r="HPD71" s="26"/>
      <c r="HPE71" s="26"/>
      <c r="HPF71" s="26"/>
      <c r="HPG71" s="26"/>
      <c r="HPH71" s="26"/>
      <c r="HPI71" s="26"/>
      <c r="HPJ71" s="26"/>
      <c r="HPK71" s="26"/>
      <c r="HPL71" s="26"/>
      <c r="HPM71" s="26"/>
      <c r="HPN71" s="26"/>
      <c r="HPO71" s="26"/>
      <c r="HPP71" s="26"/>
      <c r="HPQ71" s="26"/>
      <c r="HPR71" s="26"/>
      <c r="HPS71" s="26"/>
      <c r="HPT71" s="26"/>
      <c r="HPU71" s="26"/>
      <c r="HPV71" s="26"/>
      <c r="HPW71" s="26"/>
      <c r="HPX71" s="26"/>
      <c r="HPY71" s="26"/>
      <c r="HPZ71" s="26"/>
      <c r="HQA71" s="26"/>
      <c r="HQB71" s="26"/>
      <c r="HQC71" s="26"/>
      <c r="HQD71" s="26"/>
      <c r="HQE71" s="26"/>
      <c r="HQF71" s="26"/>
      <c r="HQG71" s="26"/>
      <c r="HQH71" s="26"/>
      <c r="HQI71" s="26"/>
      <c r="HQJ71" s="26"/>
      <c r="HQK71" s="26"/>
      <c r="HQL71" s="26"/>
      <c r="HQM71" s="26"/>
      <c r="HQN71" s="26"/>
      <c r="HQO71" s="26"/>
      <c r="HQP71" s="26"/>
      <c r="HQQ71" s="26"/>
      <c r="HQR71" s="26"/>
      <c r="HQS71" s="26"/>
      <c r="HQT71" s="26"/>
      <c r="HQU71" s="26"/>
      <c r="HQV71" s="26"/>
      <c r="HQW71" s="26"/>
      <c r="HQX71" s="26"/>
      <c r="HQY71" s="26"/>
      <c r="HQZ71" s="26"/>
      <c r="HRA71" s="26"/>
      <c r="HRB71" s="26"/>
      <c r="HRC71" s="26"/>
      <c r="HRD71" s="26"/>
      <c r="HRE71" s="26"/>
      <c r="HRF71" s="26"/>
      <c r="HRG71" s="26"/>
      <c r="HRH71" s="26"/>
      <c r="HRI71" s="26"/>
      <c r="HRJ71" s="26"/>
      <c r="HRK71" s="26"/>
      <c r="HRL71" s="26"/>
      <c r="HRM71" s="26"/>
      <c r="HRN71" s="26"/>
      <c r="HRO71" s="26"/>
      <c r="HRP71" s="26"/>
      <c r="HRQ71" s="26"/>
      <c r="HRR71" s="26"/>
      <c r="HRS71" s="26"/>
      <c r="HRT71" s="26"/>
      <c r="HRU71" s="26"/>
      <c r="HRV71" s="26"/>
      <c r="HRW71" s="26"/>
      <c r="HRX71" s="26"/>
      <c r="HRY71" s="26"/>
      <c r="HRZ71" s="26"/>
      <c r="HSA71" s="26"/>
      <c r="HSB71" s="26"/>
      <c r="HSC71" s="26"/>
      <c r="HSD71" s="26"/>
      <c r="HSE71" s="26"/>
      <c r="HSF71" s="26"/>
      <c r="HSG71" s="26"/>
      <c r="HSH71" s="26"/>
      <c r="HSI71" s="26"/>
      <c r="HSJ71" s="26"/>
      <c r="HSK71" s="26"/>
      <c r="HSL71" s="26"/>
      <c r="HSM71" s="26"/>
      <c r="HSN71" s="26"/>
      <c r="HSO71" s="26"/>
      <c r="HSP71" s="26"/>
      <c r="HSQ71" s="26"/>
      <c r="HSR71" s="26"/>
      <c r="HSS71" s="26"/>
      <c r="HST71" s="26"/>
      <c r="HSU71" s="26"/>
      <c r="HSV71" s="26"/>
      <c r="HSW71" s="26"/>
      <c r="HSX71" s="26"/>
      <c r="HSY71" s="26"/>
      <c r="HSZ71" s="26"/>
      <c r="HTA71" s="26"/>
      <c r="HTB71" s="26"/>
      <c r="HTC71" s="26"/>
      <c r="HTD71" s="26"/>
      <c r="HTE71" s="26"/>
      <c r="HTF71" s="26"/>
      <c r="HTG71" s="26"/>
      <c r="HTH71" s="26"/>
      <c r="HTI71" s="26"/>
      <c r="HTJ71" s="26"/>
      <c r="HTK71" s="26"/>
      <c r="HTL71" s="26"/>
      <c r="HTM71" s="26"/>
      <c r="HTN71" s="26"/>
      <c r="HTO71" s="26"/>
      <c r="HTP71" s="26"/>
      <c r="HTQ71" s="26"/>
      <c r="HTR71" s="26"/>
      <c r="HTS71" s="26"/>
      <c r="HTT71" s="26"/>
      <c r="HTU71" s="26"/>
      <c r="HTV71" s="26"/>
      <c r="HTW71" s="26"/>
      <c r="HTX71" s="26"/>
      <c r="HTY71" s="26"/>
      <c r="HTZ71" s="26"/>
      <c r="HUA71" s="26"/>
      <c r="HUB71" s="26"/>
      <c r="HUC71" s="26"/>
      <c r="HUD71" s="26"/>
      <c r="HUE71" s="26"/>
      <c r="HUF71" s="26"/>
      <c r="HUG71" s="26"/>
      <c r="HUH71" s="26"/>
      <c r="HUI71" s="26"/>
      <c r="HUJ71" s="26"/>
      <c r="HUK71" s="26"/>
      <c r="HUL71" s="26"/>
      <c r="HUM71" s="26"/>
      <c r="HUN71" s="26"/>
      <c r="HUO71" s="26"/>
      <c r="HUP71" s="26"/>
      <c r="HUQ71" s="26"/>
      <c r="HUR71" s="26"/>
      <c r="HUS71" s="26"/>
      <c r="HUT71" s="26"/>
      <c r="HUU71" s="26"/>
      <c r="HUV71" s="26"/>
      <c r="HUW71" s="26"/>
      <c r="HUX71" s="26"/>
      <c r="HUY71" s="26"/>
      <c r="HUZ71" s="26"/>
      <c r="HVA71" s="26"/>
      <c r="HVB71" s="26"/>
      <c r="HVC71" s="26"/>
      <c r="HVD71" s="26"/>
      <c r="HVE71" s="26"/>
      <c r="HVF71" s="26"/>
      <c r="HVG71" s="26"/>
      <c r="HVH71" s="26"/>
      <c r="HVI71" s="26"/>
      <c r="HVJ71" s="26"/>
      <c r="HVK71" s="26"/>
      <c r="HVL71" s="26"/>
      <c r="HVM71" s="26"/>
      <c r="HVN71" s="26"/>
      <c r="HVO71" s="26"/>
      <c r="HVP71" s="26"/>
      <c r="HVQ71" s="26"/>
      <c r="HVR71" s="26"/>
      <c r="HVS71" s="26"/>
      <c r="HVT71" s="26"/>
      <c r="HVU71" s="26"/>
      <c r="HVV71" s="26"/>
      <c r="HVW71" s="26"/>
      <c r="HVX71" s="26"/>
      <c r="HVY71" s="26"/>
      <c r="HVZ71" s="26"/>
      <c r="HWA71" s="26"/>
      <c r="HWB71" s="26"/>
      <c r="HWC71" s="26"/>
      <c r="HWD71" s="26"/>
      <c r="HWE71" s="26"/>
      <c r="HWF71" s="26"/>
      <c r="HWG71" s="26"/>
      <c r="HWH71" s="26"/>
      <c r="HWI71" s="26"/>
      <c r="HWJ71" s="26"/>
      <c r="HWK71" s="26"/>
      <c r="HWL71" s="26"/>
      <c r="HWM71" s="26"/>
      <c r="HWN71" s="26"/>
      <c r="HWO71" s="26"/>
      <c r="HWP71" s="26"/>
      <c r="HWQ71" s="26"/>
      <c r="HWR71" s="26"/>
      <c r="HWS71" s="26"/>
      <c r="HWT71" s="26"/>
      <c r="HWU71" s="26"/>
      <c r="HWV71" s="26"/>
      <c r="HWW71" s="26"/>
      <c r="HWX71" s="26"/>
      <c r="HWY71" s="26"/>
      <c r="HWZ71" s="26"/>
      <c r="HXA71" s="26"/>
      <c r="HXB71" s="26"/>
      <c r="HXC71" s="26"/>
      <c r="HXD71" s="26"/>
      <c r="HXE71" s="26"/>
      <c r="HXF71" s="26"/>
      <c r="HXG71" s="26"/>
      <c r="HXH71" s="26"/>
      <c r="HXI71" s="26"/>
      <c r="HXJ71" s="26"/>
      <c r="HXK71" s="26"/>
      <c r="HXL71" s="26"/>
      <c r="HXM71" s="26"/>
      <c r="HXN71" s="26"/>
      <c r="HXO71" s="26"/>
      <c r="HXP71" s="26"/>
      <c r="HXQ71" s="26"/>
      <c r="HXR71" s="26"/>
      <c r="HXS71" s="26"/>
      <c r="HXT71" s="26"/>
      <c r="HXU71" s="26"/>
      <c r="HXV71" s="26"/>
      <c r="HXW71" s="26"/>
      <c r="HXX71" s="26"/>
      <c r="HXY71" s="26"/>
      <c r="HXZ71" s="26"/>
      <c r="HYA71" s="26"/>
      <c r="HYB71" s="26"/>
      <c r="HYC71" s="26"/>
      <c r="HYD71" s="26"/>
      <c r="HYE71" s="26"/>
      <c r="HYF71" s="26"/>
      <c r="HYG71" s="26"/>
      <c r="HYH71" s="26"/>
      <c r="HYI71" s="26"/>
      <c r="HYJ71" s="26"/>
      <c r="HYK71" s="26"/>
      <c r="HYL71" s="26"/>
      <c r="HYM71" s="26"/>
      <c r="HYN71" s="26"/>
      <c r="HYO71" s="26"/>
      <c r="HYP71" s="26"/>
      <c r="HYQ71" s="26"/>
      <c r="HYR71" s="26"/>
      <c r="HYS71" s="26"/>
      <c r="HYT71" s="26"/>
      <c r="HYU71" s="26"/>
      <c r="HYV71" s="26"/>
      <c r="HYW71" s="26"/>
      <c r="HYX71" s="26"/>
      <c r="HYY71" s="26"/>
      <c r="HYZ71" s="26"/>
      <c r="HZA71" s="26"/>
      <c r="HZB71" s="26"/>
      <c r="HZC71" s="26"/>
      <c r="HZD71" s="26"/>
      <c r="HZE71" s="26"/>
      <c r="HZF71" s="26"/>
      <c r="HZG71" s="26"/>
      <c r="HZH71" s="26"/>
      <c r="HZI71" s="26"/>
      <c r="HZJ71" s="26"/>
      <c r="HZK71" s="26"/>
      <c r="HZL71" s="26"/>
      <c r="HZM71" s="26"/>
      <c r="HZN71" s="26"/>
      <c r="HZO71" s="26"/>
      <c r="HZP71" s="26"/>
      <c r="HZQ71" s="26"/>
      <c r="HZR71" s="26"/>
      <c r="HZS71" s="26"/>
      <c r="HZT71" s="26"/>
      <c r="HZU71" s="26"/>
      <c r="HZV71" s="26"/>
      <c r="HZW71" s="26"/>
      <c r="HZX71" s="26"/>
      <c r="HZY71" s="26"/>
      <c r="HZZ71" s="26"/>
      <c r="IAA71" s="26"/>
      <c r="IAB71" s="26"/>
      <c r="IAC71" s="26"/>
      <c r="IAD71" s="26"/>
      <c r="IAE71" s="26"/>
      <c r="IAF71" s="26"/>
      <c r="IAG71" s="26"/>
      <c r="IAH71" s="26"/>
      <c r="IAI71" s="26"/>
      <c r="IAJ71" s="26"/>
      <c r="IAK71" s="26"/>
      <c r="IAL71" s="26"/>
      <c r="IAM71" s="26"/>
      <c r="IAN71" s="26"/>
      <c r="IAO71" s="26"/>
      <c r="IAP71" s="26"/>
      <c r="IAQ71" s="26"/>
      <c r="IAR71" s="26"/>
      <c r="IAS71" s="26"/>
      <c r="IAT71" s="26"/>
      <c r="IAU71" s="26"/>
      <c r="IAV71" s="26"/>
      <c r="IAW71" s="26"/>
      <c r="IAX71" s="26"/>
      <c r="IAY71" s="26"/>
      <c r="IAZ71" s="26"/>
      <c r="IBA71" s="26"/>
      <c r="IBB71" s="26"/>
      <c r="IBC71" s="26"/>
      <c r="IBD71" s="26"/>
      <c r="IBE71" s="26"/>
      <c r="IBF71" s="26"/>
      <c r="IBG71" s="26"/>
      <c r="IBH71" s="26"/>
      <c r="IBI71" s="26"/>
      <c r="IBJ71" s="26"/>
      <c r="IBK71" s="26"/>
      <c r="IBL71" s="26"/>
      <c r="IBM71" s="26"/>
      <c r="IBN71" s="26"/>
      <c r="IBO71" s="26"/>
      <c r="IBP71" s="26"/>
      <c r="IBQ71" s="26"/>
      <c r="IBR71" s="26"/>
      <c r="IBS71" s="26"/>
      <c r="IBT71" s="26"/>
      <c r="IBU71" s="26"/>
      <c r="IBV71" s="26"/>
      <c r="IBW71" s="26"/>
      <c r="IBX71" s="26"/>
      <c r="IBY71" s="26"/>
      <c r="IBZ71" s="26"/>
      <c r="ICA71" s="26"/>
      <c r="ICB71" s="26"/>
      <c r="ICC71" s="26"/>
      <c r="ICD71" s="26"/>
      <c r="ICE71" s="26"/>
      <c r="ICF71" s="26"/>
      <c r="ICG71" s="26"/>
      <c r="ICH71" s="26"/>
      <c r="ICI71" s="26"/>
      <c r="ICJ71" s="26"/>
      <c r="ICK71" s="26"/>
      <c r="ICL71" s="26"/>
      <c r="ICM71" s="26"/>
      <c r="ICN71" s="26"/>
      <c r="ICO71" s="26"/>
      <c r="ICP71" s="26"/>
      <c r="ICQ71" s="26"/>
      <c r="ICR71" s="26"/>
      <c r="ICS71" s="26"/>
      <c r="ICT71" s="26"/>
      <c r="ICU71" s="26"/>
      <c r="ICV71" s="26"/>
      <c r="ICW71" s="26"/>
      <c r="ICX71" s="26"/>
      <c r="ICY71" s="26"/>
      <c r="ICZ71" s="26"/>
      <c r="IDA71" s="26"/>
      <c r="IDB71" s="26"/>
      <c r="IDC71" s="26"/>
      <c r="IDD71" s="26"/>
      <c r="IDE71" s="26"/>
      <c r="IDF71" s="26"/>
      <c r="IDG71" s="26"/>
      <c r="IDH71" s="26"/>
      <c r="IDI71" s="26"/>
      <c r="IDJ71" s="26"/>
      <c r="IDK71" s="26"/>
      <c r="IDL71" s="26"/>
      <c r="IDM71" s="26"/>
      <c r="IDN71" s="26"/>
      <c r="IDO71" s="26"/>
      <c r="IDP71" s="26"/>
      <c r="IDQ71" s="26"/>
      <c r="IDR71" s="26"/>
      <c r="IDS71" s="26"/>
      <c r="IDT71" s="26"/>
      <c r="IDU71" s="26"/>
      <c r="IDV71" s="26"/>
      <c r="IDW71" s="26"/>
      <c r="IDX71" s="26"/>
      <c r="IDY71" s="26"/>
      <c r="IDZ71" s="26"/>
      <c r="IEA71" s="26"/>
      <c r="IEB71" s="26"/>
      <c r="IEC71" s="26"/>
      <c r="IED71" s="26"/>
      <c r="IEE71" s="26"/>
      <c r="IEF71" s="26"/>
      <c r="IEG71" s="26"/>
      <c r="IEH71" s="26"/>
      <c r="IEI71" s="26"/>
      <c r="IEJ71" s="26"/>
      <c r="IEK71" s="26"/>
      <c r="IEL71" s="26"/>
      <c r="IEM71" s="26"/>
      <c r="IEN71" s="26"/>
      <c r="IEO71" s="26"/>
      <c r="IEP71" s="26"/>
      <c r="IEQ71" s="26"/>
      <c r="IER71" s="26"/>
      <c r="IES71" s="26"/>
      <c r="IET71" s="26"/>
      <c r="IEU71" s="26"/>
      <c r="IEV71" s="26"/>
      <c r="IEW71" s="26"/>
      <c r="IEX71" s="26"/>
      <c r="IEY71" s="26"/>
      <c r="IEZ71" s="26"/>
      <c r="IFA71" s="26"/>
      <c r="IFB71" s="26"/>
      <c r="IFC71" s="26"/>
      <c r="IFD71" s="26"/>
      <c r="IFE71" s="26"/>
      <c r="IFF71" s="26"/>
      <c r="IFG71" s="26"/>
      <c r="IFH71" s="26"/>
      <c r="IFI71" s="26"/>
      <c r="IFJ71" s="26"/>
      <c r="IFK71" s="26"/>
      <c r="IFL71" s="26"/>
      <c r="IFM71" s="26"/>
      <c r="IFN71" s="26"/>
      <c r="IFO71" s="26"/>
      <c r="IFP71" s="26"/>
      <c r="IFQ71" s="26"/>
      <c r="IFR71" s="26"/>
      <c r="IFS71" s="26"/>
      <c r="IFT71" s="26"/>
      <c r="IFU71" s="26"/>
      <c r="IFV71" s="26"/>
      <c r="IFW71" s="26"/>
      <c r="IFX71" s="26"/>
      <c r="IFY71" s="26"/>
      <c r="IFZ71" s="26"/>
      <c r="IGA71" s="26"/>
      <c r="IGB71" s="26"/>
      <c r="IGC71" s="26"/>
      <c r="IGD71" s="26"/>
      <c r="IGE71" s="26"/>
      <c r="IGF71" s="26"/>
      <c r="IGG71" s="26"/>
      <c r="IGH71" s="26"/>
      <c r="IGI71" s="26"/>
      <c r="IGJ71" s="26"/>
      <c r="IGK71" s="26"/>
      <c r="IGL71" s="26"/>
      <c r="IGM71" s="26"/>
      <c r="IGN71" s="26"/>
      <c r="IGO71" s="26"/>
      <c r="IGP71" s="26"/>
      <c r="IGQ71" s="26"/>
      <c r="IGR71" s="26"/>
      <c r="IGS71" s="26"/>
      <c r="IGT71" s="26"/>
      <c r="IGU71" s="26"/>
      <c r="IGV71" s="26"/>
      <c r="IGW71" s="26"/>
      <c r="IGX71" s="26"/>
      <c r="IGY71" s="26"/>
      <c r="IGZ71" s="26"/>
      <c r="IHA71" s="26"/>
      <c r="IHB71" s="26"/>
      <c r="IHC71" s="26"/>
      <c r="IHD71" s="26"/>
      <c r="IHE71" s="26"/>
      <c r="IHF71" s="26"/>
      <c r="IHG71" s="26"/>
      <c r="IHH71" s="26"/>
      <c r="IHI71" s="26"/>
      <c r="IHJ71" s="26"/>
      <c r="IHK71" s="26"/>
      <c r="IHL71" s="26"/>
      <c r="IHM71" s="26"/>
      <c r="IHN71" s="26"/>
      <c r="IHO71" s="26"/>
      <c r="IHP71" s="26"/>
      <c r="IHQ71" s="26"/>
      <c r="IHR71" s="26"/>
      <c r="IHS71" s="26"/>
      <c r="IHT71" s="26"/>
      <c r="IHU71" s="26"/>
      <c r="IHV71" s="26"/>
      <c r="IHW71" s="26"/>
      <c r="IHX71" s="26"/>
      <c r="IHY71" s="26"/>
      <c r="IHZ71" s="26"/>
      <c r="IIA71" s="26"/>
      <c r="IIB71" s="26"/>
      <c r="IIC71" s="26"/>
      <c r="IID71" s="26"/>
      <c r="IIE71" s="26"/>
      <c r="IIF71" s="26"/>
      <c r="IIG71" s="26"/>
      <c r="IIH71" s="26"/>
      <c r="III71" s="26"/>
      <c r="IIJ71" s="26"/>
      <c r="IIK71" s="26"/>
      <c r="IIL71" s="26"/>
      <c r="IIM71" s="26"/>
      <c r="IIN71" s="26"/>
      <c r="IIO71" s="26"/>
      <c r="IIP71" s="26"/>
      <c r="IIQ71" s="26"/>
      <c r="IIR71" s="26"/>
      <c r="IIS71" s="26"/>
      <c r="IIT71" s="26"/>
      <c r="IIU71" s="26"/>
      <c r="IIV71" s="26"/>
      <c r="IIW71" s="26"/>
      <c r="IIX71" s="26"/>
      <c r="IIY71" s="26"/>
      <c r="IIZ71" s="26"/>
      <c r="IJA71" s="26"/>
      <c r="IJB71" s="26"/>
      <c r="IJC71" s="26"/>
      <c r="IJD71" s="26"/>
      <c r="IJE71" s="26"/>
      <c r="IJF71" s="26"/>
      <c r="IJG71" s="26"/>
      <c r="IJH71" s="26"/>
      <c r="IJI71" s="26"/>
      <c r="IJJ71" s="26"/>
      <c r="IJK71" s="26"/>
      <c r="IJL71" s="26"/>
      <c r="IJM71" s="26"/>
      <c r="IJN71" s="26"/>
      <c r="IJO71" s="26"/>
      <c r="IJP71" s="26"/>
      <c r="IJQ71" s="26"/>
      <c r="IJR71" s="26"/>
      <c r="IJS71" s="26"/>
      <c r="IJT71" s="26"/>
      <c r="IJU71" s="26"/>
      <c r="IJV71" s="26"/>
      <c r="IJW71" s="26"/>
      <c r="IJX71" s="26"/>
      <c r="IJY71" s="26"/>
      <c r="IJZ71" s="26"/>
      <c r="IKA71" s="26"/>
      <c r="IKB71" s="26"/>
      <c r="IKC71" s="26"/>
      <c r="IKD71" s="26"/>
      <c r="IKE71" s="26"/>
      <c r="IKF71" s="26"/>
      <c r="IKG71" s="26"/>
      <c r="IKH71" s="26"/>
      <c r="IKI71" s="26"/>
      <c r="IKJ71" s="26"/>
      <c r="IKK71" s="26"/>
      <c r="IKL71" s="26"/>
      <c r="IKM71" s="26"/>
      <c r="IKN71" s="26"/>
      <c r="IKO71" s="26"/>
      <c r="IKP71" s="26"/>
      <c r="IKQ71" s="26"/>
      <c r="IKR71" s="26"/>
      <c r="IKS71" s="26"/>
      <c r="IKT71" s="26"/>
      <c r="IKU71" s="26"/>
      <c r="IKV71" s="26"/>
      <c r="IKW71" s="26"/>
      <c r="IKX71" s="26"/>
      <c r="IKY71" s="26"/>
      <c r="IKZ71" s="26"/>
      <c r="ILA71" s="26"/>
      <c r="ILB71" s="26"/>
      <c r="ILC71" s="26"/>
      <c r="ILD71" s="26"/>
      <c r="ILE71" s="26"/>
      <c r="ILF71" s="26"/>
      <c r="ILG71" s="26"/>
      <c r="ILH71" s="26"/>
      <c r="ILI71" s="26"/>
      <c r="ILJ71" s="26"/>
      <c r="ILK71" s="26"/>
      <c r="ILL71" s="26"/>
      <c r="ILM71" s="26"/>
      <c r="ILN71" s="26"/>
      <c r="ILO71" s="26"/>
      <c r="ILP71" s="26"/>
      <c r="ILQ71" s="26"/>
      <c r="ILR71" s="26"/>
      <c r="ILS71" s="26"/>
      <c r="ILT71" s="26"/>
      <c r="ILU71" s="26"/>
      <c r="ILV71" s="26"/>
      <c r="ILW71" s="26"/>
      <c r="ILX71" s="26"/>
      <c r="ILY71" s="26"/>
      <c r="ILZ71" s="26"/>
      <c r="IMA71" s="26"/>
      <c r="IMB71" s="26"/>
      <c r="IMC71" s="26"/>
      <c r="IMD71" s="26"/>
      <c r="IME71" s="26"/>
      <c r="IMF71" s="26"/>
      <c r="IMG71" s="26"/>
      <c r="IMH71" s="26"/>
      <c r="IMI71" s="26"/>
      <c r="IMJ71" s="26"/>
      <c r="IMK71" s="26"/>
      <c r="IML71" s="26"/>
      <c r="IMM71" s="26"/>
      <c r="IMN71" s="26"/>
      <c r="IMO71" s="26"/>
      <c r="IMP71" s="26"/>
      <c r="IMQ71" s="26"/>
      <c r="IMR71" s="26"/>
      <c r="IMS71" s="26"/>
      <c r="IMT71" s="26"/>
      <c r="IMU71" s="26"/>
      <c r="IMV71" s="26"/>
      <c r="IMW71" s="26"/>
      <c r="IMX71" s="26"/>
      <c r="IMY71" s="26"/>
      <c r="IMZ71" s="26"/>
      <c r="INA71" s="26"/>
      <c r="INB71" s="26"/>
      <c r="INC71" s="26"/>
      <c r="IND71" s="26"/>
      <c r="INE71" s="26"/>
      <c r="INF71" s="26"/>
      <c r="ING71" s="26"/>
      <c r="INH71" s="26"/>
      <c r="INI71" s="26"/>
      <c r="INJ71" s="26"/>
      <c r="INK71" s="26"/>
      <c r="INL71" s="26"/>
      <c r="INM71" s="26"/>
      <c r="INN71" s="26"/>
      <c r="INO71" s="26"/>
      <c r="INP71" s="26"/>
      <c r="INQ71" s="26"/>
      <c r="INR71" s="26"/>
      <c r="INS71" s="26"/>
      <c r="INT71" s="26"/>
      <c r="INU71" s="26"/>
      <c r="INV71" s="26"/>
      <c r="INW71" s="26"/>
      <c r="INX71" s="26"/>
      <c r="INY71" s="26"/>
      <c r="INZ71" s="26"/>
      <c r="IOA71" s="26"/>
      <c r="IOB71" s="26"/>
      <c r="IOC71" s="26"/>
      <c r="IOD71" s="26"/>
      <c r="IOE71" s="26"/>
      <c r="IOF71" s="26"/>
      <c r="IOG71" s="26"/>
      <c r="IOH71" s="26"/>
      <c r="IOI71" s="26"/>
      <c r="IOJ71" s="26"/>
      <c r="IOK71" s="26"/>
      <c r="IOL71" s="26"/>
      <c r="IOM71" s="26"/>
      <c r="ION71" s="26"/>
      <c r="IOO71" s="26"/>
      <c r="IOP71" s="26"/>
      <c r="IOQ71" s="26"/>
      <c r="IOR71" s="26"/>
      <c r="IOS71" s="26"/>
      <c r="IOT71" s="26"/>
      <c r="IOU71" s="26"/>
      <c r="IOV71" s="26"/>
      <c r="IOW71" s="26"/>
      <c r="IOX71" s="26"/>
      <c r="IOY71" s="26"/>
      <c r="IOZ71" s="26"/>
      <c r="IPA71" s="26"/>
      <c r="IPB71" s="26"/>
      <c r="IPC71" s="26"/>
      <c r="IPD71" s="26"/>
      <c r="IPE71" s="26"/>
      <c r="IPF71" s="26"/>
      <c r="IPG71" s="26"/>
      <c r="IPH71" s="26"/>
      <c r="IPI71" s="26"/>
      <c r="IPJ71" s="26"/>
      <c r="IPK71" s="26"/>
      <c r="IPL71" s="26"/>
      <c r="IPM71" s="26"/>
      <c r="IPN71" s="26"/>
      <c r="IPO71" s="26"/>
      <c r="IPP71" s="26"/>
      <c r="IPQ71" s="26"/>
      <c r="IPR71" s="26"/>
      <c r="IPS71" s="26"/>
      <c r="IPT71" s="26"/>
      <c r="IPU71" s="26"/>
      <c r="IPV71" s="26"/>
      <c r="IPW71" s="26"/>
      <c r="IPX71" s="26"/>
      <c r="IPY71" s="26"/>
      <c r="IPZ71" s="26"/>
      <c r="IQA71" s="26"/>
      <c r="IQB71" s="26"/>
      <c r="IQC71" s="26"/>
      <c r="IQD71" s="26"/>
      <c r="IQE71" s="26"/>
      <c r="IQF71" s="26"/>
      <c r="IQG71" s="26"/>
      <c r="IQH71" s="26"/>
      <c r="IQI71" s="26"/>
      <c r="IQJ71" s="26"/>
      <c r="IQK71" s="26"/>
      <c r="IQL71" s="26"/>
      <c r="IQM71" s="26"/>
      <c r="IQN71" s="26"/>
      <c r="IQO71" s="26"/>
      <c r="IQP71" s="26"/>
      <c r="IQQ71" s="26"/>
      <c r="IQR71" s="26"/>
      <c r="IQS71" s="26"/>
      <c r="IQT71" s="26"/>
      <c r="IQU71" s="26"/>
      <c r="IQV71" s="26"/>
      <c r="IQW71" s="26"/>
      <c r="IQX71" s="26"/>
      <c r="IQY71" s="26"/>
      <c r="IQZ71" s="26"/>
      <c r="IRA71" s="26"/>
      <c r="IRB71" s="26"/>
      <c r="IRC71" s="26"/>
      <c r="IRD71" s="26"/>
      <c r="IRE71" s="26"/>
      <c r="IRF71" s="26"/>
      <c r="IRG71" s="26"/>
      <c r="IRH71" s="26"/>
      <c r="IRI71" s="26"/>
      <c r="IRJ71" s="26"/>
      <c r="IRK71" s="26"/>
      <c r="IRL71" s="26"/>
      <c r="IRM71" s="26"/>
      <c r="IRN71" s="26"/>
      <c r="IRO71" s="26"/>
      <c r="IRP71" s="26"/>
      <c r="IRQ71" s="26"/>
      <c r="IRR71" s="26"/>
      <c r="IRS71" s="26"/>
      <c r="IRT71" s="26"/>
      <c r="IRU71" s="26"/>
      <c r="IRV71" s="26"/>
      <c r="IRW71" s="26"/>
      <c r="IRX71" s="26"/>
      <c r="IRY71" s="26"/>
      <c r="IRZ71" s="26"/>
      <c r="ISA71" s="26"/>
      <c r="ISB71" s="26"/>
      <c r="ISC71" s="26"/>
      <c r="ISD71" s="26"/>
      <c r="ISE71" s="26"/>
      <c r="ISF71" s="26"/>
      <c r="ISG71" s="26"/>
      <c r="ISH71" s="26"/>
      <c r="ISI71" s="26"/>
      <c r="ISJ71" s="26"/>
      <c r="ISK71" s="26"/>
      <c r="ISL71" s="26"/>
      <c r="ISM71" s="26"/>
      <c r="ISN71" s="26"/>
      <c r="ISO71" s="26"/>
      <c r="ISP71" s="26"/>
      <c r="ISQ71" s="26"/>
      <c r="ISR71" s="26"/>
      <c r="ISS71" s="26"/>
      <c r="IST71" s="26"/>
      <c r="ISU71" s="26"/>
      <c r="ISV71" s="26"/>
      <c r="ISW71" s="26"/>
      <c r="ISX71" s="26"/>
      <c r="ISY71" s="26"/>
      <c r="ISZ71" s="26"/>
      <c r="ITA71" s="26"/>
      <c r="ITB71" s="26"/>
      <c r="ITC71" s="26"/>
      <c r="ITD71" s="26"/>
      <c r="ITE71" s="26"/>
      <c r="ITF71" s="26"/>
      <c r="ITG71" s="26"/>
      <c r="ITH71" s="26"/>
      <c r="ITI71" s="26"/>
      <c r="ITJ71" s="26"/>
      <c r="ITK71" s="26"/>
      <c r="ITL71" s="26"/>
      <c r="ITM71" s="26"/>
      <c r="ITN71" s="26"/>
      <c r="ITO71" s="26"/>
      <c r="ITP71" s="26"/>
      <c r="ITQ71" s="26"/>
      <c r="ITR71" s="26"/>
      <c r="ITS71" s="26"/>
      <c r="ITT71" s="26"/>
      <c r="ITU71" s="26"/>
      <c r="ITV71" s="26"/>
      <c r="ITW71" s="26"/>
      <c r="ITX71" s="26"/>
      <c r="ITY71" s="26"/>
      <c r="ITZ71" s="26"/>
      <c r="IUA71" s="26"/>
      <c r="IUB71" s="26"/>
      <c r="IUC71" s="26"/>
      <c r="IUD71" s="26"/>
      <c r="IUE71" s="26"/>
      <c r="IUF71" s="26"/>
      <c r="IUG71" s="26"/>
      <c r="IUH71" s="26"/>
      <c r="IUI71" s="26"/>
      <c r="IUJ71" s="26"/>
      <c r="IUK71" s="26"/>
      <c r="IUL71" s="26"/>
      <c r="IUM71" s="26"/>
      <c r="IUN71" s="26"/>
      <c r="IUO71" s="26"/>
      <c r="IUP71" s="26"/>
      <c r="IUQ71" s="26"/>
      <c r="IUR71" s="26"/>
      <c r="IUS71" s="26"/>
      <c r="IUT71" s="26"/>
      <c r="IUU71" s="26"/>
      <c r="IUV71" s="26"/>
      <c r="IUW71" s="26"/>
      <c r="IUX71" s="26"/>
      <c r="IUY71" s="26"/>
      <c r="IUZ71" s="26"/>
      <c r="IVA71" s="26"/>
      <c r="IVB71" s="26"/>
      <c r="IVC71" s="26"/>
      <c r="IVD71" s="26"/>
      <c r="IVE71" s="26"/>
      <c r="IVF71" s="26"/>
      <c r="IVG71" s="26"/>
      <c r="IVH71" s="26"/>
      <c r="IVI71" s="26"/>
      <c r="IVJ71" s="26"/>
      <c r="IVK71" s="26"/>
      <c r="IVL71" s="26"/>
      <c r="IVM71" s="26"/>
      <c r="IVN71" s="26"/>
      <c r="IVO71" s="26"/>
      <c r="IVP71" s="26"/>
      <c r="IVQ71" s="26"/>
      <c r="IVR71" s="26"/>
      <c r="IVS71" s="26"/>
      <c r="IVT71" s="26"/>
      <c r="IVU71" s="26"/>
      <c r="IVV71" s="26"/>
      <c r="IVW71" s="26"/>
      <c r="IVX71" s="26"/>
      <c r="IVY71" s="26"/>
      <c r="IVZ71" s="26"/>
      <c r="IWA71" s="26"/>
      <c r="IWB71" s="26"/>
      <c r="IWC71" s="26"/>
      <c r="IWD71" s="26"/>
      <c r="IWE71" s="26"/>
      <c r="IWF71" s="26"/>
      <c r="IWG71" s="26"/>
      <c r="IWH71" s="26"/>
      <c r="IWI71" s="26"/>
      <c r="IWJ71" s="26"/>
      <c r="IWK71" s="26"/>
      <c r="IWL71" s="26"/>
      <c r="IWM71" s="26"/>
      <c r="IWN71" s="26"/>
      <c r="IWO71" s="26"/>
      <c r="IWP71" s="26"/>
      <c r="IWQ71" s="26"/>
      <c r="IWR71" s="26"/>
      <c r="IWS71" s="26"/>
      <c r="IWT71" s="26"/>
      <c r="IWU71" s="26"/>
      <c r="IWV71" s="26"/>
      <c r="IWW71" s="26"/>
      <c r="IWX71" s="26"/>
      <c r="IWY71" s="26"/>
      <c r="IWZ71" s="26"/>
      <c r="IXA71" s="26"/>
      <c r="IXB71" s="26"/>
      <c r="IXC71" s="26"/>
      <c r="IXD71" s="26"/>
      <c r="IXE71" s="26"/>
      <c r="IXF71" s="26"/>
      <c r="IXG71" s="26"/>
      <c r="IXH71" s="26"/>
      <c r="IXI71" s="26"/>
      <c r="IXJ71" s="26"/>
      <c r="IXK71" s="26"/>
      <c r="IXL71" s="26"/>
      <c r="IXM71" s="26"/>
      <c r="IXN71" s="26"/>
      <c r="IXO71" s="26"/>
      <c r="IXP71" s="26"/>
      <c r="IXQ71" s="26"/>
      <c r="IXR71" s="26"/>
      <c r="IXS71" s="26"/>
      <c r="IXT71" s="26"/>
      <c r="IXU71" s="26"/>
      <c r="IXV71" s="26"/>
      <c r="IXW71" s="26"/>
      <c r="IXX71" s="26"/>
      <c r="IXY71" s="26"/>
      <c r="IXZ71" s="26"/>
      <c r="IYA71" s="26"/>
      <c r="IYB71" s="26"/>
      <c r="IYC71" s="26"/>
      <c r="IYD71" s="26"/>
      <c r="IYE71" s="26"/>
      <c r="IYF71" s="26"/>
      <c r="IYG71" s="26"/>
      <c r="IYH71" s="26"/>
      <c r="IYI71" s="26"/>
      <c r="IYJ71" s="26"/>
      <c r="IYK71" s="26"/>
      <c r="IYL71" s="26"/>
      <c r="IYM71" s="26"/>
      <c r="IYN71" s="26"/>
      <c r="IYO71" s="26"/>
      <c r="IYP71" s="26"/>
      <c r="IYQ71" s="26"/>
      <c r="IYR71" s="26"/>
      <c r="IYS71" s="26"/>
      <c r="IYT71" s="26"/>
      <c r="IYU71" s="26"/>
      <c r="IYV71" s="26"/>
      <c r="IYW71" s="26"/>
      <c r="IYX71" s="26"/>
      <c r="IYY71" s="26"/>
      <c r="IYZ71" s="26"/>
      <c r="IZA71" s="26"/>
      <c r="IZB71" s="26"/>
      <c r="IZC71" s="26"/>
      <c r="IZD71" s="26"/>
      <c r="IZE71" s="26"/>
      <c r="IZF71" s="26"/>
      <c r="IZG71" s="26"/>
      <c r="IZH71" s="26"/>
      <c r="IZI71" s="26"/>
      <c r="IZJ71" s="26"/>
      <c r="IZK71" s="26"/>
      <c r="IZL71" s="26"/>
      <c r="IZM71" s="26"/>
      <c r="IZN71" s="26"/>
      <c r="IZO71" s="26"/>
      <c r="IZP71" s="26"/>
      <c r="IZQ71" s="26"/>
      <c r="IZR71" s="26"/>
      <c r="IZS71" s="26"/>
      <c r="IZT71" s="26"/>
      <c r="IZU71" s="26"/>
      <c r="IZV71" s="26"/>
      <c r="IZW71" s="26"/>
      <c r="IZX71" s="26"/>
      <c r="IZY71" s="26"/>
      <c r="IZZ71" s="26"/>
      <c r="JAA71" s="26"/>
      <c r="JAB71" s="26"/>
      <c r="JAC71" s="26"/>
      <c r="JAD71" s="26"/>
      <c r="JAE71" s="26"/>
      <c r="JAF71" s="26"/>
      <c r="JAG71" s="26"/>
      <c r="JAH71" s="26"/>
      <c r="JAI71" s="26"/>
      <c r="JAJ71" s="26"/>
      <c r="JAK71" s="26"/>
      <c r="JAL71" s="26"/>
      <c r="JAM71" s="26"/>
      <c r="JAN71" s="26"/>
      <c r="JAO71" s="26"/>
      <c r="JAP71" s="26"/>
      <c r="JAQ71" s="26"/>
      <c r="JAR71" s="26"/>
      <c r="JAS71" s="26"/>
      <c r="JAT71" s="26"/>
      <c r="JAU71" s="26"/>
      <c r="JAV71" s="26"/>
      <c r="JAW71" s="26"/>
      <c r="JAX71" s="26"/>
      <c r="JAY71" s="26"/>
      <c r="JAZ71" s="26"/>
      <c r="JBA71" s="26"/>
      <c r="JBB71" s="26"/>
      <c r="JBC71" s="26"/>
      <c r="JBD71" s="26"/>
      <c r="JBE71" s="26"/>
      <c r="JBF71" s="26"/>
      <c r="JBG71" s="26"/>
      <c r="JBH71" s="26"/>
      <c r="JBI71" s="26"/>
      <c r="JBJ71" s="26"/>
      <c r="JBK71" s="26"/>
      <c r="JBL71" s="26"/>
      <c r="JBM71" s="26"/>
      <c r="JBN71" s="26"/>
      <c r="JBO71" s="26"/>
      <c r="JBP71" s="26"/>
      <c r="JBQ71" s="26"/>
      <c r="JBR71" s="26"/>
      <c r="JBS71" s="26"/>
      <c r="JBT71" s="26"/>
      <c r="JBU71" s="26"/>
      <c r="JBV71" s="26"/>
      <c r="JBW71" s="26"/>
      <c r="JBX71" s="26"/>
      <c r="JBY71" s="26"/>
      <c r="JBZ71" s="26"/>
      <c r="JCA71" s="26"/>
      <c r="JCB71" s="26"/>
      <c r="JCC71" s="26"/>
      <c r="JCD71" s="26"/>
      <c r="JCE71" s="26"/>
      <c r="JCF71" s="26"/>
      <c r="JCG71" s="26"/>
      <c r="JCH71" s="26"/>
      <c r="JCI71" s="26"/>
      <c r="JCJ71" s="26"/>
      <c r="JCK71" s="26"/>
      <c r="JCL71" s="26"/>
      <c r="JCM71" s="26"/>
      <c r="JCN71" s="26"/>
      <c r="JCO71" s="26"/>
      <c r="JCP71" s="26"/>
      <c r="JCQ71" s="26"/>
      <c r="JCR71" s="26"/>
      <c r="JCS71" s="26"/>
      <c r="JCT71" s="26"/>
      <c r="JCU71" s="26"/>
      <c r="JCV71" s="26"/>
      <c r="JCW71" s="26"/>
      <c r="JCX71" s="26"/>
      <c r="JCY71" s="26"/>
      <c r="JCZ71" s="26"/>
      <c r="JDA71" s="26"/>
      <c r="JDB71" s="26"/>
      <c r="JDC71" s="26"/>
      <c r="JDD71" s="26"/>
      <c r="JDE71" s="26"/>
      <c r="JDF71" s="26"/>
      <c r="JDG71" s="26"/>
      <c r="JDH71" s="26"/>
      <c r="JDI71" s="26"/>
      <c r="JDJ71" s="26"/>
      <c r="JDK71" s="26"/>
      <c r="JDL71" s="26"/>
      <c r="JDM71" s="26"/>
      <c r="JDN71" s="26"/>
      <c r="JDO71" s="26"/>
      <c r="JDP71" s="26"/>
      <c r="JDQ71" s="26"/>
      <c r="JDR71" s="26"/>
      <c r="JDS71" s="26"/>
      <c r="JDT71" s="26"/>
      <c r="JDU71" s="26"/>
      <c r="JDV71" s="26"/>
      <c r="JDW71" s="26"/>
      <c r="JDX71" s="26"/>
      <c r="JDY71" s="26"/>
      <c r="JDZ71" s="26"/>
      <c r="JEA71" s="26"/>
      <c r="JEB71" s="26"/>
      <c r="JEC71" s="26"/>
      <c r="JED71" s="26"/>
      <c r="JEE71" s="26"/>
      <c r="JEF71" s="26"/>
      <c r="JEG71" s="26"/>
      <c r="JEH71" s="26"/>
      <c r="JEI71" s="26"/>
      <c r="JEJ71" s="26"/>
      <c r="JEK71" s="26"/>
      <c r="JEL71" s="26"/>
      <c r="JEM71" s="26"/>
      <c r="JEN71" s="26"/>
      <c r="JEO71" s="26"/>
      <c r="JEP71" s="26"/>
      <c r="JEQ71" s="26"/>
      <c r="JER71" s="26"/>
      <c r="JES71" s="26"/>
      <c r="JET71" s="26"/>
      <c r="JEU71" s="26"/>
      <c r="JEV71" s="26"/>
      <c r="JEW71" s="26"/>
      <c r="JEX71" s="26"/>
      <c r="JEY71" s="26"/>
      <c r="JEZ71" s="26"/>
      <c r="JFA71" s="26"/>
      <c r="JFB71" s="26"/>
      <c r="JFC71" s="26"/>
      <c r="JFD71" s="26"/>
      <c r="JFE71" s="26"/>
      <c r="JFF71" s="26"/>
      <c r="JFG71" s="26"/>
      <c r="JFH71" s="26"/>
      <c r="JFI71" s="26"/>
      <c r="JFJ71" s="26"/>
      <c r="JFK71" s="26"/>
      <c r="JFL71" s="26"/>
      <c r="JFM71" s="26"/>
      <c r="JFN71" s="26"/>
      <c r="JFO71" s="26"/>
      <c r="JFP71" s="26"/>
      <c r="JFQ71" s="26"/>
      <c r="JFR71" s="26"/>
      <c r="JFS71" s="26"/>
      <c r="JFT71" s="26"/>
      <c r="JFU71" s="26"/>
      <c r="JFV71" s="26"/>
      <c r="JFW71" s="26"/>
      <c r="JFX71" s="26"/>
      <c r="JFY71" s="26"/>
      <c r="JFZ71" s="26"/>
      <c r="JGA71" s="26"/>
      <c r="JGB71" s="26"/>
      <c r="JGC71" s="26"/>
      <c r="JGD71" s="26"/>
      <c r="JGE71" s="26"/>
      <c r="JGF71" s="26"/>
      <c r="JGG71" s="26"/>
      <c r="JGH71" s="26"/>
      <c r="JGI71" s="26"/>
      <c r="JGJ71" s="26"/>
      <c r="JGK71" s="26"/>
      <c r="JGL71" s="26"/>
      <c r="JGM71" s="26"/>
      <c r="JGN71" s="26"/>
      <c r="JGO71" s="26"/>
      <c r="JGP71" s="26"/>
      <c r="JGQ71" s="26"/>
      <c r="JGR71" s="26"/>
      <c r="JGS71" s="26"/>
      <c r="JGT71" s="26"/>
      <c r="JGU71" s="26"/>
      <c r="JGV71" s="26"/>
      <c r="JGW71" s="26"/>
      <c r="JGX71" s="26"/>
      <c r="JGY71" s="26"/>
      <c r="JGZ71" s="26"/>
      <c r="JHA71" s="26"/>
      <c r="JHB71" s="26"/>
      <c r="JHC71" s="26"/>
      <c r="JHD71" s="26"/>
      <c r="JHE71" s="26"/>
      <c r="JHF71" s="26"/>
      <c r="JHG71" s="26"/>
      <c r="JHH71" s="26"/>
      <c r="JHI71" s="26"/>
      <c r="JHJ71" s="26"/>
      <c r="JHK71" s="26"/>
      <c r="JHL71" s="26"/>
      <c r="JHM71" s="26"/>
      <c r="JHN71" s="26"/>
      <c r="JHO71" s="26"/>
      <c r="JHP71" s="26"/>
      <c r="JHQ71" s="26"/>
      <c r="JHR71" s="26"/>
      <c r="JHS71" s="26"/>
      <c r="JHT71" s="26"/>
      <c r="JHU71" s="26"/>
      <c r="JHV71" s="26"/>
      <c r="JHW71" s="26"/>
      <c r="JHX71" s="26"/>
      <c r="JHY71" s="26"/>
      <c r="JHZ71" s="26"/>
      <c r="JIA71" s="26"/>
      <c r="JIB71" s="26"/>
      <c r="JIC71" s="26"/>
      <c r="JID71" s="26"/>
      <c r="JIE71" s="26"/>
      <c r="JIF71" s="26"/>
      <c r="JIG71" s="26"/>
      <c r="JIH71" s="26"/>
      <c r="JII71" s="26"/>
      <c r="JIJ71" s="26"/>
      <c r="JIK71" s="26"/>
      <c r="JIL71" s="26"/>
      <c r="JIM71" s="26"/>
      <c r="JIN71" s="26"/>
      <c r="JIO71" s="26"/>
      <c r="JIP71" s="26"/>
      <c r="JIQ71" s="26"/>
      <c r="JIR71" s="26"/>
      <c r="JIS71" s="26"/>
      <c r="JIT71" s="26"/>
      <c r="JIU71" s="26"/>
      <c r="JIV71" s="26"/>
      <c r="JIW71" s="26"/>
      <c r="JIX71" s="26"/>
      <c r="JIY71" s="26"/>
      <c r="JIZ71" s="26"/>
      <c r="JJA71" s="26"/>
      <c r="JJB71" s="26"/>
      <c r="JJC71" s="26"/>
      <c r="JJD71" s="26"/>
      <c r="JJE71" s="26"/>
      <c r="JJF71" s="26"/>
      <c r="JJG71" s="26"/>
      <c r="JJH71" s="26"/>
      <c r="JJI71" s="26"/>
      <c r="JJJ71" s="26"/>
      <c r="JJK71" s="26"/>
      <c r="JJL71" s="26"/>
      <c r="JJM71" s="26"/>
      <c r="JJN71" s="26"/>
      <c r="JJO71" s="26"/>
      <c r="JJP71" s="26"/>
      <c r="JJQ71" s="26"/>
      <c r="JJR71" s="26"/>
      <c r="JJS71" s="26"/>
      <c r="JJT71" s="26"/>
      <c r="JJU71" s="26"/>
      <c r="JJV71" s="26"/>
      <c r="JJW71" s="26"/>
      <c r="JJX71" s="26"/>
      <c r="JJY71" s="26"/>
      <c r="JJZ71" s="26"/>
      <c r="JKA71" s="26"/>
      <c r="JKB71" s="26"/>
      <c r="JKC71" s="26"/>
      <c r="JKD71" s="26"/>
      <c r="JKE71" s="26"/>
      <c r="JKF71" s="26"/>
      <c r="JKG71" s="26"/>
      <c r="JKH71" s="26"/>
      <c r="JKI71" s="26"/>
      <c r="JKJ71" s="26"/>
      <c r="JKK71" s="26"/>
      <c r="JKL71" s="26"/>
      <c r="JKM71" s="26"/>
      <c r="JKN71" s="26"/>
      <c r="JKO71" s="26"/>
      <c r="JKP71" s="26"/>
      <c r="JKQ71" s="26"/>
      <c r="JKR71" s="26"/>
      <c r="JKS71" s="26"/>
      <c r="JKT71" s="26"/>
      <c r="JKU71" s="26"/>
      <c r="JKV71" s="26"/>
      <c r="JKW71" s="26"/>
      <c r="JKX71" s="26"/>
      <c r="JKY71" s="26"/>
      <c r="JKZ71" s="26"/>
      <c r="JLA71" s="26"/>
      <c r="JLB71" s="26"/>
      <c r="JLC71" s="26"/>
      <c r="JLD71" s="26"/>
      <c r="JLE71" s="26"/>
      <c r="JLF71" s="26"/>
      <c r="JLG71" s="26"/>
      <c r="JLH71" s="26"/>
      <c r="JLI71" s="26"/>
      <c r="JLJ71" s="26"/>
      <c r="JLK71" s="26"/>
      <c r="JLL71" s="26"/>
      <c r="JLM71" s="26"/>
      <c r="JLN71" s="26"/>
      <c r="JLO71" s="26"/>
      <c r="JLP71" s="26"/>
      <c r="JLQ71" s="26"/>
      <c r="JLR71" s="26"/>
      <c r="JLS71" s="26"/>
      <c r="JLT71" s="26"/>
      <c r="JLU71" s="26"/>
      <c r="JLV71" s="26"/>
      <c r="JLW71" s="26"/>
      <c r="JLX71" s="26"/>
      <c r="JLY71" s="26"/>
      <c r="JLZ71" s="26"/>
      <c r="JMA71" s="26"/>
      <c r="JMB71" s="26"/>
      <c r="JMC71" s="26"/>
      <c r="JMD71" s="26"/>
      <c r="JME71" s="26"/>
      <c r="JMF71" s="26"/>
      <c r="JMG71" s="26"/>
      <c r="JMH71" s="26"/>
      <c r="JMI71" s="26"/>
      <c r="JMJ71" s="26"/>
      <c r="JMK71" s="26"/>
      <c r="JML71" s="26"/>
      <c r="JMM71" s="26"/>
      <c r="JMN71" s="26"/>
      <c r="JMO71" s="26"/>
      <c r="JMP71" s="26"/>
      <c r="JMQ71" s="26"/>
      <c r="JMR71" s="26"/>
      <c r="JMS71" s="26"/>
      <c r="JMT71" s="26"/>
      <c r="JMU71" s="26"/>
      <c r="JMV71" s="26"/>
      <c r="JMW71" s="26"/>
      <c r="JMX71" s="26"/>
      <c r="JMY71" s="26"/>
      <c r="JMZ71" s="26"/>
      <c r="JNA71" s="26"/>
      <c r="JNB71" s="26"/>
      <c r="JNC71" s="26"/>
      <c r="JND71" s="26"/>
      <c r="JNE71" s="26"/>
      <c r="JNF71" s="26"/>
      <c r="JNG71" s="26"/>
      <c r="JNH71" s="26"/>
      <c r="JNI71" s="26"/>
      <c r="JNJ71" s="26"/>
      <c r="JNK71" s="26"/>
      <c r="JNL71" s="26"/>
      <c r="JNM71" s="26"/>
      <c r="JNN71" s="26"/>
      <c r="JNO71" s="26"/>
      <c r="JNP71" s="26"/>
      <c r="JNQ71" s="26"/>
      <c r="JNR71" s="26"/>
      <c r="JNS71" s="26"/>
      <c r="JNT71" s="26"/>
      <c r="JNU71" s="26"/>
      <c r="JNV71" s="26"/>
      <c r="JNW71" s="26"/>
      <c r="JNX71" s="26"/>
      <c r="JNY71" s="26"/>
      <c r="JNZ71" s="26"/>
      <c r="JOA71" s="26"/>
      <c r="JOB71" s="26"/>
      <c r="JOC71" s="26"/>
      <c r="JOD71" s="26"/>
      <c r="JOE71" s="26"/>
      <c r="JOF71" s="26"/>
      <c r="JOG71" s="26"/>
      <c r="JOH71" s="26"/>
      <c r="JOI71" s="26"/>
      <c r="JOJ71" s="26"/>
      <c r="JOK71" s="26"/>
      <c r="JOL71" s="26"/>
      <c r="JOM71" s="26"/>
      <c r="JON71" s="26"/>
      <c r="JOO71" s="26"/>
      <c r="JOP71" s="26"/>
      <c r="JOQ71" s="26"/>
      <c r="JOR71" s="26"/>
      <c r="JOS71" s="26"/>
      <c r="JOT71" s="26"/>
      <c r="JOU71" s="26"/>
      <c r="JOV71" s="26"/>
      <c r="JOW71" s="26"/>
      <c r="JOX71" s="26"/>
      <c r="JOY71" s="26"/>
      <c r="JOZ71" s="26"/>
      <c r="JPA71" s="26"/>
      <c r="JPB71" s="26"/>
      <c r="JPC71" s="26"/>
      <c r="JPD71" s="26"/>
      <c r="JPE71" s="26"/>
      <c r="JPF71" s="26"/>
      <c r="JPG71" s="26"/>
      <c r="JPH71" s="26"/>
      <c r="JPI71" s="26"/>
      <c r="JPJ71" s="26"/>
      <c r="JPK71" s="26"/>
      <c r="JPL71" s="26"/>
      <c r="JPM71" s="26"/>
      <c r="JPN71" s="26"/>
      <c r="JPO71" s="26"/>
      <c r="JPP71" s="26"/>
      <c r="JPQ71" s="26"/>
      <c r="JPR71" s="26"/>
      <c r="JPS71" s="26"/>
      <c r="JPT71" s="26"/>
      <c r="JPU71" s="26"/>
      <c r="JPV71" s="26"/>
      <c r="JPW71" s="26"/>
      <c r="JPX71" s="26"/>
      <c r="JPY71" s="26"/>
      <c r="JPZ71" s="26"/>
      <c r="JQA71" s="26"/>
      <c r="JQB71" s="26"/>
      <c r="JQC71" s="26"/>
      <c r="JQD71" s="26"/>
      <c r="JQE71" s="26"/>
      <c r="JQF71" s="26"/>
      <c r="JQG71" s="26"/>
      <c r="JQH71" s="26"/>
      <c r="JQI71" s="26"/>
      <c r="JQJ71" s="26"/>
      <c r="JQK71" s="26"/>
      <c r="JQL71" s="26"/>
      <c r="JQM71" s="26"/>
      <c r="JQN71" s="26"/>
      <c r="JQO71" s="26"/>
      <c r="JQP71" s="26"/>
      <c r="JQQ71" s="26"/>
      <c r="JQR71" s="26"/>
      <c r="JQS71" s="26"/>
      <c r="JQT71" s="26"/>
      <c r="JQU71" s="26"/>
      <c r="JQV71" s="26"/>
      <c r="JQW71" s="26"/>
      <c r="JQX71" s="26"/>
      <c r="JQY71" s="26"/>
      <c r="JQZ71" s="26"/>
      <c r="JRA71" s="26"/>
      <c r="JRB71" s="26"/>
      <c r="JRC71" s="26"/>
      <c r="JRD71" s="26"/>
      <c r="JRE71" s="26"/>
      <c r="JRF71" s="26"/>
      <c r="JRG71" s="26"/>
      <c r="JRH71" s="26"/>
      <c r="JRI71" s="26"/>
      <c r="JRJ71" s="26"/>
      <c r="JRK71" s="26"/>
      <c r="JRL71" s="26"/>
      <c r="JRM71" s="26"/>
      <c r="JRN71" s="26"/>
      <c r="JRO71" s="26"/>
      <c r="JRP71" s="26"/>
      <c r="JRQ71" s="26"/>
      <c r="JRR71" s="26"/>
      <c r="JRS71" s="26"/>
      <c r="JRT71" s="26"/>
      <c r="JRU71" s="26"/>
      <c r="JRV71" s="26"/>
      <c r="JRW71" s="26"/>
      <c r="JRX71" s="26"/>
      <c r="JRY71" s="26"/>
      <c r="JRZ71" s="26"/>
      <c r="JSA71" s="26"/>
      <c r="JSB71" s="26"/>
      <c r="JSC71" s="26"/>
      <c r="JSD71" s="26"/>
      <c r="JSE71" s="26"/>
      <c r="JSF71" s="26"/>
      <c r="JSG71" s="26"/>
      <c r="JSH71" s="26"/>
      <c r="JSI71" s="26"/>
      <c r="JSJ71" s="26"/>
      <c r="JSK71" s="26"/>
      <c r="JSL71" s="26"/>
      <c r="JSM71" s="26"/>
      <c r="JSN71" s="26"/>
      <c r="JSO71" s="26"/>
      <c r="JSP71" s="26"/>
      <c r="JSQ71" s="26"/>
      <c r="JSR71" s="26"/>
      <c r="JSS71" s="26"/>
      <c r="JST71" s="26"/>
      <c r="JSU71" s="26"/>
      <c r="JSV71" s="26"/>
      <c r="JSW71" s="26"/>
      <c r="JSX71" s="26"/>
      <c r="JSY71" s="26"/>
      <c r="JSZ71" s="26"/>
      <c r="JTA71" s="26"/>
      <c r="JTB71" s="26"/>
      <c r="JTC71" s="26"/>
      <c r="JTD71" s="26"/>
      <c r="JTE71" s="26"/>
      <c r="JTF71" s="26"/>
      <c r="JTG71" s="26"/>
      <c r="JTH71" s="26"/>
      <c r="JTI71" s="26"/>
      <c r="JTJ71" s="26"/>
      <c r="JTK71" s="26"/>
      <c r="JTL71" s="26"/>
      <c r="JTM71" s="26"/>
      <c r="JTN71" s="26"/>
      <c r="JTO71" s="26"/>
      <c r="JTP71" s="26"/>
      <c r="JTQ71" s="26"/>
      <c r="JTR71" s="26"/>
      <c r="JTS71" s="26"/>
      <c r="JTT71" s="26"/>
      <c r="JTU71" s="26"/>
      <c r="JTV71" s="26"/>
      <c r="JTW71" s="26"/>
      <c r="JTX71" s="26"/>
      <c r="JTY71" s="26"/>
      <c r="JTZ71" s="26"/>
      <c r="JUA71" s="26"/>
      <c r="JUB71" s="26"/>
      <c r="JUC71" s="26"/>
      <c r="JUD71" s="26"/>
      <c r="JUE71" s="26"/>
      <c r="JUF71" s="26"/>
      <c r="JUG71" s="26"/>
      <c r="JUH71" s="26"/>
      <c r="JUI71" s="26"/>
      <c r="JUJ71" s="26"/>
      <c r="JUK71" s="26"/>
      <c r="JUL71" s="26"/>
      <c r="JUM71" s="26"/>
      <c r="JUN71" s="26"/>
      <c r="JUO71" s="26"/>
      <c r="JUP71" s="26"/>
      <c r="JUQ71" s="26"/>
      <c r="JUR71" s="26"/>
      <c r="JUS71" s="26"/>
      <c r="JUT71" s="26"/>
      <c r="JUU71" s="26"/>
      <c r="JUV71" s="26"/>
      <c r="JUW71" s="26"/>
      <c r="JUX71" s="26"/>
      <c r="JUY71" s="26"/>
      <c r="JUZ71" s="26"/>
      <c r="JVA71" s="26"/>
      <c r="JVB71" s="26"/>
      <c r="JVC71" s="26"/>
      <c r="JVD71" s="26"/>
      <c r="JVE71" s="26"/>
      <c r="JVF71" s="26"/>
      <c r="JVG71" s="26"/>
      <c r="JVH71" s="26"/>
      <c r="JVI71" s="26"/>
      <c r="JVJ71" s="26"/>
      <c r="JVK71" s="26"/>
      <c r="JVL71" s="26"/>
      <c r="JVM71" s="26"/>
      <c r="JVN71" s="26"/>
      <c r="JVO71" s="26"/>
      <c r="JVP71" s="26"/>
      <c r="JVQ71" s="26"/>
      <c r="JVR71" s="26"/>
      <c r="JVS71" s="26"/>
      <c r="JVT71" s="26"/>
      <c r="JVU71" s="26"/>
      <c r="JVV71" s="26"/>
      <c r="JVW71" s="26"/>
      <c r="JVX71" s="26"/>
      <c r="JVY71" s="26"/>
      <c r="JVZ71" s="26"/>
      <c r="JWA71" s="26"/>
      <c r="JWB71" s="26"/>
      <c r="JWC71" s="26"/>
      <c r="JWD71" s="26"/>
      <c r="JWE71" s="26"/>
      <c r="JWF71" s="26"/>
      <c r="JWG71" s="26"/>
      <c r="JWH71" s="26"/>
      <c r="JWI71" s="26"/>
      <c r="JWJ71" s="26"/>
      <c r="JWK71" s="26"/>
      <c r="JWL71" s="26"/>
      <c r="JWM71" s="26"/>
      <c r="JWN71" s="26"/>
      <c r="JWO71" s="26"/>
      <c r="JWP71" s="26"/>
      <c r="JWQ71" s="26"/>
      <c r="JWR71" s="26"/>
      <c r="JWS71" s="26"/>
      <c r="JWT71" s="26"/>
      <c r="JWU71" s="26"/>
      <c r="JWV71" s="26"/>
      <c r="JWW71" s="26"/>
      <c r="JWX71" s="26"/>
      <c r="JWY71" s="26"/>
      <c r="JWZ71" s="26"/>
      <c r="JXA71" s="26"/>
      <c r="JXB71" s="26"/>
      <c r="JXC71" s="26"/>
      <c r="JXD71" s="26"/>
      <c r="JXE71" s="26"/>
      <c r="JXF71" s="26"/>
      <c r="JXG71" s="26"/>
      <c r="JXH71" s="26"/>
      <c r="JXI71" s="26"/>
      <c r="JXJ71" s="26"/>
      <c r="JXK71" s="26"/>
      <c r="JXL71" s="26"/>
      <c r="JXM71" s="26"/>
      <c r="JXN71" s="26"/>
      <c r="JXO71" s="26"/>
      <c r="JXP71" s="26"/>
      <c r="JXQ71" s="26"/>
      <c r="JXR71" s="26"/>
      <c r="JXS71" s="26"/>
      <c r="JXT71" s="26"/>
      <c r="JXU71" s="26"/>
      <c r="JXV71" s="26"/>
      <c r="JXW71" s="26"/>
      <c r="JXX71" s="26"/>
      <c r="JXY71" s="26"/>
      <c r="JXZ71" s="26"/>
      <c r="JYA71" s="26"/>
      <c r="JYB71" s="26"/>
      <c r="JYC71" s="26"/>
      <c r="JYD71" s="26"/>
      <c r="JYE71" s="26"/>
      <c r="JYF71" s="26"/>
      <c r="JYG71" s="26"/>
      <c r="JYH71" s="26"/>
      <c r="JYI71" s="26"/>
      <c r="JYJ71" s="26"/>
      <c r="JYK71" s="26"/>
      <c r="JYL71" s="26"/>
      <c r="JYM71" s="26"/>
      <c r="JYN71" s="26"/>
      <c r="JYO71" s="26"/>
      <c r="JYP71" s="26"/>
      <c r="JYQ71" s="26"/>
      <c r="JYR71" s="26"/>
      <c r="JYS71" s="26"/>
      <c r="JYT71" s="26"/>
      <c r="JYU71" s="26"/>
      <c r="JYV71" s="26"/>
      <c r="JYW71" s="26"/>
      <c r="JYX71" s="26"/>
      <c r="JYY71" s="26"/>
      <c r="JYZ71" s="26"/>
      <c r="JZA71" s="26"/>
      <c r="JZB71" s="26"/>
      <c r="JZC71" s="26"/>
      <c r="JZD71" s="26"/>
      <c r="JZE71" s="26"/>
      <c r="JZF71" s="26"/>
      <c r="JZG71" s="26"/>
      <c r="JZH71" s="26"/>
      <c r="JZI71" s="26"/>
      <c r="JZJ71" s="26"/>
      <c r="JZK71" s="26"/>
      <c r="JZL71" s="26"/>
      <c r="JZM71" s="26"/>
      <c r="JZN71" s="26"/>
      <c r="JZO71" s="26"/>
      <c r="JZP71" s="26"/>
      <c r="JZQ71" s="26"/>
      <c r="JZR71" s="26"/>
      <c r="JZS71" s="26"/>
      <c r="JZT71" s="26"/>
      <c r="JZU71" s="26"/>
      <c r="JZV71" s="26"/>
      <c r="JZW71" s="26"/>
      <c r="JZX71" s="26"/>
      <c r="JZY71" s="26"/>
      <c r="JZZ71" s="26"/>
      <c r="KAA71" s="26"/>
      <c r="KAB71" s="26"/>
      <c r="KAC71" s="26"/>
      <c r="KAD71" s="26"/>
      <c r="KAE71" s="26"/>
      <c r="KAF71" s="26"/>
      <c r="KAG71" s="26"/>
      <c r="KAH71" s="26"/>
      <c r="KAI71" s="26"/>
      <c r="KAJ71" s="26"/>
      <c r="KAK71" s="26"/>
      <c r="KAL71" s="26"/>
      <c r="KAM71" s="26"/>
      <c r="KAN71" s="26"/>
      <c r="KAO71" s="26"/>
      <c r="KAP71" s="26"/>
      <c r="KAQ71" s="26"/>
      <c r="KAR71" s="26"/>
      <c r="KAS71" s="26"/>
      <c r="KAT71" s="26"/>
      <c r="KAU71" s="26"/>
      <c r="KAV71" s="26"/>
      <c r="KAW71" s="26"/>
      <c r="KAX71" s="26"/>
      <c r="KAY71" s="26"/>
      <c r="KAZ71" s="26"/>
      <c r="KBA71" s="26"/>
      <c r="KBB71" s="26"/>
      <c r="KBC71" s="26"/>
      <c r="KBD71" s="26"/>
      <c r="KBE71" s="26"/>
      <c r="KBF71" s="26"/>
      <c r="KBG71" s="26"/>
      <c r="KBH71" s="26"/>
      <c r="KBI71" s="26"/>
      <c r="KBJ71" s="26"/>
      <c r="KBK71" s="26"/>
      <c r="KBL71" s="26"/>
      <c r="KBM71" s="26"/>
      <c r="KBN71" s="26"/>
      <c r="KBO71" s="26"/>
      <c r="KBP71" s="26"/>
      <c r="KBQ71" s="26"/>
      <c r="KBR71" s="26"/>
      <c r="KBS71" s="26"/>
      <c r="KBT71" s="26"/>
      <c r="KBU71" s="26"/>
      <c r="KBV71" s="26"/>
      <c r="KBW71" s="26"/>
      <c r="KBX71" s="26"/>
      <c r="KBY71" s="26"/>
      <c r="KBZ71" s="26"/>
      <c r="KCA71" s="26"/>
      <c r="KCB71" s="26"/>
      <c r="KCC71" s="26"/>
      <c r="KCD71" s="26"/>
      <c r="KCE71" s="26"/>
      <c r="KCF71" s="26"/>
      <c r="KCG71" s="26"/>
      <c r="KCH71" s="26"/>
      <c r="KCI71" s="26"/>
      <c r="KCJ71" s="26"/>
      <c r="KCK71" s="26"/>
      <c r="KCL71" s="26"/>
      <c r="KCM71" s="26"/>
      <c r="KCN71" s="26"/>
      <c r="KCO71" s="26"/>
      <c r="KCP71" s="26"/>
      <c r="KCQ71" s="26"/>
      <c r="KCR71" s="26"/>
      <c r="KCS71" s="26"/>
      <c r="KCT71" s="26"/>
      <c r="KCU71" s="26"/>
      <c r="KCV71" s="26"/>
      <c r="KCW71" s="26"/>
      <c r="KCX71" s="26"/>
      <c r="KCY71" s="26"/>
      <c r="KCZ71" s="26"/>
      <c r="KDA71" s="26"/>
      <c r="KDB71" s="26"/>
      <c r="KDC71" s="26"/>
      <c r="KDD71" s="26"/>
      <c r="KDE71" s="26"/>
      <c r="KDF71" s="26"/>
      <c r="KDG71" s="26"/>
      <c r="KDH71" s="26"/>
      <c r="KDI71" s="26"/>
      <c r="KDJ71" s="26"/>
      <c r="KDK71" s="26"/>
      <c r="KDL71" s="26"/>
      <c r="KDM71" s="26"/>
      <c r="KDN71" s="26"/>
      <c r="KDO71" s="26"/>
      <c r="KDP71" s="26"/>
      <c r="KDQ71" s="26"/>
      <c r="KDR71" s="26"/>
      <c r="KDS71" s="26"/>
      <c r="KDT71" s="26"/>
      <c r="KDU71" s="26"/>
      <c r="KDV71" s="26"/>
      <c r="KDW71" s="26"/>
      <c r="KDX71" s="26"/>
      <c r="KDY71" s="26"/>
      <c r="KDZ71" s="26"/>
      <c r="KEA71" s="26"/>
      <c r="KEB71" s="26"/>
      <c r="KEC71" s="26"/>
      <c r="KED71" s="26"/>
      <c r="KEE71" s="26"/>
      <c r="KEF71" s="26"/>
      <c r="KEG71" s="26"/>
      <c r="KEH71" s="26"/>
      <c r="KEI71" s="26"/>
      <c r="KEJ71" s="26"/>
      <c r="KEK71" s="26"/>
      <c r="KEL71" s="26"/>
      <c r="KEM71" s="26"/>
      <c r="KEN71" s="26"/>
      <c r="KEO71" s="26"/>
      <c r="KEP71" s="26"/>
      <c r="KEQ71" s="26"/>
      <c r="KER71" s="26"/>
      <c r="KES71" s="26"/>
      <c r="KET71" s="26"/>
      <c r="KEU71" s="26"/>
      <c r="KEV71" s="26"/>
      <c r="KEW71" s="26"/>
      <c r="KEX71" s="26"/>
      <c r="KEY71" s="26"/>
      <c r="KEZ71" s="26"/>
      <c r="KFA71" s="26"/>
      <c r="KFB71" s="26"/>
      <c r="KFC71" s="26"/>
      <c r="KFD71" s="26"/>
      <c r="KFE71" s="26"/>
      <c r="KFF71" s="26"/>
      <c r="KFG71" s="26"/>
      <c r="KFH71" s="26"/>
      <c r="KFI71" s="26"/>
      <c r="KFJ71" s="26"/>
      <c r="KFK71" s="26"/>
      <c r="KFL71" s="26"/>
      <c r="KFM71" s="26"/>
      <c r="KFN71" s="26"/>
      <c r="KFO71" s="26"/>
      <c r="KFP71" s="26"/>
      <c r="KFQ71" s="26"/>
      <c r="KFR71" s="26"/>
      <c r="KFS71" s="26"/>
      <c r="KFT71" s="26"/>
      <c r="KFU71" s="26"/>
      <c r="KFV71" s="26"/>
      <c r="KFW71" s="26"/>
      <c r="KFX71" s="26"/>
      <c r="KFY71" s="26"/>
      <c r="KFZ71" s="26"/>
      <c r="KGA71" s="26"/>
      <c r="KGB71" s="26"/>
      <c r="KGC71" s="26"/>
      <c r="KGD71" s="26"/>
      <c r="KGE71" s="26"/>
      <c r="KGF71" s="26"/>
      <c r="KGG71" s="26"/>
      <c r="KGH71" s="26"/>
      <c r="KGI71" s="26"/>
      <c r="KGJ71" s="26"/>
      <c r="KGK71" s="26"/>
      <c r="KGL71" s="26"/>
      <c r="KGM71" s="26"/>
      <c r="KGN71" s="26"/>
      <c r="KGO71" s="26"/>
      <c r="KGP71" s="26"/>
      <c r="KGQ71" s="26"/>
      <c r="KGR71" s="26"/>
      <c r="KGS71" s="26"/>
      <c r="KGT71" s="26"/>
      <c r="KGU71" s="26"/>
      <c r="KGV71" s="26"/>
      <c r="KGW71" s="26"/>
      <c r="KGX71" s="26"/>
      <c r="KGY71" s="26"/>
      <c r="KGZ71" s="26"/>
      <c r="KHA71" s="26"/>
      <c r="KHB71" s="26"/>
      <c r="KHC71" s="26"/>
      <c r="KHD71" s="26"/>
      <c r="KHE71" s="26"/>
      <c r="KHF71" s="26"/>
      <c r="KHG71" s="26"/>
      <c r="KHH71" s="26"/>
      <c r="KHI71" s="26"/>
      <c r="KHJ71" s="26"/>
      <c r="KHK71" s="26"/>
      <c r="KHL71" s="26"/>
      <c r="KHM71" s="26"/>
      <c r="KHN71" s="26"/>
      <c r="KHO71" s="26"/>
      <c r="KHP71" s="26"/>
      <c r="KHQ71" s="26"/>
      <c r="KHR71" s="26"/>
      <c r="KHS71" s="26"/>
      <c r="KHT71" s="26"/>
      <c r="KHU71" s="26"/>
      <c r="KHV71" s="26"/>
      <c r="KHW71" s="26"/>
      <c r="KHX71" s="26"/>
      <c r="KHY71" s="26"/>
      <c r="KHZ71" s="26"/>
      <c r="KIA71" s="26"/>
      <c r="KIB71" s="26"/>
      <c r="KIC71" s="26"/>
      <c r="KID71" s="26"/>
      <c r="KIE71" s="26"/>
      <c r="KIF71" s="26"/>
      <c r="KIG71" s="26"/>
      <c r="KIH71" s="26"/>
      <c r="KII71" s="26"/>
      <c r="KIJ71" s="26"/>
      <c r="KIK71" s="26"/>
      <c r="KIL71" s="26"/>
      <c r="KIM71" s="26"/>
      <c r="KIN71" s="26"/>
      <c r="KIO71" s="26"/>
      <c r="KIP71" s="26"/>
      <c r="KIQ71" s="26"/>
      <c r="KIR71" s="26"/>
      <c r="KIS71" s="26"/>
      <c r="KIT71" s="26"/>
      <c r="KIU71" s="26"/>
      <c r="KIV71" s="26"/>
      <c r="KIW71" s="26"/>
      <c r="KIX71" s="26"/>
      <c r="KIY71" s="26"/>
      <c r="KIZ71" s="26"/>
      <c r="KJA71" s="26"/>
      <c r="KJB71" s="26"/>
      <c r="KJC71" s="26"/>
      <c r="KJD71" s="26"/>
      <c r="KJE71" s="26"/>
      <c r="KJF71" s="26"/>
      <c r="KJG71" s="26"/>
      <c r="KJH71" s="26"/>
      <c r="KJI71" s="26"/>
      <c r="KJJ71" s="26"/>
      <c r="KJK71" s="26"/>
      <c r="KJL71" s="26"/>
      <c r="KJM71" s="26"/>
      <c r="KJN71" s="26"/>
      <c r="KJO71" s="26"/>
      <c r="KJP71" s="26"/>
      <c r="KJQ71" s="26"/>
      <c r="KJR71" s="26"/>
      <c r="KJS71" s="26"/>
      <c r="KJT71" s="26"/>
      <c r="KJU71" s="26"/>
      <c r="KJV71" s="26"/>
      <c r="KJW71" s="26"/>
      <c r="KJX71" s="26"/>
      <c r="KJY71" s="26"/>
      <c r="KJZ71" s="26"/>
      <c r="KKA71" s="26"/>
      <c r="KKB71" s="26"/>
      <c r="KKC71" s="26"/>
      <c r="KKD71" s="26"/>
      <c r="KKE71" s="26"/>
      <c r="KKF71" s="26"/>
      <c r="KKG71" s="26"/>
      <c r="KKH71" s="26"/>
      <c r="KKI71" s="26"/>
      <c r="KKJ71" s="26"/>
      <c r="KKK71" s="26"/>
      <c r="KKL71" s="26"/>
      <c r="KKM71" s="26"/>
      <c r="KKN71" s="26"/>
      <c r="KKO71" s="26"/>
      <c r="KKP71" s="26"/>
      <c r="KKQ71" s="26"/>
      <c r="KKR71" s="26"/>
      <c r="KKS71" s="26"/>
      <c r="KKT71" s="26"/>
      <c r="KKU71" s="26"/>
      <c r="KKV71" s="26"/>
      <c r="KKW71" s="26"/>
      <c r="KKX71" s="26"/>
      <c r="KKY71" s="26"/>
      <c r="KKZ71" s="26"/>
      <c r="KLA71" s="26"/>
      <c r="KLB71" s="26"/>
      <c r="KLC71" s="26"/>
      <c r="KLD71" s="26"/>
      <c r="KLE71" s="26"/>
      <c r="KLF71" s="26"/>
      <c r="KLG71" s="26"/>
      <c r="KLH71" s="26"/>
      <c r="KLI71" s="26"/>
      <c r="KLJ71" s="26"/>
      <c r="KLK71" s="26"/>
      <c r="KLL71" s="26"/>
      <c r="KLM71" s="26"/>
      <c r="KLN71" s="26"/>
      <c r="KLO71" s="26"/>
      <c r="KLP71" s="26"/>
      <c r="KLQ71" s="26"/>
      <c r="KLR71" s="26"/>
      <c r="KLS71" s="26"/>
      <c r="KLT71" s="26"/>
      <c r="KLU71" s="26"/>
      <c r="KLV71" s="26"/>
      <c r="KLW71" s="26"/>
      <c r="KLX71" s="26"/>
      <c r="KLY71" s="26"/>
      <c r="KLZ71" s="26"/>
      <c r="KMA71" s="26"/>
      <c r="KMB71" s="26"/>
      <c r="KMC71" s="26"/>
      <c r="KMD71" s="26"/>
      <c r="KME71" s="26"/>
      <c r="KMF71" s="26"/>
      <c r="KMG71" s="26"/>
      <c r="KMH71" s="26"/>
      <c r="KMI71" s="26"/>
      <c r="KMJ71" s="26"/>
      <c r="KMK71" s="26"/>
      <c r="KML71" s="26"/>
      <c r="KMM71" s="26"/>
      <c r="KMN71" s="26"/>
      <c r="KMO71" s="26"/>
      <c r="KMP71" s="26"/>
      <c r="KMQ71" s="26"/>
      <c r="KMR71" s="26"/>
      <c r="KMS71" s="26"/>
      <c r="KMT71" s="26"/>
      <c r="KMU71" s="26"/>
      <c r="KMV71" s="26"/>
      <c r="KMW71" s="26"/>
      <c r="KMX71" s="26"/>
      <c r="KMY71" s="26"/>
      <c r="KMZ71" s="26"/>
      <c r="KNA71" s="26"/>
      <c r="KNB71" s="26"/>
      <c r="KNC71" s="26"/>
      <c r="KND71" s="26"/>
      <c r="KNE71" s="26"/>
      <c r="KNF71" s="26"/>
      <c r="KNG71" s="26"/>
      <c r="KNH71" s="26"/>
      <c r="KNI71" s="26"/>
      <c r="KNJ71" s="26"/>
      <c r="KNK71" s="26"/>
      <c r="KNL71" s="26"/>
      <c r="KNM71" s="26"/>
      <c r="KNN71" s="26"/>
      <c r="KNO71" s="26"/>
      <c r="KNP71" s="26"/>
      <c r="KNQ71" s="26"/>
      <c r="KNR71" s="26"/>
      <c r="KNS71" s="26"/>
      <c r="KNT71" s="26"/>
      <c r="KNU71" s="26"/>
      <c r="KNV71" s="26"/>
      <c r="KNW71" s="26"/>
      <c r="KNX71" s="26"/>
      <c r="KNY71" s="26"/>
      <c r="KNZ71" s="26"/>
      <c r="KOA71" s="26"/>
      <c r="KOB71" s="26"/>
      <c r="KOC71" s="26"/>
      <c r="KOD71" s="26"/>
      <c r="KOE71" s="26"/>
      <c r="KOF71" s="26"/>
      <c r="KOG71" s="26"/>
      <c r="KOH71" s="26"/>
      <c r="KOI71" s="26"/>
      <c r="KOJ71" s="26"/>
      <c r="KOK71" s="26"/>
      <c r="KOL71" s="26"/>
      <c r="KOM71" s="26"/>
      <c r="KON71" s="26"/>
      <c r="KOO71" s="26"/>
      <c r="KOP71" s="26"/>
      <c r="KOQ71" s="26"/>
      <c r="KOR71" s="26"/>
      <c r="KOS71" s="26"/>
      <c r="KOT71" s="26"/>
      <c r="KOU71" s="26"/>
      <c r="KOV71" s="26"/>
      <c r="KOW71" s="26"/>
      <c r="KOX71" s="26"/>
      <c r="KOY71" s="26"/>
      <c r="KOZ71" s="26"/>
      <c r="KPA71" s="26"/>
      <c r="KPB71" s="26"/>
      <c r="KPC71" s="26"/>
      <c r="KPD71" s="26"/>
      <c r="KPE71" s="26"/>
      <c r="KPF71" s="26"/>
      <c r="KPG71" s="26"/>
      <c r="KPH71" s="26"/>
      <c r="KPI71" s="26"/>
      <c r="KPJ71" s="26"/>
      <c r="KPK71" s="26"/>
      <c r="KPL71" s="26"/>
      <c r="KPM71" s="26"/>
      <c r="KPN71" s="26"/>
      <c r="KPO71" s="26"/>
      <c r="KPP71" s="26"/>
      <c r="KPQ71" s="26"/>
      <c r="KPR71" s="26"/>
      <c r="KPS71" s="26"/>
      <c r="KPT71" s="26"/>
      <c r="KPU71" s="26"/>
      <c r="KPV71" s="26"/>
      <c r="KPW71" s="26"/>
      <c r="KPX71" s="26"/>
      <c r="KPY71" s="26"/>
      <c r="KPZ71" s="26"/>
      <c r="KQA71" s="26"/>
      <c r="KQB71" s="26"/>
      <c r="KQC71" s="26"/>
      <c r="KQD71" s="26"/>
      <c r="KQE71" s="26"/>
      <c r="KQF71" s="26"/>
      <c r="KQG71" s="26"/>
      <c r="KQH71" s="26"/>
      <c r="KQI71" s="26"/>
      <c r="KQJ71" s="26"/>
      <c r="KQK71" s="26"/>
      <c r="KQL71" s="26"/>
      <c r="KQM71" s="26"/>
      <c r="KQN71" s="26"/>
      <c r="KQO71" s="26"/>
      <c r="KQP71" s="26"/>
      <c r="KQQ71" s="26"/>
      <c r="KQR71" s="26"/>
      <c r="KQS71" s="26"/>
      <c r="KQT71" s="26"/>
      <c r="KQU71" s="26"/>
      <c r="KQV71" s="26"/>
      <c r="KQW71" s="26"/>
      <c r="KQX71" s="26"/>
      <c r="KQY71" s="26"/>
      <c r="KQZ71" s="26"/>
      <c r="KRA71" s="26"/>
      <c r="KRB71" s="26"/>
      <c r="KRC71" s="26"/>
      <c r="KRD71" s="26"/>
      <c r="KRE71" s="26"/>
      <c r="KRF71" s="26"/>
      <c r="KRG71" s="26"/>
      <c r="KRH71" s="26"/>
      <c r="KRI71" s="26"/>
      <c r="KRJ71" s="26"/>
      <c r="KRK71" s="26"/>
      <c r="KRL71" s="26"/>
      <c r="KRM71" s="26"/>
      <c r="KRN71" s="26"/>
      <c r="KRO71" s="26"/>
      <c r="KRP71" s="26"/>
      <c r="KRQ71" s="26"/>
      <c r="KRR71" s="26"/>
      <c r="KRS71" s="26"/>
      <c r="KRT71" s="26"/>
      <c r="KRU71" s="26"/>
      <c r="KRV71" s="26"/>
      <c r="KRW71" s="26"/>
      <c r="KRX71" s="26"/>
      <c r="KRY71" s="26"/>
      <c r="KRZ71" s="26"/>
      <c r="KSA71" s="26"/>
      <c r="KSB71" s="26"/>
      <c r="KSC71" s="26"/>
      <c r="KSD71" s="26"/>
      <c r="KSE71" s="26"/>
      <c r="KSF71" s="26"/>
      <c r="KSG71" s="26"/>
      <c r="KSH71" s="26"/>
      <c r="KSI71" s="26"/>
      <c r="KSJ71" s="26"/>
      <c r="KSK71" s="26"/>
      <c r="KSL71" s="26"/>
      <c r="KSM71" s="26"/>
      <c r="KSN71" s="26"/>
      <c r="KSO71" s="26"/>
      <c r="KSP71" s="26"/>
      <c r="KSQ71" s="26"/>
      <c r="KSR71" s="26"/>
      <c r="KSS71" s="26"/>
      <c r="KST71" s="26"/>
      <c r="KSU71" s="26"/>
      <c r="KSV71" s="26"/>
      <c r="KSW71" s="26"/>
      <c r="KSX71" s="26"/>
      <c r="KSY71" s="26"/>
      <c r="KSZ71" s="26"/>
      <c r="KTA71" s="26"/>
      <c r="KTB71" s="26"/>
      <c r="KTC71" s="26"/>
      <c r="KTD71" s="26"/>
      <c r="KTE71" s="26"/>
      <c r="KTF71" s="26"/>
      <c r="KTG71" s="26"/>
      <c r="KTH71" s="26"/>
      <c r="KTI71" s="26"/>
      <c r="KTJ71" s="26"/>
      <c r="KTK71" s="26"/>
      <c r="KTL71" s="26"/>
      <c r="KTM71" s="26"/>
      <c r="KTN71" s="26"/>
      <c r="KTO71" s="26"/>
      <c r="KTP71" s="26"/>
      <c r="KTQ71" s="26"/>
      <c r="KTR71" s="26"/>
      <c r="KTS71" s="26"/>
      <c r="KTT71" s="26"/>
      <c r="KTU71" s="26"/>
      <c r="KTV71" s="26"/>
      <c r="KTW71" s="26"/>
      <c r="KTX71" s="26"/>
      <c r="KTY71" s="26"/>
      <c r="KTZ71" s="26"/>
      <c r="KUA71" s="26"/>
      <c r="KUB71" s="26"/>
      <c r="KUC71" s="26"/>
      <c r="KUD71" s="26"/>
      <c r="KUE71" s="26"/>
      <c r="KUF71" s="26"/>
      <c r="KUG71" s="26"/>
      <c r="KUH71" s="26"/>
      <c r="KUI71" s="26"/>
      <c r="KUJ71" s="26"/>
      <c r="KUK71" s="26"/>
      <c r="KUL71" s="26"/>
      <c r="KUM71" s="26"/>
      <c r="KUN71" s="26"/>
      <c r="KUO71" s="26"/>
      <c r="KUP71" s="26"/>
      <c r="KUQ71" s="26"/>
      <c r="KUR71" s="26"/>
      <c r="KUS71" s="26"/>
      <c r="KUT71" s="26"/>
      <c r="KUU71" s="26"/>
      <c r="KUV71" s="26"/>
      <c r="KUW71" s="26"/>
      <c r="KUX71" s="26"/>
      <c r="KUY71" s="26"/>
      <c r="KUZ71" s="26"/>
      <c r="KVA71" s="26"/>
      <c r="KVB71" s="26"/>
      <c r="KVC71" s="26"/>
      <c r="KVD71" s="26"/>
      <c r="KVE71" s="26"/>
      <c r="KVF71" s="26"/>
      <c r="KVG71" s="26"/>
      <c r="KVH71" s="26"/>
      <c r="KVI71" s="26"/>
      <c r="KVJ71" s="26"/>
      <c r="KVK71" s="26"/>
      <c r="KVL71" s="26"/>
      <c r="KVM71" s="26"/>
      <c r="KVN71" s="26"/>
      <c r="KVO71" s="26"/>
      <c r="KVP71" s="26"/>
      <c r="KVQ71" s="26"/>
      <c r="KVR71" s="26"/>
      <c r="KVS71" s="26"/>
      <c r="KVT71" s="26"/>
      <c r="KVU71" s="26"/>
      <c r="KVV71" s="26"/>
      <c r="KVW71" s="26"/>
      <c r="KVX71" s="26"/>
      <c r="KVY71" s="26"/>
      <c r="KVZ71" s="26"/>
      <c r="KWA71" s="26"/>
      <c r="KWB71" s="26"/>
      <c r="KWC71" s="26"/>
      <c r="KWD71" s="26"/>
      <c r="KWE71" s="26"/>
      <c r="KWF71" s="26"/>
      <c r="KWG71" s="26"/>
      <c r="KWH71" s="26"/>
      <c r="KWI71" s="26"/>
      <c r="KWJ71" s="26"/>
      <c r="KWK71" s="26"/>
      <c r="KWL71" s="26"/>
      <c r="KWM71" s="26"/>
      <c r="KWN71" s="26"/>
      <c r="KWO71" s="26"/>
      <c r="KWP71" s="26"/>
      <c r="KWQ71" s="26"/>
      <c r="KWR71" s="26"/>
      <c r="KWS71" s="26"/>
      <c r="KWT71" s="26"/>
      <c r="KWU71" s="26"/>
      <c r="KWV71" s="26"/>
      <c r="KWW71" s="26"/>
      <c r="KWX71" s="26"/>
      <c r="KWY71" s="26"/>
      <c r="KWZ71" s="26"/>
      <c r="KXA71" s="26"/>
      <c r="KXB71" s="26"/>
      <c r="KXC71" s="26"/>
      <c r="KXD71" s="26"/>
      <c r="KXE71" s="26"/>
      <c r="KXF71" s="26"/>
      <c r="KXG71" s="26"/>
      <c r="KXH71" s="26"/>
      <c r="KXI71" s="26"/>
      <c r="KXJ71" s="26"/>
      <c r="KXK71" s="26"/>
      <c r="KXL71" s="26"/>
      <c r="KXM71" s="26"/>
      <c r="KXN71" s="26"/>
      <c r="KXO71" s="26"/>
      <c r="KXP71" s="26"/>
      <c r="KXQ71" s="26"/>
      <c r="KXR71" s="26"/>
      <c r="KXS71" s="26"/>
      <c r="KXT71" s="26"/>
      <c r="KXU71" s="26"/>
      <c r="KXV71" s="26"/>
      <c r="KXW71" s="26"/>
      <c r="KXX71" s="26"/>
      <c r="KXY71" s="26"/>
      <c r="KXZ71" s="26"/>
      <c r="KYA71" s="26"/>
      <c r="KYB71" s="26"/>
      <c r="KYC71" s="26"/>
      <c r="KYD71" s="26"/>
      <c r="KYE71" s="26"/>
      <c r="KYF71" s="26"/>
      <c r="KYG71" s="26"/>
      <c r="KYH71" s="26"/>
      <c r="KYI71" s="26"/>
      <c r="KYJ71" s="26"/>
      <c r="KYK71" s="26"/>
      <c r="KYL71" s="26"/>
      <c r="KYM71" s="26"/>
      <c r="KYN71" s="26"/>
      <c r="KYO71" s="26"/>
      <c r="KYP71" s="26"/>
      <c r="KYQ71" s="26"/>
      <c r="KYR71" s="26"/>
      <c r="KYS71" s="26"/>
      <c r="KYT71" s="26"/>
      <c r="KYU71" s="26"/>
      <c r="KYV71" s="26"/>
      <c r="KYW71" s="26"/>
      <c r="KYX71" s="26"/>
      <c r="KYY71" s="26"/>
      <c r="KYZ71" s="26"/>
      <c r="KZA71" s="26"/>
      <c r="KZB71" s="26"/>
      <c r="KZC71" s="26"/>
      <c r="KZD71" s="26"/>
      <c r="KZE71" s="26"/>
      <c r="KZF71" s="26"/>
      <c r="KZG71" s="26"/>
      <c r="KZH71" s="26"/>
      <c r="KZI71" s="26"/>
      <c r="KZJ71" s="26"/>
      <c r="KZK71" s="26"/>
      <c r="KZL71" s="26"/>
      <c r="KZM71" s="26"/>
      <c r="KZN71" s="26"/>
      <c r="KZO71" s="26"/>
      <c r="KZP71" s="26"/>
      <c r="KZQ71" s="26"/>
      <c r="KZR71" s="26"/>
      <c r="KZS71" s="26"/>
      <c r="KZT71" s="26"/>
      <c r="KZU71" s="26"/>
      <c r="KZV71" s="26"/>
      <c r="KZW71" s="26"/>
      <c r="KZX71" s="26"/>
      <c r="KZY71" s="26"/>
      <c r="KZZ71" s="26"/>
      <c r="LAA71" s="26"/>
      <c r="LAB71" s="26"/>
      <c r="LAC71" s="26"/>
      <c r="LAD71" s="26"/>
      <c r="LAE71" s="26"/>
      <c r="LAF71" s="26"/>
      <c r="LAG71" s="26"/>
      <c r="LAH71" s="26"/>
      <c r="LAI71" s="26"/>
      <c r="LAJ71" s="26"/>
      <c r="LAK71" s="26"/>
      <c r="LAL71" s="26"/>
      <c r="LAM71" s="26"/>
      <c r="LAN71" s="26"/>
      <c r="LAO71" s="26"/>
      <c r="LAP71" s="26"/>
      <c r="LAQ71" s="26"/>
      <c r="LAR71" s="26"/>
      <c r="LAS71" s="26"/>
      <c r="LAT71" s="26"/>
      <c r="LAU71" s="26"/>
      <c r="LAV71" s="26"/>
      <c r="LAW71" s="26"/>
      <c r="LAX71" s="26"/>
      <c r="LAY71" s="26"/>
      <c r="LAZ71" s="26"/>
      <c r="LBA71" s="26"/>
      <c r="LBB71" s="26"/>
      <c r="LBC71" s="26"/>
      <c r="LBD71" s="26"/>
      <c r="LBE71" s="26"/>
      <c r="LBF71" s="26"/>
      <c r="LBG71" s="26"/>
      <c r="LBH71" s="26"/>
      <c r="LBI71" s="26"/>
      <c r="LBJ71" s="26"/>
      <c r="LBK71" s="26"/>
      <c r="LBL71" s="26"/>
      <c r="LBM71" s="26"/>
      <c r="LBN71" s="26"/>
      <c r="LBO71" s="26"/>
      <c r="LBP71" s="26"/>
      <c r="LBQ71" s="26"/>
      <c r="LBR71" s="26"/>
      <c r="LBS71" s="26"/>
      <c r="LBT71" s="26"/>
      <c r="LBU71" s="26"/>
      <c r="LBV71" s="26"/>
      <c r="LBW71" s="26"/>
      <c r="LBX71" s="26"/>
      <c r="LBY71" s="26"/>
      <c r="LBZ71" s="26"/>
      <c r="LCA71" s="26"/>
      <c r="LCB71" s="26"/>
      <c r="LCC71" s="26"/>
      <c r="LCD71" s="26"/>
      <c r="LCE71" s="26"/>
      <c r="LCF71" s="26"/>
      <c r="LCG71" s="26"/>
      <c r="LCH71" s="26"/>
      <c r="LCI71" s="26"/>
      <c r="LCJ71" s="26"/>
      <c r="LCK71" s="26"/>
      <c r="LCL71" s="26"/>
      <c r="LCM71" s="26"/>
      <c r="LCN71" s="26"/>
      <c r="LCO71" s="26"/>
      <c r="LCP71" s="26"/>
      <c r="LCQ71" s="26"/>
      <c r="LCR71" s="26"/>
      <c r="LCS71" s="26"/>
      <c r="LCT71" s="26"/>
      <c r="LCU71" s="26"/>
      <c r="LCV71" s="26"/>
      <c r="LCW71" s="26"/>
      <c r="LCX71" s="26"/>
      <c r="LCY71" s="26"/>
      <c r="LCZ71" s="26"/>
      <c r="LDA71" s="26"/>
      <c r="LDB71" s="26"/>
      <c r="LDC71" s="26"/>
      <c r="LDD71" s="26"/>
      <c r="LDE71" s="26"/>
      <c r="LDF71" s="26"/>
      <c r="LDG71" s="26"/>
      <c r="LDH71" s="26"/>
      <c r="LDI71" s="26"/>
      <c r="LDJ71" s="26"/>
      <c r="LDK71" s="26"/>
      <c r="LDL71" s="26"/>
      <c r="LDM71" s="26"/>
      <c r="LDN71" s="26"/>
      <c r="LDO71" s="26"/>
      <c r="LDP71" s="26"/>
      <c r="LDQ71" s="26"/>
      <c r="LDR71" s="26"/>
      <c r="LDS71" s="26"/>
      <c r="LDT71" s="26"/>
      <c r="LDU71" s="26"/>
      <c r="LDV71" s="26"/>
      <c r="LDW71" s="26"/>
      <c r="LDX71" s="26"/>
      <c r="LDY71" s="26"/>
      <c r="LDZ71" s="26"/>
      <c r="LEA71" s="26"/>
      <c r="LEB71" s="26"/>
      <c r="LEC71" s="26"/>
      <c r="LED71" s="26"/>
      <c r="LEE71" s="26"/>
      <c r="LEF71" s="26"/>
      <c r="LEG71" s="26"/>
      <c r="LEH71" s="26"/>
      <c r="LEI71" s="26"/>
      <c r="LEJ71" s="26"/>
      <c r="LEK71" s="26"/>
      <c r="LEL71" s="26"/>
      <c r="LEM71" s="26"/>
      <c r="LEN71" s="26"/>
      <c r="LEO71" s="26"/>
      <c r="LEP71" s="26"/>
      <c r="LEQ71" s="26"/>
      <c r="LER71" s="26"/>
      <c r="LES71" s="26"/>
      <c r="LET71" s="26"/>
      <c r="LEU71" s="26"/>
      <c r="LEV71" s="26"/>
      <c r="LEW71" s="26"/>
      <c r="LEX71" s="26"/>
      <c r="LEY71" s="26"/>
      <c r="LEZ71" s="26"/>
      <c r="LFA71" s="26"/>
      <c r="LFB71" s="26"/>
      <c r="LFC71" s="26"/>
      <c r="LFD71" s="26"/>
      <c r="LFE71" s="26"/>
      <c r="LFF71" s="26"/>
      <c r="LFG71" s="26"/>
      <c r="LFH71" s="26"/>
      <c r="LFI71" s="26"/>
      <c r="LFJ71" s="26"/>
      <c r="LFK71" s="26"/>
      <c r="LFL71" s="26"/>
      <c r="LFM71" s="26"/>
      <c r="LFN71" s="26"/>
      <c r="LFO71" s="26"/>
      <c r="LFP71" s="26"/>
      <c r="LFQ71" s="26"/>
      <c r="LFR71" s="26"/>
      <c r="LFS71" s="26"/>
      <c r="LFT71" s="26"/>
      <c r="LFU71" s="26"/>
      <c r="LFV71" s="26"/>
      <c r="LFW71" s="26"/>
      <c r="LFX71" s="26"/>
      <c r="LFY71" s="26"/>
      <c r="LFZ71" s="26"/>
      <c r="LGA71" s="26"/>
      <c r="LGB71" s="26"/>
      <c r="LGC71" s="26"/>
      <c r="LGD71" s="26"/>
      <c r="LGE71" s="26"/>
      <c r="LGF71" s="26"/>
      <c r="LGG71" s="26"/>
      <c r="LGH71" s="26"/>
      <c r="LGI71" s="26"/>
      <c r="LGJ71" s="26"/>
      <c r="LGK71" s="26"/>
      <c r="LGL71" s="26"/>
      <c r="LGM71" s="26"/>
      <c r="LGN71" s="26"/>
      <c r="LGO71" s="26"/>
      <c r="LGP71" s="26"/>
      <c r="LGQ71" s="26"/>
      <c r="LGR71" s="26"/>
      <c r="LGS71" s="26"/>
      <c r="LGT71" s="26"/>
      <c r="LGU71" s="26"/>
      <c r="LGV71" s="26"/>
      <c r="LGW71" s="26"/>
      <c r="LGX71" s="26"/>
      <c r="LGY71" s="26"/>
      <c r="LGZ71" s="26"/>
      <c r="LHA71" s="26"/>
      <c r="LHB71" s="26"/>
      <c r="LHC71" s="26"/>
      <c r="LHD71" s="26"/>
      <c r="LHE71" s="26"/>
      <c r="LHF71" s="26"/>
      <c r="LHG71" s="26"/>
      <c r="LHH71" s="26"/>
      <c r="LHI71" s="26"/>
      <c r="LHJ71" s="26"/>
      <c r="LHK71" s="26"/>
      <c r="LHL71" s="26"/>
      <c r="LHM71" s="26"/>
      <c r="LHN71" s="26"/>
      <c r="LHO71" s="26"/>
      <c r="LHP71" s="26"/>
      <c r="LHQ71" s="26"/>
      <c r="LHR71" s="26"/>
      <c r="LHS71" s="26"/>
      <c r="LHT71" s="26"/>
      <c r="LHU71" s="26"/>
      <c r="LHV71" s="26"/>
      <c r="LHW71" s="26"/>
      <c r="LHX71" s="26"/>
      <c r="LHY71" s="26"/>
      <c r="LHZ71" s="26"/>
      <c r="LIA71" s="26"/>
      <c r="LIB71" s="26"/>
      <c r="LIC71" s="26"/>
      <c r="LID71" s="26"/>
      <c r="LIE71" s="26"/>
      <c r="LIF71" s="26"/>
      <c r="LIG71" s="26"/>
      <c r="LIH71" s="26"/>
      <c r="LII71" s="26"/>
      <c r="LIJ71" s="26"/>
      <c r="LIK71" s="26"/>
      <c r="LIL71" s="26"/>
      <c r="LIM71" s="26"/>
      <c r="LIN71" s="26"/>
      <c r="LIO71" s="26"/>
      <c r="LIP71" s="26"/>
      <c r="LIQ71" s="26"/>
      <c r="LIR71" s="26"/>
      <c r="LIS71" s="26"/>
      <c r="LIT71" s="26"/>
      <c r="LIU71" s="26"/>
      <c r="LIV71" s="26"/>
      <c r="LIW71" s="26"/>
      <c r="LIX71" s="26"/>
      <c r="LIY71" s="26"/>
      <c r="LIZ71" s="26"/>
      <c r="LJA71" s="26"/>
      <c r="LJB71" s="26"/>
      <c r="LJC71" s="26"/>
      <c r="LJD71" s="26"/>
      <c r="LJE71" s="26"/>
      <c r="LJF71" s="26"/>
      <c r="LJG71" s="26"/>
      <c r="LJH71" s="26"/>
      <c r="LJI71" s="26"/>
      <c r="LJJ71" s="26"/>
      <c r="LJK71" s="26"/>
      <c r="LJL71" s="26"/>
      <c r="LJM71" s="26"/>
      <c r="LJN71" s="26"/>
      <c r="LJO71" s="26"/>
      <c r="LJP71" s="26"/>
      <c r="LJQ71" s="26"/>
      <c r="LJR71" s="26"/>
      <c r="LJS71" s="26"/>
      <c r="LJT71" s="26"/>
      <c r="LJU71" s="26"/>
      <c r="LJV71" s="26"/>
      <c r="LJW71" s="26"/>
      <c r="LJX71" s="26"/>
      <c r="LJY71" s="26"/>
      <c r="LJZ71" s="26"/>
      <c r="LKA71" s="26"/>
      <c r="LKB71" s="26"/>
      <c r="LKC71" s="26"/>
      <c r="LKD71" s="26"/>
      <c r="LKE71" s="26"/>
      <c r="LKF71" s="26"/>
      <c r="LKG71" s="26"/>
      <c r="LKH71" s="26"/>
      <c r="LKI71" s="26"/>
      <c r="LKJ71" s="26"/>
      <c r="LKK71" s="26"/>
      <c r="LKL71" s="26"/>
      <c r="LKM71" s="26"/>
      <c r="LKN71" s="26"/>
      <c r="LKO71" s="26"/>
      <c r="LKP71" s="26"/>
      <c r="LKQ71" s="26"/>
      <c r="LKR71" s="26"/>
      <c r="LKS71" s="26"/>
      <c r="LKT71" s="26"/>
      <c r="LKU71" s="26"/>
      <c r="LKV71" s="26"/>
      <c r="LKW71" s="26"/>
      <c r="LKX71" s="26"/>
      <c r="LKY71" s="26"/>
      <c r="LKZ71" s="26"/>
      <c r="LLA71" s="26"/>
      <c r="LLB71" s="26"/>
      <c r="LLC71" s="26"/>
      <c r="LLD71" s="26"/>
      <c r="LLE71" s="26"/>
      <c r="LLF71" s="26"/>
      <c r="LLG71" s="26"/>
      <c r="LLH71" s="26"/>
      <c r="LLI71" s="26"/>
      <c r="LLJ71" s="26"/>
      <c r="LLK71" s="26"/>
      <c r="LLL71" s="26"/>
      <c r="LLM71" s="26"/>
      <c r="LLN71" s="26"/>
      <c r="LLO71" s="26"/>
      <c r="LLP71" s="26"/>
      <c r="LLQ71" s="26"/>
      <c r="LLR71" s="26"/>
      <c r="LLS71" s="26"/>
      <c r="LLT71" s="26"/>
      <c r="LLU71" s="26"/>
      <c r="LLV71" s="26"/>
      <c r="LLW71" s="26"/>
      <c r="LLX71" s="26"/>
      <c r="LLY71" s="26"/>
      <c r="LLZ71" s="26"/>
      <c r="LMA71" s="26"/>
      <c r="LMB71" s="26"/>
      <c r="LMC71" s="26"/>
      <c r="LMD71" s="26"/>
      <c r="LME71" s="26"/>
      <c r="LMF71" s="26"/>
      <c r="LMG71" s="26"/>
      <c r="LMH71" s="26"/>
      <c r="LMI71" s="26"/>
      <c r="LMJ71" s="26"/>
      <c r="LMK71" s="26"/>
      <c r="LML71" s="26"/>
      <c r="LMM71" s="26"/>
      <c r="LMN71" s="26"/>
      <c r="LMO71" s="26"/>
      <c r="LMP71" s="26"/>
      <c r="LMQ71" s="26"/>
      <c r="LMR71" s="26"/>
      <c r="LMS71" s="26"/>
      <c r="LMT71" s="26"/>
      <c r="LMU71" s="26"/>
      <c r="LMV71" s="26"/>
      <c r="LMW71" s="26"/>
      <c r="LMX71" s="26"/>
      <c r="LMY71" s="26"/>
      <c r="LMZ71" s="26"/>
      <c r="LNA71" s="26"/>
      <c r="LNB71" s="26"/>
      <c r="LNC71" s="26"/>
      <c r="LND71" s="26"/>
      <c r="LNE71" s="26"/>
      <c r="LNF71" s="26"/>
      <c r="LNG71" s="26"/>
      <c r="LNH71" s="26"/>
      <c r="LNI71" s="26"/>
      <c r="LNJ71" s="26"/>
      <c r="LNK71" s="26"/>
      <c r="LNL71" s="26"/>
      <c r="LNM71" s="26"/>
      <c r="LNN71" s="26"/>
      <c r="LNO71" s="26"/>
      <c r="LNP71" s="26"/>
      <c r="LNQ71" s="26"/>
      <c r="LNR71" s="26"/>
      <c r="LNS71" s="26"/>
      <c r="LNT71" s="26"/>
      <c r="LNU71" s="26"/>
      <c r="LNV71" s="26"/>
      <c r="LNW71" s="26"/>
      <c r="LNX71" s="26"/>
      <c r="LNY71" s="26"/>
      <c r="LNZ71" s="26"/>
      <c r="LOA71" s="26"/>
      <c r="LOB71" s="26"/>
      <c r="LOC71" s="26"/>
      <c r="LOD71" s="26"/>
      <c r="LOE71" s="26"/>
      <c r="LOF71" s="26"/>
      <c r="LOG71" s="26"/>
      <c r="LOH71" s="26"/>
      <c r="LOI71" s="26"/>
      <c r="LOJ71" s="26"/>
      <c r="LOK71" s="26"/>
      <c r="LOL71" s="26"/>
      <c r="LOM71" s="26"/>
      <c r="LON71" s="26"/>
      <c r="LOO71" s="26"/>
      <c r="LOP71" s="26"/>
      <c r="LOQ71" s="26"/>
      <c r="LOR71" s="26"/>
      <c r="LOS71" s="26"/>
      <c r="LOT71" s="26"/>
      <c r="LOU71" s="26"/>
      <c r="LOV71" s="26"/>
      <c r="LOW71" s="26"/>
      <c r="LOX71" s="26"/>
      <c r="LOY71" s="26"/>
      <c r="LOZ71" s="26"/>
      <c r="LPA71" s="26"/>
      <c r="LPB71" s="26"/>
      <c r="LPC71" s="26"/>
      <c r="LPD71" s="26"/>
      <c r="LPE71" s="26"/>
      <c r="LPF71" s="26"/>
      <c r="LPG71" s="26"/>
      <c r="LPH71" s="26"/>
      <c r="LPI71" s="26"/>
      <c r="LPJ71" s="26"/>
      <c r="LPK71" s="26"/>
      <c r="LPL71" s="26"/>
      <c r="LPM71" s="26"/>
      <c r="LPN71" s="26"/>
      <c r="LPO71" s="26"/>
      <c r="LPP71" s="26"/>
      <c r="LPQ71" s="26"/>
      <c r="LPR71" s="26"/>
      <c r="LPS71" s="26"/>
      <c r="LPT71" s="26"/>
      <c r="LPU71" s="26"/>
      <c r="LPV71" s="26"/>
      <c r="LPW71" s="26"/>
      <c r="LPX71" s="26"/>
      <c r="LPY71" s="26"/>
      <c r="LPZ71" s="26"/>
      <c r="LQA71" s="26"/>
      <c r="LQB71" s="26"/>
      <c r="LQC71" s="26"/>
      <c r="LQD71" s="26"/>
      <c r="LQE71" s="26"/>
      <c r="LQF71" s="26"/>
      <c r="LQG71" s="26"/>
      <c r="LQH71" s="26"/>
      <c r="LQI71" s="26"/>
      <c r="LQJ71" s="26"/>
      <c r="LQK71" s="26"/>
      <c r="LQL71" s="26"/>
      <c r="LQM71" s="26"/>
      <c r="LQN71" s="26"/>
      <c r="LQO71" s="26"/>
      <c r="LQP71" s="26"/>
      <c r="LQQ71" s="26"/>
      <c r="LQR71" s="26"/>
      <c r="LQS71" s="26"/>
      <c r="LQT71" s="26"/>
      <c r="LQU71" s="26"/>
      <c r="LQV71" s="26"/>
      <c r="LQW71" s="26"/>
      <c r="LQX71" s="26"/>
      <c r="LQY71" s="26"/>
      <c r="LQZ71" s="26"/>
      <c r="LRA71" s="26"/>
      <c r="LRB71" s="26"/>
      <c r="LRC71" s="26"/>
      <c r="LRD71" s="26"/>
      <c r="LRE71" s="26"/>
      <c r="LRF71" s="26"/>
      <c r="LRG71" s="26"/>
      <c r="LRH71" s="26"/>
      <c r="LRI71" s="26"/>
      <c r="LRJ71" s="26"/>
      <c r="LRK71" s="26"/>
      <c r="LRL71" s="26"/>
      <c r="LRM71" s="26"/>
      <c r="LRN71" s="26"/>
      <c r="LRO71" s="26"/>
      <c r="LRP71" s="26"/>
      <c r="LRQ71" s="26"/>
      <c r="LRR71" s="26"/>
      <c r="LRS71" s="26"/>
      <c r="LRT71" s="26"/>
      <c r="LRU71" s="26"/>
      <c r="LRV71" s="26"/>
      <c r="LRW71" s="26"/>
      <c r="LRX71" s="26"/>
      <c r="LRY71" s="26"/>
      <c r="LRZ71" s="26"/>
      <c r="LSA71" s="26"/>
      <c r="LSB71" s="26"/>
      <c r="LSC71" s="26"/>
      <c r="LSD71" s="26"/>
      <c r="LSE71" s="26"/>
      <c r="LSF71" s="26"/>
      <c r="LSG71" s="26"/>
      <c r="LSH71" s="26"/>
      <c r="LSI71" s="26"/>
      <c r="LSJ71" s="26"/>
      <c r="LSK71" s="26"/>
      <c r="LSL71" s="26"/>
      <c r="LSM71" s="26"/>
      <c r="LSN71" s="26"/>
      <c r="LSO71" s="26"/>
      <c r="LSP71" s="26"/>
      <c r="LSQ71" s="26"/>
      <c r="LSR71" s="26"/>
      <c r="LSS71" s="26"/>
      <c r="LST71" s="26"/>
      <c r="LSU71" s="26"/>
      <c r="LSV71" s="26"/>
      <c r="LSW71" s="26"/>
      <c r="LSX71" s="26"/>
      <c r="LSY71" s="26"/>
      <c r="LSZ71" s="26"/>
      <c r="LTA71" s="26"/>
      <c r="LTB71" s="26"/>
      <c r="LTC71" s="26"/>
      <c r="LTD71" s="26"/>
      <c r="LTE71" s="26"/>
      <c r="LTF71" s="26"/>
      <c r="LTG71" s="26"/>
      <c r="LTH71" s="26"/>
      <c r="LTI71" s="26"/>
      <c r="LTJ71" s="26"/>
      <c r="LTK71" s="26"/>
      <c r="LTL71" s="26"/>
      <c r="LTM71" s="26"/>
      <c r="LTN71" s="26"/>
      <c r="LTO71" s="26"/>
      <c r="LTP71" s="26"/>
      <c r="LTQ71" s="26"/>
      <c r="LTR71" s="26"/>
      <c r="LTS71" s="26"/>
      <c r="LTT71" s="26"/>
      <c r="LTU71" s="26"/>
      <c r="LTV71" s="26"/>
      <c r="LTW71" s="26"/>
      <c r="LTX71" s="26"/>
      <c r="LTY71" s="26"/>
      <c r="LTZ71" s="26"/>
      <c r="LUA71" s="26"/>
      <c r="LUB71" s="26"/>
      <c r="LUC71" s="26"/>
      <c r="LUD71" s="26"/>
      <c r="LUE71" s="26"/>
      <c r="LUF71" s="26"/>
      <c r="LUG71" s="26"/>
      <c r="LUH71" s="26"/>
      <c r="LUI71" s="26"/>
      <c r="LUJ71" s="26"/>
      <c r="LUK71" s="26"/>
      <c r="LUL71" s="26"/>
      <c r="LUM71" s="26"/>
      <c r="LUN71" s="26"/>
      <c r="LUO71" s="26"/>
      <c r="LUP71" s="26"/>
      <c r="LUQ71" s="26"/>
      <c r="LUR71" s="26"/>
      <c r="LUS71" s="26"/>
      <c r="LUT71" s="26"/>
      <c r="LUU71" s="26"/>
      <c r="LUV71" s="26"/>
      <c r="LUW71" s="26"/>
      <c r="LUX71" s="26"/>
      <c r="LUY71" s="26"/>
      <c r="LUZ71" s="26"/>
      <c r="LVA71" s="26"/>
      <c r="LVB71" s="26"/>
      <c r="LVC71" s="26"/>
      <c r="LVD71" s="26"/>
      <c r="LVE71" s="26"/>
      <c r="LVF71" s="26"/>
      <c r="LVG71" s="26"/>
      <c r="LVH71" s="26"/>
      <c r="LVI71" s="26"/>
      <c r="LVJ71" s="26"/>
      <c r="LVK71" s="26"/>
      <c r="LVL71" s="26"/>
      <c r="LVM71" s="26"/>
      <c r="LVN71" s="26"/>
      <c r="LVO71" s="26"/>
      <c r="LVP71" s="26"/>
      <c r="LVQ71" s="26"/>
      <c r="LVR71" s="26"/>
      <c r="LVS71" s="26"/>
      <c r="LVT71" s="26"/>
      <c r="LVU71" s="26"/>
      <c r="LVV71" s="26"/>
      <c r="LVW71" s="26"/>
      <c r="LVX71" s="26"/>
      <c r="LVY71" s="26"/>
      <c r="LVZ71" s="26"/>
      <c r="LWA71" s="26"/>
      <c r="LWB71" s="26"/>
      <c r="LWC71" s="26"/>
      <c r="LWD71" s="26"/>
      <c r="LWE71" s="26"/>
      <c r="LWF71" s="26"/>
      <c r="LWG71" s="26"/>
      <c r="LWH71" s="26"/>
      <c r="LWI71" s="26"/>
      <c r="LWJ71" s="26"/>
      <c r="LWK71" s="26"/>
      <c r="LWL71" s="26"/>
      <c r="LWM71" s="26"/>
      <c r="LWN71" s="26"/>
      <c r="LWO71" s="26"/>
      <c r="LWP71" s="26"/>
      <c r="LWQ71" s="26"/>
      <c r="LWR71" s="26"/>
      <c r="LWS71" s="26"/>
      <c r="LWT71" s="26"/>
      <c r="LWU71" s="26"/>
      <c r="LWV71" s="26"/>
      <c r="LWW71" s="26"/>
      <c r="LWX71" s="26"/>
      <c r="LWY71" s="26"/>
      <c r="LWZ71" s="26"/>
      <c r="LXA71" s="26"/>
      <c r="LXB71" s="26"/>
      <c r="LXC71" s="26"/>
      <c r="LXD71" s="26"/>
      <c r="LXE71" s="26"/>
      <c r="LXF71" s="26"/>
      <c r="LXG71" s="26"/>
      <c r="LXH71" s="26"/>
      <c r="LXI71" s="26"/>
      <c r="LXJ71" s="26"/>
      <c r="LXK71" s="26"/>
      <c r="LXL71" s="26"/>
      <c r="LXM71" s="26"/>
      <c r="LXN71" s="26"/>
      <c r="LXO71" s="26"/>
      <c r="LXP71" s="26"/>
      <c r="LXQ71" s="26"/>
      <c r="LXR71" s="26"/>
      <c r="LXS71" s="26"/>
      <c r="LXT71" s="26"/>
      <c r="LXU71" s="26"/>
      <c r="LXV71" s="26"/>
      <c r="LXW71" s="26"/>
      <c r="LXX71" s="26"/>
      <c r="LXY71" s="26"/>
      <c r="LXZ71" s="26"/>
      <c r="LYA71" s="26"/>
      <c r="LYB71" s="26"/>
      <c r="LYC71" s="26"/>
      <c r="LYD71" s="26"/>
      <c r="LYE71" s="26"/>
      <c r="LYF71" s="26"/>
      <c r="LYG71" s="26"/>
      <c r="LYH71" s="26"/>
      <c r="LYI71" s="26"/>
      <c r="LYJ71" s="26"/>
      <c r="LYK71" s="26"/>
      <c r="LYL71" s="26"/>
      <c r="LYM71" s="26"/>
      <c r="LYN71" s="26"/>
      <c r="LYO71" s="26"/>
      <c r="LYP71" s="26"/>
      <c r="LYQ71" s="26"/>
      <c r="LYR71" s="26"/>
      <c r="LYS71" s="26"/>
      <c r="LYT71" s="26"/>
      <c r="LYU71" s="26"/>
      <c r="LYV71" s="26"/>
      <c r="LYW71" s="26"/>
      <c r="LYX71" s="26"/>
      <c r="LYY71" s="26"/>
      <c r="LYZ71" s="26"/>
      <c r="LZA71" s="26"/>
      <c r="LZB71" s="26"/>
      <c r="LZC71" s="26"/>
      <c r="LZD71" s="26"/>
      <c r="LZE71" s="26"/>
      <c r="LZF71" s="26"/>
      <c r="LZG71" s="26"/>
      <c r="LZH71" s="26"/>
      <c r="LZI71" s="26"/>
      <c r="LZJ71" s="26"/>
      <c r="LZK71" s="26"/>
      <c r="LZL71" s="26"/>
      <c r="LZM71" s="26"/>
      <c r="LZN71" s="26"/>
      <c r="LZO71" s="26"/>
      <c r="LZP71" s="26"/>
      <c r="LZQ71" s="26"/>
      <c r="LZR71" s="26"/>
      <c r="LZS71" s="26"/>
      <c r="LZT71" s="26"/>
      <c r="LZU71" s="26"/>
      <c r="LZV71" s="26"/>
      <c r="LZW71" s="26"/>
      <c r="LZX71" s="26"/>
      <c r="LZY71" s="26"/>
      <c r="LZZ71" s="26"/>
      <c r="MAA71" s="26"/>
      <c r="MAB71" s="26"/>
      <c r="MAC71" s="26"/>
      <c r="MAD71" s="26"/>
      <c r="MAE71" s="26"/>
      <c r="MAF71" s="26"/>
      <c r="MAG71" s="26"/>
      <c r="MAH71" s="26"/>
      <c r="MAI71" s="26"/>
      <c r="MAJ71" s="26"/>
      <c r="MAK71" s="26"/>
      <c r="MAL71" s="26"/>
      <c r="MAM71" s="26"/>
      <c r="MAN71" s="26"/>
      <c r="MAO71" s="26"/>
      <c r="MAP71" s="26"/>
      <c r="MAQ71" s="26"/>
      <c r="MAR71" s="26"/>
      <c r="MAS71" s="26"/>
      <c r="MAT71" s="26"/>
      <c r="MAU71" s="26"/>
      <c r="MAV71" s="26"/>
      <c r="MAW71" s="26"/>
      <c r="MAX71" s="26"/>
      <c r="MAY71" s="26"/>
      <c r="MAZ71" s="26"/>
      <c r="MBA71" s="26"/>
      <c r="MBB71" s="26"/>
      <c r="MBC71" s="26"/>
      <c r="MBD71" s="26"/>
      <c r="MBE71" s="26"/>
      <c r="MBF71" s="26"/>
      <c r="MBG71" s="26"/>
      <c r="MBH71" s="26"/>
      <c r="MBI71" s="26"/>
      <c r="MBJ71" s="26"/>
      <c r="MBK71" s="26"/>
      <c r="MBL71" s="26"/>
      <c r="MBM71" s="26"/>
      <c r="MBN71" s="26"/>
      <c r="MBO71" s="26"/>
      <c r="MBP71" s="26"/>
      <c r="MBQ71" s="26"/>
      <c r="MBR71" s="26"/>
      <c r="MBS71" s="26"/>
      <c r="MBT71" s="26"/>
      <c r="MBU71" s="26"/>
      <c r="MBV71" s="26"/>
      <c r="MBW71" s="26"/>
      <c r="MBX71" s="26"/>
      <c r="MBY71" s="26"/>
      <c r="MBZ71" s="26"/>
      <c r="MCA71" s="26"/>
      <c r="MCB71" s="26"/>
      <c r="MCC71" s="26"/>
      <c r="MCD71" s="26"/>
      <c r="MCE71" s="26"/>
      <c r="MCF71" s="26"/>
      <c r="MCG71" s="26"/>
      <c r="MCH71" s="26"/>
      <c r="MCI71" s="26"/>
      <c r="MCJ71" s="26"/>
      <c r="MCK71" s="26"/>
      <c r="MCL71" s="26"/>
      <c r="MCM71" s="26"/>
      <c r="MCN71" s="26"/>
      <c r="MCO71" s="26"/>
      <c r="MCP71" s="26"/>
      <c r="MCQ71" s="26"/>
      <c r="MCR71" s="26"/>
      <c r="MCS71" s="26"/>
      <c r="MCT71" s="26"/>
      <c r="MCU71" s="26"/>
      <c r="MCV71" s="26"/>
      <c r="MCW71" s="26"/>
      <c r="MCX71" s="26"/>
      <c r="MCY71" s="26"/>
      <c r="MCZ71" s="26"/>
      <c r="MDA71" s="26"/>
      <c r="MDB71" s="26"/>
      <c r="MDC71" s="26"/>
      <c r="MDD71" s="26"/>
      <c r="MDE71" s="26"/>
      <c r="MDF71" s="26"/>
      <c r="MDG71" s="26"/>
      <c r="MDH71" s="26"/>
      <c r="MDI71" s="26"/>
      <c r="MDJ71" s="26"/>
      <c r="MDK71" s="26"/>
      <c r="MDL71" s="26"/>
      <c r="MDM71" s="26"/>
      <c r="MDN71" s="26"/>
      <c r="MDO71" s="26"/>
      <c r="MDP71" s="26"/>
      <c r="MDQ71" s="26"/>
      <c r="MDR71" s="26"/>
      <c r="MDS71" s="26"/>
      <c r="MDT71" s="26"/>
      <c r="MDU71" s="26"/>
      <c r="MDV71" s="26"/>
      <c r="MDW71" s="26"/>
      <c r="MDX71" s="26"/>
      <c r="MDY71" s="26"/>
      <c r="MDZ71" s="26"/>
      <c r="MEA71" s="26"/>
      <c r="MEB71" s="26"/>
      <c r="MEC71" s="26"/>
      <c r="MED71" s="26"/>
      <c r="MEE71" s="26"/>
      <c r="MEF71" s="26"/>
      <c r="MEG71" s="26"/>
      <c r="MEH71" s="26"/>
      <c r="MEI71" s="26"/>
      <c r="MEJ71" s="26"/>
      <c r="MEK71" s="26"/>
      <c r="MEL71" s="26"/>
      <c r="MEM71" s="26"/>
      <c r="MEN71" s="26"/>
      <c r="MEO71" s="26"/>
      <c r="MEP71" s="26"/>
      <c r="MEQ71" s="26"/>
      <c r="MER71" s="26"/>
      <c r="MES71" s="26"/>
      <c r="MET71" s="26"/>
      <c r="MEU71" s="26"/>
      <c r="MEV71" s="26"/>
      <c r="MEW71" s="26"/>
      <c r="MEX71" s="26"/>
      <c r="MEY71" s="26"/>
      <c r="MEZ71" s="26"/>
      <c r="MFA71" s="26"/>
      <c r="MFB71" s="26"/>
      <c r="MFC71" s="26"/>
      <c r="MFD71" s="26"/>
      <c r="MFE71" s="26"/>
      <c r="MFF71" s="26"/>
      <c r="MFG71" s="26"/>
      <c r="MFH71" s="26"/>
      <c r="MFI71" s="26"/>
      <c r="MFJ71" s="26"/>
      <c r="MFK71" s="26"/>
      <c r="MFL71" s="26"/>
      <c r="MFM71" s="26"/>
      <c r="MFN71" s="26"/>
      <c r="MFO71" s="26"/>
      <c r="MFP71" s="26"/>
      <c r="MFQ71" s="26"/>
      <c r="MFR71" s="26"/>
      <c r="MFS71" s="26"/>
      <c r="MFT71" s="26"/>
      <c r="MFU71" s="26"/>
      <c r="MFV71" s="26"/>
      <c r="MFW71" s="26"/>
      <c r="MFX71" s="26"/>
      <c r="MFY71" s="26"/>
      <c r="MFZ71" s="26"/>
      <c r="MGA71" s="26"/>
      <c r="MGB71" s="26"/>
      <c r="MGC71" s="26"/>
      <c r="MGD71" s="26"/>
      <c r="MGE71" s="26"/>
      <c r="MGF71" s="26"/>
      <c r="MGG71" s="26"/>
      <c r="MGH71" s="26"/>
      <c r="MGI71" s="26"/>
      <c r="MGJ71" s="26"/>
      <c r="MGK71" s="26"/>
      <c r="MGL71" s="26"/>
      <c r="MGM71" s="26"/>
      <c r="MGN71" s="26"/>
      <c r="MGO71" s="26"/>
      <c r="MGP71" s="26"/>
      <c r="MGQ71" s="26"/>
      <c r="MGR71" s="26"/>
      <c r="MGS71" s="26"/>
      <c r="MGT71" s="26"/>
      <c r="MGU71" s="26"/>
      <c r="MGV71" s="26"/>
      <c r="MGW71" s="26"/>
      <c r="MGX71" s="26"/>
      <c r="MGY71" s="26"/>
      <c r="MGZ71" s="26"/>
      <c r="MHA71" s="26"/>
      <c r="MHB71" s="26"/>
      <c r="MHC71" s="26"/>
      <c r="MHD71" s="26"/>
      <c r="MHE71" s="26"/>
      <c r="MHF71" s="26"/>
      <c r="MHG71" s="26"/>
      <c r="MHH71" s="26"/>
      <c r="MHI71" s="26"/>
      <c r="MHJ71" s="26"/>
      <c r="MHK71" s="26"/>
      <c r="MHL71" s="26"/>
      <c r="MHM71" s="26"/>
      <c r="MHN71" s="26"/>
      <c r="MHO71" s="26"/>
      <c r="MHP71" s="26"/>
      <c r="MHQ71" s="26"/>
      <c r="MHR71" s="26"/>
      <c r="MHS71" s="26"/>
      <c r="MHT71" s="26"/>
      <c r="MHU71" s="26"/>
      <c r="MHV71" s="26"/>
      <c r="MHW71" s="26"/>
      <c r="MHX71" s="26"/>
      <c r="MHY71" s="26"/>
      <c r="MHZ71" s="26"/>
      <c r="MIA71" s="26"/>
      <c r="MIB71" s="26"/>
      <c r="MIC71" s="26"/>
      <c r="MID71" s="26"/>
      <c r="MIE71" s="26"/>
      <c r="MIF71" s="26"/>
      <c r="MIG71" s="26"/>
      <c r="MIH71" s="26"/>
      <c r="MII71" s="26"/>
      <c r="MIJ71" s="26"/>
      <c r="MIK71" s="26"/>
      <c r="MIL71" s="26"/>
      <c r="MIM71" s="26"/>
      <c r="MIN71" s="26"/>
      <c r="MIO71" s="26"/>
      <c r="MIP71" s="26"/>
      <c r="MIQ71" s="26"/>
      <c r="MIR71" s="26"/>
      <c r="MIS71" s="26"/>
      <c r="MIT71" s="26"/>
      <c r="MIU71" s="26"/>
      <c r="MIV71" s="26"/>
      <c r="MIW71" s="26"/>
      <c r="MIX71" s="26"/>
      <c r="MIY71" s="26"/>
      <c r="MIZ71" s="26"/>
      <c r="MJA71" s="26"/>
      <c r="MJB71" s="26"/>
      <c r="MJC71" s="26"/>
      <c r="MJD71" s="26"/>
      <c r="MJE71" s="26"/>
      <c r="MJF71" s="26"/>
      <c r="MJG71" s="26"/>
      <c r="MJH71" s="26"/>
      <c r="MJI71" s="26"/>
      <c r="MJJ71" s="26"/>
      <c r="MJK71" s="26"/>
      <c r="MJL71" s="26"/>
      <c r="MJM71" s="26"/>
      <c r="MJN71" s="26"/>
      <c r="MJO71" s="26"/>
      <c r="MJP71" s="26"/>
      <c r="MJQ71" s="26"/>
      <c r="MJR71" s="26"/>
      <c r="MJS71" s="26"/>
      <c r="MJT71" s="26"/>
      <c r="MJU71" s="26"/>
      <c r="MJV71" s="26"/>
      <c r="MJW71" s="26"/>
      <c r="MJX71" s="26"/>
      <c r="MJY71" s="26"/>
      <c r="MJZ71" s="26"/>
      <c r="MKA71" s="26"/>
      <c r="MKB71" s="26"/>
      <c r="MKC71" s="26"/>
      <c r="MKD71" s="26"/>
      <c r="MKE71" s="26"/>
      <c r="MKF71" s="26"/>
      <c r="MKG71" s="26"/>
      <c r="MKH71" s="26"/>
      <c r="MKI71" s="26"/>
      <c r="MKJ71" s="26"/>
      <c r="MKK71" s="26"/>
      <c r="MKL71" s="26"/>
      <c r="MKM71" s="26"/>
      <c r="MKN71" s="26"/>
      <c r="MKO71" s="26"/>
      <c r="MKP71" s="26"/>
      <c r="MKQ71" s="26"/>
      <c r="MKR71" s="26"/>
      <c r="MKS71" s="26"/>
      <c r="MKT71" s="26"/>
      <c r="MKU71" s="26"/>
      <c r="MKV71" s="26"/>
      <c r="MKW71" s="26"/>
      <c r="MKX71" s="26"/>
      <c r="MKY71" s="26"/>
      <c r="MKZ71" s="26"/>
      <c r="MLA71" s="26"/>
      <c r="MLB71" s="26"/>
      <c r="MLC71" s="26"/>
      <c r="MLD71" s="26"/>
      <c r="MLE71" s="26"/>
      <c r="MLF71" s="26"/>
      <c r="MLG71" s="26"/>
      <c r="MLH71" s="26"/>
      <c r="MLI71" s="26"/>
      <c r="MLJ71" s="26"/>
      <c r="MLK71" s="26"/>
      <c r="MLL71" s="26"/>
      <c r="MLM71" s="26"/>
      <c r="MLN71" s="26"/>
      <c r="MLO71" s="26"/>
      <c r="MLP71" s="26"/>
      <c r="MLQ71" s="26"/>
      <c r="MLR71" s="26"/>
      <c r="MLS71" s="26"/>
      <c r="MLT71" s="26"/>
      <c r="MLU71" s="26"/>
      <c r="MLV71" s="26"/>
      <c r="MLW71" s="26"/>
      <c r="MLX71" s="26"/>
      <c r="MLY71" s="26"/>
      <c r="MLZ71" s="26"/>
      <c r="MMA71" s="26"/>
      <c r="MMB71" s="26"/>
      <c r="MMC71" s="26"/>
      <c r="MMD71" s="26"/>
      <c r="MME71" s="26"/>
      <c r="MMF71" s="26"/>
      <c r="MMG71" s="26"/>
      <c r="MMH71" s="26"/>
      <c r="MMI71" s="26"/>
      <c r="MMJ71" s="26"/>
      <c r="MMK71" s="26"/>
      <c r="MML71" s="26"/>
      <c r="MMM71" s="26"/>
      <c r="MMN71" s="26"/>
      <c r="MMO71" s="26"/>
      <c r="MMP71" s="26"/>
      <c r="MMQ71" s="26"/>
      <c r="MMR71" s="26"/>
      <c r="MMS71" s="26"/>
      <c r="MMT71" s="26"/>
      <c r="MMU71" s="26"/>
      <c r="MMV71" s="26"/>
      <c r="MMW71" s="26"/>
      <c r="MMX71" s="26"/>
      <c r="MMY71" s="26"/>
      <c r="MMZ71" s="26"/>
      <c r="MNA71" s="26"/>
      <c r="MNB71" s="26"/>
      <c r="MNC71" s="26"/>
      <c r="MND71" s="26"/>
      <c r="MNE71" s="26"/>
      <c r="MNF71" s="26"/>
      <c r="MNG71" s="26"/>
      <c r="MNH71" s="26"/>
      <c r="MNI71" s="26"/>
      <c r="MNJ71" s="26"/>
      <c r="MNK71" s="26"/>
      <c r="MNL71" s="26"/>
      <c r="MNM71" s="26"/>
      <c r="MNN71" s="26"/>
      <c r="MNO71" s="26"/>
      <c r="MNP71" s="26"/>
      <c r="MNQ71" s="26"/>
      <c r="MNR71" s="26"/>
      <c r="MNS71" s="26"/>
      <c r="MNT71" s="26"/>
      <c r="MNU71" s="26"/>
      <c r="MNV71" s="26"/>
      <c r="MNW71" s="26"/>
      <c r="MNX71" s="26"/>
      <c r="MNY71" s="26"/>
      <c r="MNZ71" s="26"/>
      <c r="MOA71" s="26"/>
      <c r="MOB71" s="26"/>
      <c r="MOC71" s="26"/>
      <c r="MOD71" s="26"/>
      <c r="MOE71" s="26"/>
      <c r="MOF71" s="26"/>
      <c r="MOG71" s="26"/>
      <c r="MOH71" s="26"/>
      <c r="MOI71" s="26"/>
      <c r="MOJ71" s="26"/>
      <c r="MOK71" s="26"/>
      <c r="MOL71" s="26"/>
      <c r="MOM71" s="26"/>
      <c r="MON71" s="26"/>
      <c r="MOO71" s="26"/>
      <c r="MOP71" s="26"/>
      <c r="MOQ71" s="26"/>
      <c r="MOR71" s="26"/>
      <c r="MOS71" s="26"/>
      <c r="MOT71" s="26"/>
      <c r="MOU71" s="26"/>
      <c r="MOV71" s="26"/>
      <c r="MOW71" s="26"/>
      <c r="MOX71" s="26"/>
      <c r="MOY71" s="26"/>
      <c r="MOZ71" s="26"/>
      <c r="MPA71" s="26"/>
      <c r="MPB71" s="26"/>
      <c r="MPC71" s="26"/>
      <c r="MPD71" s="26"/>
      <c r="MPE71" s="26"/>
      <c r="MPF71" s="26"/>
      <c r="MPG71" s="26"/>
      <c r="MPH71" s="26"/>
      <c r="MPI71" s="26"/>
      <c r="MPJ71" s="26"/>
      <c r="MPK71" s="26"/>
      <c r="MPL71" s="26"/>
      <c r="MPM71" s="26"/>
      <c r="MPN71" s="26"/>
      <c r="MPO71" s="26"/>
      <c r="MPP71" s="26"/>
      <c r="MPQ71" s="26"/>
      <c r="MPR71" s="26"/>
      <c r="MPS71" s="26"/>
      <c r="MPT71" s="26"/>
      <c r="MPU71" s="26"/>
      <c r="MPV71" s="26"/>
      <c r="MPW71" s="26"/>
      <c r="MPX71" s="26"/>
      <c r="MPY71" s="26"/>
      <c r="MPZ71" s="26"/>
      <c r="MQA71" s="26"/>
      <c r="MQB71" s="26"/>
      <c r="MQC71" s="26"/>
      <c r="MQD71" s="26"/>
      <c r="MQE71" s="26"/>
      <c r="MQF71" s="26"/>
      <c r="MQG71" s="26"/>
      <c r="MQH71" s="26"/>
      <c r="MQI71" s="26"/>
      <c r="MQJ71" s="26"/>
      <c r="MQK71" s="26"/>
      <c r="MQL71" s="26"/>
      <c r="MQM71" s="26"/>
      <c r="MQN71" s="26"/>
      <c r="MQO71" s="26"/>
      <c r="MQP71" s="26"/>
      <c r="MQQ71" s="26"/>
      <c r="MQR71" s="26"/>
      <c r="MQS71" s="26"/>
      <c r="MQT71" s="26"/>
      <c r="MQU71" s="26"/>
      <c r="MQV71" s="26"/>
      <c r="MQW71" s="26"/>
      <c r="MQX71" s="26"/>
      <c r="MQY71" s="26"/>
      <c r="MQZ71" s="26"/>
      <c r="MRA71" s="26"/>
      <c r="MRB71" s="26"/>
      <c r="MRC71" s="26"/>
      <c r="MRD71" s="26"/>
      <c r="MRE71" s="26"/>
      <c r="MRF71" s="26"/>
      <c r="MRG71" s="26"/>
      <c r="MRH71" s="26"/>
      <c r="MRI71" s="26"/>
      <c r="MRJ71" s="26"/>
      <c r="MRK71" s="26"/>
      <c r="MRL71" s="26"/>
      <c r="MRM71" s="26"/>
      <c r="MRN71" s="26"/>
      <c r="MRO71" s="26"/>
      <c r="MRP71" s="26"/>
      <c r="MRQ71" s="26"/>
      <c r="MRR71" s="26"/>
      <c r="MRS71" s="26"/>
      <c r="MRT71" s="26"/>
      <c r="MRU71" s="26"/>
      <c r="MRV71" s="26"/>
      <c r="MRW71" s="26"/>
      <c r="MRX71" s="26"/>
      <c r="MRY71" s="26"/>
      <c r="MRZ71" s="26"/>
      <c r="MSA71" s="26"/>
      <c r="MSB71" s="26"/>
      <c r="MSC71" s="26"/>
      <c r="MSD71" s="26"/>
      <c r="MSE71" s="26"/>
      <c r="MSF71" s="26"/>
      <c r="MSG71" s="26"/>
      <c r="MSH71" s="26"/>
      <c r="MSI71" s="26"/>
      <c r="MSJ71" s="26"/>
      <c r="MSK71" s="26"/>
      <c r="MSL71" s="26"/>
      <c r="MSM71" s="26"/>
      <c r="MSN71" s="26"/>
      <c r="MSO71" s="26"/>
      <c r="MSP71" s="26"/>
      <c r="MSQ71" s="26"/>
      <c r="MSR71" s="26"/>
      <c r="MSS71" s="26"/>
      <c r="MST71" s="26"/>
      <c r="MSU71" s="26"/>
      <c r="MSV71" s="26"/>
      <c r="MSW71" s="26"/>
      <c r="MSX71" s="26"/>
      <c r="MSY71" s="26"/>
      <c r="MSZ71" s="26"/>
      <c r="MTA71" s="26"/>
      <c r="MTB71" s="26"/>
      <c r="MTC71" s="26"/>
      <c r="MTD71" s="26"/>
      <c r="MTE71" s="26"/>
      <c r="MTF71" s="26"/>
      <c r="MTG71" s="26"/>
      <c r="MTH71" s="26"/>
      <c r="MTI71" s="26"/>
      <c r="MTJ71" s="26"/>
      <c r="MTK71" s="26"/>
      <c r="MTL71" s="26"/>
      <c r="MTM71" s="26"/>
      <c r="MTN71" s="26"/>
      <c r="MTO71" s="26"/>
      <c r="MTP71" s="26"/>
      <c r="MTQ71" s="26"/>
      <c r="MTR71" s="26"/>
      <c r="MTS71" s="26"/>
      <c r="MTT71" s="26"/>
      <c r="MTU71" s="26"/>
      <c r="MTV71" s="26"/>
      <c r="MTW71" s="26"/>
      <c r="MTX71" s="26"/>
      <c r="MTY71" s="26"/>
      <c r="MTZ71" s="26"/>
      <c r="MUA71" s="26"/>
      <c r="MUB71" s="26"/>
      <c r="MUC71" s="26"/>
      <c r="MUD71" s="26"/>
      <c r="MUE71" s="26"/>
      <c r="MUF71" s="26"/>
      <c r="MUG71" s="26"/>
      <c r="MUH71" s="26"/>
      <c r="MUI71" s="26"/>
      <c r="MUJ71" s="26"/>
      <c r="MUK71" s="26"/>
      <c r="MUL71" s="26"/>
      <c r="MUM71" s="26"/>
      <c r="MUN71" s="26"/>
      <c r="MUO71" s="26"/>
      <c r="MUP71" s="26"/>
      <c r="MUQ71" s="26"/>
      <c r="MUR71" s="26"/>
      <c r="MUS71" s="26"/>
      <c r="MUT71" s="26"/>
      <c r="MUU71" s="26"/>
      <c r="MUV71" s="26"/>
      <c r="MUW71" s="26"/>
      <c r="MUX71" s="26"/>
      <c r="MUY71" s="26"/>
      <c r="MUZ71" s="26"/>
      <c r="MVA71" s="26"/>
      <c r="MVB71" s="26"/>
      <c r="MVC71" s="26"/>
      <c r="MVD71" s="26"/>
      <c r="MVE71" s="26"/>
      <c r="MVF71" s="26"/>
      <c r="MVG71" s="26"/>
      <c r="MVH71" s="26"/>
      <c r="MVI71" s="26"/>
      <c r="MVJ71" s="26"/>
      <c r="MVK71" s="26"/>
      <c r="MVL71" s="26"/>
      <c r="MVM71" s="26"/>
      <c r="MVN71" s="26"/>
      <c r="MVO71" s="26"/>
      <c r="MVP71" s="26"/>
      <c r="MVQ71" s="26"/>
      <c r="MVR71" s="26"/>
      <c r="MVS71" s="26"/>
      <c r="MVT71" s="26"/>
      <c r="MVU71" s="26"/>
      <c r="MVV71" s="26"/>
      <c r="MVW71" s="26"/>
      <c r="MVX71" s="26"/>
      <c r="MVY71" s="26"/>
      <c r="MVZ71" s="26"/>
      <c r="MWA71" s="26"/>
      <c r="MWB71" s="26"/>
      <c r="MWC71" s="26"/>
      <c r="MWD71" s="26"/>
      <c r="MWE71" s="26"/>
      <c r="MWF71" s="26"/>
      <c r="MWG71" s="26"/>
      <c r="MWH71" s="26"/>
      <c r="MWI71" s="26"/>
      <c r="MWJ71" s="26"/>
      <c r="MWK71" s="26"/>
      <c r="MWL71" s="26"/>
      <c r="MWM71" s="26"/>
      <c r="MWN71" s="26"/>
      <c r="MWO71" s="26"/>
      <c r="MWP71" s="26"/>
      <c r="MWQ71" s="26"/>
      <c r="MWR71" s="26"/>
      <c r="MWS71" s="26"/>
      <c r="MWT71" s="26"/>
      <c r="MWU71" s="26"/>
      <c r="MWV71" s="26"/>
      <c r="MWW71" s="26"/>
      <c r="MWX71" s="26"/>
      <c r="MWY71" s="26"/>
      <c r="MWZ71" s="26"/>
      <c r="MXA71" s="26"/>
      <c r="MXB71" s="26"/>
      <c r="MXC71" s="26"/>
      <c r="MXD71" s="26"/>
      <c r="MXE71" s="26"/>
      <c r="MXF71" s="26"/>
      <c r="MXG71" s="26"/>
      <c r="MXH71" s="26"/>
      <c r="MXI71" s="26"/>
      <c r="MXJ71" s="26"/>
      <c r="MXK71" s="26"/>
      <c r="MXL71" s="26"/>
      <c r="MXM71" s="26"/>
      <c r="MXN71" s="26"/>
      <c r="MXO71" s="26"/>
      <c r="MXP71" s="26"/>
      <c r="MXQ71" s="26"/>
      <c r="MXR71" s="26"/>
      <c r="MXS71" s="26"/>
      <c r="MXT71" s="26"/>
      <c r="MXU71" s="26"/>
      <c r="MXV71" s="26"/>
      <c r="MXW71" s="26"/>
      <c r="MXX71" s="26"/>
      <c r="MXY71" s="26"/>
      <c r="MXZ71" s="26"/>
      <c r="MYA71" s="26"/>
      <c r="MYB71" s="26"/>
      <c r="MYC71" s="26"/>
      <c r="MYD71" s="26"/>
      <c r="MYE71" s="26"/>
      <c r="MYF71" s="26"/>
      <c r="MYG71" s="26"/>
      <c r="MYH71" s="26"/>
      <c r="MYI71" s="26"/>
      <c r="MYJ71" s="26"/>
      <c r="MYK71" s="26"/>
      <c r="MYL71" s="26"/>
      <c r="MYM71" s="26"/>
      <c r="MYN71" s="26"/>
      <c r="MYO71" s="26"/>
      <c r="MYP71" s="26"/>
      <c r="MYQ71" s="26"/>
      <c r="MYR71" s="26"/>
      <c r="MYS71" s="26"/>
      <c r="MYT71" s="26"/>
      <c r="MYU71" s="26"/>
      <c r="MYV71" s="26"/>
      <c r="MYW71" s="26"/>
      <c r="MYX71" s="26"/>
      <c r="MYY71" s="26"/>
      <c r="MYZ71" s="26"/>
      <c r="MZA71" s="26"/>
      <c r="MZB71" s="26"/>
      <c r="MZC71" s="26"/>
      <c r="MZD71" s="26"/>
      <c r="MZE71" s="26"/>
      <c r="MZF71" s="26"/>
      <c r="MZG71" s="26"/>
      <c r="MZH71" s="26"/>
      <c r="MZI71" s="26"/>
      <c r="MZJ71" s="26"/>
      <c r="MZK71" s="26"/>
      <c r="MZL71" s="26"/>
      <c r="MZM71" s="26"/>
      <c r="MZN71" s="26"/>
      <c r="MZO71" s="26"/>
      <c r="MZP71" s="26"/>
      <c r="MZQ71" s="26"/>
      <c r="MZR71" s="26"/>
      <c r="MZS71" s="26"/>
      <c r="MZT71" s="26"/>
      <c r="MZU71" s="26"/>
      <c r="MZV71" s="26"/>
      <c r="MZW71" s="26"/>
      <c r="MZX71" s="26"/>
      <c r="MZY71" s="26"/>
      <c r="MZZ71" s="26"/>
      <c r="NAA71" s="26"/>
      <c r="NAB71" s="26"/>
      <c r="NAC71" s="26"/>
      <c r="NAD71" s="26"/>
      <c r="NAE71" s="26"/>
      <c r="NAF71" s="26"/>
      <c r="NAG71" s="26"/>
      <c r="NAH71" s="26"/>
      <c r="NAI71" s="26"/>
      <c r="NAJ71" s="26"/>
      <c r="NAK71" s="26"/>
      <c r="NAL71" s="26"/>
      <c r="NAM71" s="26"/>
      <c r="NAN71" s="26"/>
      <c r="NAO71" s="26"/>
      <c r="NAP71" s="26"/>
      <c r="NAQ71" s="26"/>
      <c r="NAR71" s="26"/>
      <c r="NAS71" s="26"/>
      <c r="NAT71" s="26"/>
      <c r="NAU71" s="26"/>
      <c r="NAV71" s="26"/>
      <c r="NAW71" s="26"/>
      <c r="NAX71" s="26"/>
      <c r="NAY71" s="26"/>
      <c r="NAZ71" s="26"/>
      <c r="NBA71" s="26"/>
      <c r="NBB71" s="26"/>
      <c r="NBC71" s="26"/>
      <c r="NBD71" s="26"/>
      <c r="NBE71" s="26"/>
      <c r="NBF71" s="26"/>
      <c r="NBG71" s="26"/>
      <c r="NBH71" s="26"/>
      <c r="NBI71" s="26"/>
      <c r="NBJ71" s="26"/>
      <c r="NBK71" s="26"/>
      <c r="NBL71" s="26"/>
      <c r="NBM71" s="26"/>
      <c r="NBN71" s="26"/>
      <c r="NBO71" s="26"/>
      <c r="NBP71" s="26"/>
      <c r="NBQ71" s="26"/>
      <c r="NBR71" s="26"/>
      <c r="NBS71" s="26"/>
      <c r="NBT71" s="26"/>
      <c r="NBU71" s="26"/>
      <c r="NBV71" s="26"/>
      <c r="NBW71" s="26"/>
      <c r="NBX71" s="26"/>
      <c r="NBY71" s="26"/>
      <c r="NBZ71" s="26"/>
      <c r="NCA71" s="26"/>
      <c r="NCB71" s="26"/>
      <c r="NCC71" s="26"/>
      <c r="NCD71" s="26"/>
      <c r="NCE71" s="26"/>
      <c r="NCF71" s="26"/>
      <c r="NCG71" s="26"/>
      <c r="NCH71" s="26"/>
      <c r="NCI71" s="26"/>
      <c r="NCJ71" s="26"/>
      <c r="NCK71" s="26"/>
      <c r="NCL71" s="26"/>
      <c r="NCM71" s="26"/>
      <c r="NCN71" s="26"/>
      <c r="NCO71" s="26"/>
      <c r="NCP71" s="26"/>
      <c r="NCQ71" s="26"/>
      <c r="NCR71" s="26"/>
      <c r="NCS71" s="26"/>
      <c r="NCT71" s="26"/>
      <c r="NCU71" s="26"/>
      <c r="NCV71" s="26"/>
      <c r="NCW71" s="26"/>
      <c r="NCX71" s="26"/>
      <c r="NCY71" s="26"/>
      <c r="NCZ71" s="26"/>
      <c r="NDA71" s="26"/>
      <c r="NDB71" s="26"/>
      <c r="NDC71" s="26"/>
      <c r="NDD71" s="26"/>
      <c r="NDE71" s="26"/>
      <c r="NDF71" s="26"/>
      <c r="NDG71" s="26"/>
      <c r="NDH71" s="26"/>
      <c r="NDI71" s="26"/>
      <c r="NDJ71" s="26"/>
      <c r="NDK71" s="26"/>
      <c r="NDL71" s="26"/>
      <c r="NDM71" s="26"/>
      <c r="NDN71" s="26"/>
      <c r="NDO71" s="26"/>
      <c r="NDP71" s="26"/>
      <c r="NDQ71" s="26"/>
      <c r="NDR71" s="26"/>
      <c r="NDS71" s="26"/>
      <c r="NDT71" s="26"/>
      <c r="NDU71" s="26"/>
      <c r="NDV71" s="26"/>
      <c r="NDW71" s="26"/>
      <c r="NDX71" s="26"/>
      <c r="NDY71" s="26"/>
      <c r="NDZ71" s="26"/>
      <c r="NEA71" s="26"/>
      <c r="NEB71" s="26"/>
      <c r="NEC71" s="26"/>
      <c r="NED71" s="26"/>
      <c r="NEE71" s="26"/>
      <c r="NEF71" s="26"/>
      <c r="NEG71" s="26"/>
      <c r="NEH71" s="26"/>
      <c r="NEI71" s="26"/>
      <c r="NEJ71" s="26"/>
      <c r="NEK71" s="26"/>
      <c r="NEL71" s="26"/>
      <c r="NEM71" s="26"/>
      <c r="NEN71" s="26"/>
      <c r="NEO71" s="26"/>
      <c r="NEP71" s="26"/>
      <c r="NEQ71" s="26"/>
      <c r="NER71" s="26"/>
      <c r="NES71" s="26"/>
      <c r="NET71" s="26"/>
      <c r="NEU71" s="26"/>
      <c r="NEV71" s="26"/>
      <c r="NEW71" s="26"/>
      <c r="NEX71" s="26"/>
      <c r="NEY71" s="26"/>
      <c r="NEZ71" s="26"/>
      <c r="NFA71" s="26"/>
      <c r="NFB71" s="26"/>
      <c r="NFC71" s="26"/>
      <c r="NFD71" s="26"/>
      <c r="NFE71" s="26"/>
      <c r="NFF71" s="26"/>
      <c r="NFG71" s="26"/>
      <c r="NFH71" s="26"/>
      <c r="NFI71" s="26"/>
      <c r="NFJ71" s="26"/>
      <c r="NFK71" s="26"/>
      <c r="NFL71" s="26"/>
      <c r="NFM71" s="26"/>
      <c r="NFN71" s="26"/>
      <c r="NFO71" s="26"/>
      <c r="NFP71" s="26"/>
      <c r="NFQ71" s="26"/>
      <c r="NFR71" s="26"/>
      <c r="NFS71" s="26"/>
      <c r="NFT71" s="26"/>
      <c r="NFU71" s="26"/>
      <c r="NFV71" s="26"/>
      <c r="NFW71" s="26"/>
      <c r="NFX71" s="26"/>
      <c r="NFY71" s="26"/>
      <c r="NFZ71" s="26"/>
      <c r="NGA71" s="26"/>
      <c r="NGB71" s="26"/>
      <c r="NGC71" s="26"/>
      <c r="NGD71" s="26"/>
      <c r="NGE71" s="26"/>
      <c r="NGF71" s="26"/>
      <c r="NGG71" s="26"/>
      <c r="NGH71" s="26"/>
      <c r="NGI71" s="26"/>
      <c r="NGJ71" s="26"/>
      <c r="NGK71" s="26"/>
      <c r="NGL71" s="26"/>
      <c r="NGM71" s="26"/>
      <c r="NGN71" s="26"/>
      <c r="NGO71" s="26"/>
      <c r="NGP71" s="26"/>
      <c r="NGQ71" s="26"/>
      <c r="NGR71" s="26"/>
      <c r="NGS71" s="26"/>
      <c r="NGT71" s="26"/>
      <c r="NGU71" s="26"/>
      <c r="NGV71" s="26"/>
      <c r="NGW71" s="26"/>
      <c r="NGX71" s="26"/>
      <c r="NGY71" s="26"/>
      <c r="NGZ71" s="26"/>
      <c r="NHA71" s="26"/>
      <c r="NHB71" s="26"/>
      <c r="NHC71" s="26"/>
      <c r="NHD71" s="26"/>
      <c r="NHE71" s="26"/>
      <c r="NHF71" s="26"/>
      <c r="NHG71" s="26"/>
      <c r="NHH71" s="26"/>
      <c r="NHI71" s="26"/>
      <c r="NHJ71" s="26"/>
      <c r="NHK71" s="26"/>
      <c r="NHL71" s="26"/>
      <c r="NHM71" s="26"/>
      <c r="NHN71" s="26"/>
      <c r="NHO71" s="26"/>
      <c r="NHP71" s="26"/>
      <c r="NHQ71" s="26"/>
      <c r="NHR71" s="26"/>
      <c r="NHS71" s="26"/>
      <c r="NHT71" s="26"/>
      <c r="NHU71" s="26"/>
      <c r="NHV71" s="26"/>
      <c r="NHW71" s="26"/>
      <c r="NHX71" s="26"/>
      <c r="NHY71" s="26"/>
      <c r="NHZ71" s="26"/>
      <c r="NIA71" s="26"/>
      <c r="NIB71" s="26"/>
      <c r="NIC71" s="26"/>
      <c r="NID71" s="26"/>
      <c r="NIE71" s="26"/>
      <c r="NIF71" s="26"/>
      <c r="NIG71" s="26"/>
      <c r="NIH71" s="26"/>
      <c r="NII71" s="26"/>
      <c r="NIJ71" s="26"/>
      <c r="NIK71" s="26"/>
      <c r="NIL71" s="26"/>
      <c r="NIM71" s="26"/>
      <c r="NIN71" s="26"/>
      <c r="NIO71" s="26"/>
      <c r="NIP71" s="26"/>
      <c r="NIQ71" s="26"/>
      <c r="NIR71" s="26"/>
      <c r="NIS71" s="26"/>
      <c r="NIT71" s="26"/>
      <c r="NIU71" s="26"/>
      <c r="NIV71" s="26"/>
      <c r="NIW71" s="26"/>
      <c r="NIX71" s="26"/>
      <c r="NIY71" s="26"/>
      <c r="NIZ71" s="26"/>
      <c r="NJA71" s="26"/>
      <c r="NJB71" s="26"/>
      <c r="NJC71" s="26"/>
      <c r="NJD71" s="26"/>
      <c r="NJE71" s="26"/>
      <c r="NJF71" s="26"/>
      <c r="NJG71" s="26"/>
      <c r="NJH71" s="26"/>
      <c r="NJI71" s="26"/>
      <c r="NJJ71" s="26"/>
      <c r="NJK71" s="26"/>
      <c r="NJL71" s="26"/>
      <c r="NJM71" s="26"/>
      <c r="NJN71" s="26"/>
      <c r="NJO71" s="26"/>
      <c r="NJP71" s="26"/>
      <c r="NJQ71" s="26"/>
      <c r="NJR71" s="26"/>
      <c r="NJS71" s="26"/>
      <c r="NJT71" s="26"/>
      <c r="NJU71" s="26"/>
      <c r="NJV71" s="26"/>
      <c r="NJW71" s="26"/>
      <c r="NJX71" s="26"/>
      <c r="NJY71" s="26"/>
      <c r="NJZ71" s="26"/>
      <c r="NKA71" s="26"/>
      <c r="NKB71" s="26"/>
      <c r="NKC71" s="26"/>
      <c r="NKD71" s="26"/>
      <c r="NKE71" s="26"/>
      <c r="NKF71" s="26"/>
      <c r="NKG71" s="26"/>
      <c r="NKH71" s="26"/>
      <c r="NKI71" s="26"/>
      <c r="NKJ71" s="26"/>
      <c r="NKK71" s="26"/>
      <c r="NKL71" s="26"/>
      <c r="NKM71" s="26"/>
      <c r="NKN71" s="26"/>
      <c r="NKO71" s="26"/>
      <c r="NKP71" s="26"/>
      <c r="NKQ71" s="26"/>
      <c r="NKR71" s="26"/>
      <c r="NKS71" s="26"/>
      <c r="NKT71" s="26"/>
      <c r="NKU71" s="26"/>
      <c r="NKV71" s="26"/>
      <c r="NKW71" s="26"/>
      <c r="NKX71" s="26"/>
      <c r="NKY71" s="26"/>
      <c r="NKZ71" s="26"/>
      <c r="NLA71" s="26"/>
      <c r="NLB71" s="26"/>
      <c r="NLC71" s="26"/>
      <c r="NLD71" s="26"/>
      <c r="NLE71" s="26"/>
      <c r="NLF71" s="26"/>
      <c r="NLG71" s="26"/>
      <c r="NLH71" s="26"/>
      <c r="NLI71" s="26"/>
      <c r="NLJ71" s="26"/>
      <c r="NLK71" s="26"/>
      <c r="NLL71" s="26"/>
      <c r="NLM71" s="26"/>
      <c r="NLN71" s="26"/>
      <c r="NLO71" s="26"/>
      <c r="NLP71" s="26"/>
      <c r="NLQ71" s="26"/>
      <c r="NLR71" s="26"/>
      <c r="NLS71" s="26"/>
      <c r="NLT71" s="26"/>
      <c r="NLU71" s="26"/>
      <c r="NLV71" s="26"/>
      <c r="NLW71" s="26"/>
      <c r="NLX71" s="26"/>
      <c r="NLY71" s="26"/>
      <c r="NLZ71" s="26"/>
      <c r="NMA71" s="26"/>
      <c r="NMB71" s="26"/>
      <c r="NMC71" s="26"/>
      <c r="NMD71" s="26"/>
      <c r="NME71" s="26"/>
      <c r="NMF71" s="26"/>
      <c r="NMG71" s="26"/>
      <c r="NMH71" s="26"/>
      <c r="NMI71" s="26"/>
      <c r="NMJ71" s="26"/>
      <c r="NMK71" s="26"/>
      <c r="NML71" s="26"/>
      <c r="NMM71" s="26"/>
      <c r="NMN71" s="26"/>
      <c r="NMO71" s="26"/>
      <c r="NMP71" s="26"/>
      <c r="NMQ71" s="26"/>
      <c r="NMR71" s="26"/>
      <c r="NMS71" s="26"/>
      <c r="NMT71" s="26"/>
      <c r="NMU71" s="26"/>
      <c r="NMV71" s="26"/>
      <c r="NMW71" s="26"/>
      <c r="NMX71" s="26"/>
      <c r="NMY71" s="26"/>
      <c r="NMZ71" s="26"/>
      <c r="NNA71" s="26"/>
      <c r="NNB71" s="26"/>
      <c r="NNC71" s="26"/>
      <c r="NND71" s="26"/>
      <c r="NNE71" s="26"/>
      <c r="NNF71" s="26"/>
      <c r="NNG71" s="26"/>
      <c r="NNH71" s="26"/>
      <c r="NNI71" s="26"/>
      <c r="NNJ71" s="26"/>
      <c r="NNK71" s="26"/>
      <c r="NNL71" s="26"/>
      <c r="NNM71" s="26"/>
      <c r="NNN71" s="26"/>
      <c r="NNO71" s="26"/>
      <c r="NNP71" s="26"/>
      <c r="NNQ71" s="26"/>
      <c r="NNR71" s="26"/>
      <c r="NNS71" s="26"/>
      <c r="NNT71" s="26"/>
      <c r="NNU71" s="26"/>
      <c r="NNV71" s="26"/>
      <c r="NNW71" s="26"/>
      <c r="NNX71" s="26"/>
      <c r="NNY71" s="26"/>
      <c r="NNZ71" s="26"/>
      <c r="NOA71" s="26"/>
      <c r="NOB71" s="26"/>
      <c r="NOC71" s="26"/>
      <c r="NOD71" s="26"/>
      <c r="NOE71" s="26"/>
      <c r="NOF71" s="26"/>
      <c r="NOG71" s="26"/>
      <c r="NOH71" s="26"/>
      <c r="NOI71" s="26"/>
      <c r="NOJ71" s="26"/>
      <c r="NOK71" s="26"/>
      <c r="NOL71" s="26"/>
      <c r="NOM71" s="26"/>
      <c r="NON71" s="26"/>
      <c r="NOO71" s="26"/>
      <c r="NOP71" s="26"/>
      <c r="NOQ71" s="26"/>
      <c r="NOR71" s="26"/>
      <c r="NOS71" s="26"/>
      <c r="NOT71" s="26"/>
      <c r="NOU71" s="26"/>
      <c r="NOV71" s="26"/>
      <c r="NOW71" s="26"/>
      <c r="NOX71" s="26"/>
      <c r="NOY71" s="26"/>
      <c r="NOZ71" s="26"/>
      <c r="NPA71" s="26"/>
      <c r="NPB71" s="26"/>
      <c r="NPC71" s="26"/>
      <c r="NPD71" s="26"/>
      <c r="NPE71" s="26"/>
      <c r="NPF71" s="26"/>
      <c r="NPG71" s="26"/>
      <c r="NPH71" s="26"/>
      <c r="NPI71" s="26"/>
      <c r="NPJ71" s="26"/>
      <c r="NPK71" s="26"/>
      <c r="NPL71" s="26"/>
      <c r="NPM71" s="26"/>
      <c r="NPN71" s="26"/>
      <c r="NPO71" s="26"/>
      <c r="NPP71" s="26"/>
      <c r="NPQ71" s="26"/>
      <c r="NPR71" s="26"/>
      <c r="NPS71" s="26"/>
      <c r="NPT71" s="26"/>
      <c r="NPU71" s="26"/>
      <c r="NPV71" s="26"/>
      <c r="NPW71" s="26"/>
      <c r="NPX71" s="26"/>
      <c r="NPY71" s="26"/>
      <c r="NPZ71" s="26"/>
      <c r="NQA71" s="26"/>
      <c r="NQB71" s="26"/>
      <c r="NQC71" s="26"/>
      <c r="NQD71" s="26"/>
      <c r="NQE71" s="26"/>
      <c r="NQF71" s="26"/>
      <c r="NQG71" s="26"/>
      <c r="NQH71" s="26"/>
      <c r="NQI71" s="26"/>
      <c r="NQJ71" s="26"/>
      <c r="NQK71" s="26"/>
      <c r="NQL71" s="26"/>
      <c r="NQM71" s="26"/>
      <c r="NQN71" s="26"/>
      <c r="NQO71" s="26"/>
      <c r="NQP71" s="26"/>
      <c r="NQQ71" s="26"/>
      <c r="NQR71" s="26"/>
      <c r="NQS71" s="26"/>
      <c r="NQT71" s="26"/>
      <c r="NQU71" s="26"/>
      <c r="NQV71" s="26"/>
      <c r="NQW71" s="26"/>
      <c r="NQX71" s="26"/>
      <c r="NQY71" s="26"/>
      <c r="NQZ71" s="26"/>
      <c r="NRA71" s="26"/>
      <c r="NRB71" s="26"/>
      <c r="NRC71" s="26"/>
      <c r="NRD71" s="26"/>
      <c r="NRE71" s="26"/>
      <c r="NRF71" s="26"/>
      <c r="NRG71" s="26"/>
      <c r="NRH71" s="26"/>
      <c r="NRI71" s="26"/>
      <c r="NRJ71" s="26"/>
      <c r="NRK71" s="26"/>
      <c r="NRL71" s="26"/>
      <c r="NRM71" s="26"/>
      <c r="NRN71" s="26"/>
      <c r="NRO71" s="26"/>
      <c r="NRP71" s="26"/>
      <c r="NRQ71" s="26"/>
      <c r="NRR71" s="26"/>
      <c r="NRS71" s="26"/>
      <c r="NRT71" s="26"/>
      <c r="NRU71" s="26"/>
      <c r="NRV71" s="26"/>
      <c r="NRW71" s="26"/>
      <c r="NRX71" s="26"/>
      <c r="NRY71" s="26"/>
      <c r="NRZ71" s="26"/>
      <c r="NSA71" s="26"/>
      <c r="NSB71" s="26"/>
      <c r="NSC71" s="26"/>
      <c r="NSD71" s="26"/>
      <c r="NSE71" s="26"/>
      <c r="NSF71" s="26"/>
      <c r="NSG71" s="26"/>
      <c r="NSH71" s="26"/>
      <c r="NSI71" s="26"/>
      <c r="NSJ71" s="26"/>
      <c r="NSK71" s="26"/>
      <c r="NSL71" s="26"/>
      <c r="NSM71" s="26"/>
      <c r="NSN71" s="26"/>
      <c r="NSO71" s="26"/>
      <c r="NSP71" s="26"/>
      <c r="NSQ71" s="26"/>
      <c r="NSR71" s="26"/>
      <c r="NSS71" s="26"/>
      <c r="NST71" s="26"/>
      <c r="NSU71" s="26"/>
      <c r="NSV71" s="26"/>
      <c r="NSW71" s="26"/>
      <c r="NSX71" s="26"/>
      <c r="NSY71" s="26"/>
      <c r="NSZ71" s="26"/>
      <c r="NTA71" s="26"/>
      <c r="NTB71" s="26"/>
      <c r="NTC71" s="26"/>
      <c r="NTD71" s="26"/>
      <c r="NTE71" s="26"/>
      <c r="NTF71" s="26"/>
      <c r="NTG71" s="26"/>
      <c r="NTH71" s="26"/>
      <c r="NTI71" s="26"/>
      <c r="NTJ71" s="26"/>
      <c r="NTK71" s="26"/>
      <c r="NTL71" s="26"/>
      <c r="NTM71" s="26"/>
      <c r="NTN71" s="26"/>
      <c r="NTO71" s="26"/>
      <c r="NTP71" s="26"/>
      <c r="NTQ71" s="26"/>
      <c r="NTR71" s="26"/>
      <c r="NTS71" s="26"/>
      <c r="NTT71" s="26"/>
      <c r="NTU71" s="26"/>
      <c r="NTV71" s="26"/>
      <c r="NTW71" s="26"/>
      <c r="NTX71" s="26"/>
      <c r="NTY71" s="26"/>
      <c r="NTZ71" s="26"/>
      <c r="NUA71" s="26"/>
      <c r="NUB71" s="26"/>
      <c r="NUC71" s="26"/>
      <c r="NUD71" s="26"/>
      <c r="NUE71" s="26"/>
      <c r="NUF71" s="26"/>
      <c r="NUG71" s="26"/>
      <c r="NUH71" s="26"/>
      <c r="NUI71" s="26"/>
      <c r="NUJ71" s="26"/>
      <c r="NUK71" s="26"/>
      <c r="NUL71" s="26"/>
      <c r="NUM71" s="26"/>
      <c r="NUN71" s="26"/>
      <c r="NUO71" s="26"/>
      <c r="NUP71" s="26"/>
      <c r="NUQ71" s="26"/>
      <c r="NUR71" s="26"/>
      <c r="NUS71" s="26"/>
      <c r="NUT71" s="26"/>
      <c r="NUU71" s="26"/>
      <c r="NUV71" s="26"/>
      <c r="NUW71" s="26"/>
      <c r="NUX71" s="26"/>
      <c r="NUY71" s="26"/>
      <c r="NUZ71" s="26"/>
      <c r="NVA71" s="26"/>
      <c r="NVB71" s="26"/>
      <c r="NVC71" s="26"/>
      <c r="NVD71" s="26"/>
      <c r="NVE71" s="26"/>
      <c r="NVF71" s="26"/>
      <c r="NVG71" s="26"/>
      <c r="NVH71" s="26"/>
      <c r="NVI71" s="26"/>
      <c r="NVJ71" s="26"/>
      <c r="NVK71" s="26"/>
      <c r="NVL71" s="26"/>
      <c r="NVM71" s="26"/>
      <c r="NVN71" s="26"/>
      <c r="NVO71" s="26"/>
      <c r="NVP71" s="26"/>
      <c r="NVQ71" s="26"/>
      <c r="NVR71" s="26"/>
      <c r="NVS71" s="26"/>
      <c r="NVT71" s="26"/>
      <c r="NVU71" s="26"/>
      <c r="NVV71" s="26"/>
      <c r="NVW71" s="26"/>
      <c r="NVX71" s="26"/>
      <c r="NVY71" s="26"/>
      <c r="NVZ71" s="26"/>
      <c r="NWA71" s="26"/>
      <c r="NWB71" s="26"/>
      <c r="NWC71" s="26"/>
      <c r="NWD71" s="26"/>
      <c r="NWE71" s="26"/>
      <c r="NWF71" s="26"/>
      <c r="NWG71" s="26"/>
      <c r="NWH71" s="26"/>
      <c r="NWI71" s="26"/>
      <c r="NWJ71" s="26"/>
      <c r="NWK71" s="26"/>
      <c r="NWL71" s="26"/>
      <c r="NWM71" s="26"/>
      <c r="NWN71" s="26"/>
      <c r="NWO71" s="26"/>
      <c r="NWP71" s="26"/>
      <c r="NWQ71" s="26"/>
      <c r="NWR71" s="26"/>
      <c r="NWS71" s="26"/>
      <c r="NWT71" s="26"/>
      <c r="NWU71" s="26"/>
      <c r="NWV71" s="26"/>
      <c r="NWW71" s="26"/>
      <c r="NWX71" s="26"/>
      <c r="NWY71" s="26"/>
      <c r="NWZ71" s="26"/>
      <c r="NXA71" s="26"/>
      <c r="NXB71" s="26"/>
      <c r="NXC71" s="26"/>
      <c r="NXD71" s="26"/>
      <c r="NXE71" s="26"/>
      <c r="NXF71" s="26"/>
      <c r="NXG71" s="26"/>
      <c r="NXH71" s="26"/>
      <c r="NXI71" s="26"/>
      <c r="NXJ71" s="26"/>
      <c r="NXK71" s="26"/>
      <c r="NXL71" s="26"/>
      <c r="NXM71" s="26"/>
      <c r="NXN71" s="26"/>
      <c r="NXO71" s="26"/>
      <c r="NXP71" s="26"/>
      <c r="NXQ71" s="26"/>
      <c r="NXR71" s="26"/>
      <c r="NXS71" s="26"/>
      <c r="NXT71" s="26"/>
      <c r="NXU71" s="26"/>
      <c r="NXV71" s="26"/>
      <c r="NXW71" s="26"/>
      <c r="NXX71" s="26"/>
      <c r="NXY71" s="26"/>
      <c r="NXZ71" s="26"/>
      <c r="NYA71" s="26"/>
      <c r="NYB71" s="26"/>
      <c r="NYC71" s="26"/>
      <c r="NYD71" s="26"/>
      <c r="NYE71" s="26"/>
      <c r="NYF71" s="26"/>
      <c r="NYG71" s="26"/>
      <c r="NYH71" s="26"/>
      <c r="NYI71" s="26"/>
      <c r="NYJ71" s="26"/>
      <c r="NYK71" s="26"/>
      <c r="NYL71" s="26"/>
      <c r="NYM71" s="26"/>
      <c r="NYN71" s="26"/>
      <c r="NYO71" s="26"/>
      <c r="NYP71" s="26"/>
      <c r="NYQ71" s="26"/>
      <c r="NYR71" s="26"/>
      <c r="NYS71" s="26"/>
      <c r="NYT71" s="26"/>
      <c r="NYU71" s="26"/>
      <c r="NYV71" s="26"/>
      <c r="NYW71" s="26"/>
      <c r="NYX71" s="26"/>
      <c r="NYY71" s="26"/>
      <c r="NYZ71" s="26"/>
      <c r="NZA71" s="26"/>
      <c r="NZB71" s="26"/>
      <c r="NZC71" s="26"/>
      <c r="NZD71" s="26"/>
      <c r="NZE71" s="26"/>
      <c r="NZF71" s="26"/>
      <c r="NZG71" s="26"/>
      <c r="NZH71" s="26"/>
      <c r="NZI71" s="26"/>
      <c r="NZJ71" s="26"/>
      <c r="NZK71" s="26"/>
      <c r="NZL71" s="26"/>
      <c r="NZM71" s="26"/>
      <c r="NZN71" s="26"/>
      <c r="NZO71" s="26"/>
      <c r="NZP71" s="26"/>
      <c r="NZQ71" s="26"/>
      <c r="NZR71" s="26"/>
      <c r="NZS71" s="26"/>
      <c r="NZT71" s="26"/>
      <c r="NZU71" s="26"/>
      <c r="NZV71" s="26"/>
      <c r="NZW71" s="26"/>
      <c r="NZX71" s="26"/>
      <c r="NZY71" s="26"/>
      <c r="NZZ71" s="26"/>
      <c r="OAA71" s="26"/>
      <c r="OAB71" s="26"/>
      <c r="OAC71" s="26"/>
      <c r="OAD71" s="26"/>
      <c r="OAE71" s="26"/>
      <c r="OAF71" s="26"/>
      <c r="OAG71" s="26"/>
      <c r="OAH71" s="26"/>
      <c r="OAI71" s="26"/>
      <c r="OAJ71" s="26"/>
      <c r="OAK71" s="26"/>
      <c r="OAL71" s="26"/>
      <c r="OAM71" s="26"/>
      <c r="OAN71" s="26"/>
      <c r="OAO71" s="26"/>
      <c r="OAP71" s="26"/>
      <c r="OAQ71" s="26"/>
      <c r="OAR71" s="26"/>
      <c r="OAS71" s="26"/>
      <c r="OAT71" s="26"/>
      <c r="OAU71" s="26"/>
      <c r="OAV71" s="26"/>
      <c r="OAW71" s="26"/>
      <c r="OAX71" s="26"/>
      <c r="OAY71" s="26"/>
      <c r="OAZ71" s="26"/>
      <c r="OBA71" s="26"/>
      <c r="OBB71" s="26"/>
      <c r="OBC71" s="26"/>
      <c r="OBD71" s="26"/>
      <c r="OBE71" s="26"/>
      <c r="OBF71" s="26"/>
      <c r="OBG71" s="26"/>
      <c r="OBH71" s="26"/>
      <c r="OBI71" s="26"/>
      <c r="OBJ71" s="26"/>
      <c r="OBK71" s="26"/>
      <c r="OBL71" s="26"/>
      <c r="OBM71" s="26"/>
      <c r="OBN71" s="26"/>
      <c r="OBO71" s="26"/>
      <c r="OBP71" s="26"/>
      <c r="OBQ71" s="26"/>
      <c r="OBR71" s="26"/>
      <c r="OBS71" s="26"/>
      <c r="OBT71" s="26"/>
      <c r="OBU71" s="26"/>
      <c r="OBV71" s="26"/>
      <c r="OBW71" s="26"/>
      <c r="OBX71" s="26"/>
      <c r="OBY71" s="26"/>
      <c r="OBZ71" s="26"/>
      <c r="OCA71" s="26"/>
      <c r="OCB71" s="26"/>
      <c r="OCC71" s="26"/>
      <c r="OCD71" s="26"/>
      <c r="OCE71" s="26"/>
      <c r="OCF71" s="26"/>
      <c r="OCG71" s="26"/>
      <c r="OCH71" s="26"/>
      <c r="OCI71" s="26"/>
      <c r="OCJ71" s="26"/>
      <c r="OCK71" s="26"/>
      <c r="OCL71" s="26"/>
      <c r="OCM71" s="26"/>
      <c r="OCN71" s="26"/>
      <c r="OCO71" s="26"/>
      <c r="OCP71" s="26"/>
      <c r="OCQ71" s="26"/>
      <c r="OCR71" s="26"/>
      <c r="OCS71" s="26"/>
      <c r="OCT71" s="26"/>
      <c r="OCU71" s="26"/>
      <c r="OCV71" s="26"/>
      <c r="OCW71" s="26"/>
      <c r="OCX71" s="26"/>
      <c r="OCY71" s="26"/>
      <c r="OCZ71" s="26"/>
      <c r="ODA71" s="26"/>
      <c r="ODB71" s="26"/>
      <c r="ODC71" s="26"/>
      <c r="ODD71" s="26"/>
      <c r="ODE71" s="26"/>
      <c r="ODF71" s="26"/>
      <c r="ODG71" s="26"/>
      <c r="ODH71" s="26"/>
      <c r="ODI71" s="26"/>
      <c r="ODJ71" s="26"/>
      <c r="ODK71" s="26"/>
      <c r="ODL71" s="26"/>
      <c r="ODM71" s="26"/>
      <c r="ODN71" s="26"/>
      <c r="ODO71" s="26"/>
      <c r="ODP71" s="26"/>
      <c r="ODQ71" s="26"/>
      <c r="ODR71" s="26"/>
      <c r="ODS71" s="26"/>
      <c r="ODT71" s="26"/>
      <c r="ODU71" s="26"/>
      <c r="ODV71" s="26"/>
      <c r="ODW71" s="26"/>
      <c r="ODX71" s="26"/>
      <c r="ODY71" s="26"/>
      <c r="ODZ71" s="26"/>
      <c r="OEA71" s="26"/>
      <c r="OEB71" s="26"/>
      <c r="OEC71" s="26"/>
      <c r="OED71" s="26"/>
      <c r="OEE71" s="26"/>
      <c r="OEF71" s="26"/>
      <c r="OEG71" s="26"/>
      <c r="OEH71" s="26"/>
      <c r="OEI71" s="26"/>
      <c r="OEJ71" s="26"/>
      <c r="OEK71" s="26"/>
      <c r="OEL71" s="26"/>
      <c r="OEM71" s="26"/>
      <c r="OEN71" s="26"/>
      <c r="OEO71" s="26"/>
      <c r="OEP71" s="26"/>
      <c r="OEQ71" s="26"/>
      <c r="OER71" s="26"/>
      <c r="OES71" s="26"/>
      <c r="OET71" s="26"/>
      <c r="OEU71" s="26"/>
      <c r="OEV71" s="26"/>
      <c r="OEW71" s="26"/>
      <c r="OEX71" s="26"/>
      <c r="OEY71" s="26"/>
      <c r="OEZ71" s="26"/>
      <c r="OFA71" s="26"/>
      <c r="OFB71" s="26"/>
      <c r="OFC71" s="26"/>
      <c r="OFD71" s="26"/>
      <c r="OFE71" s="26"/>
      <c r="OFF71" s="26"/>
      <c r="OFG71" s="26"/>
      <c r="OFH71" s="26"/>
      <c r="OFI71" s="26"/>
      <c r="OFJ71" s="26"/>
      <c r="OFK71" s="26"/>
      <c r="OFL71" s="26"/>
      <c r="OFM71" s="26"/>
      <c r="OFN71" s="26"/>
      <c r="OFO71" s="26"/>
      <c r="OFP71" s="26"/>
      <c r="OFQ71" s="26"/>
      <c r="OFR71" s="26"/>
      <c r="OFS71" s="26"/>
      <c r="OFT71" s="26"/>
      <c r="OFU71" s="26"/>
      <c r="OFV71" s="26"/>
      <c r="OFW71" s="26"/>
      <c r="OFX71" s="26"/>
      <c r="OFY71" s="26"/>
      <c r="OFZ71" s="26"/>
      <c r="OGA71" s="26"/>
      <c r="OGB71" s="26"/>
      <c r="OGC71" s="26"/>
      <c r="OGD71" s="26"/>
      <c r="OGE71" s="26"/>
      <c r="OGF71" s="26"/>
      <c r="OGG71" s="26"/>
      <c r="OGH71" s="26"/>
      <c r="OGI71" s="26"/>
      <c r="OGJ71" s="26"/>
      <c r="OGK71" s="26"/>
      <c r="OGL71" s="26"/>
      <c r="OGM71" s="26"/>
      <c r="OGN71" s="26"/>
      <c r="OGO71" s="26"/>
      <c r="OGP71" s="26"/>
      <c r="OGQ71" s="26"/>
      <c r="OGR71" s="26"/>
      <c r="OGS71" s="26"/>
      <c r="OGT71" s="26"/>
      <c r="OGU71" s="26"/>
      <c r="OGV71" s="26"/>
      <c r="OGW71" s="26"/>
      <c r="OGX71" s="26"/>
      <c r="OGY71" s="26"/>
      <c r="OGZ71" s="26"/>
      <c r="OHA71" s="26"/>
      <c r="OHB71" s="26"/>
      <c r="OHC71" s="26"/>
      <c r="OHD71" s="26"/>
      <c r="OHE71" s="26"/>
      <c r="OHF71" s="26"/>
      <c r="OHG71" s="26"/>
      <c r="OHH71" s="26"/>
      <c r="OHI71" s="26"/>
      <c r="OHJ71" s="26"/>
      <c r="OHK71" s="26"/>
      <c r="OHL71" s="26"/>
      <c r="OHM71" s="26"/>
      <c r="OHN71" s="26"/>
      <c r="OHO71" s="26"/>
      <c r="OHP71" s="26"/>
      <c r="OHQ71" s="26"/>
      <c r="OHR71" s="26"/>
      <c r="OHS71" s="26"/>
      <c r="OHT71" s="26"/>
      <c r="OHU71" s="26"/>
      <c r="OHV71" s="26"/>
      <c r="OHW71" s="26"/>
      <c r="OHX71" s="26"/>
      <c r="OHY71" s="26"/>
      <c r="OHZ71" s="26"/>
      <c r="OIA71" s="26"/>
      <c r="OIB71" s="26"/>
      <c r="OIC71" s="26"/>
      <c r="OID71" s="26"/>
      <c r="OIE71" s="26"/>
      <c r="OIF71" s="26"/>
      <c r="OIG71" s="26"/>
      <c r="OIH71" s="26"/>
      <c r="OII71" s="26"/>
      <c r="OIJ71" s="26"/>
      <c r="OIK71" s="26"/>
      <c r="OIL71" s="26"/>
      <c r="OIM71" s="26"/>
      <c r="OIN71" s="26"/>
      <c r="OIO71" s="26"/>
      <c r="OIP71" s="26"/>
      <c r="OIQ71" s="26"/>
      <c r="OIR71" s="26"/>
      <c r="OIS71" s="26"/>
      <c r="OIT71" s="26"/>
      <c r="OIU71" s="26"/>
      <c r="OIV71" s="26"/>
      <c r="OIW71" s="26"/>
      <c r="OIX71" s="26"/>
      <c r="OIY71" s="26"/>
      <c r="OIZ71" s="26"/>
      <c r="OJA71" s="26"/>
      <c r="OJB71" s="26"/>
      <c r="OJC71" s="26"/>
      <c r="OJD71" s="26"/>
      <c r="OJE71" s="26"/>
      <c r="OJF71" s="26"/>
      <c r="OJG71" s="26"/>
      <c r="OJH71" s="26"/>
      <c r="OJI71" s="26"/>
      <c r="OJJ71" s="26"/>
      <c r="OJK71" s="26"/>
      <c r="OJL71" s="26"/>
      <c r="OJM71" s="26"/>
      <c r="OJN71" s="26"/>
      <c r="OJO71" s="26"/>
      <c r="OJP71" s="26"/>
      <c r="OJQ71" s="26"/>
      <c r="OJR71" s="26"/>
      <c r="OJS71" s="26"/>
      <c r="OJT71" s="26"/>
      <c r="OJU71" s="26"/>
      <c r="OJV71" s="26"/>
      <c r="OJW71" s="26"/>
      <c r="OJX71" s="26"/>
      <c r="OJY71" s="26"/>
      <c r="OJZ71" s="26"/>
      <c r="OKA71" s="26"/>
      <c r="OKB71" s="26"/>
      <c r="OKC71" s="26"/>
      <c r="OKD71" s="26"/>
      <c r="OKE71" s="26"/>
      <c r="OKF71" s="26"/>
      <c r="OKG71" s="26"/>
      <c r="OKH71" s="26"/>
      <c r="OKI71" s="26"/>
      <c r="OKJ71" s="26"/>
      <c r="OKK71" s="26"/>
      <c r="OKL71" s="26"/>
      <c r="OKM71" s="26"/>
      <c r="OKN71" s="26"/>
      <c r="OKO71" s="26"/>
      <c r="OKP71" s="26"/>
      <c r="OKQ71" s="26"/>
      <c r="OKR71" s="26"/>
      <c r="OKS71" s="26"/>
      <c r="OKT71" s="26"/>
      <c r="OKU71" s="26"/>
      <c r="OKV71" s="26"/>
      <c r="OKW71" s="26"/>
      <c r="OKX71" s="26"/>
      <c r="OKY71" s="26"/>
      <c r="OKZ71" s="26"/>
      <c r="OLA71" s="26"/>
      <c r="OLB71" s="26"/>
      <c r="OLC71" s="26"/>
      <c r="OLD71" s="26"/>
      <c r="OLE71" s="26"/>
      <c r="OLF71" s="26"/>
      <c r="OLG71" s="26"/>
      <c r="OLH71" s="26"/>
      <c r="OLI71" s="26"/>
      <c r="OLJ71" s="26"/>
      <c r="OLK71" s="26"/>
      <c r="OLL71" s="26"/>
      <c r="OLM71" s="26"/>
      <c r="OLN71" s="26"/>
      <c r="OLO71" s="26"/>
      <c r="OLP71" s="26"/>
      <c r="OLQ71" s="26"/>
      <c r="OLR71" s="26"/>
      <c r="OLS71" s="26"/>
      <c r="OLT71" s="26"/>
      <c r="OLU71" s="26"/>
      <c r="OLV71" s="26"/>
      <c r="OLW71" s="26"/>
      <c r="OLX71" s="26"/>
      <c r="OLY71" s="26"/>
      <c r="OLZ71" s="26"/>
      <c r="OMA71" s="26"/>
      <c r="OMB71" s="26"/>
      <c r="OMC71" s="26"/>
      <c r="OMD71" s="26"/>
      <c r="OME71" s="26"/>
      <c r="OMF71" s="26"/>
      <c r="OMG71" s="26"/>
      <c r="OMH71" s="26"/>
      <c r="OMI71" s="26"/>
      <c r="OMJ71" s="26"/>
      <c r="OMK71" s="26"/>
      <c r="OML71" s="26"/>
      <c r="OMM71" s="26"/>
      <c r="OMN71" s="26"/>
      <c r="OMO71" s="26"/>
      <c r="OMP71" s="26"/>
      <c r="OMQ71" s="26"/>
      <c r="OMR71" s="26"/>
      <c r="OMS71" s="26"/>
      <c r="OMT71" s="26"/>
      <c r="OMU71" s="26"/>
      <c r="OMV71" s="26"/>
      <c r="OMW71" s="26"/>
      <c r="OMX71" s="26"/>
      <c r="OMY71" s="26"/>
      <c r="OMZ71" s="26"/>
      <c r="ONA71" s="26"/>
      <c r="ONB71" s="26"/>
      <c r="ONC71" s="26"/>
      <c r="OND71" s="26"/>
      <c r="ONE71" s="26"/>
      <c r="ONF71" s="26"/>
      <c r="ONG71" s="26"/>
      <c r="ONH71" s="26"/>
      <c r="ONI71" s="26"/>
      <c r="ONJ71" s="26"/>
      <c r="ONK71" s="26"/>
      <c r="ONL71" s="26"/>
      <c r="ONM71" s="26"/>
      <c r="ONN71" s="26"/>
      <c r="ONO71" s="26"/>
      <c r="ONP71" s="26"/>
      <c r="ONQ71" s="26"/>
      <c r="ONR71" s="26"/>
      <c r="ONS71" s="26"/>
      <c r="ONT71" s="26"/>
      <c r="ONU71" s="26"/>
      <c r="ONV71" s="26"/>
      <c r="ONW71" s="26"/>
      <c r="ONX71" s="26"/>
      <c r="ONY71" s="26"/>
      <c r="ONZ71" s="26"/>
      <c r="OOA71" s="26"/>
      <c r="OOB71" s="26"/>
      <c r="OOC71" s="26"/>
      <c r="OOD71" s="26"/>
      <c r="OOE71" s="26"/>
      <c r="OOF71" s="26"/>
      <c r="OOG71" s="26"/>
      <c r="OOH71" s="26"/>
      <c r="OOI71" s="26"/>
      <c r="OOJ71" s="26"/>
      <c r="OOK71" s="26"/>
      <c r="OOL71" s="26"/>
      <c r="OOM71" s="26"/>
      <c r="OON71" s="26"/>
      <c r="OOO71" s="26"/>
      <c r="OOP71" s="26"/>
      <c r="OOQ71" s="26"/>
      <c r="OOR71" s="26"/>
      <c r="OOS71" s="26"/>
      <c r="OOT71" s="26"/>
      <c r="OOU71" s="26"/>
      <c r="OOV71" s="26"/>
      <c r="OOW71" s="26"/>
      <c r="OOX71" s="26"/>
      <c r="OOY71" s="26"/>
      <c r="OOZ71" s="26"/>
      <c r="OPA71" s="26"/>
      <c r="OPB71" s="26"/>
      <c r="OPC71" s="26"/>
      <c r="OPD71" s="26"/>
      <c r="OPE71" s="26"/>
      <c r="OPF71" s="26"/>
      <c r="OPG71" s="26"/>
      <c r="OPH71" s="26"/>
      <c r="OPI71" s="26"/>
      <c r="OPJ71" s="26"/>
      <c r="OPK71" s="26"/>
      <c r="OPL71" s="26"/>
      <c r="OPM71" s="26"/>
      <c r="OPN71" s="26"/>
      <c r="OPO71" s="26"/>
      <c r="OPP71" s="26"/>
      <c r="OPQ71" s="26"/>
      <c r="OPR71" s="26"/>
      <c r="OPS71" s="26"/>
      <c r="OPT71" s="26"/>
      <c r="OPU71" s="26"/>
      <c r="OPV71" s="26"/>
      <c r="OPW71" s="26"/>
      <c r="OPX71" s="26"/>
      <c r="OPY71" s="26"/>
      <c r="OPZ71" s="26"/>
      <c r="OQA71" s="26"/>
      <c r="OQB71" s="26"/>
      <c r="OQC71" s="26"/>
      <c r="OQD71" s="26"/>
      <c r="OQE71" s="26"/>
      <c r="OQF71" s="26"/>
      <c r="OQG71" s="26"/>
      <c r="OQH71" s="26"/>
      <c r="OQI71" s="26"/>
      <c r="OQJ71" s="26"/>
      <c r="OQK71" s="26"/>
      <c r="OQL71" s="26"/>
      <c r="OQM71" s="26"/>
      <c r="OQN71" s="26"/>
      <c r="OQO71" s="26"/>
      <c r="OQP71" s="26"/>
      <c r="OQQ71" s="26"/>
      <c r="OQR71" s="26"/>
      <c r="OQS71" s="26"/>
      <c r="OQT71" s="26"/>
      <c r="OQU71" s="26"/>
      <c r="OQV71" s="26"/>
      <c r="OQW71" s="26"/>
      <c r="OQX71" s="26"/>
      <c r="OQY71" s="26"/>
      <c r="OQZ71" s="26"/>
      <c r="ORA71" s="26"/>
      <c r="ORB71" s="26"/>
      <c r="ORC71" s="26"/>
      <c r="ORD71" s="26"/>
      <c r="ORE71" s="26"/>
      <c r="ORF71" s="26"/>
      <c r="ORG71" s="26"/>
      <c r="ORH71" s="26"/>
      <c r="ORI71" s="26"/>
      <c r="ORJ71" s="26"/>
      <c r="ORK71" s="26"/>
      <c r="ORL71" s="26"/>
      <c r="ORM71" s="26"/>
      <c r="ORN71" s="26"/>
      <c r="ORO71" s="26"/>
      <c r="ORP71" s="26"/>
      <c r="ORQ71" s="26"/>
      <c r="ORR71" s="26"/>
      <c r="ORS71" s="26"/>
      <c r="ORT71" s="26"/>
      <c r="ORU71" s="26"/>
      <c r="ORV71" s="26"/>
      <c r="ORW71" s="26"/>
      <c r="ORX71" s="26"/>
      <c r="ORY71" s="26"/>
      <c r="ORZ71" s="26"/>
      <c r="OSA71" s="26"/>
      <c r="OSB71" s="26"/>
      <c r="OSC71" s="26"/>
      <c r="OSD71" s="26"/>
      <c r="OSE71" s="26"/>
      <c r="OSF71" s="26"/>
      <c r="OSG71" s="26"/>
      <c r="OSH71" s="26"/>
      <c r="OSI71" s="26"/>
      <c r="OSJ71" s="26"/>
      <c r="OSK71" s="26"/>
      <c r="OSL71" s="26"/>
      <c r="OSM71" s="26"/>
      <c r="OSN71" s="26"/>
      <c r="OSO71" s="26"/>
      <c r="OSP71" s="26"/>
      <c r="OSQ71" s="26"/>
      <c r="OSR71" s="26"/>
      <c r="OSS71" s="26"/>
      <c r="OST71" s="26"/>
      <c r="OSU71" s="26"/>
      <c r="OSV71" s="26"/>
      <c r="OSW71" s="26"/>
      <c r="OSX71" s="26"/>
      <c r="OSY71" s="26"/>
      <c r="OSZ71" s="26"/>
      <c r="OTA71" s="26"/>
      <c r="OTB71" s="26"/>
      <c r="OTC71" s="26"/>
      <c r="OTD71" s="26"/>
      <c r="OTE71" s="26"/>
      <c r="OTF71" s="26"/>
      <c r="OTG71" s="26"/>
      <c r="OTH71" s="26"/>
      <c r="OTI71" s="26"/>
      <c r="OTJ71" s="26"/>
      <c r="OTK71" s="26"/>
      <c r="OTL71" s="26"/>
      <c r="OTM71" s="26"/>
      <c r="OTN71" s="26"/>
      <c r="OTO71" s="26"/>
      <c r="OTP71" s="26"/>
      <c r="OTQ71" s="26"/>
      <c r="OTR71" s="26"/>
      <c r="OTS71" s="26"/>
      <c r="OTT71" s="26"/>
      <c r="OTU71" s="26"/>
      <c r="OTV71" s="26"/>
      <c r="OTW71" s="26"/>
      <c r="OTX71" s="26"/>
      <c r="OTY71" s="26"/>
      <c r="OTZ71" s="26"/>
      <c r="OUA71" s="26"/>
      <c r="OUB71" s="26"/>
      <c r="OUC71" s="26"/>
      <c r="OUD71" s="26"/>
      <c r="OUE71" s="26"/>
      <c r="OUF71" s="26"/>
      <c r="OUG71" s="26"/>
      <c r="OUH71" s="26"/>
      <c r="OUI71" s="26"/>
      <c r="OUJ71" s="26"/>
      <c r="OUK71" s="26"/>
      <c r="OUL71" s="26"/>
      <c r="OUM71" s="26"/>
      <c r="OUN71" s="26"/>
      <c r="OUO71" s="26"/>
      <c r="OUP71" s="26"/>
      <c r="OUQ71" s="26"/>
      <c r="OUR71" s="26"/>
      <c r="OUS71" s="26"/>
      <c r="OUT71" s="26"/>
      <c r="OUU71" s="26"/>
      <c r="OUV71" s="26"/>
      <c r="OUW71" s="26"/>
      <c r="OUX71" s="26"/>
      <c r="OUY71" s="26"/>
      <c r="OUZ71" s="26"/>
      <c r="OVA71" s="26"/>
      <c r="OVB71" s="26"/>
      <c r="OVC71" s="26"/>
      <c r="OVD71" s="26"/>
      <c r="OVE71" s="26"/>
      <c r="OVF71" s="26"/>
      <c r="OVG71" s="26"/>
      <c r="OVH71" s="26"/>
      <c r="OVI71" s="26"/>
      <c r="OVJ71" s="26"/>
      <c r="OVK71" s="26"/>
      <c r="OVL71" s="26"/>
      <c r="OVM71" s="26"/>
      <c r="OVN71" s="26"/>
      <c r="OVO71" s="26"/>
      <c r="OVP71" s="26"/>
      <c r="OVQ71" s="26"/>
      <c r="OVR71" s="26"/>
      <c r="OVS71" s="26"/>
      <c r="OVT71" s="26"/>
      <c r="OVU71" s="26"/>
      <c r="OVV71" s="26"/>
      <c r="OVW71" s="26"/>
      <c r="OVX71" s="26"/>
      <c r="OVY71" s="26"/>
      <c r="OVZ71" s="26"/>
      <c r="OWA71" s="26"/>
      <c r="OWB71" s="26"/>
      <c r="OWC71" s="26"/>
      <c r="OWD71" s="26"/>
      <c r="OWE71" s="26"/>
      <c r="OWF71" s="26"/>
      <c r="OWG71" s="26"/>
      <c r="OWH71" s="26"/>
      <c r="OWI71" s="26"/>
      <c r="OWJ71" s="26"/>
      <c r="OWK71" s="26"/>
      <c r="OWL71" s="26"/>
      <c r="OWM71" s="26"/>
      <c r="OWN71" s="26"/>
      <c r="OWO71" s="26"/>
      <c r="OWP71" s="26"/>
      <c r="OWQ71" s="26"/>
      <c r="OWR71" s="26"/>
      <c r="OWS71" s="26"/>
      <c r="OWT71" s="26"/>
      <c r="OWU71" s="26"/>
      <c r="OWV71" s="26"/>
      <c r="OWW71" s="26"/>
      <c r="OWX71" s="26"/>
      <c r="OWY71" s="26"/>
      <c r="OWZ71" s="26"/>
      <c r="OXA71" s="26"/>
      <c r="OXB71" s="26"/>
      <c r="OXC71" s="26"/>
      <c r="OXD71" s="26"/>
      <c r="OXE71" s="26"/>
      <c r="OXF71" s="26"/>
      <c r="OXG71" s="26"/>
      <c r="OXH71" s="26"/>
      <c r="OXI71" s="26"/>
      <c r="OXJ71" s="26"/>
      <c r="OXK71" s="26"/>
      <c r="OXL71" s="26"/>
      <c r="OXM71" s="26"/>
      <c r="OXN71" s="26"/>
      <c r="OXO71" s="26"/>
      <c r="OXP71" s="26"/>
      <c r="OXQ71" s="26"/>
      <c r="OXR71" s="26"/>
      <c r="OXS71" s="26"/>
      <c r="OXT71" s="26"/>
      <c r="OXU71" s="26"/>
      <c r="OXV71" s="26"/>
      <c r="OXW71" s="26"/>
      <c r="OXX71" s="26"/>
      <c r="OXY71" s="26"/>
      <c r="OXZ71" s="26"/>
      <c r="OYA71" s="26"/>
      <c r="OYB71" s="26"/>
      <c r="OYC71" s="26"/>
      <c r="OYD71" s="26"/>
      <c r="OYE71" s="26"/>
      <c r="OYF71" s="26"/>
      <c r="OYG71" s="26"/>
      <c r="OYH71" s="26"/>
      <c r="OYI71" s="26"/>
      <c r="OYJ71" s="26"/>
      <c r="OYK71" s="26"/>
      <c r="OYL71" s="26"/>
      <c r="OYM71" s="26"/>
      <c r="OYN71" s="26"/>
      <c r="OYO71" s="26"/>
      <c r="OYP71" s="26"/>
      <c r="OYQ71" s="26"/>
      <c r="OYR71" s="26"/>
      <c r="OYS71" s="26"/>
      <c r="OYT71" s="26"/>
      <c r="OYU71" s="26"/>
      <c r="OYV71" s="26"/>
      <c r="OYW71" s="26"/>
      <c r="OYX71" s="26"/>
      <c r="OYY71" s="26"/>
      <c r="OYZ71" s="26"/>
      <c r="OZA71" s="26"/>
      <c r="OZB71" s="26"/>
      <c r="OZC71" s="26"/>
      <c r="OZD71" s="26"/>
      <c r="OZE71" s="26"/>
      <c r="OZF71" s="26"/>
      <c r="OZG71" s="26"/>
      <c r="OZH71" s="26"/>
      <c r="OZI71" s="26"/>
      <c r="OZJ71" s="26"/>
      <c r="OZK71" s="26"/>
      <c r="OZL71" s="26"/>
      <c r="OZM71" s="26"/>
      <c r="OZN71" s="26"/>
      <c r="OZO71" s="26"/>
      <c r="OZP71" s="26"/>
      <c r="OZQ71" s="26"/>
      <c r="OZR71" s="26"/>
      <c r="OZS71" s="26"/>
      <c r="OZT71" s="26"/>
      <c r="OZU71" s="26"/>
      <c r="OZV71" s="26"/>
      <c r="OZW71" s="26"/>
      <c r="OZX71" s="26"/>
      <c r="OZY71" s="26"/>
      <c r="OZZ71" s="26"/>
      <c r="PAA71" s="26"/>
      <c r="PAB71" s="26"/>
      <c r="PAC71" s="26"/>
      <c r="PAD71" s="26"/>
      <c r="PAE71" s="26"/>
      <c r="PAF71" s="26"/>
      <c r="PAG71" s="26"/>
      <c r="PAH71" s="26"/>
      <c r="PAI71" s="26"/>
      <c r="PAJ71" s="26"/>
      <c r="PAK71" s="26"/>
      <c r="PAL71" s="26"/>
      <c r="PAM71" s="26"/>
      <c r="PAN71" s="26"/>
      <c r="PAO71" s="26"/>
      <c r="PAP71" s="26"/>
      <c r="PAQ71" s="26"/>
      <c r="PAR71" s="26"/>
      <c r="PAS71" s="26"/>
      <c r="PAT71" s="26"/>
      <c r="PAU71" s="26"/>
      <c r="PAV71" s="26"/>
      <c r="PAW71" s="26"/>
      <c r="PAX71" s="26"/>
      <c r="PAY71" s="26"/>
      <c r="PAZ71" s="26"/>
      <c r="PBA71" s="26"/>
      <c r="PBB71" s="26"/>
      <c r="PBC71" s="26"/>
      <c r="PBD71" s="26"/>
      <c r="PBE71" s="26"/>
      <c r="PBF71" s="26"/>
      <c r="PBG71" s="26"/>
      <c r="PBH71" s="26"/>
      <c r="PBI71" s="26"/>
      <c r="PBJ71" s="26"/>
      <c r="PBK71" s="26"/>
      <c r="PBL71" s="26"/>
      <c r="PBM71" s="26"/>
      <c r="PBN71" s="26"/>
      <c r="PBO71" s="26"/>
      <c r="PBP71" s="26"/>
      <c r="PBQ71" s="26"/>
      <c r="PBR71" s="26"/>
      <c r="PBS71" s="26"/>
      <c r="PBT71" s="26"/>
      <c r="PBU71" s="26"/>
      <c r="PBV71" s="26"/>
      <c r="PBW71" s="26"/>
      <c r="PBX71" s="26"/>
      <c r="PBY71" s="26"/>
      <c r="PBZ71" s="26"/>
      <c r="PCA71" s="26"/>
      <c r="PCB71" s="26"/>
      <c r="PCC71" s="26"/>
      <c r="PCD71" s="26"/>
      <c r="PCE71" s="26"/>
      <c r="PCF71" s="26"/>
      <c r="PCG71" s="26"/>
      <c r="PCH71" s="26"/>
      <c r="PCI71" s="26"/>
      <c r="PCJ71" s="26"/>
      <c r="PCK71" s="26"/>
      <c r="PCL71" s="26"/>
      <c r="PCM71" s="26"/>
      <c r="PCN71" s="26"/>
      <c r="PCO71" s="26"/>
      <c r="PCP71" s="26"/>
      <c r="PCQ71" s="26"/>
      <c r="PCR71" s="26"/>
      <c r="PCS71" s="26"/>
      <c r="PCT71" s="26"/>
      <c r="PCU71" s="26"/>
      <c r="PCV71" s="26"/>
      <c r="PCW71" s="26"/>
      <c r="PCX71" s="26"/>
      <c r="PCY71" s="26"/>
      <c r="PCZ71" s="26"/>
      <c r="PDA71" s="26"/>
      <c r="PDB71" s="26"/>
      <c r="PDC71" s="26"/>
      <c r="PDD71" s="26"/>
      <c r="PDE71" s="26"/>
      <c r="PDF71" s="26"/>
      <c r="PDG71" s="26"/>
      <c r="PDH71" s="26"/>
      <c r="PDI71" s="26"/>
      <c r="PDJ71" s="26"/>
      <c r="PDK71" s="26"/>
      <c r="PDL71" s="26"/>
      <c r="PDM71" s="26"/>
      <c r="PDN71" s="26"/>
      <c r="PDO71" s="26"/>
      <c r="PDP71" s="26"/>
      <c r="PDQ71" s="26"/>
      <c r="PDR71" s="26"/>
      <c r="PDS71" s="26"/>
      <c r="PDT71" s="26"/>
      <c r="PDU71" s="26"/>
      <c r="PDV71" s="26"/>
      <c r="PDW71" s="26"/>
      <c r="PDX71" s="26"/>
      <c r="PDY71" s="26"/>
      <c r="PDZ71" s="26"/>
      <c r="PEA71" s="26"/>
      <c r="PEB71" s="26"/>
      <c r="PEC71" s="26"/>
      <c r="PED71" s="26"/>
      <c r="PEE71" s="26"/>
      <c r="PEF71" s="26"/>
      <c r="PEG71" s="26"/>
      <c r="PEH71" s="26"/>
      <c r="PEI71" s="26"/>
      <c r="PEJ71" s="26"/>
      <c r="PEK71" s="26"/>
      <c r="PEL71" s="26"/>
      <c r="PEM71" s="26"/>
      <c r="PEN71" s="26"/>
      <c r="PEO71" s="26"/>
      <c r="PEP71" s="26"/>
      <c r="PEQ71" s="26"/>
      <c r="PER71" s="26"/>
      <c r="PES71" s="26"/>
      <c r="PET71" s="26"/>
      <c r="PEU71" s="26"/>
      <c r="PEV71" s="26"/>
      <c r="PEW71" s="26"/>
      <c r="PEX71" s="26"/>
      <c r="PEY71" s="26"/>
      <c r="PEZ71" s="26"/>
      <c r="PFA71" s="26"/>
      <c r="PFB71" s="26"/>
      <c r="PFC71" s="26"/>
      <c r="PFD71" s="26"/>
      <c r="PFE71" s="26"/>
      <c r="PFF71" s="26"/>
      <c r="PFG71" s="26"/>
      <c r="PFH71" s="26"/>
      <c r="PFI71" s="26"/>
      <c r="PFJ71" s="26"/>
      <c r="PFK71" s="26"/>
      <c r="PFL71" s="26"/>
      <c r="PFM71" s="26"/>
      <c r="PFN71" s="26"/>
      <c r="PFO71" s="26"/>
      <c r="PFP71" s="26"/>
      <c r="PFQ71" s="26"/>
      <c r="PFR71" s="26"/>
      <c r="PFS71" s="26"/>
      <c r="PFT71" s="26"/>
      <c r="PFU71" s="26"/>
      <c r="PFV71" s="26"/>
      <c r="PFW71" s="26"/>
      <c r="PFX71" s="26"/>
      <c r="PFY71" s="26"/>
      <c r="PFZ71" s="26"/>
      <c r="PGA71" s="26"/>
      <c r="PGB71" s="26"/>
      <c r="PGC71" s="26"/>
      <c r="PGD71" s="26"/>
      <c r="PGE71" s="26"/>
      <c r="PGF71" s="26"/>
      <c r="PGG71" s="26"/>
      <c r="PGH71" s="26"/>
      <c r="PGI71" s="26"/>
      <c r="PGJ71" s="26"/>
      <c r="PGK71" s="26"/>
      <c r="PGL71" s="26"/>
      <c r="PGM71" s="26"/>
      <c r="PGN71" s="26"/>
      <c r="PGO71" s="26"/>
      <c r="PGP71" s="26"/>
      <c r="PGQ71" s="26"/>
      <c r="PGR71" s="26"/>
      <c r="PGS71" s="26"/>
      <c r="PGT71" s="26"/>
      <c r="PGU71" s="26"/>
      <c r="PGV71" s="26"/>
      <c r="PGW71" s="26"/>
      <c r="PGX71" s="26"/>
      <c r="PGY71" s="26"/>
      <c r="PGZ71" s="26"/>
      <c r="PHA71" s="26"/>
      <c r="PHB71" s="26"/>
      <c r="PHC71" s="26"/>
      <c r="PHD71" s="26"/>
      <c r="PHE71" s="26"/>
      <c r="PHF71" s="26"/>
      <c r="PHG71" s="26"/>
      <c r="PHH71" s="26"/>
      <c r="PHI71" s="26"/>
      <c r="PHJ71" s="26"/>
      <c r="PHK71" s="26"/>
      <c r="PHL71" s="26"/>
      <c r="PHM71" s="26"/>
      <c r="PHN71" s="26"/>
      <c r="PHO71" s="26"/>
      <c r="PHP71" s="26"/>
      <c r="PHQ71" s="26"/>
      <c r="PHR71" s="26"/>
      <c r="PHS71" s="26"/>
      <c r="PHT71" s="26"/>
      <c r="PHU71" s="26"/>
      <c r="PHV71" s="26"/>
      <c r="PHW71" s="26"/>
      <c r="PHX71" s="26"/>
      <c r="PHY71" s="26"/>
      <c r="PHZ71" s="26"/>
      <c r="PIA71" s="26"/>
      <c r="PIB71" s="26"/>
      <c r="PIC71" s="26"/>
      <c r="PID71" s="26"/>
      <c r="PIE71" s="26"/>
      <c r="PIF71" s="26"/>
      <c r="PIG71" s="26"/>
      <c r="PIH71" s="26"/>
      <c r="PII71" s="26"/>
      <c r="PIJ71" s="26"/>
      <c r="PIK71" s="26"/>
      <c r="PIL71" s="26"/>
      <c r="PIM71" s="26"/>
      <c r="PIN71" s="26"/>
      <c r="PIO71" s="26"/>
      <c r="PIP71" s="26"/>
      <c r="PIQ71" s="26"/>
      <c r="PIR71" s="26"/>
      <c r="PIS71" s="26"/>
      <c r="PIT71" s="26"/>
      <c r="PIU71" s="26"/>
      <c r="PIV71" s="26"/>
      <c r="PIW71" s="26"/>
      <c r="PIX71" s="26"/>
      <c r="PIY71" s="26"/>
      <c r="PIZ71" s="26"/>
      <c r="PJA71" s="26"/>
      <c r="PJB71" s="26"/>
      <c r="PJC71" s="26"/>
      <c r="PJD71" s="26"/>
      <c r="PJE71" s="26"/>
      <c r="PJF71" s="26"/>
      <c r="PJG71" s="26"/>
      <c r="PJH71" s="26"/>
      <c r="PJI71" s="26"/>
      <c r="PJJ71" s="26"/>
      <c r="PJK71" s="26"/>
      <c r="PJL71" s="26"/>
      <c r="PJM71" s="26"/>
      <c r="PJN71" s="26"/>
      <c r="PJO71" s="26"/>
      <c r="PJP71" s="26"/>
      <c r="PJQ71" s="26"/>
      <c r="PJR71" s="26"/>
      <c r="PJS71" s="26"/>
      <c r="PJT71" s="26"/>
      <c r="PJU71" s="26"/>
      <c r="PJV71" s="26"/>
      <c r="PJW71" s="26"/>
      <c r="PJX71" s="26"/>
      <c r="PJY71" s="26"/>
      <c r="PJZ71" s="26"/>
      <c r="PKA71" s="26"/>
      <c r="PKB71" s="26"/>
      <c r="PKC71" s="26"/>
      <c r="PKD71" s="26"/>
      <c r="PKE71" s="26"/>
      <c r="PKF71" s="26"/>
      <c r="PKG71" s="26"/>
      <c r="PKH71" s="26"/>
      <c r="PKI71" s="26"/>
      <c r="PKJ71" s="26"/>
      <c r="PKK71" s="26"/>
      <c r="PKL71" s="26"/>
      <c r="PKM71" s="26"/>
      <c r="PKN71" s="26"/>
      <c r="PKO71" s="26"/>
      <c r="PKP71" s="26"/>
      <c r="PKQ71" s="26"/>
      <c r="PKR71" s="26"/>
      <c r="PKS71" s="26"/>
      <c r="PKT71" s="26"/>
      <c r="PKU71" s="26"/>
      <c r="PKV71" s="26"/>
      <c r="PKW71" s="26"/>
      <c r="PKX71" s="26"/>
      <c r="PKY71" s="26"/>
      <c r="PKZ71" s="26"/>
      <c r="PLA71" s="26"/>
      <c r="PLB71" s="26"/>
      <c r="PLC71" s="26"/>
      <c r="PLD71" s="26"/>
      <c r="PLE71" s="26"/>
      <c r="PLF71" s="26"/>
      <c r="PLG71" s="26"/>
      <c r="PLH71" s="26"/>
      <c r="PLI71" s="26"/>
      <c r="PLJ71" s="26"/>
      <c r="PLK71" s="26"/>
      <c r="PLL71" s="26"/>
      <c r="PLM71" s="26"/>
      <c r="PLN71" s="26"/>
      <c r="PLO71" s="26"/>
      <c r="PLP71" s="26"/>
      <c r="PLQ71" s="26"/>
      <c r="PLR71" s="26"/>
      <c r="PLS71" s="26"/>
      <c r="PLT71" s="26"/>
      <c r="PLU71" s="26"/>
      <c r="PLV71" s="26"/>
      <c r="PLW71" s="26"/>
      <c r="PLX71" s="26"/>
      <c r="PLY71" s="26"/>
      <c r="PLZ71" s="26"/>
      <c r="PMA71" s="26"/>
      <c r="PMB71" s="26"/>
      <c r="PMC71" s="26"/>
      <c r="PMD71" s="26"/>
      <c r="PME71" s="26"/>
      <c r="PMF71" s="26"/>
      <c r="PMG71" s="26"/>
      <c r="PMH71" s="26"/>
      <c r="PMI71" s="26"/>
      <c r="PMJ71" s="26"/>
      <c r="PMK71" s="26"/>
      <c r="PML71" s="26"/>
      <c r="PMM71" s="26"/>
      <c r="PMN71" s="26"/>
      <c r="PMO71" s="26"/>
      <c r="PMP71" s="26"/>
      <c r="PMQ71" s="26"/>
      <c r="PMR71" s="26"/>
      <c r="PMS71" s="26"/>
      <c r="PMT71" s="26"/>
      <c r="PMU71" s="26"/>
      <c r="PMV71" s="26"/>
      <c r="PMW71" s="26"/>
      <c r="PMX71" s="26"/>
      <c r="PMY71" s="26"/>
      <c r="PMZ71" s="26"/>
      <c r="PNA71" s="26"/>
      <c r="PNB71" s="26"/>
      <c r="PNC71" s="26"/>
      <c r="PND71" s="26"/>
      <c r="PNE71" s="26"/>
      <c r="PNF71" s="26"/>
      <c r="PNG71" s="26"/>
      <c r="PNH71" s="26"/>
      <c r="PNI71" s="26"/>
      <c r="PNJ71" s="26"/>
      <c r="PNK71" s="26"/>
      <c r="PNL71" s="26"/>
      <c r="PNM71" s="26"/>
      <c r="PNN71" s="26"/>
      <c r="PNO71" s="26"/>
      <c r="PNP71" s="26"/>
      <c r="PNQ71" s="26"/>
      <c r="PNR71" s="26"/>
      <c r="PNS71" s="26"/>
      <c r="PNT71" s="26"/>
      <c r="PNU71" s="26"/>
      <c r="PNV71" s="26"/>
      <c r="PNW71" s="26"/>
      <c r="PNX71" s="26"/>
      <c r="PNY71" s="26"/>
      <c r="PNZ71" s="26"/>
      <c r="POA71" s="26"/>
      <c r="POB71" s="26"/>
      <c r="POC71" s="26"/>
      <c r="POD71" s="26"/>
      <c r="POE71" s="26"/>
      <c r="POF71" s="26"/>
      <c r="POG71" s="26"/>
      <c r="POH71" s="26"/>
      <c r="POI71" s="26"/>
      <c r="POJ71" s="26"/>
      <c r="POK71" s="26"/>
      <c r="POL71" s="26"/>
      <c r="POM71" s="26"/>
      <c r="PON71" s="26"/>
      <c r="POO71" s="26"/>
      <c r="POP71" s="26"/>
      <c r="POQ71" s="26"/>
      <c r="POR71" s="26"/>
      <c r="POS71" s="26"/>
      <c r="POT71" s="26"/>
      <c r="POU71" s="26"/>
      <c r="POV71" s="26"/>
      <c r="POW71" s="26"/>
      <c r="POX71" s="26"/>
      <c r="POY71" s="26"/>
      <c r="POZ71" s="26"/>
      <c r="PPA71" s="26"/>
      <c r="PPB71" s="26"/>
      <c r="PPC71" s="26"/>
      <c r="PPD71" s="26"/>
      <c r="PPE71" s="26"/>
      <c r="PPF71" s="26"/>
      <c r="PPG71" s="26"/>
      <c r="PPH71" s="26"/>
      <c r="PPI71" s="26"/>
      <c r="PPJ71" s="26"/>
      <c r="PPK71" s="26"/>
      <c r="PPL71" s="26"/>
      <c r="PPM71" s="26"/>
      <c r="PPN71" s="26"/>
      <c r="PPO71" s="26"/>
      <c r="PPP71" s="26"/>
      <c r="PPQ71" s="26"/>
      <c r="PPR71" s="26"/>
      <c r="PPS71" s="26"/>
      <c r="PPT71" s="26"/>
      <c r="PPU71" s="26"/>
      <c r="PPV71" s="26"/>
      <c r="PPW71" s="26"/>
      <c r="PPX71" s="26"/>
      <c r="PPY71" s="26"/>
      <c r="PPZ71" s="26"/>
      <c r="PQA71" s="26"/>
      <c r="PQB71" s="26"/>
      <c r="PQC71" s="26"/>
      <c r="PQD71" s="26"/>
      <c r="PQE71" s="26"/>
      <c r="PQF71" s="26"/>
      <c r="PQG71" s="26"/>
      <c r="PQH71" s="26"/>
      <c r="PQI71" s="26"/>
      <c r="PQJ71" s="26"/>
      <c r="PQK71" s="26"/>
      <c r="PQL71" s="26"/>
      <c r="PQM71" s="26"/>
      <c r="PQN71" s="26"/>
      <c r="PQO71" s="26"/>
      <c r="PQP71" s="26"/>
      <c r="PQQ71" s="26"/>
      <c r="PQR71" s="26"/>
      <c r="PQS71" s="26"/>
      <c r="PQT71" s="26"/>
      <c r="PQU71" s="26"/>
      <c r="PQV71" s="26"/>
      <c r="PQW71" s="26"/>
      <c r="PQX71" s="26"/>
      <c r="PQY71" s="26"/>
      <c r="PQZ71" s="26"/>
      <c r="PRA71" s="26"/>
      <c r="PRB71" s="26"/>
      <c r="PRC71" s="26"/>
      <c r="PRD71" s="26"/>
      <c r="PRE71" s="26"/>
      <c r="PRF71" s="26"/>
      <c r="PRG71" s="26"/>
      <c r="PRH71" s="26"/>
      <c r="PRI71" s="26"/>
      <c r="PRJ71" s="26"/>
      <c r="PRK71" s="26"/>
      <c r="PRL71" s="26"/>
      <c r="PRM71" s="26"/>
      <c r="PRN71" s="26"/>
      <c r="PRO71" s="26"/>
      <c r="PRP71" s="26"/>
      <c r="PRQ71" s="26"/>
      <c r="PRR71" s="26"/>
      <c r="PRS71" s="26"/>
      <c r="PRT71" s="26"/>
      <c r="PRU71" s="26"/>
      <c r="PRV71" s="26"/>
      <c r="PRW71" s="26"/>
      <c r="PRX71" s="26"/>
      <c r="PRY71" s="26"/>
      <c r="PRZ71" s="26"/>
      <c r="PSA71" s="26"/>
      <c r="PSB71" s="26"/>
      <c r="PSC71" s="26"/>
      <c r="PSD71" s="26"/>
      <c r="PSE71" s="26"/>
      <c r="PSF71" s="26"/>
      <c r="PSG71" s="26"/>
      <c r="PSH71" s="26"/>
      <c r="PSI71" s="26"/>
      <c r="PSJ71" s="26"/>
      <c r="PSK71" s="26"/>
      <c r="PSL71" s="26"/>
      <c r="PSM71" s="26"/>
      <c r="PSN71" s="26"/>
      <c r="PSO71" s="26"/>
      <c r="PSP71" s="26"/>
      <c r="PSQ71" s="26"/>
      <c r="PSR71" s="26"/>
      <c r="PSS71" s="26"/>
      <c r="PST71" s="26"/>
      <c r="PSU71" s="26"/>
      <c r="PSV71" s="26"/>
      <c r="PSW71" s="26"/>
      <c r="PSX71" s="26"/>
      <c r="PSY71" s="26"/>
      <c r="PSZ71" s="26"/>
      <c r="PTA71" s="26"/>
      <c r="PTB71" s="26"/>
      <c r="PTC71" s="26"/>
      <c r="PTD71" s="26"/>
      <c r="PTE71" s="26"/>
      <c r="PTF71" s="26"/>
      <c r="PTG71" s="26"/>
      <c r="PTH71" s="26"/>
      <c r="PTI71" s="26"/>
      <c r="PTJ71" s="26"/>
      <c r="PTK71" s="26"/>
      <c r="PTL71" s="26"/>
      <c r="PTM71" s="26"/>
      <c r="PTN71" s="26"/>
      <c r="PTO71" s="26"/>
      <c r="PTP71" s="26"/>
      <c r="PTQ71" s="26"/>
      <c r="PTR71" s="26"/>
      <c r="PTS71" s="26"/>
      <c r="PTT71" s="26"/>
      <c r="PTU71" s="26"/>
      <c r="PTV71" s="26"/>
      <c r="PTW71" s="26"/>
      <c r="PTX71" s="26"/>
      <c r="PTY71" s="26"/>
      <c r="PTZ71" s="26"/>
      <c r="PUA71" s="26"/>
      <c r="PUB71" s="26"/>
      <c r="PUC71" s="26"/>
      <c r="PUD71" s="26"/>
      <c r="PUE71" s="26"/>
      <c r="PUF71" s="26"/>
      <c r="PUG71" s="26"/>
      <c r="PUH71" s="26"/>
      <c r="PUI71" s="26"/>
      <c r="PUJ71" s="26"/>
      <c r="PUK71" s="26"/>
      <c r="PUL71" s="26"/>
      <c r="PUM71" s="26"/>
      <c r="PUN71" s="26"/>
      <c r="PUO71" s="26"/>
      <c r="PUP71" s="26"/>
      <c r="PUQ71" s="26"/>
      <c r="PUR71" s="26"/>
      <c r="PUS71" s="26"/>
      <c r="PUT71" s="26"/>
      <c r="PUU71" s="26"/>
      <c r="PUV71" s="26"/>
      <c r="PUW71" s="26"/>
      <c r="PUX71" s="26"/>
      <c r="PUY71" s="26"/>
      <c r="PUZ71" s="26"/>
      <c r="PVA71" s="26"/>
      <c r="PVB71" s="26"/>
      <c r="PVC71" s="26"/>
      <c r="PVD71" s="26"/>
      <c r="PVE71" s="26"/>
      <c r="PVF71" s="26"/>
      <c r="PVG71" s="26"/>
      <c r="PVH71" s="26"/>
      <c r="PVI71" s="26"/>
      <c r="PVJ71" s="26"/>
      <c r="PVK71" s="26"/>
      <c r="PVL71" s="26"/>
      <c r="PVM71" s="26"/>
      <c r="PVN71" s="26"/>
      <c r="PVO71" s="26"/>
      <c r="PVP71" s="26"/>
      <c r="PVQ71" s="26"/>
      <c r="PVR71" s="26"/>
      <c r="PVS71" s="26"/>
      <c r="PVT71" s="26"/>
      <c r="PVU71" s="26"/>
      <c r="PVV71" s="26"/>
      <c r="PVW71" s="26"/>
      <c r="PVX71" s="26"/>
      <c r="PVY71" s="26"/>
      <c r="PVZ71" s="26"/>
      <c r="PWA71" s="26"/>
      <c r="PWB71" s="26"/>
      <c r="PWC71" s="26"/>
      <c r="PWD71" s="26"/>
      <c r="PWE71" s="26"/>
      <c r="PWF71" s="26"/>
      <c r="PWG71" s="26"/>
      <c r="PWH71" s="26"/>
      <c r="PWI71" s="26"/>
      <c r="PWJ71" s="26"/>
      <c r="PWK71" s="26"/>
      <c r="PWL71" s="26"/>
      <c r="PWM71" s="26"/>
      <c r="PWN71" s="26"/>
      <c r="PWO71" s="26"/>
      <c r="PWP71" s="26"/>
      <c r="PWQ71" s="26"/>
      <c r="PWR71" s="26"/>
      <c r="PWS71" s="26"/>
      <c r="PWT71" s="26"/>
      <c r="PWU71" s="26"/>
      <c r="PWV71" s="26"/>
      <c r="PWW71" s="26"/>
      <c r="PWX71" s="26"/>
      <c r="PWY71" s="26"/>
      <c r="PWZ71" s="26"/>
      <c r="PXA71" s="26"/>
      <c r="PXB71" s="26"/>
      <c r="PXC71" s="26"/>
      <c r="PXD71" s="26"/>
      <c r="PXE71" s="26"/>
      <c r="PXF71" s="26"/>
      <c r="PXG71" s="26"/>
      <c r="PXH71" s="26"/>
      <c r="PXI71" s="26"/>
      <c r="PXJ71" s="26"/>
      <c r="PXK71" s="26"/>
      <c r="PXL71" s="26"/>
      <c r="PXM71" s="26"/>
      <c r="PXN71" s="26"/>
      <c r="PXO71" s="26"/>
      <c r="PXP71" s="26"/>
      <c r="PXQ71" s="26"/>
      <c r="PXR71" s="26"/>
      <c r="PXS71" s="26"/>
      <c r="PXT71" s="26"/>
      <c r="PXU71" s="26"/>
      <c r="PXV71" s="26"/>
      <c r="PXW71" s="26"/>
      <c r="PXX71" s="26"/>
      <c r="PXY71" s="26"/>
      <c r="PXZ71" s="26"/>
      <c r="PYA71" s="26"/>
      <c r="PYB71" s="26"/>
      <c r="PYC71" s="26"/>
      <c r="PYD71" s="26"/>
      <c r="PYE71" s="26"/>
      <c r="PYF71" s="26"/>
      <c r="PYG71" s="26"/>
      <c r="PYH71" s="26"/>
      <c r="PYI71" s="26"/>
      <c r="PYJ71" s="26"/>
      <c r="PYK71" s="26"/>
      <c r="PYL71" s="26"/>
      <c r="PYM71" s="26"/>
      <c r="PYN71" s="26"/>
      <c r="PYO71" s="26"/>
      <c r="PYP71" s="26"/>
      <c r="PYQ71" s="26"/>
      <c r="PYR71" s="26"/>
      <c r="PYS71" s="26"/>
      <c r="PYT71" s="26"/>
      <c r="PYU71" s="26"/>
      <c r="PYV71" s="26"/>
      <c r="PYW71" s="26"/>
      <c r="PYX71" s="26"/>
      <c r="PYY71" s="26"/>
      <c r="PYZ71" s="26"/>
      <c r="PZA71" s="26"/>
      <c r="PZB71" s="26"/>
      <c r="PZC71" s="26"/>
      <c r="PZD71" s="26"/>
      <c r="PZE71" s="26"/>
      <c r="PZF71" s="26"/>
      <c r="PZG71" s="26"/>
      <c r="PZH71" s="26"/>
      <c r="PZI71" s="26"/>
      <c r="PZJ71" s="26"/>
      <c r="PZK71" s="26"/>
      <c r="PZL71" s="26"/>
      <c r="PZM71" s="26"/>
      <c r="PZN71" s="26"/>
      <c r="PZO71" s="26"/>
      <c r="PZP71" s="26"/>
      <c r="PZQ71" s="26"/>
      <c r="PZR71" s="26"/>
      <c r="PZS71" s="26"/>
      <c r="PZT71" s="26"/>
      <c r="PZU71" s="26"/>
      <c r="PZV71" s="26"/>
      <c r="PZW71" s="26"/>
      <c r="PZX71" s="26"/>
      <c r="PZY71" s="26"/>
      <c r="PZZ71" s="26"/>
      <c r="QAA71" s="26"/>
      <c r="QAB71" s="26"/>
      <c r="QAC71" s="26"/>
      <c r="QAD71" s="26"/>
      <c r="QAE71" s="26"/>
      <c r="QAF71" s="26"/>
      <c r="QAG71" s="26"/>
      <c r="QAH71" s="26"/>
      <c r="QAI71" s="26"/>
      <c r="QAJ71" s="26"/>
      <c r="QAK71" s="26"/>
      <c r="QAL71" s="26"/>
      <c r="QAM71" s="26"/>
      <c r="QAN71" s="26"/>
      <c r="QAO71" s="26"/>
      <c r="QAP71" s="26"/>
      <c r="QAQ71" s="26"/>
      <c r="QAR71" s="26"/>
      <c r="QAS71" s="26"/>
      <c r="QAT71" s="26"/>
      <c r="QAU71" s="26"/>
      <c r="QAV71" s="26"/>
      <c r="QAW71" s="26"/>
      <c r="QAX71" s="26"/>
      <c r="QAY71" s="26"/>
      <c r="QAZ71" s="26"/>
      <c r="QBA71" s="26"/>
      <c r="QBB71" s="26"/>
      <c r="QBC71" s="26"/>
      <c r="QBD71" s="26"/>
      <c r="QBE71" s="26"/>
      <c r="QBF71" s="26"/>
      <c r="QBG71" s="26"/>
      <c r="QBH71" s="26"/>
      <c r="QBI71" s="26"/>
      <c r="QBJ71" s="26"/>
      <c r="QBK71" s="26"/>
      <c r="QBL71" s="26"/>
      <c r="QBM71" s="26"/>
      <c r="QBN71" s="26"/>
      <c r="QBO71" s="26"/>
      <c r="QBP71" s="26"/>
      <c r="QBQ71" s="26"/>
      <c r="QBR71" s="26"/>
      <c r="QBS71" s="26"/>
      <c r="QBT71" s="26"/>
      <c r="QBU71" s="26"/>
      <c r="QBV71" s="26"/>
      <c r="QBW71" s="26"/>
      <c r="QBX71" s="26"/>
      <c r="QBY71" s="26"/>
      <c r="QBZ71" s="26"/>
      <c r="QCA71" s="26"/>
      <c r="QCB71" s="26"/>
      <c r="QCC71" s="26"/>
      <c r="QCD71" s="26"/>
      <c r="QCE71" s="26"/>
      <c r="QCF71" s="26"/>
      <c r="QCG71" s="26"/>
      <c r="QCH71" s="26"/>
      <c r="QCI71" s="26"/>
      <c r="QCJ71" s="26"/>
      <c r="QCK71" s="26"/>
      <c r="QCL71" s="26"/>
      <c r="QCM71" s="26"/>
      <c r="QCN71" s="26"/>
      <c r="QCO71" s="26"/>
      <c r="QCP71" s="26"/>
      <c r="QCQ71" s="26"/>
      <c r="QCR71" s="26"/>
      <c r="QCS71" s="26"/>
      <c r="QCT71" s="26"/>
      <c r="QCU71" s="26"/>
      <c r="QCV71" s="26"/>
      <c r="QCW71" s="26"/>
      <c r="QCX71" s="26"/>
      <c r="QCY71" s="26"/>
      <c r="QCZ71" s="26"/>
      <c r="QDA71" s="26"/>
      <c r="QDB71" s="26"/>
      <c r="QDC71" s="26"/>
      <c r="QDD71" s="26"/>
      <c r="QDE71" s="26"/>
      <c r="QDF71" s="26"/>
      <c r="QDG71" s="26"/>
      <c r="QDH71" s="26"/>
      <c r="QDI71" s="26"/>
      <c r="QDJ71" s="26"/>
      <c r="QDK71" s="26"/>
      <c r="QDL71" s="26"/>
      <c r="QDM71" s="26"/>
      <c r="QDN71" s="26"/>
      <c r="QDO71" s="26"/>
      <c r="QDP71" s="26"/>
      <c r="QDQ71" s="26"/>
      <c r="QDR71" s="26"/>
      <c r="QDS71" s="26"/>
      <c r="QDT71" s="26"/>
      <c r="QDU71" s="26"/>
      <c r="QDV71" s="26"/>
      <c r="QDW71" s="26"/>
      <c r="QDX71" s="26"/>
      <c r="QDY71" s="26"/>
      <c r="QDZ71" s="26"/>
      <c r="QEA71" s="26"/>
      <c r="QEB71" s="26"/>
      <c r="QEC71" s="26"/>
      <c r="QED71" s="26"/>
      <c r="QEE71" s="26"/>
      <c r="QEF71" s="26"/>
      <c r="QEG71" s="26"/>
      <c r="QEH71" s="26"/>
      <c r="QEI71" s="26"/>
      <c r="QEJ71" s="26"/>
      <c r="QEK71" s="26"/>
      <c r="QEL71" s="26"/>
      <c r="QEM71" s="26"/>
      <c r="QEN71" s="26"/>
      <c r="QEO71" s="26"/>
      <c r="QEP71" s="26"/>
      <c r="QEQ71" s="26"/>
      <c r="QER71" s="26"/>
      <c r="QES71" s="26"/>
      <c r="QET71" s="26"/>
      <c r="QEU71" s="26"/>
      <c r="QEV71" s="26"/>
      <c r="QEW71" s="26"/>
      <c r="QEX71" s="26"/>
      <c r="QEY71" s="26"/>
      <c r="QEZ71" s="26"/>
      <c r="QFA71" s="26"/>
      <c r="QFB71" s="26"/>
      <c r="QFC71" s="26"/>
      <c r="QFD71" s="26"/>
      <c r="QFE71" s="26"/>
      <c r="QFF71" s="26"/>
      <c r="QFG71" s="26"/>
      <c r="QFH71" s="26"/>
      <c r="QFI71" s="26"/>
      <c r="QFJ71" s="26"/>
      <c r="QFK71" s="26"/>
      <c r="QFL71" s="26"/>
      <c r="QFM71" s="26"/>
      <c r="QFN71" s="26"/>
      <c r="QFO71" s="26"/>
      <c r="QFP71" s="26"/>
      <c r="QFQ71" s="26"/>
      <c r="QFR71" s="26"/>
      <c r="QFS71" s="26"/>
      <c r="QFT71" s="26"/>
      <c r="QFU71" s="26"/>
      <c r="QFV71" s="26"/>
      <c r="QFW71" s="26"/>
      <c r="QFX71" s="26"/>
      <c r="QFY71" s="26"/>
      <c r="QFZ71" s="26"/>
      <c r="QGA71" s="26"/>
      <c r="QGB71" s="26"/>
      <c r="QGC71" s="26"/>
      <c r="QGD71" s="26"/>
      <c r="QGE71" s="26"/>
      <c r="QGF71" s="26"/>
      <c r="QGG71" s="26"/>
      <c r="QGH71" s="26"/>
      <c r="QGI71" s="26"/>
      <c r="QGJ71" s="26"/>
      <c r="QGK71" s="26"/>
      <c r="QGL71" s="26"/>
      <c r="QGM71" s="26"/>
      <c r="QGN71" s="26"/>
      <c r="QGO71" s="26"/>
      <c r="QGP71" s="26"/>
      <c r="QGQ71" s="26"/>
      <c r="QGR71" s="26"/>
      <c r="QGS71" s="26"/>
      <c r="QGT71" s="26"/>
      <c r="QGU71" s="26"/>
      <c r="QGV71" s="26"/>
      <c r="QGW71" s="26"/>
      <c r="QGX71" s="26"/>
      <c r="QGY71" s="26"/>
      <c r="QGZ71" s="26"/>
      <c r="QHA71" s="26"/>
      <c r="QHB71" s="26"/>
      <c r="QHC71" s="26"/>
      <c r="QHD71" s="26"/>
      <c r="QHE71" s="26"/>
      <c r="QHF71" s="26"/>
      <c r="QHG71" s="26"/>
      <c r="QHH71" s="26"/>
      <c r="QHI71" s="26"/>
      <c r="QHJ71" s="26"/>
      <c r="QHK71" s="26"/>
      <c r="QHL71" s="26"/>
      <c r="QHM71" s="26"/>
      <c r="QHN71" s="26"/>
      <c r="QHO71" s="26"/>
      <c r="QHP71" s="26"/>
      <c r="QHQ71" s="26"/>
      <c r="QHR71" s="26"/>
      <c r="QHS71" s="26"/>
      <c r="QHT71" s="26"/>
      <c r="QHU71" s="26"/>
      <c r="QHV71" s="26"/>
      <c r="QHW71" s="26"/>
      <c r="QHX71" s="26"/>
      <c r="QHY71" s="26"/>
      <c r="QHZ71" s="26"/>
      <c r="QIA71" s="26"/>
      <c r="QIB71" s="26"/>
      <c r="QIC71" s="26"/>
      <c r="QID71" s="26"/>
      <c r="QIE71" s="26"/>
      <c r="QIF71" s="26"/>
      <c r="QIG71" s="26"/>
      <c r="QIH71" s="26"/>
      <c r="QII71" s="26"/>
      <c r="QIJ71" s="26"/>
      <c r="QIK71" s="26"/>
      <c r="QIL71" s="26"/>
      <c r="QIM71" s="26"/>
      <c r="QIN71" s="26"/>
      <c r="QIO71" s="26"/>
      <c r="QIP71" s="26"/>
      <c r="QIQ71" s="26"/>
      <c r="QIR71" s="26"/>
      <c r="QIS71" s="26"/>
      <c r="QIT71" s="26"/>
      <c r="QIU71" s="26"/>
      <c r="QIV71" s="26"/>
      <c r="QIW71" s="26"/>
      <c r="QIX71" s="26"/>
      <c r="QIY71" s="26"/>
      <c r="QIZ71" s="26"/>
      <c r="QJA71" s="26"/>
      <c r="QJB71" s="26"/>
      <c r="QJC71" s="26"/>
      <c r="QJD71" s="26"/>
      <c r="QJE71" s="26"/>
      <c r="QJF71" s="26"/>
      <c r="QJG71" s="26"/>
      <c r="QJH71" s="26"/>
      <c r="QJI71" s="26"/>
      <c r="QJJ71" s="26"/>
      <c r="QJK71" s="26"/>
      <c r="QJL71" s="26"/>
      <c r="QJM71" s="26"/>
      <c r="QJN71" s="26"/>
      <c r="QJO71" s="26"/>
      <c r="QJP71" s="26"/>
      <c r="QJQ71" s="26"/>
      <c r="QJR71" s="26"/>
      <c r="QJS71" s="26"/>
      <c r="QJT71" s="26"/>
      <c r="QJU71" s="26"/>
      <c r="QJV71" s="26"/>
      <c r="QJW71" s="26"/>
      <c r="QJX71" s="26"/>
      <c r="QJY71" s="26"/>
      <c r="QJZ71" s="26"/>
      <c r="QKA71" s="26"/>
      <c r="QKB71" s="26"/>
      <c r="QKC71" s="26"/>
      <c r="QKD71" s="26"/>
      <c r="QKE71" s="26"/>
      <c r="QKF71" s="26"/>
      <c r="QKG71" s="26"/>
      <c r="QKH71" s="26"/>
      <c r="QKI71" s="26"/>
      <c r="QKJ71" s="26"/>
      <c r="QKK71" s="26"/>
      <c r="QKL71" s="26"/>
      <c r="QKM71" s="26"/>
      <c r="QKN71" s="26"/>
      <c r="QKO71" s="26"/>
      <c r="QKP71" s="26"/>
      <c r="QKQ71" s="26"/>
      <c r="QKR71" s="26"/>
      <c r="QKS71" s="26"/>
      <c r="QKT71" s="26"/>
      <c r="QKU71" s="26"/>
      <c r="QKV71" s="26"/>
      <c r="QKW71" s="26"/>
      <c r="QKX71" s="26"/>
      <c r="QKY71" s="26"/>
      <c r="QKZ71" s="26"/>
      <c r="QLA71" s="26"/>
      <c r="QLB71" s="26"/>
      <c r="QLC71" s="26"/>
      <c r="QLD71" s="26"/>
      <c r="QLE71" s="26"/>
      <c r="QLF71" s="26"/>
      <c r="QLG71" s="26"/>
      <c r="QLH71" s="26"/>
      <c r="QLI71" s="26"/>
      <c r="QLJ71" s="26"/>
      <c r="QLK71" s="26"/>
      <c r="QLL71" s="26"/>
      <c r="QLM71" s="26"/>
      <c r="QLN71" s="26"/>
      <c r="QLO71" s="26"/>
      <c r="QLP71" s="26"/>
      <c r="QLQ71" s="26"/>
      <c r="QLR71" s="26"/>
      <c r="QLS71" s="26"/>
      <c r="QLT71" s="26"/>
      <c r="QLU71" s="26"/>
      <c r="QLV71" s="26"/>
      <c r="QLW71" s="26"/>
      <c r="QLX71" s="26"/>
      <c r="QLY71" s="26"/>
      <c r="QLZ71" s="26"/>
      <c r="QMA71" s="26"/>
      <c r="QMB71" s="26"/>
      <c r="QMC71" s="26"/>
      <c r="QMD71" s="26"/>
      <c r="QME71" s="26"/>
      <c r="QMF71" s="26"/>
      <c r="QMG71" s="26"/>
      <c r="QMH71" s="26"/>
      <c r="QMI71" s="26"/>
      <c r="QMJ71" s="26"/>
      <c r="QMK71" s="26"/>
      <c r="QML71" s="26"/>
      <c r="QMM71" s="26"/>
      <c r="QMN71" s="26"/>
      <c r="QMO71" s="26"/>
      <c r="QMP71" s="26"/>
      <c r="QMQ71" s="26"/>
      <c r="QMR71" s="26"/>
      <c r="QMS71" s="26"/>
      <c r="QMT71" s="26"/>
      <c r="QMU71" s="26"/>
      <c r="QMV71" s="26"/>
      <c r="QMW71" s="26"/>
      <c r="QMX71" s="26"/>
      <c r="QMY71" s="26"/>
      <c r="QMZ71" s="26"/>
      <c r="QNA71" s="26"/>
      <c r="QNB71" s="26"/>
      <c r="QNC71" s="26"/>
      <c r="QND71" s="26"/>
      <c r="QNE71" s="26"/>
      <c r="QNF71" s="26"/>
      <c r="QNG71" s="26"/>
      <c r="QNH71" s="26"/>
      <c r="QNI71" s="26"/>
      <c r="QNJ71" s="26"/>
      <c r="QNK71" s="26"/>
      <c r="QNL71" s="26"/>
      <c r="QNM71" s="26"/>
      <c r="QNN71" s="26"/>
      <c r="QNO71" s="26"/>
      <c r="QNP71" s="26"/>
      <c r="QNQ71" s="26"/>
      <c r="QNR71" s="26"/>
      <c r="QNS71" s="26"/>
      <c r="QNT71" s="26"/>
      <c r="QNU71" s="26"/>
      <c r="QNV71" s="26"/>
      <c r="QNW71" s="26"/>
      <c r="QNX71" s="26"/>
      <c r="QNY71" s="26"/>
      <c r="QNZ71" s="26"/>
      <c r="QOA71" s="26"/>
      <c r="QOB71" s="26"/>
      <c r="QOC71" s="26"/>
      <c r="QOD71" s="26"/>
      <c r="QOE71" s="26"/>
      <c r="QOF71" s="26"/>
      <c r="QOG71" s="26"/>
      <c r="QOH71" s="26"/>
      <c r="QOI71" s="26"/>
      <c r="QOJ71" s="26"/>
      <c r="QOK71" s="26"/>
      <c r="QOL71" s="26"/>
      <c r="QOM71" s="26"/>
      <c r="QON71" s="26"/>
      <c r="QOO71" s="26"/>
      <c r="QOP71" s="26"/>
      <c r="QOQ71" s="26"/>
      <c r="QOR71" s="26"/>
      <c r="QOS71" s="26"/>
      <c r="QOT71" s="26"/>
      <c r="QOU71" s="26"/>
      <c r="QOV71" s="26"/>
      <c r="QOW71" s="26"/>
      <c r="QOX71" s="26"/>
      <c r="QOY71" s="26"/>
      <c r="QOZ71" s="26"/>
      <c r="QPA71" s="26"/>
      <c r="QPB71" s="26"/>
      <c r="QPC71" s="26"/>
      <c r="QPD71" s="26"/>
      <c r="QPE71" s="26"/>
      <c r="QPF71" s="26"/>
      <c r="QPG71" s="26"/>
      <c r="QPH71" s="26"/>
      <c r="QPI71" s="26"/>
      <c r="QPJ71" s="26"/>
      <c r="QPK71" s="26"/>
      <c r="QPL71" s="26"/>
      <c r="QPM71" s="26"/>
      <c r="QPN71" s="26"/>
      <c r="QPO71" s="26"/>
      <c r="QPP71" s="26"/>
      <c r="QPQ71" s="26"/>
      <c r="QPR71" s="26"/>
      <c r="QPS71" s="26"/>
      <c r="QPT71" s="26"/>
      <c r="QPU71" s="26"/>
      <c r="QPV71" s="26"/>
      <c r="QPW71" s="26"/>
      <c r="QPX71" s="26"/>
      <c r="QPY71" s="26"/>
      <c r="QPZ71" s="26"/>
      <c r="QQA71" s="26"/>
      <c r="QQB71" s="26"/>
      <c r="QQC71" s="26"/>
      <c r="QQD71" s="26"/>
      <c r="QQE71" s="26"/>
      <c r="QQF71" s="26"/>
      <c r="QQG71" s="26"/>
      <c r="QQH71" s="26"/>
      <c r="QQI71" s="26"/>
      <c r="QQJ71" s="26"/>
      <c r="QQK71" s="26"/>
      <c r="QQL71" s="26"/>
      <c r="QQM71" s="26"/>
      <c r="QQN71" s="26"/>
      <c r="QQO71" s="26"/>
      <c r="QQP71" s="26"/>
      <c r="QQQ71" s="26"/>
      <c r="QQR71" s="26"/>
      <c r="QQS71" s="26"/>
      <c r="QQT71" s="26"/>
      <c r="QQU71" s="26"/>
      <c r="QQV71" s="26"/>
      <c r="QQW71" s="26"/>
      <c r="QQX71" s="26"/>
      <c r="QQY71" s="26"/>
      <c r="QQZ71" s="26"/>
      <c r="QRA71" s="26"/>
      <c r="QRB71" s="26"/>
      <c r="QRC71" s="26"/>
      <c r="QRD71" s="26"/>
      <c r="QRE71" s="26"/>
      <c r="QRF71" s="26"/>
      <c r="QRG71" s="26"/>
      <c r="QRH71" s="26"/>
      <c r="QRI71" s="26"/>
      <c r="QRJ71" s="26"/>
      <c r="QRK71" s="26"/>
      <c r="QRL71" s="26"/>
      <c r="QRM71" s="26"/>
      <c r="QRN71" s="26"/>
      <c r="QRO71" s="26"/>
      <c r="QRP71" s="26"/>
      <c r="QRQ71" s="26"/>
      <c r="QRR71" s="26"/>
      <c r="QRS71" s="26"/>
      <c r="QRT71" s="26"/>
      <c r="QRU71" s="26"/>
      <c r="QRV71" s="26"/>
      <c r="QRW71" s="26"/>
      <c r="QRX71" s="26"/>
      <c r="QRY71" s="26"/>
      <c r="QRZ71" s="26"/>
      <c r="QSA71" s="26"/>
      <c r="QSB71" s="26"/>
      <c r="QSC71" s="26"/>
      <c r="QSD71" s="26"/>
      <c r="QSE71" s="26"/>
      <c r="QSF71" s="26"/>
      <c r="QSG71" s="26"/>
      <c r="QSH71" s="26"/>
      <c r="QSI71" s="26"/>
      <c r="QSJ71" s="26"/>
      <c r="QSK71" s="26"/>
      <c r="QSL71" s="26"/>
      <c r="QSM71" s="26"/>
      <c r="QSN71" s="26"/>
      <c r="QSO71" s="26"/>
      <c r="QSP71" s="26"/>
      <c r="QSQ71" s="26"/>
      <c r="QSR71" s="26"/>
      <c r="QSS71" s="26"/>
      <c r="QST71" s="26"/>
      <c r="QSU71" s="26"/>
      <c r="QSV71" s="26"/>
      <c r="QSW71" s="26"/>
      <c r="QSX71" s="26"/>
      <c r="QSY71" s="26"/>
      <c r="QSZ71" s="26"/>
      <c r="QTA71" s="26"/>
      <c r="QTB71" s="26"/>
      <c r="QTC71" s="26"/>
      <c r="QTD71" s="26"/>
      <c r="QTE71" s="26"/>
      <c r="QTF71" s="26"/>
      <c r="QTG71" s="26"/>
      <c r="QTH71" s="26"/>
      <c r="QTI71" s="26"/>
      <c r="QTJ71" s="26"/>
      <c r="QTK71" s="26"/>
      <c r="QTL71" s="26"/>
      <c r="QTM71" s="26"/>
      <c r="QTN71" s="26"/>
      <c r="QTO71" s="26"/>
      <c r="QTP71" s="26"/>
      <c r="QTQ71" s="26"/>
      <c r="QTR71" s="26"/>
      <c r="QTS71" s="26"/>
      <c r="QTT71" s="26"/>
      <c r="QTU71" s="26"/>
      <c r="QTV71" s="26"/>
      <c r="QTW71" s="26"/>
      <c r="QTX71" s="26"/>
      <c r="QTY71" s="26"/>
      <c r="QTZ71" s="26"/>
      <c r="QUA71" s="26"/>
      <c r="QUB71" s="26"/>
      <c r="QUC71" s="26"/>
      <c r="QUD71" s="26"/>
      <c r="QUE71" s="26"/>
      <c r="QUF71" s="26"/>
      <c r="QUG71" s="26"/>
      <c r="QUH71" s="26"/>
      <c r="QUI71" s="26"/>
      <c r="QUJ71" s="26"/>
      <c r="QUK71" s="26"/>
      <c r="QUL71" s="26"/>
      <c r="QUM71" s="26"/>
      <c r="QUN71" s="26"/>
      <c r="QUO71" s="26"/>
      <c r="QUP71" s="26"/>
      <c r="QUQ71" s="26"/>
      <c r="QUR71" s="26"/>
      <c r="QUS71" s="26"/>
      <c r="QUT71" s="26"/>
      <c r="QUU71" s="26"/>
      <c r="QUV71" s="26"/>
      <c r="QUW71" s="26"/>
      <c r="QUX71" s="26"/>
      <c r="QUY71" s="26"/>
      <c r="QUZ71" s="26"/>
      <c r="QVA71" s="26"/>
      <c r="QVB71" s="26"/>
      <c r="QVC71" s="26"/>
      <c r="QVD71" s="26"/>
      <c r="QVE71" s="26"/>
      <c r="QVF71" s="26"/>
      <c r="QVG71" s="26"/>
      <c r="QVH71" s="26"/>
      <c r="QVI71" s="26"/>
      <c r="QVJ71" s="26"/>
      <c r="QVK71" s="26"/>
      <c r="QVL71" s="26"/>
      <c r="QVM71" s="26"/>
      <c r="QVN71" s="26"/>
      <c r="QVO71" s="26"/>
      <c r="QVP71" s="26"/>
      <c r="QVQ71" s="26"/>
      <c r="QVR71" s="26"/>
      <c r="QVS71" s="26"/>
      <c r="QVT71" s="26"/>
      <c r="QVU71" s="26"/>
      <c r="QVV71" s="26"/>
      <c r="QVW71" s="26"/>
      <c r="QVX71" s="26"/>
      <c r="QVY71" s="26"/>
      <c r="QVZ71" s="26"/>
      <c r="QWA71" s="26"/>
      <c r="QWB71" s="26"/>
      <c r="QWC71" s="26"/>
      <c r="QWD71" s="26"/>
      <c r="QWE71" s="26"/>
      <c r="QWF71" s="26"/>
      <c r="QWG71" s="26"/>
      <c r="QWH71" s="26"/>
      <c r="QWI71" s="26"/>
      <c r="QWJ71" s="26"/>
      <c r="QWK71" s="26"/>
      <c r="QWL71" s="26"/>
      <c r="QWM71" s="26"/>
      <c r="QWN71" s="26"/>
      <c r="QWO71" s="26"/>
      <c r="QWP71" s="26"/>
      <c r="QWQ71" s="26"/>
      <c r="QWR71" s="26"/>
      <c r="QWS71" s="26"/>
      <c r="QWT71" s="26"/>
      <c r="QWU71" s="26"/>
      <c r="QWV71" s="26"/>
      <c r="QWW71" s="26"/>
      <c r="QWX71" s="26"/>
      <c r="QWY71" s="26"/>
      <c r="QWZ71" s="26"/>
      <c r="QXA71" s="26"/>
      <c r="QXB71" s="26"/>
      <c r="QXC71" s="26"/>
      <c r="QXD71" s="26"/>
      <c r="QXE71" s="26"/>
      <c r="QXF71" s="26"/>
      <c r="QXG71" s="26"/>
      <c r="QXH71" s="26"/>
      <c r="QXI71" s="26"/>
      <c r="QXJ71" s="26"/>
      <c r="QXK71" s="26"/>
      <c r="QXL71" s="26"/>
      <c r="QXM71" s="26"/>
      <c r="QXN71" s="26"/>
      <c r="QXO71" s="26"/>
      <c r="QXP71" s="26"/>
      <c r="QXQ71" s="26"/>
      <c r="QXR71" s="26"/>
      <c r="QXS71" s="26"/>
      <c r="QXT71" s="26"/>
      <c r="QXU71" s="26"/>
      <c r="QXV71" s="26"/>
      <c r="QXW71" s="26"/>
      <c r="QXX71" s="26"/>
      <c r="QXY71" s="26"/>
      <c r="QXZ71" s="26"/>
      <c r="QYA71" s="26"/>
      <c r="QYB71" s="26"/>
      <c r="QYC71" s="26"/>
      <c r="QYD71" s="26"/>
      <c r="QYE71" s="26"/>
      <c r="QYF71" s="26"/>
      <c r="QYG71" s="26"/>
      <c r="QYH71" s="26"/>
      <c r="QYI71" s="26"/>
      <c r="QYJ71" s="26"/>
      <c r="QYK71" s="26"/>
      <c r="QYL71" s="26"/>
      <c r="QYM71" s="26"/>
      <c r="QYN71" s="26"/>
      <c r="QYO71" s="26"/>
      <c r="QYP71" s="26"/>
      <c r="QYQ71" s="26"/>
      <c r="QYR71" s="26"/>
      <c r="QYS71" s="26"/>
      <c r="QYT71" s="26"/>
      <c r="QYU71" s="26"/>
      <c r="QYV71" s="26"/>
      <c r="QYW71" s="26"/>
      <c r="QYX71" s="26"/>
      <c r="QYY71" s="26"/>
      <c r="QYZ71" s="26"/>
      <c r="QZA71" s="26"/>
      <c r="QZB71" s="26"/>
      <c r="QZC71" s="26"/>
      <c r="QZD71" s="26"/>
      <c r="QZE71" s="26"/>
      <c r="QZF71" s="26"/>
      <c r="QZG71" s="26"/>
      <c r="QZH71" s="26"/>
      <c r="QZI71" s="26"/>
      <c r="QZJ71" s="26"/>
      <c r="QZK71" s="26"/>
      <c r="QZL71" s="26"/>
      <c r="QZM71" s="26"/>
      <c r="QZN71" s="26"/>
      <c r="QZO71" s="26"/>
      <c r="QZP71" s="26"/>
      <c r="QZQ71" s="26"/>
      <c r="QZR71" s="26"/>
      <c r="QZS71" s="26"/>
      <c r="QZT71" s="26"/>
      <c r="QZU71" s="26"/>
      <c r="QZV71" s="26"/>
      <c r="QZW71" s="26"/>
      <c r="QZX71" s="26"/>
      <c r="QZY71" s="26"/>
      <c r="QZZ71" s="26"/>
      <c r="RAA71" s="26"/>
      <c r="RAB71" s="26"/>
      <c r="RAC71" s="26"/>
      <c r="RAD71" s="26"/>
      <c r="RAE71" s="26"/>
      <c r="RAF71" s="26"/>
      <c r="RAG71" s="26"/>
      <c r="RAH71" s="26"/>
      <c r="RAI71" s="26"/>
      <c r="RAJ71" s="26"/>
      <c r="RAK71" s="26"/>
      <c r="RAL71" s="26"/>
      <c r="RAM71" s="26"/>
      <c r="RAN71" s="26"/>
      <c r="RAO71" s="26"/>
      <c r="RAP71" s="26"/>
      <c r="RAQ71" s="26"/>
      <c r="RAR71" s="26"/>
      <c r="RAS71" s="26"/>
      <c r="RAT71" s="26"/>
      <c r="RAU71" s="26"/>
      <c r="RAV71" s="26"/>
      <c r="RAW71" s="26"/>
      <c r="RAX71" s="26"/>
      <c r="RAY71" s="26"/>
      <c r="RAZ71" s="26"/>
      <c r="RBA71" s="26"/>
      <c r="RBB71" s="26"/>
      <c r="RBC71" s="26"/>
      <c r="RBD71" s="26"/>
      <c r="RBE71" s="26"/>
      <c r="RBF71" s="26"/>
      <c r="RBG71" s="26"/>
      <c r="RBH71" s="26"/>
      <c r="RBI71" s="26"/>
      <c r="RBJ71" s="26"/>
      <c r="RBK71" s="26"/>
      <c r="RBL71" s="26"/>
      <c r="RBM71" s="26"/>
      <c r="RBN71" s="26"/>
      <c r="RBO71" s="26"/>
      <c r="RBP71" s="26"/>
      <c r="RBQ71" s="26"/>
      <c r="RBR71" s="26"/>
      <c r="RBS71" s="26"/>
      <c r="RBT71" s="26"/>
      <c r="RBU71" s="26"/>
      <c r="RBV71" s="26"/>
      <c r="RBW71" s="26"/>
      <c r="RBX71" s="26"/>
      <c r="RBY71" s="26"/>
      <c r="RBZ71" s="26"/>
      <c r="RCA71" s="26"/>
      <c r="RCB71" s="26"/>
      <c r="RCC71" s="26"/>
      <c r="RCD71" s="26"/>
      <c r="RCE71" s="26"/>
      <c r="RCF71" s="26"/>
      <c r="RCG71" s="26"/>
      <c r="RCH71" s="26"/>
      <c r="RCI71" s="26"/>
      <c r="RCJ71" s="26"/>
      <c r="RCK71" s="26"/>
      <c r="RCL71" s="26"/>
      <c r="RCM71" s="26"/>
      <c r="RCN71" s="26"/>
      <c r="RCO71" s="26"/>
      <c r="RCP71" s="26"/>
      <c r="RCQ71" s="26"/>
      <c r="RCR71" s="26"/>
      <c r="RCS71" s="26"/>
      <c r="RCT71" s="26"/>
      <c r="RCU71" s="26"/>
      <c r="RCV71" s="26"/>
      <c r="RCW71" s="26"/>
      <c r="RCX71" s="26"/>
      <c r="RCY71" s="26"/>
      <c r="RCZ71" s="26"/>
      <c r="RDA71" s="26"/>
      <c r="RDB71" s="26"/>
      <c r="RDC71" s="26"/>
      <c r="RDD71" s="26"/>
      <c r="RDE71" s="26"/>
      <c r="RDF71" s="26"/>
      <c r="RDG71" s="26"/>
      <c r="RDH71" s="26"/>
      <c r="RDI71" s="26"/>
      <c r="RDJ71" s="26"/>
      <c r="RDK71" s="26"/>
      <c r="RDL71" s="26"/>
      <c r="RDM71" s="26"/>
      <c r="RDN71" s="26"/>
      <c r="RDO71" s="26"/>
      <c r="RDP71" s="26"/>
      <c r="RDQ71" s="26"/>
      <c r="RDR71" s="26"/>
      <c r="RDS71" s="26"/>
      <c r="RDT71" s="26"/>
      <c r="RDU71" s="26"/>
      <c r="RDV71" s="26"/>
      <c r="RDW71" s="26"/>
      <c r="RDX71" s="26"/>
      <c r="RDY71" s="26"/>
      <c r="RDZ71" s="26"/>
      <c r="REA71" s="26"/>
      <c r="REB71" s="26"/>
      <c r="REC71" s="26"/>
      <c r="RED71" s="26"/>
      <c r="REE71" s="26"/>
      <c r="REF71" s="26"/>
      <c r="REG71" s="26"/>
      <c r="REH71" s="26"/>
      <c r="REI71" s="26"/>
      <c r="REJ71" s="26"/>
      <c r="REK71" s="26"/>
      <c r="REL71" s="26"/>
      <c r="REM71" s="26"/>
      <c r="REN71" s="26"/>
      <c r="REO71" s="26"/>
      <c r="REP71" s="26"/>
      <c r="REQ71" s="26"/>
      <c r="RER71" s="26"/>
      <c r="RES71" s="26"/>
      <c r="RET71" s="26"/>
      <c r="REU71" s="26"/>
      <c r="REV71" s="26"/>
      <c r="REW71" s="26"/>
      <c r="REX71" s="26"/>
      <c r="REY71" s="26"/>
      <c r="REZ71" s="26"/>
      <c r="RFA71" s="26"/>
      <c r="RFB71" s="26"/>
      <c r="RFC71" s="26"/>
      <c r="RFD71" s="26"/>
      <c r="RFE71" s="26"/>
      <c r="RFF71" s="26"/>
      <c r="RFG71" s="26"/>
      <c r="RFH71" s="26"/>
      <c r="RFI71" s="26"/>
      <c r="RFJ71" s="26"/>
      <c r="RFK71" s="26"/>
      <c r="RFL71" s="26"/>
      <c r="RFM71" s="26"/>
      <c r="RFN71" s="26"/>
      <c r="RFO71" s="26"/>
      <c r="RFP71" s="26"/>
      <c r="RFQ71" s="26"/>
      <c r="RFR71" s="26"/>
      <c r="RFS71" s="26"/>
      <c r="RFT71" s="26"/>
      <c r="RFU71" s="26"/>
      <c r="RFV71" s="26"/>
      <c r="RFW71" s="26"/>
      <c r="RFX71" s="26"/>
      <c r="RFY71" s="26"/>
      <c r="RFZ71" s="26"/>
      <c r="RGA71" s="26"/>
      <c r="RGB71" s="26"/>
      <c r="RGC71" s="26"/>
      <c r="RGD71" s="26"/>
      <c r="RGE71" s="26"/>
      <c r="RGF71" s="26"/>
      <c r="RGG71" s="26"/>
      <c r="RGH71" s="26"/>
      <c r="RGI71" s="26"/>
      <c r="RGJ71" s="26"/>
      <c r="RGK71" s="26"/>
      <c r="RGL71" s="26"/>
      <c r="RGM71" s="26"/>
      <c r="RGN71" s="26"/>
      <c r="RGO71" s="26"/>
      <c r="RGP71" s="26"/>
      <c r="RGQ71" s="26"/>
      <c r="RGR71" s="26"/>
      <c r="RGS71" s="26"/>
      <c r="RGT71" s="26"/>
      <c r="RGU71" s="26"/>
      <c r="RGV71" s="26"/>
      <c r="RGW71" s="26"/>
      <c r="RGX71" s="26"/>
      <c r="RGY71" s="26"/>
      <c r="RGZ71" s="26"/>
      <c r="RHA71" s="26"/>
      <c r="RHB71" s="26"/>
      <c r="RHC71" s="26"/>
      <c r="RHD71" s="26"/>
      <c r="RHE71" s="26"/>
      <c r="RHF71" s="26"/>
      <c r="RHG71" s="26"/>
      <c r="RHH71" s="26"/>
      <c r="RHI71" s="26"/>
      <c r="RHJ71" s="26"/>
      <c r="RHK71" s="26"/>
      <c r="RHL71" s="26"/>
      <c r="RHM71" s="26"/>
      <c r="RHN71" s="26"/>
      <c r="RHO71" s="26"/>
      <c r="RHP71" s="26"/>
      <c r="RHQ71" s="26"/>
      <c r="RHR71" s="26"/>
      <c r="RHS71" s="26"/>
      <c r="RHT71" s="26"/>
      <c r="RHU71" s="26"/>
      <c r="RHV71" s="26"/>
      <c r="RHW71" s="26"/>
      <c r="RHX71" s="26"/>
      <c r="RHY71" s="26"/>
      <c r="RHZ71" s="26"/>
      <c r="RIA71" s="26"/>
      <c r="RIB71" s="26"/>
      <c r="RIC71" s="26"/>
      <c r="RID71" s="26"/>
      <c r="RIE71" s="26"/>
      <c r="RIF71" s="26"/>
      <c r="RIG71" s="26"/>
      <c r="RIH71" s="26"/>
      <c r="RII71" s="26"/>
      <c r="RIJ71" s="26"/>
      <c r="RIK71" s="26"/>
      <c r="RIL71" s="26"/>
      <c r="RIM71" s="26"/>
      <c r="RIN71" s="26"/>
      <c r="RIO71" s="26"/>
      <c r="RIP71" s="26"/>
      <c r="RIQ71" s="26"/>
      <c r="RIR71" s="26"/>
      <c r="RIS71" s="26"/>
      <c r="RIT71" s="26"/>
      <c r="RIU71" s="26"/>
      <c r="RIV71" s="26"/>
      <c r="RIW71" s="26"/>
      <c r="RIX71" s="26"/>
      <c r="RIY71" s="26"/>
      <c r="RIZ71" s="26"/>
      <c r="RJA71" s="26"/>
      <c r="RJB71" s="26"/>
      <c r="RJC71" s="26"/>
      <c r="RJD71" s="26"/>
      <c r="RJE71" s="26"/>
      <c r="RJF71" s="26"/>
      <c r="RJG71" s="26"/>
      <c r="RJH71" s="26"/>
      <c r="RJI71" s="26"/>
      <c r="RJJ71" s="26"/>
      <c r="RJK71" s="26"/>
      <c r="RJL71" s="26"/>
      <c r="RJM71" s="26"/>
      <c r="RJN71" s="26"/>
      <c r="RJO71" s="26"/>
      <c r="RJP71" s="26"/>
      <c r="RJQ71" s="26"/>
      <c r="RJR71" s="26"/>
      <c r="RJS71" s="26"/>
      <c r="RJT71" s="26"/>
      <c r="RJU71" s="26"/>
      <c r="RJV71" s="26"/>
      <c r="RJW71" s="26"/>
      <c r="RJX71" s="26"/>
      <c r="RJY71" s="26"/>
      <c r="RJZ71" s="26"/>
      <c r="RKA71" s="26"/>
      <c r="RKB71" s="26"/>
      <c r="RKC71" s="26"/>
      <c r="RKD71" s="26"/>
      <c r="RKE71" s="26"/>
      <c r="RKF71" s="26"/>
      <c r="RKG71" s="26"/>
      <c r="RKH71" s="26"/>
      <c r="RKI71" s="26"/>
      <c r="RKJ71" s="26"/>
      <c r="RKK71" s="26"/>
      <c r="RKL71" s="26"/>
      <c r="RKM71" s="26"/>
      <c r="RKN71" s="26"/>
      <c r="RKO71" s="26"/>
      <c r="RKP71" s="26"/>
      <c r="RKQ71" s="26"/>
      <c r="RKR71" s="26"/>
      <c r="RKS71" s="26"/>
      <c r="RKT71" s="26"/>
      <c r="RKU71" s="26"/>
      <c r="RKV71" s="26"/>
      <c r="RKW71" s="26"/>
      <c r="RKX71" s="26"/>
      <c r="RKY71" s="26"/>
      <c r="RKZ71" s="26"/>
      <c r="RLA71" s="26"/>
      <c r="RLB71" s="26"/>
      <c r="RLC71" s="26"/>
      <c r="RLD71" s="26"/>
      <c r="RLE71" s="26"/>
      <c r="RLF71" s="26"/>
      <c r="RLG71" s="26"/>
      <c r="RLH71" s="26"/>
      <c r="RLI71" s="26"/>
      <c r="RLJ71" s="26"/>
      <c r="RLK71" s="26"/>
      <c r="RLL71" s="26"/>
      <c r="RLM71" s="26"/>
      <c r="RLN71" s="26"/>
      <c r="RLO71" s="26"/>
      <c r="RLP71" s="26"/>
      <c r="RLQ71" s="26"/>
      <c r="RLR71" s="26"/>
      <c r="RLS71" s="26"/>
      <c r="RLT71" s="26"/>
      <c r="RLU71" s="26"/>
      <c r="RLV71" s="26"/>
      <c r="RLW71" s="26"/>
      <c r="RLX71" s="26"/>
      <c r="RLY71" s="26"/>
      <c r="RLZ71" s="26"/>
      <c r="RMA71" s="26"/>
      <c r="RMB71" s="26"/>
      <c r="RMC71" s="26"/>
      <c r="RMD71" s="26"/>
      <c r="RME71" s="26"/>
      <c r="RMF71" s="26"/>
      <c r="RMG71" s="26"/>
      <c r="RMH71" s="26"/>
      <c r="RMI71" s="26"/>
      <c r="RMJ71" s="26"/>
      <c r="RMK71" s="26"/>
      <c r="RML71" s="26"/>
      <c r="RMM71" s="26"/>
      <c r="RMN71" s="26"/>
      <c r="RMO71" s="26"/>
      <c r="RMP71" s="26"/>
      <c r="RMQ71" s="26"/>
      <c r="RMR71" s="26"/>
      <c r="RMS71" s="26"/>
      <c r="RMT71" s="26"/>
      <c r="RMU71" s="26"/>
      <c r="RMV71" s="26"/>
      <c r="RMW71" s="26"/>
      <c r="RMX71" s="26"/>
      <c r="RMY71" s="26"/>
      <c r="RMZ71" s="26"/>
      <c r="RNA71" s="26"/>
      <c r="RNB71" s="26"/>
      <c r="RNC71" s="26"/>
      <c r="RND71" s="26"/>
      <c r="RNE71" s="26"/>
      <c r="RNF71" s="26"/>
      <c r="RNG71" s="26"/>
      <c r="RNH71" s="26"/>
      <c r="RNI71" s="26"/>
      <c r="RNJ71" s="26"/>
      <c r="RNK71" s="26"/>
      <c r="RNL71" s="26"/>
      <c r="RNM71" s="26"/>
      <c r="RNN71" s="26"/>
      <c r="RNO71" s="26"/>
      <c r="RNP71" s="26"/>
      <c r="RNQ71" s="26"/>
      <c r="RNR71" s="26"/>
      <c r="RNS71" s="26"/>
      <c r="RNT71" s="26"/>
      <c r="RNU71" s="26"/>
      <c r="RNV71" s="26"/>
      <c r="RNW71" s="26"/>
      <c r="RNX71" s="26"/>
      <c r="RNY71" s="26"/>
      <c r="RNZ71" s="26"/>
      <c r="ROA71" s="26"/>
      <c r="ROB71" s="26"/>
      <c r="ROC71" s="26"/>
      <c r="ROD71" s="26"/>
      <c r="ROE71" s="26"/>
      <c r="ROF71" s="26"/>
      <c r="ROG71" s="26"/>
      <c r="ROH71" s="26"/>
      <c r="ROI71" s="26"/>
      <c r="ROJ71" s="26"/>
      <c r="ROK71" s="26"/>
      <c r="ROL71" s="26"/>
      <c r="ROM71" s="26"/>
      <c r="RON71" s="26"/>
      <c r="ROO71" s="26"/>
      <c r="ROP71" s="26"/>
      <c r="ROQ71" s="26"/>
      <c r="ROR71" s="26"/>
      <c r="ROS71" s="26"/>
      <c r="ROT71" s="26"/>
      <c r="ROU71" s="26"/>
      <c r="ROV71" s="26"/>
      <c r="ROW71" s="26"/>
      <c r="ROX71" s="26"/>
      <c r="ROY71" s="26"/>
      <c r="ROZ71" s="26"/>
      <c r="RPA71" s="26"/>
      <c r="RPB71" s="26"/>
      <c r="RPC71" s="26"/>
      <c r="RPD71" s="26"/>
      <c r="RPE71" s="26"/>
      <c r="RPF71" s="26"/>
      <c r="RPG71" s="26"/>
      <c r="RPH71" s="26"/>
      <c r="RPI71" s="26"/>
      <c r="RPJ71" s="26"/>
      <c r="RPK71" s="26"/>
      <c r="RPL71" s="26"/>
      <c r="RPM71" s="26"/>
      <c r="RPN71" s="26"/>
      <c r="RPO71" s="26"/>
      <c r="RPP71" s="26"/>
      <c r="RPQ71" s="26"/>
      <c r="RPR71" s="26"/>
      <c r="RPS71" s="26"/>
      <c r="RPT71" s="26"/>
      <c r="RPU71" s="26"/>
      <c r="RPV71" s="26"/>
      <c r="RPW71" s="26"/>
      <c r="RPX71" s="26"/>
      <c r="RPY71" s="26"/>
      <c r="RPZ71" s="26"/>
      <c r="RQA71" s="26"/>
      <c r="RQB71" s="26"/>
      <c r="RQC71" s="26"/>
      <c r="RQD71" s="26"/>
      <c r="RQE71" s="26"/>
      <c r="RQF71" s="26"/>
      <c r="RQG71" s="26"/>
      <c r="RQH71" s="26"/>
      <c r="RQI71" s="26"/>
      <c r="RQJ71" s="26"/>
      <c r="RQK71" s="26"/>
      <c r="RQL71" s="26"/>
      <c r="RQM71" s="26"/>
      <c r="RQN71" s="26"/>
      <c r="RQO71" s="26"/>
      <c r="RQP71" s="26"/>
      <c r="RQQ71" s="26"/>
      <c r="RQR71" s="26"/>
      <c r="RQS71" s="26"/>
      <c r="RQT71" s="26"/>
      <c r="RQU71" s="26"/>
      <c r="RQV71" s="26"/>
      <c r="RQW71" s="26"/>
      <c r="RQX71" s="26"/>
      <c r="RQY71" s="26"/>
      <c r="RQZ71" s="26"/>
      <c r="RRA71" s="26"/>
      <c r="RRB71" s="26"/>
      <c r="RRC71" s="26"/>
      <c r="RRD71" s="26"/>
      <c r="RRE71" s="26"/>
      <c r="RRF71" s="26"/>
      <c r="RRG71" s="26"/>
      <c r="RRH71" s="26"/>
      <c r="RRI71" s="26"/>
      <c r="RRJ71" s="26"/>
      <c r="RRK71" s="26"/>
      <c r="RRL71" s="26"/>
      <c r="RRM71" s="26"/>
      <c r="RRN71" s="26"/>
      <c r="RRO71" s="26"/>
      <c r="RRP71" s="26"/>
      <c r="RRQ71" s="26"/>
      <c r="RRR71" s="26"/>
      <c r="RRS71" s="26"/>
      <c r="RRT71" s="26"/>
      <c r="RRU71" s="26"/>
      <c r="RRV71" s="26"/>
      <c r="RRW71" s="26"/>
      <c r="RRX71" s="26"/>
      <c r="RRY71" s="26"/>
      <c r="RRZ71" s="26"/>
      <c r="RSA71" s="26"/>
      <c r="RSB71" s="26"/>
      <c r="RSC71" s="26"/>
      <c r="RSD71" s="26"/>
      <c r="RSE71" s="26"/>
      <c r="RSF71" s="26"/>
      <c r="RSG71" s="26"/>
      <c r="RSH71" s="26"/>
      <c r="RSI71" s="26"/>
      <c r="RSJ71" s="26"/>
      <c r="RSK71" s="26"/>
      <c r="RSL71" s="26"/>
      <c r="RSM71" s="26"/>
      <c r="RSN71" s="26"/>
      <c r="RSO71" s="26"/>
      <c r="RSP71" s="26"/>
      <c r="RSQ71" s="26"/>
      <c r="RSR71" s="26"/>
      <c r="RSS71" s="26"/>
      <c r="RST71" s="26"/>
      <c r="RSU71" s="26"/>
      <c r="RSV71" s="26"/>
      <c r="RSW71" s="26"/>
      <c r="RSX71" s="26"/>
      <c r="RSY71" s="26"/>
      <c r="RSZ71" s="26"/>
      <c r="RTA71" s="26"/>
      <c r="RTB71" s="26"/>
      <c r="RTC71" s="26"/>
      <c r="RTD71" s="26"/>
      <c r="RTE71" s="26"/>
      <c r="RTF71" s="26"/>
      <c r="RTG71" s="26"/>
      <c r="RTH71" s="26"/>
      <c r="RTI71" s="26"/>
      <c r="RTJ71" s="26"/>
      <c r="RTK71" s="26"/>
      <c r="RTL71" s="26"/>
      <c r="RTM71" s="26"/>
      <c r="RTN71" s="26"/>
      <c r="RTO71" s="26"/>
      <c r="RTP71" s="26"/>
      <c r="RTQ71" s="26"/>
      <c r="RTR71" s="26"/>
      <c r="RTS71" s="26"/>
      <c r="RTT71" s="26"/>
      <c r="RTU71" s="26"/>
      <c r="RTV71" s="26"/>
      <c r="RTW71" s="26"/>
      <c r="RTX71" s="26"/>
      <c r="RTY71" s="26"/>
      <c r="RTZ71" s="26"/>
      <c r="RUA71" s="26"/>
      <c r="RUB71" s="26"/>
      <c r="RUC71" s="26"/>
      <c r="RUD71" s="26"/>
      <c r="RUE71" s="26"/>
      <c r="RUF71" s="26"/>
      <c r="RUG71" s="26"/>
      <c r="RUH71" s="26"/>
      <c r="RUI71" s="26"/>
      <c r="RUJ71" s="26"/>
      <c r="RUK71" s="26"/>
      <c r="RUL71" s="26"/>
      <c r="RUM71" s="26"/>
      <c r="RUN71" s="26"/>
      <c r="RUO71" s="26"/>
      <c r="RUP71" s="26"/>
      <c r="RUQ71" s="26"/>
      <c r="RUR71" s="26"/>
      <c r="RUS71" s="26"/>
      <c r="RUT71" s="26"/>
      <c r="RUU71" s="26"/>
      <c r="RUV71" s="26"/>
      <c r="RUW71" s="26"/>
      <c r="RUX71" s="26"/>
      <c r="RUY71" s="26"/>
      <c r="RUZ71" s="26"/>
      <c r="RVA71" s="26"/>
      <c r="RVB71" s="26"/>
      <c r="RVC71" s="26"/>
      <c r="RVD71" s="26"/>
      <c r="RVE71" s="26"/>
      <c r="RVF71" s="26"/>
      <c r="RVG71" s="26"/>
      <c r="RVH71" s="26"/>
      <c r="RVI71" s="26"/>
      <c r="RVJ71" s="26"/>
      <c r="RVK71" s="26"/>
      <c r="RVL71" s="26"/>
      <c r="RVM71" s="26"/>
      <c r="RVN71" s="26"/>
      <c r="RVO71" s="26"/>
      <c r="RVP71" s="26"/>
      <c r="RVQ71" s="26"/>
      <c r="RVR71" s="26"/>
      <c r="RVS71" s="26"/>
      <c r="RVT71" s="26"/>
      <c r="RVU71" s="26"/>
      <c r="RVV71" s="26"/>
      <c r="RVW71" s="26"/>
      <c r="RVX71" s="26"/>
      <c r="RVY71" s="26"/>
      <c r="RVZ71" s="26"/>
      <c r="RWA71" s="26"/>
      <c r="RWB71" s="26"/>
      <c r="RWC71" s="26"/>
      <c r="RWD71" s="26"/>
      <c r="RWE71" s="26"/>
      <c r="RWF71" s="26"/>
      <c r="RWG71" s="26"/>
      <c r="RWH71" s="26"/>
      <c r="RWI71" s="26"/>
      <c r="RWJ71" s="26"/>
      <c r="RWK71" s="26"/>
      <c r="RWL71" s="26"/>
      <c r="RWM71" s="26"/>
      <c r="RWN71" s="26"/>
      <c r="RWO71" s="26"/>
      <c r="RWP71" s="26"/>
      <c r="RWQ71" s="26"/>
      <c r="RWR71" s="26"/>
      <c r="RWS71" s="26"/>
      <c r="RWT71" s="26"/>
      <c r="RWU71" s="26"/>
      <c r="RWV71" s="26"/>
      <c r="RWW71" s="26"/>
      <c r="RWX71" s="26"/>
      <c r="RWY71" s="26"/>
      <c r="RWZ71" s="26"/>
      <c r="RXA71" s="26"/>
      <c r="RXB71" s="26"/>
      <c r="RXC71" s="26"/>
      <c r="RXD71" s="26"/>
      <c r="RXE71" s="26"/>
      <c r="RXF71" s="26"/>
      <c r="RXG71" s="26"/>
      <c r="RXH71" s="26"/>
      <c r="RXI71" s="26"/>
      <c r="RXJ71" s="26"/>
      <c r="RXK71" s="26"/>
      <c r="RXL71" s="26"/>
      <c r="RXM71" s="26"/>
      <c r="RXN71" s="26"/>
      <c r="RXO71" s="26"/>
      <c r="RXP71" s="26"/>
      <c r="RXQ71" s="26"/>
      <c r="RXR71" s="26"/>
      <c r="RXS71" s="26"/>
      <c r="RXT71" s="26"/>
      <c r="RXU71" s="26"/>
      <c r="RXV71" s="26"/>
      <c r="RXW71" s="26"/>
      <c r="RXX71" s="26"/>
      <c r="RXY71" s="26"/>
      <c r="RXZ71" s="26"/>
      <c r="RYA71" s="26"/>
      <c r="RYB71" s="26"/>
      <c r="RYC71" s="26"/>
      <c r="RYD71" s="26"/>
      <c r="RYE71" s="26"/>
      <c r="RYF71" s="26"/>
      <c r="RYG71" s="26"/>
      <c r="RYH71" s="26"/>
      <c r="RYI71" s="26"/>
      <c r="RYJ71" s="26"/>
      <c r="RYK71" s="26"/>
      <c r="RYL71" s="26"/>
      <c r="RYM71" s="26"/>
      <c r="RYN71" s="26"/>
      <c r="RYO71" s="26"/>
      <c r="RYP71" s="26"/>
      <c r="RYQ71" s="26"/>
      <c r="RYR71" s="26"/>
      <c r="RYS71" s="26"/>
      <c r="RYT71" s="26"/>
      <c r="RYU71" s="26"/>
      <c r="RYV71" s="26"/>
      <c r="RYW71" s="26"/>
      <c r="RYX71" s="26"/>
      <c r="RYY71" s="26"/>
      <c r="RYZ71" s="26"/>
      <c r="RZA71" s="26"/>
      <c r="RZB71" s="26"/>
      <c r="RZC71" s="26"/>
      <c r="RZD71" s="26"/>
      <c r="RZE71" s="26"/>
      <c r="RZF71" s="26"/>
      <c r="RZG71" s="26"/>
      <c r="RZH71" s="26"/>
      <c r="RZI71" s="26"/>
      <c r="RZJ71" s="26"/>
      <c r="RZK71" s="26"/>
      <c r="RZL71" s="26"/>
      <c r="RZM71" s="26"/>
      <c r="RZN71" s="26"/>
      <c r="RZO71" s="26"/>
      <c r="RZP71" s="26"/>
      <c r="RZQ71" s="26"/>
      <c r="RZR71" s="26"/>
      <c r="RZS71" s="26"/>
      <c r="RZT71" s="26"/>
      <c r="RZU71" s="26"/>
      <c r="RZV71" s="26"/>
      <c r="RZW71" s="26"/>
      <c r="RZX71" s="26"/>
      <c r="RZY71" s="26"/>
      <c r="RZZ71" s="26"/>
      <c r="SAA71" s="26"/>
      <c r="SAB71" s="26"/>
      <c r="SAC71" s="26"/>
      <c r="SAD71" s="26"/>
      <c r="SAE71" s="26"/>
      <c r="SAF71" s="26"/>
      <c r="SAG71" s="26"/>
      <c r="SAH71" s="26"/>
      <c r="SAI71" s="26"/>
      <c r="SAJ71" s="26"/>
      <c r="SAK71" s="26"/>
      <c r="SAL71" s="26"/>
      <c r="SAM71" s="26"/>
      <c r="SAN71" s="26"/>
      <c r="SAO71" s="26"/>
      <c r="SAP71" s="26"/>
      <c r="SAQ71" s="26"/>
      <c r="SAR71" s="26"/>
      <c r="SAS71" s="26"/>
      <c r="SAT71" s="26"/>
      <c r="SAU71" s="26"/>
      <c r="SAV71" s="26"/>
      <c r="SAW71" s="26"/>
      <c r="SAX71" s="26"/>
      <c r="SAY71" s="26"/>
      <c r="SAZ71" s="26"/>
      <c r="SBA71" s="26"/>
      <c r="SBB71" s="26"/>
      <c r="SBC71" s="26"/>
      <c r="SBD71" s="26"/>
      <c r="SBE71" s="26"/>
      <c r="SBF71" s="26"/>
      <c r="SBG71" s="26"/>
      <c r="SBH71" s="26"/>
      <c r="SBI71" s="26"/>
      <c r="SBJ71" s="26"/>
      <c r="SBK71" s="26"/>
      <c r="SBL71" s="26"/>
      <c r="SBM71" s="26"/>
      <c r="SBN71" s="26"/>
      <c r="SBO71" s="26"/>
      <c r="SBP71" s="26"/>
      <c r="SBQ71" s="26"/>
      <c r="SBR71" s="26"/>
      <c r="SBS71" s="26"/>
      <c r="SBT71" s="26"/>
      <c r="SBU71" s="26"/>
      <c r="SBV71" s="26"/>
      <c r="SBW71" s="26"/>
      <c r="SBX71" s="26"/>
      <c r="SBY71" s="26"/>
      <c r="SBZ71" s="26"/>
      <c r="SCA71" s="26"/>
      <c r="SCB71" s="26"/>
      <c r="SCC71" s="26"/>
      <c r="SCD71" s="26"/>
      <c r="SCE71" s="26"/>
      <c r="SCF71" s="26"/>
      <c r="SCG71" s="26"/>
      <c r="SCH71" s="26"/>
      <c r="SCI71" s="26"/>
      <c r="SCJ71" s="26"/>
      <c r="SCK71" s="26"/>
      <c r="SCL71" s="26"/>
      <c r="SCM71" s="26"/>
      <c r="SCN71" s="26"/>
      <c r="SCO71" s="26"/>
      <c r="SCP71" s="26"/>
      <c r="SCQ71" s="26"/>
      <c r="SCR71" s="26"/>
      <c r="SCS71" s="26"/>
      <c r="SCT71" s="26"/>
      <c r="SCU71" s="26"/>
      <c r="SCV71" s="26"/>
      <c r="SCW71" s="26"/>
      <c r="SCX71" s="26"/>
      <c r="SCY71" s="26"/>
      <c r="SCZ71" s="26"/>
      <c r="SDA71" s="26"/>
      <c r="SDB71" s="26"/>
      <c r="SDC71" s="26"/>
      <c r="SDD71" s="26"/>
      <c r="SDE71" s="26"/>
      <c r="SDF71" s="26"/>
      <c r="SDG71" s="26"/>
      <c r="SDH71" s="26"/>
      <c r="SDI71" s="26"/>
      <c r="SDJ71" s="26"/>
      <c r="SDK71" s="26"/>
      <c r="SDL71" s="26"/>
      <c r="SDM71" s="26"/>
      <c r="SDN71" s="26"/>
      <c r="SDO71" s="26"/>
      <c r="SDP71" s="26"/>
      <c r="SDQ71" s="26"/>
      <c r="SDR71" s="26"/>
      <c r="SDS71" s="26"/>
      <c r="SDT71" s="26"/>
      <c r="SDU71" s="26"/>
      <c r="SDV71" s="26"/>
      <c r="SDW71" s="26"/>
      <c r="SDX71" s="26"/>
      <c r="SDY71" s="26"/>
      <c r="SDZ71" s="26"/>
      <c r="SEA71" s="26"/>
      <c r="SEB71" s="26"/>
      <c r="SEC71" s="26"/>
      <c r="SED71" s="26"/>
      <c r="SEE71" s="26"/>
      <c r="SEF71" s="26"/>
      <c r="SEG71" s="26"/>
      <c r="SEH71" s="26"/>
      <c r="SEI71" s="26"/>
      <c r="SEJ71" s="26"/>
      <c r="SEK71" s="26"/>
      <c r="SEL71" s="26"/>
      <c r="SEM71" s="26"/>
      <c r="SEN71" s="26"/>
      <c r="SEO71" s="26"/>
      <c r="SEP71" s="26"/>
      <c r="SEQ71" s="26"/>
      <c r="SER71" s="26"/>
      <c r="SES71" s="26"/>
      <c r="SET71" s="26"/>
      <c r="SEU71" s="26"/>
      <c r="SEV71" s="26"/>
      <c r="SEW71" s="26"/>
      <c r="SEX71" s="26"/>
      <c r="SEY71" s="26"/>
      <c r="SEZ71" s="26"/>
      <c r="SFA71" s="26"/>
      <c r="SFB71" s="26"/>
      <c r="SFC71" s="26"/>
      <c r="SFD71" s="26"/>
      <c r="SFE71" s="26"/>
      <c r="SFF71" s="26"/>
      <c r="SFG71" s="26"/>
      <c r="SFH71" s="26"/>
      <c r="SFI71" s="26"/>
      <c r="SFJ71" s="26"/>
      <c r="SFK71" s="26"/>
      <c r="SFL71" s="26"/>
      <c r="SFM71" s="26"/>
      <c r="SFN71" s="26"/>
      <c r="SFO71" s="26"/>
      <c r="SFP71" s="26"/>
      <c r="SFQ71" s="26"/>
      <c r="SFR71" s="26"/>
      <c r="SFS71" s="26"/>
      <c r="SFT71" s="26"/>
      <c r="SFU71" s="26"/>
      <c r="SFV71" s="26"/>
      <c r="SFW71" s="26"/>
      <c r="SFX71" s="26"/>
      <c r="SFY71" s="26"/>
      <c r="SFZ71" s="26"/>
      <c r="SGA71" s="26"/>
      <c r="SGB71" s="26"/>
      <c r="SGC71" s="26"/>
      <c r="SGD71" s="26"/>
      <c r="SGE71" s="26"/>
      <c r="SGF71" s="26"/>
      <c r="SGG71" s="26"/>
      <c r="SGH71" s="26"/>
      <c r="SGI71" s="26"/>
      <c r="SGJ71" s="26"/>
      <c r="SGK71" s="26"/>
      <c r="SGL71" s="26"/>
      <c r="SGM71" s="26"/>
      <c r="SGN71" s="26"/>
      <c r="SGO71" s="26"/>
      <c r="SGP71" s="26"/>
      <c r="SGQ71" s="26"/>
      <c r="SGR71" s="26"/>
      <c r="SGS71" s="26"/>
      <c r="SGT71" s="26"/>
      <c r="SGU71" s="26"/>
      <c r="SGV71" s="26"/>
      <c r="SGW71" s="26"/>
      <c r="SGX71" s="26"/>
      <c r="SGY71" s="26"/>
      <c r="SGZ71" s="26"/>
      <c r="SHA71" s="26"/>
      <c r="SHB71" s="26"/>
      <c r="SHC71" s="26"/>
      <c r="SHD71" s="26"/>
      <c r="SHE71" s="26"/>
      <c r="SHF71" s="26"/>
      <c r="SHG71" s="26"/>
      <c r="SHH71" s="26"/>
      <c r="SHI71" s="26"/>
      <c r="SHJ71" s="26"/>
      <c r="SHK71" s="26"/>
      <c r="SHL71" s="26"/>
      <c r="SHM71" s="26"/>
      <c r="SHN71" s="26"/>
      <c r="SHO71" s="26"/>
      <c r="SHP71" s="26"/>
      <c r="SHQ71" s="26"/>
      <c r="SHR71" s="26"/>
      <c r="SHS71" s="26"/>
      <c r="SHT71" s="26"/>
      <c r="SHU71" s="26"/>
      <c r="SHV71" s="26"/>
      <c r="SHW71" s="26"/>
      <c r="SHX71" s="26"/>
      <c r="SHY71" s="26"/>
      <c r="SHZ71" s="26"/>
      <c r="SIA71" s="26"/>
      <c r="SIB71" s="26"/>
      <c r="SIC71" s="26"/>
      <c r="SID71" s="26"/>
      <c r="SIE71" s="26"/>
      <c r="SIF71" s="26"/>
      <c r="SIG71" s="26"/>
      <c r="SIH71" s="26"/>
      <c r="SII71" s="26"/>
      <c r="SIJ71" s="26"/>
      <c r="SIK71" s="26"/>
      <c r="SIL71" s="26"/>
      <c r="SIM71" s="26"/>
      <c r="SIN71" s="26"/>
      <c r="SIO71" s="26"/>
      <c r="SIP71" s="26"/>
      <c r="SIQ71" s="26"/>
      <c r="SIR71" s="26"/>
      <c r="SIS71" s="26"/>
      <c r="SIT71" s="26"/>
      <c r="SIU71" s="26"/>
      <c r="SIV71" s="26"/>
      <c r="SIW71" s="26"/>
      <c r="SIX71" s="26"/>
      <c r="SIY71" s="26"/>
      <c r="SIZ71" s="26"/>
      <c r="SJA71" s="26"/>
      <c r="SJB71" s="26"/>
      <c r="SJC71" s="26"/>
      <c r="SJD71" s="26"/>
      <c r="SJE71" s="26"/>
      <c r="SJF71" s="26"/>
      <c r="SJG71" s="26"/>
      <c r="SJH71" s="26"/>
      <c r="SJI71" s="26"/>
      <c r="SJJ71" s="26"/>
      <c r="SJK71" s="26"/>
      <c r="SJL71" s="26"/>
      <c r="SJM71" s="26"/>
      <c r="SJN71" s="26"/>
      <c r="SJO71" s="26"/>
      <c r="SJP71" s="26"/>
      <c r="SJQ71" s="26"/>
      <c r="SJR71" s="26"/>
      <c r="SJS71" s="26"/>
      <c r="SJT71" s="26"/>
      <c r="SJU71" s="26"/>
      <c r="SJV71" s="26"/>
      <c r="SJW71" s="26"/>
      <c r="SJX71" s="26"/>
      <c r="SJY71" s="26"/>
      <c r="SJZ71" s="26"/>
      <c r="SKA71" s="26"/>
      <c r="SKB71" s="26"/>
      <c r="SKC71" s="26"/>
      <c r="SKD71" s="26"/>
      <c r="SKE71" s="26"/>
      <c r="SKF71" s="26"/>
      <c r="SKG71" s="26"/>
      <c r="SKH71" s="26"/>
      <c r="SKI71" s="26"/>
      <c r="SKJ71" s="26"/>
      <c r="SKK71" s="26"/>
      <c r="SKL71" s="26"/>
      <c r="SKM71" s="26"/>
      <c r="SKN71" s="26"/>
      <c r="SKO71" s="26"/>
      <c r="SKP71" s="26"/>
      <c r="SKQ71" s="26"/>
      <c r="SKR71" s="26"/>
      <c r="SKS71" s="26"/>
      <c r="SKT71" s="26"/>
      <c r="SKU71" s="26"/>
      <c r="SKV71" s="26"/>
      <c r="SKW71" s="26"/>
      <c r="SKX71" s="26"/>
      <c r="SKY71" s="26"/>
      <c r="SKZ71" s="26"/>
      <c r="SLA71" s="26"/>
      <c r="SLB71" s="26"/>
      <c r="SLC71" s="26"/>
      <c r="SLD71" s="26"/>
      <c r="SLE71" s="26"/>
      <c r="SLF71" s="26"/>
      <c r="SLG71" s="26"/>
      <c r="SLH71" s="26"/>
      <c r="SLI71" s="26"/>
      <c r="SLJ71" s="26"/>
      <c r="SLK71" s="26"/>
      <c r="SLL71" s="26"/>
      <c r="SLM71" s="26"/>
      <c r="SLN71" s="26"/>
      <c r="SLO71" s="26"/>
      <c r="SLP71" s="26"/>
      <c r="SLQ71" s="26"/>
      <c r="SLR71" s="26"/>
      <c r="SLS71" s="26"/>
      <c r="SLT71" s="26"/>
      <c r="SLU71" s="26"/>
      <c r="SLV71" s="26"/>
      <c r="SLW71" s="26"/>
      <c r="SLX71" s="26"/>
      <c r="SLY71" s="26"/>
      <c r="SLZ71" s="26"/>
      <c r="SMA71" s="26"/>
      <c r="SMB71" s="26"/>
      <c r="SMC71" s="26"/>
      <c r="SMD71" s="26"/>
      <c r="SME71" s="26"/>
      <c r="SMF71" s="26"/>
      <c r="SMG71" s="26"/>
      <c r="SMH71" s="26"/>
      <c r="SMI71" s="26"/>
      <c r="SMJ71" s="26"/>
      <c r="SMK71" s="26"/>
      <c r="SML71" s="26"/>
      <c r="SMM71" s="26"/>
      <c r="SMN71" s="26"/>
      <c r="SMO71" s="26"/>
      <c r="SMP71" s="26"/>
      <c r="SMQ71" s="26"/>
      <c r="SMR71" s="26"/>
      <c r="SMS71" s="26"/>
      <c r="SMT71" s="26"/>
      <c r="SMU71" s="26"/>
      <c r="SMV71" s="26"/>
      <c r="SMW71" s="26"/>
      <c r="SMX71" s="26"/>
      <c r="SMY71" s="26"/>
      <c r="SMZ71" s="26"/>
      <c r="SNA71" s="26"/>
      <c r="SNB71" s="26"/>
      <c r="SNC71" s="26"/>
      <c r="SND71" s="26"/>
      <c r="SNE71" s="26"/>
      <c r="SNF71" s="26"/>
      <c r="SNG71" s="26"/>
      <c r="SNH71" s="26"/>
      <c r="SNI71" s="26"/>
      <c r="SNJ71" s="26"/>
      <c r="SNK71" s="26"/>
      <c r="SNL71" s="26"/>
      <c r="SNM71" s="26"/>
      <c r="SNN71" s="26"/>
      <c r="SNO71" s="26"/>
      <c r="SNP71" s="26"/>
      <c r="SNQ71" s="26"/>
      <c r="SNR71" s="26"/>
      <c r="SNS71" s="26"/>
      <c r="SNT71" s="26"/>
      <c r="SNU71" s="26"/>
      <c r="SNV71" s="26"/>
      <c r="SNW71" s="26"/>
      <c r="SNX71" s="26"/>
      <c r="SNY71" s="26"/>
      <c r="SNZ71" s="26"/>
      <c r="SOA71" s="26"/>
      <c r="SOB71" s="26"/>
      <c r="SOC71" s="26"/>
      <c r="SOD71" s="26"/>
      <c r="SOE71" s="26"/>
      <c r="SOF71" s="26"/>
      <c r="SOG71" s="26"/>
      <c r="SOH71" s="26"/>
      <c r="SOI71" s="26"/>
      <c r="SOJ71" s="26"/>
      <c r="SOK71" s="26"/>
      <c r="SOL71" s="26"/>
      <c r="SOM71" s="26"/>
      <c r="SON71" s="26"/>
      <c r="SOO71" s="26"/>
      <c r="SOP71" s="26"/>
      <c r="SOQ71" s="26"/>
      <c r="SOR71" s="26"/>
      <c r="SOS71" s="26"/>
      <c r="SOT71" s="26"/>
      <c r="SOU71" s="26"/>
      <c r="SOV71" s="26"/>
      <c r="SOW71" s="26"/>
      <c r="SOX71" s="26"/>
      <c r="SOY71" s="26"/>
      <c r="SOZ71" s="26"/>
      <c r="SPA71" s="26"/>
      <c r="SPB71" s="26"/>
      <c r="SPC71" s="26"/>
      <c r="SPD71" s="26"/>
      <c r="SPE71" s="26"/>
      <c r="SPF71" s="26"/>
      <c r="SPG71" s="26"/>
      <c r="SPH71" s="26"/>
      <c r="SPI71" s="26"/>
      <c r="SPJ71" s="26"/>
      <c r="SPK71" s="26"/>
      <c r="SPL71" s="26"/>
      <c r="SPM71" s="26"/>
      <c r="SPN71" s="26"/>
      <c r="SPO71" s="26"/>
      <c r="SPP71" s="26"/>
      <c r="SPQ71" s="26"/>
      <c r="SPR71" s="26"/>
      <c r="SPS71" s="26"/>
      <c r="SPT71" s="26"/>
      <c r="SPU71" s="26"/>
      <c r="SPV71" s="26"/>
      <c r="SPW71" s="26"/>
      <c r="SPX71" s="26"/>
      <c r="SPY71" s="26"/>
      <c r="SPZ71" s="26"/>
      <c r="SQA71" s="26"/>
      <c r="SQB71" s="26"/>
      <c r="SQC71" s="26"/>
      <c r="SQD71" s="26"/>
      <c r="SQE71" s="26"/>
      <c r="SQF71" s="26"/>
      <c r="SQG71" s="26"/>
      <c r="SQH71" s="26"/>
      <c r="SQI71" s="26"/>
      <c r="SQJ71" s="26"/>
      <c r="SQK71" s="26"/>
      <c r="SQL71" s="26"/>
      <c r="SQM71" s="26"/>
      <c r="SQN71" s="26"/>
      <c r="SQO71" s="26"/>
      <c r="SQP71" s="26"/>
      <c r="SQQ71" s="26"/>
      <c r="SQR71" s="26"/>
      <c r="SQS71" s="26"/>
      <c r="SQT71" s="26"/>
      <c r="SQU71" s="26"/>
      <c r="SQV71" s="26"/>
      <c r="SQW71" s="26"/>
      <c r="SQX71" s="26"/>
      <c r="SQY71" s="26"/>
      <c r="SQZ71" s="26"/>
      <c r="SRA71" s="26"/>
      <c r="SRB71" s="26"/>
      <c r="SRC71" s="26"/>
      <c r="SRD71" s="26"/>
      <c r="SRE71" s="26"/>
      <c r="SRF71" s="26"/>
      <c r="SRG71" s="26"/>
      <c r="SRH71" s="26"/>
      <c r="SRI71" s="26"/>
      <c r="SRJ71" s="26"/>
      <c r="SRK71" s="26"/>
      <c r="SRL71" s="26"/>
      <c r="SRM71" s="26"/>
      <c r="SRN71" s="26"/>
      <c r="SRO71" s="26"/>
      <c r="SRP71" s="26"/>
      <c r="SRQ71" s="26"/>
      <c r="SRR71" s="26"/>
      <c r="SRS71" s="26"/>
      <c r="SRT71" s="26"/>
      <c r="SRU71" s="26"/>
      <c r="SRV71" s="26"/>
      <c r="SRW71" s="26"/>
      <c r="SRX71" s="26"/>
      <c r="SRY71" s="26"/>
      <c r="SRZ71" s="26"/>
      <c r="SSA71" s="26"/>
      <c r="SSB71" s="26"/>
      <c r="SSC71" s="26"/>
      <c r="SSD71" s="26"/>
      <c r="SSE71" s="26"/>
      <c r="SSF71" s="26"/>
      <c r="SSG71" s="26"/>
      <c r="SSH71" s="26"/>
      <c r="SSI71" s="26"/>
      <c r="SSJ71" s="26"/>
      <c r="SSK71" s="26"/>
      <c r="SSL71" s="26"/>
      <c r="SSM71" s="26"/>
      <c r="SSN71" s="26"/>
      <c r="SSO71" s="26"/>
      <c r="SSP71" s="26"/>
      <c r="SSQ71" s="26"/>
      <c r="SSR71" s="26"/>
      <c r="SSS71" s="26"/>
      <c r="SST71" s="26"/>
      <c r="SSU71" s="26"/>
      <c r="SSV71" s="26"/>
      <c r="SSW71" s="26"/>
      <c r="SSX71" s="26"/>
      <c r="SSY71" s="26"/>
      <c r="SSZ71" s="26"/>
      <c r="STA71" s="26"/>
      <c r="STB71" s="26"/>
      <c r="STC71" s="26"/>
      <c r="STD71" s="26"/>
      <c r="STE71" s="26"/>
      <c r="STF71" s="26"/>
      <c r="STG71" s="26"/>
      <c r="STH71" s="26"/>
      <c r="STI71" s="26"/>
      <c r="STJ71" s="26"/>
      <c r="STK71" s="26"/>
      <c r="STL71" s="26"/>
      <c r="STM71" s="26"/>
      <c r="STN71" s="26"/>
      <c r="STO71" s="26"/>
      <c r="STP71" s="26"/>
      <c r="STQ71" s="26"/>
      <c r="STR71" s="26"/>
      <c r="STS71" s="26"/>
      <c r="STT71" s="26"/>
      <c r="STU71" s="26"/>
      <c r="STV71" s="26"/>
      <c r="STW71" s="26"/>
      <c r="STX71" s="26"/>
      <c r="STY71" s="26"/>
      <c r="STZ71" s="26"/>
      <c r="SUA71" s="26"/>
      <c r="SUB71" s="26"/>
      <c r="SUC71" s="26"/>
      <c r="SUD71" s="26"/>
      <c r="SUE71" s="26"/>
      <c r="SUF71" s="26"/>
      <c r="SUG71" s="26"/>
      <c r="SUH71" s="26"/>
      <c r="SUI71" s="26"/>
      <c r="SUJ71" s="26"/>
      <c r="SUK71" s="26"/>
      <c r="SUL71" s="26"/>
      <c r="SUM71" s="26"/>
      <c r="SUN71" s="26"/>
      <c r="SUO71" s="26"/>
      <c r="SUP71" s="26"/>
      <c r="SUQ71" s="26"/>
      <c r="SUR71" s="26"/>
      <c r="SUS71" s="26"/>
      <c r="SUT71" s="26"/>
      <c r="SUU71" s="26"/>
      <c r="SUV71" s="26"/>
      <c r="SUW71" s="26"/>
      <c r="SUX71" s="26"/>
      <c r="SUY71" s="26"/>
      <c r="SUZ71" s="26"/>
      <c r="SVA71" s="26"/>
      <c r="SVB71" s="26"/>
      <c r="SVC71" s="26"/>
      <c r="SVD71" s="26"/>
      <c r="SVE71" s="26"/>
      <c r="SVF71" s="26"/>
      <c r="SVG71" s="26"/>
      <c r="SVH71" s="26"/>
      <c r="SVI71" s="26"/>
      <c r="SVJ71" s="26"/>
      <c r="SVK71" s="26"/>
      <c r="SVL71" s="26"/>
      <c r="SVM71" s="26"/>
      <c r="SVN71" s="26"/>
      <c r="SVO71" s="26"/>
      <c r="SVP71" s="26"/>
      <c r="SVQ71" s="26"/>
      <c r="SVR71" s="26"/>
      <c r="SVS71" s="26"/>
      <c r="SVT71" s="26"/>
      <c r="SVU71" s="26"/>
      <c r="SVV71" s="26"/>
      <c r="SVW71" s="26"/>
      <c r="SVX71" s="26"/>
      <c r="SVY71" s="26"/>
      <c r="SVZ71" s="26"/>
      <c r="SWA71" s="26"/>
      <c r="SWB71" s="26"/>
      <c r="SWC71" s="26"/>
      <c r="SWD71" s="26"/>
      <c r="SWE71" s="26"/>
      <c r="SWF71" s="26"/>
      <c r="SWG71" s="26"/>
      <c r="SWH71" s="26"/>
      <c r="SWI71" s="26"/>
      <c r="SWJ71" s="26"/>
      <c r="SWK71" s="26"/>
      <c r="SWL71" s="26"/>
      <c r="SWM71" s="26"/>
      <c r="SWN71" s="26"/>
      <c r="SWO71" s="26"/>
      <c r="SWP71" s="26"/>
      <c r="SWQ71" s="26"/>
      <c r="SWR71" s="26"/>
      <c r="SWS71" s="26"/>
      <c r="SWT71" s="26"/>
      <c r="SWU71" s="26"/>
      <c r="SWV71" s="26"/>
      <c r="SWW71" s="26"/>
      <c r="SWX71" s="26"/>
      <c r="SWY71" s="26"/>
      <c r="SWZ71" s="26"/>
      <c r="SXA71" s="26"/>
      <c r="SXB71" s="26"/>
      <c r="SXC71" s="26"/>
      <c r="SXD71" s="26"/>
      <c r="SXE71" s="26"/>
      <c r="SXF71" s="26"/>
      <c r="SXG71" s="26"/>
      <c r="SXH71" s="26"/>
      <c r="SXI71" s="26"/>
      <c r="SXJ71" s="26"/>
      <c r="SXK71" s="26"/>
      <c r="SXL71" s="26"/>
      <c r="SXM71" s="26"/>
      <c r="SXN71" s="26"/>
      <c r="SXO71" s="26"/>
      <c r="SXP71" s="26"/>
      <c r="SXQ71" s="26"/>
      <c r="SXR71" s="26"/>
      <c r="SXS71" s="26"/>
      <c r="SXT71" s="26"/>
      <c r="SXU71" s="26"/>
      <c r="SXV71" s="26"/>
      <c r="SXW71" s="26"/>
      <c r="SXX71" s="26"/>
      <c r="SXY71" s="26"/>
      <c r="SXZ71" s="26"/>
      <c r="SYA71" s="26"/>
      <c r="SYB71" s="26"/>
      <c r="SYC71" s="26"/>
      <c r="SYD71" s="26"/>
      <c r="SYE71" s="26"/>
      <c r="SYF71" s="26"/>
      <c r="SYG71" s="26"/>
      <c r="SYH71" s="26"/>
      <c r="SYI71" s="26"/>
      <c r="SYJ71" s="26"/>
      <c r="SYK71" s="26"/>
      <c r="SYL71" s="26"/>
      <c r="SYM71" s="26"/>
      <c r="SYN71" s="26"/>
      <c r="SYO71" s="26"/>
      <c r="SYP71" s="26"/>
      <c r="SYQ71" s="26"/>
      <c r="SYR71" s="26"/>
      <c r="SYS71" s="26"/>
      <c r="SYT71" s="26"/>
      <c r="SYU71" s="26"/>
      <c r="SYV71" s="26"/>
      <c r="SYW71" s="26"/>
      <c r="SYX71" s="26"/>
      <c r="SYY71" s="26"/>
      <c r="SYZ71" s="26"/>
      <c r="SZA71" s="26"/>
      <c r="SZB71" s="26"/>
      <c r="SZC71" s="26"/>
      <c r="SZD71" s="26"/>
      <c r="SZE71" s="26"/>
      <c r="SZF71" s="26"/>
      <c r="SZG71" s="26"/>
      <c r="SZH71" s="26"/>
      <c r="SZI71" s="26"/>
      <c r="SZJ71" s="26"/>
      <c r="SZK71" s="26"/>
      <c r="SZL71" s="26"/>
      <c r="SZM71" s="26"/>
      <c r="SZN71" s="26"/>
      <c r="SZO71" s="26"/>
      <c r="SZP71" s="26"/>
      <c r="SZQ71" s="26"/>
      <c r="SZR71" s="26"/>
      <c r="SZS71" s="26"/>
      <c r="SZT71" s="26"/>
      <c r="SZU71" s="26"/>
      <c r="SZV71" s="26"/>
      <c r="SZW71" s="26"/>
      <c r="SZX71" s="26"/>
      <c r="SZY71" s="26"/>
      <c r="SZZ71" s="26"/>
      <c r="TAA71" s="26"/>
      <c r="TAB71" s="26"/>
      <c r="TAC71" s="26"/>
      <c r="TAD71" s="26"/>
      <c r="TAE71" s="26"/>
      <c r="TAF71" s="26"/>
      <c r="TAG71" s="26"/>
      <c r="TAH71" s="26"/>
      <c r="TAI71" s="26"/>
      <c r="TAJ71" s="26"/>
      <c r="TAK71" s="26"/>
      <c r="TAL71" s="26"/>
      <c r="TAM71" s="26"/>
      <c r="TAN71" s="26"/>
      <c r="TAO71" s="26"/>
      <c r="TAP71" s="26"/>
      <c r="TAQ71" s="26"/>
      <c r="TAR71" s="26"/>
      <c r="TAS71" s="26"/>
      <c r="TAT71" s="26"/>
      <c r="TAU71" s="26"/>
      <c r="TAV71" s="26"/>
      <c r="TAW71" s="26"/>
      <c r="TAX71" s="26"/>
      <c r="TAY71" s="26"/>
      <c r="TAZ71" s="26"/>
      <c r="TBA71" s="26"/>
      <c r="TBB71" s="26"/>
      <c r="TBC71" s="26"/>
      <c r="TBD71" s="26"/>
      <c r="TBE71" s="26"/>
      <c r="TBF71" s="26"/>
      <c r="TBG71" s="26"/>
      <c r="TBH71" s="26"/>
      <c r="TBI71" s="26"/>
      <c r="TBJ71" s="26"/>
      <c r="TBK71" s="26"/>
      <c r="TBL71" s="26"/>
      <c r="TBM71" s="26"/>
      <c r="TBN71" s="26"/>
      <c r="TBO71" s="26"/>
      <c r="TBP71" s="26"/>
      <c r="TBQ71" s="26"/>
      <c r="TBR71" s="26"/>
      <c r="TBS71" s="26"/>
      <c r="TBT71" s="26"/>
      <c r="TBU71" s="26"/>
      <c r="TBV71" s="26"/>
      <c r="TBW71" s="26"/>
      <c r="TBX71" s="26"/>
      <c r="TBY71" s="26"/>
      <c r="TBZ71" s="26"/>
      <c r="TCA71" s="26"/>
      <c r="TCB71" s="26"/>
      <c r="TCC71" s="26"/>
      <c r="TCD71" s="26"/>
      <c r="TCE71" s="26"/>
      <c r="TCF71" s="26"/>
      <c r="TCG71" s="26"/>
      <c r="TCH71" s="26"/>
      <c r="TCI71" s="26"/>
      <c r="TCJ71" s="26"/>
      <c r="TCK71" s="26"/>
      <c r="TCL71" s="26"/>
      <c r="TCM71" s="26"/>
      <c r="TCN71" s="26"/>
      <c r="TCO71" s="26"/>
      <c r="TCP71" s="26"/>
      <c r="TCQ71" s="26"/>
      <c r="TCR71" s="26"/>
      <c r="TCS71" s="26"/>
      <c r="TCT71" s="26"/>
      <c r="TCU71" s="26"/>
      <c r="TCV71" s="26"/>
      <c r="TCW71" s="26"/>
      <c r="TCX71" s="26"/>
      <c r="TCY71" s="26"/>
      <c r="TCZ71" s="26"/>
      <c r="TDA71" s="26"/>
      <c r="TDB71" s="26"/>
      <c r="TDC71" s="26"/>
      <c r="TDD71" s="26"/>
      <c r="TDE71" s="26"/>
      <c r="TDF71" s="26"/>
      <c r="TDG71" s="26"/>
      <c r="TDH71" s="26"/>
      <c r="TDI71" s="26"/>
      <c r="TDJ71" s="26"/>
      <c r="TDK71" s="26"/>
      <c r="TDL71" s="26"/>
      <c r="TDM71" s="26"/>
      <c r="TDN71" s="26"/>
      <c r="TDO71" s="26"/>
      <c r="TDP71" s="26"/>
      <c r="TDQ71" s="26"/>
      <c r="TDR71" s="26"/>
      <c r="TDS71" s="26"/>
      <c r="TDT71" s="26"/>
      <c r="TDU71" s="26"/>
      <c r="TDV71" s="26"/>
      <c r="TDW71" s="26"/>
      <c r="TDX71" s="26"/>
      <c r="TDY71" s="26"/>
      <c r="TDZ71" s="26"/>
      <c r="TEA71" s="26"/>
      <c r="TEB71" s="26"/>
      <c r="TEC71" s="26"/>
      <c r="TED71" s="26"/>
      <c r="TEE71" s="26"/>
      <c r="TEF71" s="26"/>
      <c r="TEG71" s="26"/>
      <c r="TEH71" s="26"/>
      <c r="TEI71" s="26"/>
      <c r="TEJ71" s="26"/>
      <c r="TEK71" s="26"/>
      <c r="TEL71" s="26"/>
      <c r="TEM71" s="26"/>
      <c r="TEN71" s="26"/>
      <c r="TEO71" s="26"/>
      <c r="TEP71" s="26"/>
      <c r="TEQ71" s="26"/>
      <c r="TER71" s="26"/>
      <c r="TES71" s="26"/>
      <c r="TET71" s="26"/>
      <c r="TEU71" s="26"/>
      <c r="TEV71" s="26"/>
      <c r="TEW71" s="26"/>
      <c r="TEX71" s="26"/>
      <c r="TEY71" s="26"/>
      <c r="TEZ71" s="26"/>
      <c r="TFA71" s="26"/>
      <c r="TFB71" s="26"/>
      <c r="TFC71" s="26"/>
      <c r="TFD71" s="26"/>
      <c r="TFE71" s="26"/>
      <c r="TFF71" s="26"/>
      <c r="TFG71" s="26"/>
      <c r="TFH71" s="26"/>
      <c r="TFI71" s="26"/>
      <c r="TFJ71" s="26"/>
      <c r="TFK71" s="26"/>
      <c r="TFL71" s="26"/>
      <c r="TFM71" s="26"/>
      <c r="TFN71" s="26"/>
      <c r="TFO71" s="26"/>
      <c r="TFP71" s="26"/>
      <c r="TFQ71" s="26"/>
      <c r="TFR71" s="26"/>
      <c r="TFS71" s="26"/>
      <c r="TFT71" s="26"/>
      <c r="TFU71" s="26"/>
      <c r="TFV71" s="26"/>
      <c r="TFW71" s="26"/>
      <c r="TFX71" s="26"/>
      <c r="TFY71" s="26"/>
      <c r="TFZ71" s="26"/>
      <c r="TGA71" s="26"/>
      <c r="TGB71" s="26"/>
      <c r="TGC71" s="26"/>
      <c r="TGD71" s="26"/>
      <c r="TGE71" s="26"/>
      <c r="TGF71" s="26"/>
      <c r="TGG71" s="26"/>
      <c r="TGH71" s="26"/>
      <c r="TGI71" s="26"/>
      <c r="TGJ71" s="26"/>
      <c r="TGK71" s="26"/>
      <c r="TGL71" s="26"/>
      <c r="TGM71" s="26"/>
      <c r="TGN71" s="26"/>
      <c r="TGO71" s="26"/>
      <c r="TGP71" s="26"/>
      <c r="TGQ71" s="26"/>
      <c r="TGR71" s="26"/>
      <c r="TGS71" s="26"/>
      <c r="TGT71" s="26"/>
      <c r="TGU71" s="26"/>
      <c r="TGV71" s="26"/>
      <c r="TGW71" s="26"/>
      <c r="TGX71" s="26"/>
      <c r="TGY71" s="26"/>
      <c r="TGZ71" s="26"/>
      <c r="THA71" s="26"/>
      <c r="THB71" s="26"/>
      <c r="THC71" s="26"/>
      <c r="THD71" s="26"/>
      <c r="THE71" s="26"/>
      <c r="THF71" s="26"/>
      <c r="THG71" s="26"/>
      <c r="THH71" s="26"/>
      <c r="THI71" s="26"/>
      <c r="THJ71" s="26"/>
      <c r="THK71" s="26"/>
      <c r="THL71" s="26"/>
      <c r="THM71" s="26"/>
      <c r="THN71" s="26"/>
      <c r="THO71" s="26"/>
      <c r="THP71" s="26"/>
      <c r="THQ71" s="26"/>
      <c r="THR71" s="26"/>
      <c r="THS71" s="26"/>
      <c r="THT71" s="26"/>
      <c r="THU71" s="26"/>
      <c r="THV71" s="26"/>
      <c r="THW71" s="26"/>
      <c r="THX71" s="26"/>
      <c r="THY71" s="26"/>
      <c r="THZ71" s="26"/>
      <c r="TIA71" s="26"/>
      <c r="TIB71" s="26"/>
      <c r="TIC71" s="26"/>
      <c r="TID71" s="26"/>
      <c r="TIE71" s="26"/>
      <c r="TIF71" s="26"/>
      <c r="TIG71" s="26"/>
      <c r="TIH71" s="26"/>
      <c r="TII71" s="26"/>
      <c r="TIJ71" s="26"/>
      <c r="TIK71" s="26"/>
      <c r="TIL71" s="26"/>
      <c r="TIM71" s="26"/>
      <c r="TIN71" s="26"/>
      <c r="TIO71" s="26"/>
      <c r="TIP71" s="26"/>
      <c r="TIQ71" s="26"/>
      <c r="TIR71" s="26"/>
      <c r="TIS71" s="26"/>
      <c r="TIT71" s="26"/>
      <c r="TIU71" s="26"/>
      <c r="TIV71" s="26"/>
      <c r="TIW71" s="26"/>
      <c r="TIX71" s="26"/>
      <c r="TIY71" s="26"/>
      <c r="TIZ71" s="26"/>
      <c r="TJA71" s="26"/>
      <c r="TJB71" s="26"/>
      <c r="TJC71" s="26"/>
      <c r="TJD71" s="26"/>
      <c r="TJE71" s="26"/>
      <c r="TJF71" s="26"/>
      <c r="TJG71" s="26"/>
      <c r="TJH71" s="26"/>
      <c r="TJI71" s="26"/>
      <c r="TJJ71" s="26"/>
      <c r="TJK71" s="26"/>
      <c r="TJL71" s="26"/>
      <c r="TJM71" s="26"/>
      <c r="TJN71" s="26"/>
      <c r="TJO71" s="26"/>
      <c r="TJP71" s="26"/>
      <c r="TJQ71" s="26"/>
      <c r="TJR71" s="26"/>
      <c r="TJS71" s="26"/>
      <c r="TJT71" s="26"/>
      <c r="TJU71" s="26"/>
      <c r="TJV71" s="26"/>
      <c r="TJW71" s="26"/>
      <c r="TJX71" s="26"/>
      <c r="TJY71" s="26"/>
      <c r="TJZ71" s="26"/>
      <c r="TKA71" s="26"/>
      <c r="TKB71" s="26"/>
      <c r="TKC71" s="26"/>
      <c r="TKD71" s="26"/>
      <c r="TKE71" s="26"/>
      <c r="TKF71" s="26"/>
      <c r="TKG71" s="26"/>
      <c r="TKH71" s="26"/>
      <c r="TKI71" s="26"/>
      <c r="TKJ71" s="26"/>
      <c r="TKK71" s="26"/>
      <c r="TKL71" s="26"/>
      <c r="TKM71" s="26"/>
      <c r="TKN71" s="26"/>
      <c r="TKO71" s="26"/>
      <c r="TKP71" s="26"/>
      <c r="TKQ71" s="26"/>
      <c r="TKR71" s="26"/>
      <c r="TKS71" s="26"/>
      <c r="TKT71" s="26"/>
      <c r="TKU71" s="26"/>
      <c r="TKV71" s="26"/>
      <c r="TKW71" s="26"/>
      <c r="TKX71" s="26"/>
      <c r="TKY71" s="26"/>
      <c r="TKZ71" s="26"/>
      <c r="TLA71" s="26"/>
      <c r="TLB71" s="26"/>
      <c r="TLC71" s="26"/>
      <c r="TLD71" s="26"/>
      <c r="TLE71" s="26"/>
      <c r="TLF71" s="26"/>
      <c r="TLG71" s="26"/>
      <c r="TLH71" s="26"/>
      <c r="TLI71" s="26"/>
      <c r="TLJ71" s="26"/>
      <c r="TLK71" s="26"/>
      <c r="TLL71" s="26"/>
      <c r="TLM71" s="26"/>
      <c r="TLN71" s="26"/>
      <c r="TLO71" s="26"/>
      <c r="TLP71" s="26"/>
      <c r="TLQ71" s="26"/>
      <c r="TLR71" s="26"/>
      <c r="TLS71" s="26"/>
      <c r="TLT71" s="26"/>
      <c r="TLU71" s="26"/>
      <c r="TLV71" s="26"/>
      <c r="TLW71" s="26"/>
      <c r="TLX71" s="26"/>
      <c r="TLY71" s="26"/>
      <c r="TLZ71" s="26"/>
      <c r="TMA71" s="26"/>
      <c r="TMB71" s="26"/>
      <c r="TMC71" s="26"/>
      <c r="TMD71" s="26"/>
      <c r="TME71" s="26"/>
      <c r="TMF71" s="26"/>
      <c r="TMG71" s="26"/>
      <c r="TMH71" s="26"/>
      <c r="TMI71" s="26"/>
      <c r="TMJ71" s="26"/>
      <c r="TMK71" s="26"/>
      <c r="TML71" s="26"/>
      <c r="TMM71" s="26"/>
      <c r="TMN71" s="26"/>
      <c r="TMO71" s="26"/>
      <c r="TMP71" s="26"/>
      <c r="TMQ71" s="26"/>
      <c r="TMR71" s="26"/>
      <c r="TMS71" s="26"/>
      <c r="TMT71" s="26"/>
      <c r="TMU71" s="26"/>
      <c r="TMV71" s="26"/>
      <c r="TMW71" s="26"/>
      <c r="TMX71" s="26"/>
      <c r="TMY71" s="26"/>
      <c r="TMZ71" s="26"/>
      <c r="TNA71" s="26"/>
      <c r="TNB71" s="26"/>
      <c r="TNC71" s="26"/>
      <c r="TND71" s="26"/>
      <c r="TNE71" s="26"/>
      <c r="TNF71" s="26"/>
      <c r="TNG71" s="26"/>
      <c r="TNH71" s="26"/>
      <c r="TNI71" s="26"/>
      <c r="TNJ71" s="26"/>
      <c r="TNK71" s="26"/>
      <c r="TNL71" s="26"/>
      <c r="TNM71" s="26"/>
      <c r="TNN71" s="26"/>
      <c r="TNO71" s="26"/>
      <c r="TNP71" s="26"/>
      <c r="TNQ71" s="26"/>
      <c r="TNR71" s="26"/>
      <c r="TNS71" s="26"/>
      <c r="TNT71" s="26"/>
      <c r="TNU71" s="26"/>
      <c r="TNV71" s="26"/>
      <c r="TNW71" s="26"/>
      <c r="TNX71" s="26"/>
      <c r="TNY71" s="26"/>
      <c r="TNZ71" s="26"/>
      <c r="TOA71" s="26"/>
      <c r="TOB71" s="26"/>
      <c r="TOC71" s="26"/>
      <c r="TOD71" s="26"/>
      <c r="TOE71" s="26"/>
      <c r="TOF71" s="26"/>
      <c r="TOG71" s="26"/>
      <c r="TOH71" s="26"/>
      <c r="TOI71" s="26"/>
      <c r="TOJ71" s="26"/>
      <c r="TOK71" s="26"/>
      <c r="TOL71" s="26"/>
      <c r="TOM71" s="26"/>
      <c r="TON71" s="26"/>
      <c r="TOO71" s="26"/>
      <c r="TOP71" s="26"/>
      <c r="TOQ71" s="26"/>
      <c r="TOR71" s="26"/>
      <c r="TOS71" s="26"/>
      <c r="TOT71" s="26"/>
      <c r="TOU71" s="26"/>
      <c r="TOV71" s="26"/>
      <c r="TOW71" s="26"/>
      <c r="TOX71" s="26"/>
      <c r="TOY71" s="26"/>
      <c r="TOZ71" s="26"/>
      <c r="TPA71" s="26"/>
      <c r="TPB71" s="26"/>
      <c r="TPC71" s="26"/>
      <c r="TPD71" s="26"/>
      <c r="TPE71" s="26"/>
      <c r="TPF71" s="26"/>
      <c r="TPG71" s="26"/>
      <c r="TPH71" s="26"/>
      <c r="TPI71" s="26"/>
      <c r="TPJ71" s="26"/>
      <c r="TPK71" s="26"/>
      <c r="TPL71" s="26"/>
      <c r="TPM71" s="26"/>
      <c r="TPN71" s="26"/>
      <c r="TPO71" s="26"/>
      <c r="TPP71" s="26"/>
      <c r="TPQ71" s="26"/>
      <c r="TPR71" s="26"/>
      <c r="TPS71" s="26"/>
      <c r="TPT71" s="26"/>
      <c r="TPU71" s="26"/>
      <c r="TPV71" s="26"/>
      <c r="TPW71" s="26"/>
      <c r="TPX71" s="26"/>
      <c r="TPY71" s="26"/>
      <c r="TPZ71" s="26"/>
      <c r="TQA71" s="26"/>
      <c r="TQB71" s="26"/>
      <c r="TQC71" s="26"/>
      <c r="TQD71" s="26"/>
      <c r="TQE71" s="26"/>
      <c r="TQF71" s="26"/>
      <c r="TQG71" s="26"/>
      <c r="TQH71" s="26"/>
      <c r="TQI71" s="26"/>
      <c r="TQJ71" s="26"/>
      <c r="TQK71" s="26"/>
      <c r="TQL71" s="26"/>
      <c r="TQM71" s="26"/>
      <c r="TQN71" s="26"/>
      <c r="TQO71" s="26"/>
      <c r="TQP71" s="26"/>
      <c r="TQQ71" s="26"/>
      <c r="TQR71" s="26"/>
      <c r="TQS71" s="26"/>
      <c r="TQT71" s="26"/>
      <c r="TQU71" s="26"/>
      <c r="TQV71" s="26"/>
      <c r="TQW71" s="26"/>
      <c r="TQX71" s="26"/>
      <c r="TQY71" s="26"/>
      <c r="TQZ71" s="26"/>
      <c r="TRA71" s="26"/>
      <c r="TRB71" s="26"/>
      <c r="TRC71" s="26"/>
      <c r="TRD71" s="26"/>
      <c r="TRE71" s="26"/>
      <c r="TRF71" s="26"/>
      <c r="TRG71" s="26"/>
      <c r="TRH71" s="26"/>
      <c r="TRI71" s="26"/>
      <c r="TRJ71" s="26"/>
      <c r="TRK71" s="26"/>
      <c r="TRL71" s="26"/>
      <c r="TRM71" s="26"/>
      <c r="TRN71" s="26"/>
      <c r="TRO71" s="26"/>
      <c r="TRP71" s="26"/>
      <c r="TRQ71" s="26"/>
      <c r="TRR71" s="26"/>
      <c r="TRS71" s="26"/>
      <c r="TRT71" s="26"/>
      <c r="TRU71" s="26"/>
      <c r="TRV71" s="26"/>
      <c r="TRW71" s="26"/>
      <c r="TRX71" s="26"/>
      <c r="TRY71" s="26"/>
      <c r="TRZ71" s="26"/>
      <c r="TSA71" s="26"/>
      <c r="TSB71" s="26"/>
      <c r="TSC71" s="26"/>
      <c r="TSD71" s="26"/>
      <c r="TSE71" s="26"/>
      <c r="TSF71" s="26"/>
      <c r="TSG71" s="26"/>
      <c r="TSH71" s="26"/>
      <c r="TSI71" s="26"/>
      <c r="TSJ71" s="26"/>
      <c r="TSK71" s="26"/>
      <c r="TSL71" s="26"/>
      <c r="TSM71" s="26"/>
      <c r="TSN71" s="26"/>
      <c r="TSO71" s="26"/>
      <c r="TSP71" s="26"/>
      <c r="TSQ71" s="26"/>
      <c r="TSR71" s="26"/>
      <c r="TSS71" s="26"/>
      <c r="TST71" s="26"/>
      <c r="TSU71" s="26"/>
      <c r="TSV71" s="26"/>
      <c r="TSW71" s="26"/>
      <c r="TSX71" s="26"/>
      <c r="TSY71" s="26"/>
      <c r="TSZ71" s="26"/>
      <c r="TTA71" s="26"/>
      <c r="TTB71" s="26"/>
      <c r="TTC71" s="26"/>
      <c r="TTD71" s="26"/>
      <c r="TTE71" s="26"/>
      <c r="TTF71" s="26"/>
      <c r="TTG71" s="26"/>
      <c r="TTH71" s="26"/>
      <c r="TTI71" s="26"/>
      <c r="TTJ71" s="26"/>
      <c r="TTK71" s="26"/>
      <c r="TTL71" s="26"/>
      <c r="TTM71" s="26"/>
      <c r="TTN71" s="26"/>
      <c r="TTO71" s="26"/>
      <c r="TTP71" s="26"/>
      <c r="TTQ71" s="26"/>
      <c r="TTR71" s="26"/>
      <c r="TTS71" s="26"/>
      <c r="TTT71" s="26"/>
      <c r="TTU71" s="26"/>
      <c r="TTV71" s="26"/>
      <c r="TTW71" s="26"/>
      <c r="TTX71" s="26"/>
      <c r="TTY71" s="26"/>
      <c r="TTZ71" s="26"/>
      <c r="TUA71" s="26"/>
      <c r="TUB71" s="26"/>
      <c r="TUC71" s="26"/>
      <c r="TUD71" s="26"/>
      <c r="TUE71" s="26"/>
      <c r="TUF71" s="26"/>
      <c r="TUG71" s="26"/>
      <c r="TUH71" s="26"/>
      <c r="TUI71" s="26"/>
      <c r="TUJ71" s="26"/>
      <c r="TUK71" s="26"/>
      <c r="TUL71" s="26"/>
      <c r="TUM71" s="26"/>
      <c r="TUN71" s="26"/>
      <c r="TUO71" s="26"/>
      <c r="TUP71" s="26"/>
      <c r="TUQ71" s="26"/>
      <c r="TUR71" s="26"/>
      <c r="TUS71" s="26"/>
      <c r="TUT71" s="26"/>
      <c r="TUU71" s="26"/>
      <c r="TUV71" s="26"/>
      <c r="TUW71" s="26"/>
      <c r="TUX71" s="26"/>
      <c r="TUY71" s="26"/>
      <c r="TUZ71" s="26"/>
      <c r="TVA71" s="26"/>
      <c r="TVB71" s="26"/>
      <c r="TVC71" s="26"/>
      <c r="TVD71" s="26"/>
      <c r="TVE71" s="26"/>
      <c r="TVF71" s="26"/>
      <c r="TVG71" s="26"/>
      <c r="TVH71" s="26"/>
      <c r="TVI71" s="26"/>
      <c r="TVJ71" s="26"/>
      <c r="TVK71" s="26"/>
      <c r="TVL71" s="26"/>
      <c r="TVM71" s="26"/>
      <c r="TVN71" s="26"/>
      <c r="TVO71" s="26"/>
      <c r="TVP71" s="26"/>
      <c r="TVQ71" s="26"/>
      <c r="TVR71" s="26"/>
      <c r="TVS71" s="26"/>
      <c r="TVT71" s="26"/>
      <c r="TVU71" s="26"/>
      <c r="TVV71" s="26"/>
      <c r="TVW71" s="26"/>
      <c r="TVX71" s="26"/>
      <c r="TVY71" s="26"/>
      <c r="TVZ71" s="26"/>
      <c r="TWA71" s="26"/>
      <c r="TWB71" s="26"/>
      <c r="TWC71" s="26"/>
      <c r="TWD71" s="26"/>
      <c r="TWE71" s="26"/>
      <c r="TWF71" s="26"/>
      <c r="TWG71" s="26"/>
      <c r="TWH71" s="26"/>
      <c r="TWI71" s="26"/>
      <c r="TWJ71" s="26"/>
      <c r="TWK71" s="26"/>
      <c r="TWL71" s="26"/>
      <c r="TWM71" s="26"/>
      <c r="TWN71" s="26"/>
      <c r="TWO71" s="26"/>
      <c r="TWP71" s="26"/>
      <c r="TWQ71" s="26"/>
      <c r="TWR71" s="26"/>
      <c r="TWS71" s="26"/>
      <c r="TWT71" s="26"/>
      <c r="TWU71" s="26"/>
      <c r="TWV71" s="26"/>
      <c r="TWW71" s="26"/>
      <c r="TWX71" s="26"/>
      <c r="TWY71" s="26"/>
      <c r="TWZ71" s="26"/>
      <c r="TXA71" s="26"/>
      <c r="TXB71" s="26"/>
      <c r="TXC71" s="26"/>
      <c r="TXD71" s="26"/>
      <c r="TXE71" s="26"/>
      <c r="TXF71" s="26"/>
      <c r="TXG71" s="26"/>
      <c r="TXH71" s="26"/>
      <c r="TXI71" s="26"/>
      <c r="TXJ71" s="26"/>
      <c r="TXK71" s="26"/>
      <c r="TXL71" s="26"/>
      <c r="TXM71" s="26"/>
      <c r="TXN71" s="26"/>
      <c r="TXO71" s="26"/>
      <c r="TXP71" s="26"/>
      <c r="TXQ71" s="26"/>
      <c r="TXR71" s="26"/>
      <c r="TXS71" s="26"/>
      <c r="TXT71" s="26"/>
      <c r="TXU71" s="26"/>
      <c r="TXV71" s="26"/>
      <c r="TXW71" s="26"/>
      <c r="TXX71" s="26"/>
      <c r="TXY71" s="26"/>
      <c r="TXZ71" s="26"/>
      <c r="TYA71" s="26"/>
      <c r="TYB71" s="26"/>
      <c r="TYC71" s="26"/>
      <c r="TYD71" s="26"/>
      <c r="TYE71" s="26"/>
      <c r="TYF71" s="26"/>
      <c r="TYG71" s="26"/>
      <c r="TYH71" s="26"/>
      <c r="TYI71" s="26"/>
      <c r="TYJ71" s="26"/>
      <c r="TYK71" s="26"/>
      <c r="TYL71" s="26"/>
      <c r="TYM71" s="26"/>
      <c r="TYN71" s="26"/>
      <c r="TYO71" s="26"/>
      <c r="TYP71" s="26"/>
      <c r="TYQ71" s="26"/>
      <c r="TYR71" s="26"/>
      <c r="TYS71" s="26"/>
      <c r="TYT71" s="26"/>
      <c r="TYU71" s="26"/>
      <c r="TYV71" s="26"/>
      <c r="TYW71" s="26"/>
      <c r="TYX71" s="26"/>
      <c r="TYY71" s="26"/>
      <c r="TYZ71" s="26"/>
      <c r="TZA71" s="26"/>
      <c r="TZB71" s="26"/>
      <c r="TZC71" s="26"/>
      <c r="TZD71" s="26"/>
      <c r="TZE71" s="26"/>
      <c r="TZF71" s="26"/>
      <c r="TZG71" s="26"/>
      <c r="TZH71" s="26"/>
      <c r="TZI71" s="26"/>
      <c r="TZJ71" s="26"/>
      <c r="TZK71" s="26"/>
      <c r="TZL71" s="26"/>
      <c r="TZM71" s="26"/>
      <c r="TZN71" s="26"/>
      <c r="TZO71" s="26"/>
      <c r="TZP71" s="26"/>
      <c r="TZQ71" s="26"/>
      <c r="TZR71" s="26"/>
      <c r="TZS71" s="26"/>
      <c r="TZT71" s="26"/>
      <c r="TZU71" s="26"/>
      <c r="TZV71" s="26"/>
      <c r="TZW71" s="26"/>
      <c r="TZX71" s="26"/>
      <c r="TZY71" s="26"/>
      <c r="TZZ71" s="26"/>
      <c r="UAA71" s="26"/>
      <c r="UAB71" s="26"/>
      <c r="UAC71" s="26"/>
      <c r="UAD71" s="26"/>
      <c r="UAE71" s="26"/>
      <c r="UAF71" s="26"/>
      <c r="UAG71" s="26"/>
      <c r="UAH71" s="26"/>
      <c r="UAI71" s="26"/>
      <c r="UAJ71" s="26"/>
      <c r="UAK71" s="26"/>
      <c r="UAL71" s="26"/>
      <c r="UAM71" s="26"/>
      <c r="UAN71" s="26"/>
      <c r="UAO71" s="26"/>
      <c r="UAP71" s="26"/>
      <c r="UAQ71" s="26"/>
      <c r="UAR71" s="26"/>
      <c r="UAS71" s="26"/>
      <c r="UAT71" s="26"/>
      <c r="UAU71" s="26"/>
      <c r="UAV71" s="26"/>
      <c r="UAW71" s="26"/>
      <c r="UAX71" s="26"/>
      <c r="UAY71" s="26"/>
      <c r="UAZ71" s="26"/>
      <c r="UBA71" s="26"/>
      <c r="UBB71" s="26"/>
      <c r="UBC71" s="26"/>
      <c r="UBD71" s="26"/>
      <c r="UBE71" s="26"/>
      <c r="UBF71" s="26"/>
      <c r="UBG71" s="26"/>
      <c r="UBH71" s="26"/>
      <c r="UBI71" s="26"/>
      <c r="UBJ71" s="26"/>
      <c r="UBK71" s="26"/>
      <c r="UBL71" s="26"/>
      <c r="UBM71" s="26"/>
      <c r="UBN71" s="26"/>
      <c r="UBO71" s="26"/>
      <c r="UBP71" s="26"/>
      <c r="UBQ71" s="26"/>
      <c r="UBR71" s="26"/>
      <c r="UBS71" s="26"/>
      <c r="UBT71" s="26"/>
      <c r="UBU71" s="26"/>
      <c r="UBV71" s="26"/>
      <c r="UBW71" s="26"/>
      <c r="UBX71" s="26"/>
      <c r="UBY71" s="26"/>
      <c r="UBZ71" s="26"/>
      <c r="UCA71" s="26"/>
      <c r="UCB71" s="26"/>
      <c r="UCC71" s="26"/>
      <c r="UCD71" s="26"/>
      <c r="UCE71" s="26"/>
      <c r="UCF71" s="26"/>
      <c r="UCG71" s="26"/>
      <c r="UCH71" s="26"/>
      <c r="UCI71" s="26"/>
      <c r="UCJ71" s="26"/>
      <c r="UCK71" s="26"/>
      <c r="UCL71" s="26"/>
      <c r="UCM71" s="26"/>
      <c r="UCN71" s="26"/>
      <c r="UCO71" s="26"/>
      <c r="UCP71" s="26"/>
      <c r="UCQ71" s="26"/>
      <c r="UCR71" s="26"/>
      <c r="UCS71" s="26"/>
      <c r="UCT71" s="26"/>
      <c r="UCU71" s="26"/>
      <c r="UCV71" s="26"/>
      <c r="UCW71" s="26"/>
      <c r="UCX71" s="26"/>
      <c r="UCY71" s="26"/>
      <c r="UCZ71" s="26"/>
      <c r="UDA71" s="26"/>
      <c r="UDB71" s="26"/>
      <c r="UDC71" s="26"/>
      <c r="UDD71" s="26"/>
      <c r="UDE71" s="26"/>
      <c r="UDF71" s="26"/>
      <c r="UDG71" s="26"/>
      <c r="UDH71" s="26"/>
      <c r="UDI71" s="26"/>
      <c r="UDJ71" s="26"/>
      <c r="UDK71" s="26"/>
      <c r="UDL71" s="26"/>
      <c r="UDM71" s="26"/>
      <c r="UDN71" s="26"/>
      <c r="UDO71" s="26"/>
      <c r="UDP71" s="26"/>
      <c r="UDQ71" s="26"/>
      <c r="UDR71" s="26"/>
      <c r="UDS71" s="26"/>
      <c r="UDT71" s="26"/>
      <c r="UDU71" s="26"/>
      <c r="UDV71" s="26"/>
      <c r="UDW71" s="26"/>
      <c r="UDX71" s="26"/>
      <c r="UDY71" s="26"/>
      <c r="UDZ71" s="26"/>
      <c r="UEA71" s="26"/>
      <c r="UEB71" s="26"/>
      <c r="UEC71" s="26"/>
      <c r="UED71" s="26"/>
      <c r="UEE71" s="26"/>
      <c r="UEF71" s="26"/>
      <c r="UEG71" s="26"/>
      <c r="UEH71" s="26"/>
      <c r="UEI71" s="26"/>
      <c r="UEJ71" s="26"/>
      <c r="UEK71" s="26"/>
      <c r="UEL71" s="26"/>
      <c r="UEM71" s="26"/>
      <c r="UEN71" s="26"/>
      <c r="UEO71" s="26"/>
      <c r="UEP71" s="26"/>
      <c r="UEQ71" s="26"/>
      <c r="UER71" s="26"/>
      <c r="UES71" s="26"/>
      <c r="UET71" s="26"/>
      <c r="UEU71" s="26"/>
      <c r="UEV71" s="26"/>
      <c r="UEW71" s="26"/>
      <c r="UEX71" s="26"/>
      <c r="UEY71" s="26"/>
      <c r="UEZ71" s="26"/>
      <c r="UFA71" s="26"/>
      <c r="UFB71" s="26"/>
      <c r="UFC71" s="26"/>
      <c r="UFD71" s="26"/>
      <c r="UFE71" s="26"/>
      <c r="UFF71" s="26"/>
      <c r="UFG71" s="26"/>
      <c r="UFH71" s="26"/>
      <c r="UFI71" s="26"/>
      <c r="UFJ71" s="26"/>
      <c r="UFK71" s="26"/>
      <c r="UFL71" s="26"/>
      <c r="UFM71" s="26"/>
      <c r="UFN71" s="26"/>
      <c r="UFO71" s="26"/>
      <c r="UFP71" s="26"/>
      <c r="UFQ71" s="26"/>
      <c r="UFR71" s="26"/>
      <c r="UFS71" s="26"/>
      <c r="UFT71" s="26"/>
      <c r="UFU71" s="26"/>
      <c r="UFV71" s="26"/>
      <c r="UFW71" s="26"/>
      <c r="UFX71" s="26"/>
      <c r="UFY71" s="26"/>
      <c r="UFZ71" s="26"/>
      <c r="UGA71" s="26"/>
      <c r="UGB71" s="26"/>
      <c r="UGC71" s="26"/>
      <c r="UGD71" s="26"/>
      <c r="UGE71" s="26"/>
      <c r="UGF71" s="26"/>
      <c r="UGG71" s="26"/>
      <c r="UGH71" s="26"/>
      <c r="UGI71" s="26"/>
      <c r="UGJ71" s="26"/>
      <c r="UGK71" s="26"/>
      <c r="UGL71" s="26"/>
      <c r="UGM71" s="26"/>
      <c r="UGN71" s="26"/>
      <c r="UGO71" s="26"/>
      <c r="UGP71" s="26"/>
      <c r="UGQ71" s="26"/>
      <c r="UGR71" s="26"/>
      <c r="UGS71" s="26"/>
      <c r="UGT71" s="26"/>
      <c r="UGU71" s="26"/>
      <c r="UGV71" s="26"/>
      <c r="UGW71" s="26"/>
      <c r="UGX71" s="26"/>
      <c r="UGY71" s="26"/>
      <c r="UGZ71" s="26"/>
      <c r="UHA71" s="26"/>
      <c r="UHB71" s="26"/>
      <c r="UHC71" s="26"/>
      <c r="UHD71" s="26"/>
      <c r="UHE71" s="26"/>
      <c r="UHF71" s="26"/>
      <c r="UHG71" s="26"/>
      <c r="UHH71" s="26"/>
      <c r="UHI71" s="26"/>
      <c r="UHJ71" s="26"/>
      <c r="UHK71" s="26"/>
      <c r="UHL71" s="26"/>
      <c r="UHM71" s="26"/>
      <c r="UHN71" s="26"/>
      <c r="UHO71" s="26"/>
      <c r="UHP71" s="26"/>
      <c r="UHQ71" s="26"/>
      <c r="UHR71" s="26"/>
      <c r="UHS71" s="26"/>
      <c r="UHT71" s="26"/>
      <c r="UHU71" s="26"/>
      <c r="UHV71" s="26"/>
      <c r="UHW71" s="26"/>
      <c r="UHX71" s="26"/>
      <c r="UHY71" s="26"/>
      <c r="UHZ71" s="26"/>
      <c r="UIA71" s="26"/>
      <c r="UIB71" s="26"/>
      <c r="UIC71" s="26"/>
      <c r="UID71" s="26"/>
      <c r="UIE71" s="26"/>
      <c r="UIF71" s="26"/>
      <c r="UIG71" s="26"/>
      <c r="UIH71" s="26"/>
      <c r="UII71" s="26"/>
      <c r="UIJ71" s="26"/>
      <c r="UIK71" s="26"/>
      <c r="UIL71" s="26"/>
      <c r="UIM71" s="26"/>
      <c r="UIN71" s="26"/>
      <c r="UIO71" s="26"/>
      <c r="UIP71" s="26"/>
      <c r="UIQ71" s="26"/>
      <c r="UIR71" s="26"/>
      <c r="UIS71" s="26"/>
      <c r="UIT71" s="26"/>
      <c r="UIU71" s="26"/>
      <c r="UIV71" s="26"/>
      <c r="UIW71" s="26"/>
      <c r="UIX71" s="26"/>
      <c r="UIY71" s="26"/>
      <c r="UIZ71" s="26"/>
      <c r="UJA71" s="26"/>
      <c r="UJB71" s="26"/>
      <c r="UJC71" s="26"/>
      <c r="UJD71" s="26"/>
      <c r="UJE71" s="26"/>
      <c r="UJF71" s="26"/>
      <c r="UJG71" s="26"/>
      <c r="UJH71" s="26"/>
      <c r="UJI71" s="26"/>
      <c r="UJJ71" s="26"/>
      <c r="UJK71" s="26"/>
      <c r="UJL71" s="26"/>
      <c r="UJM71" s="26"/>
      <c r="UJN71" s="26"/>
      <c r="UJO71" s="26"/>
      <c r="UJP71" s="26"/>
      <c r="UJQ71" s="26"/>
      <c r="UJR71" s="26"/>
      <c r="UJS71" s="26"/>
      <c r="UJT71" s="26"/>
      <c r="UJU71" s="26"/>
      <c r="UJV71" s="26"/>
      <c r="UJW71" s="26"/>
      <c r="UJX71" s="26"/>
      <c r="UJY71" s="26"/>
      <c r="UJZ71" s="26"/>
      <c r="UKA71" s="26"/>
      <c r="UKB71" s="26"/>
      <c r="UKC71" s="26"/>
      <c r="UKD71" s="26"/>
      <c r="UKE71" s="26"/>
      <c r="UKF71" s="26"/>
      <c r="UKG71" s="26"/>
      <c r="UKH71" s="26"/>
      <c r="UKI71" s="26"/>
      <c r="UKJ71" s="26"/>
      <c r="UKK71" s="26"/>
      <c r="UKL71" s="26"/>
      <c r="UKM71" s="26"/>
      <c r="UKN71" s="26"/>
      <c r="UKO71" s="26"/>
      <c r="UKP71" s="26"/>
      <c r="UKQ71" s="26"/>
      <c r="UKR71" s="26"/>
      <c r="UKS71" s="26"/>
      <c r="UKT71" s="26"/>
      <c r="UKU71" s="26"/>
      <c r="UKV71" s="26"/>
      <c r="UKW71" s="26"/>
      <c r="UKX71" s="26"/>
      <c r="UKY71" s="26"/>
      <c r="UKZ71" s="26"/>
      <c r="ULA71" s="26"/>
      <c r="ULB71" s="26"/>
      <c r="ULC71" s="26"/>
      <c r="ULD71" s="26"/>
      <c r="ULE71" s="26"/>
      <c r="ULF71" s="26"/>
      <c r="ULG71" s="26"/>
      <c r="ULH71" s="26"/>
      <c r="ULI71" s="26"/>
      <c r="ULJ71" s="26"/>
      <c r="ULK71" s="26"/>
      <c r="ULL71" s="26"/>
      <c r="ULM71" s="26"/>
      <c r="ULN71" s="26"/>
      <c r="ULO71" s="26"/>
      <c r="ULP71" s="26"/>
      <c r="ULQ71" s="26"/>
      <c r="ULR71" s="26"/>
      <c r="ULS71" s="26"/>
      <c r="ULT71" s="26"/>
      <c r="ULU71" s="26"/>
      <c r="ULV71" s="26"/>
      <c r="ULW71" s="26"/>
      <c r="ULX71" s="26"/>
      <c r="ULY71" s="26"/>
      <c r="ULZ71" s="26"/>
      <c r="UMA71" s="26"/>
      <c r="UMB71" s="26"/>
      <c r="UMC71" s="26"/>
      <c r="UMD71" s="26"/>
      <c r="UME71" s="26"/>
      <c r="UMF71" s="26"/>
      <c r="UMG71" s="26"/>
      <c r="UMH71" s="26"/>
      <c r="UMI71" s="26"/>
      <c r="UMJ71" s="26"/>
      <c r="UMK71" s="26"/>
      <c r="UML71" s="26"/>
      <c r="UMM71" s="26"/>
      <c r="UMN71" s="26"/>
      <c r="UMO71" s="26"/>
      <c r="UMP71" s="26"/>
      <c r="UMQ71" s="26"/>
      <c r="UMR71" s="26"/>
      <c r="UMS71" s="26"/>
      <c r="UMT71" s="26"/>
      <c r="UMU71" s="26"/>
      <c r="UMV71" s="26"/>
      <c r="UMW71" s="26"/>
      <c r="UMX71" s="26"/>
      <c r="UMY71" s="26"/>
      <c r="UMZ71" s="26"/>
      <c r="UNA71" s="26"/>
      <c r="UNB71" s="26"/>
      <c r="UNC71" s="26"/>
      <c r="UND71" s="26"/>
      <c r="UNE71" s="26"/>
      <c r="UNF71" s="26"/>
      <c r="UNG71" s="26"/>
      <c r="UNH71" s="26"/>
      <c r="UNI71" s="26"/>
      <c r="UNJ71" s="26"/>
      <c r="UNK71" s="26"/>
      <c r="UNL71" s="26"/>
      <c r="UNM71" s="26"/>
      <c r="UNN71" s="26"/>
      <c r="UNO71" s="26"/>
      <c r="UNP71" s="26"/>
      <c r="UNQ71" s="26"/>
      <c r="UNR71" s="26"/>
      <c r="UNS71" s="26"/>
      <c r="UNT71" s="26"/>
      <c r="UNU71" s="26"/>
      <c r="UNV71" s="26"/>
      <c r="UNW71" s="26"/>
      <c r="UNX71" s="26"/>
      <c r="UNY71" s="26"/>
      <c r="UNZ71" s="26"/>
      <c r="UOA71" s="26"/>
      <c r="UOB71" s="26"/>
      <c r="UOC71" s="26"/>
      <c r="UOD71" s="26"/>
      <c r="UOE71" s="26"/>
      <c r="UOF71" s="26"/>
      <c r="UOG71" s="26"/>
      <c r="UOH71" s="26"/>
      <c r="UOI71" s="26"/>
      <c r="UOJ71" s="26"/>
      <c r="UOK71" s="26"/>
      <c r="UOL71" s="26"/>
      <c r="UOM71" s="26"/>
      <c r="UON71" s="26"/>
      <c r="UOO71" s="26"/>
      <c r="UOP71" s="26"/>
      <c r="UOQ71" s="26"/>
      <c r="UOR71" s="26"/>
      <c r="UOS71" s="26"/>
      <c r="UOT71" s="26"/>
      <c r="UOU71" s="26"/>
      <c r="UOV71" s="26"/>
      <c r="UOW71" s="26"/>
      <c r="UOX71" s="26"/>
      <c r="UOY71" s="26"/>
      <c r="UOZ71" s="26"/>
      <c r="UPA71" s="26"/>
      <c r="UPB71" s="26"/>
      <c r="UPC71" s="26"/>
      <c r="UPD71" s="26"/>
      <c r="UPE71" s="26"/>
      <c r="UPF71" s="26"/>
      <c r="UPG71" s="26"/>
      <c r="UPH71" s="26"/>
      <c r="UPI71" s="26"/>
      <c r="UPJ71" s="26"/>
      <c r="UPK71" s="26"/>
      <c r="UPL71" s="26"/>
      <c r="UPM71" s="26"/>
      <c r="UPN71" s="26"/>
      <c r="UPO71" s="26"/>
      <c r="UPP71" s="26"/>
      <c r="UPQ71" s="26"/>
      <c r="UPR71" s="26"/>
      <c r="UPS71" s="26"/>
      <c r="UPT71" s="26"/>
      <c r="UPU71" s="26"/>
      <c r="UPV71" s="26"/>
      <c r="UPW71" s="26"/>
      <c r="UPX71" s="26"/>
      <c r="UPY71" s="26"/>
      <c r="UPZ71" s="26"/>
      <c r="UQA71" s="26"/>
      <c r="UQB71" s="26"/>
      <c r="UQC71" s="26"/>
      <c r="UQD71" s="26"/>
      <c r="UQE71" s="26"/>
      <c r="UQF71" s="26"/>
      <c r="UQG71" s="26"/>
      <c r="UQH71" s="26"/>
      <c r="UQI71" s="26"/>
      <c r="UQJ71" s="26"/>
      <c r="UQK71" s="26"/>
      <c r="UQL71" s="26"/>
      <c r="UQM71" s="26"/>
      <c r="UQN71" s="26"/>
      <c r="UQO71" s="26"/>
      <c r="UQP71" s="26"/>
      <c r="UQQ71" s="26"/>
      <c r="UQR71" s="26"/>
      <c r="UQS71" s="26"/>
      <c r="UQT71" s="26"/>
      <c r="UQU71" s="26"/>
      <c r="UQV71" s="26"/>
      <c r="UQW71" s="26"/>
      <c r="UQX71" s="26"/>
      <c r="UQY71" s="26"/>
      <c r="UQZ71" s="26"/>
      <c r="URA71" s="26"/>
      <c r="URB71" s="26"/>
      <c r="URC71" s="26"/>
      <c r="URD71" s="26"/>
      <c r="URE71" s="26"/>
      <c r="URF71" s="26"/>
      <c r="URG71" s="26"/>
      <c r="URH71" s="26"/>
      <c r="URI71" s="26"/>
      <c r="URJ71" s="26"/>
      <c r="URK71" s="26"/>
      <c r="URL71" s="26"/>
      <c r="URM71" s="26"/>
      <c r="URN71" s="26"/>
      <c r="URO71" s="26"/>
      <c r="URP71" s="26"/>
      <c r="URQ71" s="26"/>
      <c r="URR71" s="26"/>
      <c r="URS71" s="26"/>
      <c r="URT71" s="26"/>
      <c r="URU71" s="26"/>
      <c r="URV71" s="26"/>
      <c r="URW71" s="26"/>
      <c r="URX71" s="26"/>
      <c r="URY71" s="26"/>
      <c r="URZ71" s="26"/>
      <c r="USA71" s="26"/>
      <c r="USB71" s="26"/>
      <c r="USC71" s="26"/>
      <c r="USD71" s="26"/>
      <c r="USE71" s="26"/>
      <c r="USF71" s="26"/>
      <c r="USG71" s="26"/>
      <c r="USH71" s="26"/>
      <c r="USI71" s="26"/>
      <c r="USJ71" s="26"/>
      <c r="USK71" s="26"/>
      <c r="USL71" s="26"/>
      <c r="USM71" s="26"/>
      <c r="USN71" s="26"/>
      <c r="USO71" s="26"/>
      <c r="USP71" s="26"/>
      <c r="USQ71" s="26"/>
      <c r="USR71" s="26"/>
      <c r="USS71" s="26"/>
      <c r="UST71" s="26"/>
      <c r="USU71" s="26"/>
      <c r="USV71" s="26"/>
      <c r="USW71" s="26"/>
      <c r="USX71" s="26"/>
      <c r="USY71" s="26"/>
      <c r="USZ71" s="26"/>
      <c r="UTA71" s="26"/>
      <c r="UTB71" s="26"/>
      <c r="UTC71" s="26"/>
      <c r="UTD71" s="26"/>
      <c r="UTE71" s="26"/>
      <c r="UTF71" s="26"/>
      <c r="UTG71" s="26"/>
      <c r="UTH71" s="26"/>
      <c r="UTI71" s="26"/>
      <c r="UTJ71" s="26"/>
      <c r="UTK71" s="26"/>
      <c r="UTL71" s="26"/>
      <c r="UTM71" s="26"/>
      <c r="UTN71" s="26"/>
      <c r="UTO71" s="26"/>
      <c r="UTP71" s="26"/>
      <c r="UTQ71" s="26"/>
      <c r="UTR71" s="26"/>
      <c r="UTS71" s="26"/>
      <c r="UTT71" s="26"/>
      <c r="UTU71" s="26"/>
      <c r="UTV71" s="26"/>
      <c r="UTW71" s="26"/>
      <c r="UTX71" s="26"/>
      <c r="UTY71" s="26"/>
      <c r="UTZ71" s="26"/>
      <c r="UUA71" s="26"/>
      <c r="UUB71" s="26"/>
      <c r="UUC71" s="26"/>
      <c r="UUD71" s="26"/>
      <c r="UUE71" s="26"/>
      <c r="UUF71" s="26"/>
      <c r="UUG71" s="26"/>
      <c r="UUH71" s="26"/>
      <c r="UUI71" s="26"/>
      <c r="UUJ71" s="26"/>
      <c r="UUK71" s="26"/>
      <c r="UUL71" s="26"/>
      <c r="UUM71" s="26"/>
      <c r="UUN71" s="26"/>
      <c r="UUO71" s="26"/>
      <c r="UUP71" s="26"/>
      <c r="UUQ71" s="26"/>
      <c r="UUR71" s="26"/>
      <c r="UUS71" s="26"/>
      <c r="UUT71" s="26"/>
      <c r="UUU71" s="26"/>
      <c r="UUV71" s="26"/>
      <c r="UUW71" s="26"/>
      <c r="UUX71" s="26"/>
      <c r="UUY71" s="26"/>
      <c r="UUZ71" s="26"/>
      <c r="UVA71" s="26"/>
      <c r="UVB71" s="26"/>
      <c r="UVC71" s="26"/>
      <c r="UVD71" s="26"/>
      <c r="UVE71" s="26"/>
      <c r="UVF71" s="26"/>
      <c r="UVG71" s="26"/>
      <c r="UVH71" s="26"/>
      <c r="UVI71" s="26"/>
      <c r="UVJ71" s="26"/>
      <c r="UVK71" s="26"/>
      <c r="UVL71" s="26"/>
      <c r="UVM71" s="26"/>
      <c r="UVN71" s="26"/>
      <c r="UVO71" s="26"/>
      <c r="UVP71" s="26"/>
      <c r="UVQ71" s="26"/>
      <c r="UVR71" s="26"/>
      <c r="UVS71" s="26"/>
      <c r="UVT71" s="26"/>
      <c r="UVU71" s="26"/>
      <c r="UVV71" s="26"/>
      <c r="UVW71" s="26"/>
      <c r="UVX71" s="26"/>
      <c r="UVY71" s="26"/>
      <c r="UVZ71" s="26"/>
      <c r="UWA71" s="26"/>
      <c r="UWB71" s="26"/>
      <c r="UWC71" s="26"/>
      <c r="UWD71" s="26"/>
      <c r="UWE71" s="26"/>
      <c r="UWF71" s="26"/>
      <c r="UWG71" s="26"/>
      <c r="UWH71" s="26"/>
      <c r="UWI71" s="26"/>
      <c r="UWJ71" s="26"/>
      <c r="UWK71" s="26"/>
      <c r="UWL71" s="26"/>
      <c r="UWM71" s="26"/>
      <c r="UWN71" s="26"/>
      <c r="UWO71" s="26"/>
      <c r="UWP71" s="26"/>
      <c r="UWQ71" s="26"/>
      <c r="UWR71" s="26"/>
      <c r="UWS71" s="26"/>
      <c r="UWT71" s="26"/>
      <c r="UWU71" s="26"/>
      <c r="UWV71" s="26"/>
      <c r="UWW71" s="26"/>
      <c r="UWX71" s="26"/>
      <c r="UWY71" s="26"/>
      <c r="UWZ71" s="26"/>
      <c r="UXA71" s="26"/>
      <c r="UXB71" s="26"/>
      <c r="UXC71" s="26"/>
      <c r="UXD71" s="26"/>
      <c r="UXE71" s="26"/>
      <c r="UXF71" s="26"/>
      <c r="UXG71" s="26"/>
      <c r="UXH71" s="26"/>
      <c r="UXI71" s="26"/>
      <c r="UXJ71" s="26"/>
      <c r="UXK71" s="26"/>
      <c r="UXL71" s="26"/>
      <c r="UXM71" s="26"/>
      <c r="UXN71" s="26"/>
      <c r="UXO71" s="26"/>
      <c r="UXP71" s="26"/>
      <c r="UXQ71" s="26"/>
      <c r="UXR71" s="26"/>
      <c r="UXS71" s="26"/>
      <c r="UXT71" s="26"/>
      <c r="UXU71" s="26"/>
      <c r="UXV71" s="26"/>
      <c r="UXW71" s="26"/>
      <c r="UXX71" s="26"/>
      <c r="UXY71" s="26"/>
      <c r="UXZ71" s="26"/>
      <c r="UYA71" s="26"/>
      <c r="UYB71" s="26"/>
      <c r="UYC71" s="26"/>
      <c r="UYD71" s="26"/>
      <c r="UYE71" s="26"/>
      <c r="UYF71" s="26"/>
      <c r="UYG71" s="26"/>
      <c r="UYH71" s="26"/>
      <c r="UYI71" s="26"/>
      <c r="UYJ71" s="26"/>
      <c r="UYK71" s="26"/>
      <c r="UYL71" s="26"/>
      <c r="UYM71" s="26"/>
      <c r="UYN71" s="26"/>
      <c r="UYO71" s="26"/>
      <c r="UYP71" s="26"/>
      <c r="UYQ71" s="26"/>
      <c r="UYR71" s="26"/>
      <c r="UYS71" s="26"/>
      <c r="UYT71" s="26"/>
      <c r="UYU71" s="26"/>
      <c r="UYV71" s="26"/>
      <c r="UYW71" s="26"/>
      <c r="UYX71" s="26"/>
      <c r="UYY71" s="26"/>
      <c r="UYZ71" s="26"/>
      <c r="UZA71" s="26"/>
      <c r="UZB71" s="26"/>
      <c r="UZC71" s="26"/>
      <c r="UZD71" s="26"/>
      <c r="UZE71" s="26"/>
      <c r="UZF71" s="26"/>
      <c r="UZG71" s="26"/>
      <c r="UZH71" s="26"/>
      <c r="UZI71" s="26"/>
      <c r="UZJ71" s="26"/>
      <c r="UZK71" s="26"/>
      <c r="UZL71" s="26"/>
      <c r="UZM71" s="26"/>
      <c r="UZN71" s="26"/>
      <c r="UZO71" s="26"/>
      <c r="UZP71" s="26"/>
      <c r="UZQ71" s="26"/>
      <c r="UZR71" s="26"/>
      <c r="UZS71" s="26"/>
      <c r="UZT71" s="26"/>
      <c r="UZU71" s="26"/>
      <c r="UZV71" s="26"/>
      <c r="UZW71" s="26"/>
      <c r="UZX71" s="26"/>
      <c r="UZY71" s="26"/>
      <c r="UZZ71" s="26"/>
      <c r="VAA71" s="26"/>
      <c r="VAB71" s="26"/>
      <c r="VAC71" s="26"/>
      <c r="VAD71" s="26"/>
      <c r="VAE71" s="26"/>
      <c r="VAF71" s="26"/>
      <c r="VAG71" s="26"/>
      <c r="VAH71" s="26"/>
      <c r="VAI71" s="26"/>
      <c r="VAJ71" s="26"/>
      <c r="VAK71" s="26"/>
      <c r="VAL71" s="26"/>
      <c r="VAM71" s="26"/>
      <c r="VAN71" s="26"/>
      <c r="VAO71" s="26"/>
      <c r="VAP71" s="26"/>
      <c r="VAQ71" s="26"/>
      <c r="VAR71" s="26"/>
      <c r="VAS71" s="26"/>
      <c r="VAT71" s="26"/>
      <c r="VAU71" s="26"/>
      <c r="VAV71" s="26"/>
      <c r="VAW71" s="26"/>
      <c r="VAX71" s="26"/>
      <c r="VAY71" s="26"/>
      <c r="VAZ71" s="26"/>
      <c r="VBA71" s="26"/>
      <c r="VBB71" s="26"/>
      <c r="VBC71" s="26"/>
      <c r="VBD71" s="26"/>
      <c r="VBE71" s="26"/>
      <c r="VBF71" s="26"/>
      <c r="VBG71" s="26"/>
      <c r="VBH71" s="26"/>
      <c r="VBI71" s="26"/>
      <c r="VBJ71" s="26"/>
      <c r="VBK71" s="26"/>
      <c r="VBL71" s="26"/>
      <c r="VBM71" s="26"/>
      <c r="VBN71" s="26"/>
      <c r="VBO71" s="26"/>
      <c r="VBP71" s="26"/>
      <c r="VBQ71" s="26"/>
      <c r="VBR71" s="26"/>
      <c r="VBS71" s="26"/>
      <c r="VBT71" s="26"/>
      <c r="VBU71" s="26"/>
      <c r="VBV71" s="26"/>
      <c r="VBW71" s="26"/>
      <c r="VBX71" s="26"/>
      <c r="VBY71" s="26"/>
      <c r="VBZ71" s="26"/>
      <c r="VCA71" s="26"/>
      <c r="VCB71" s="26"/>
      <c r="VCC71" s="26"/>
      <c r="VCD71" s="26"/>
      <c r="VCE71" s="26"/>
      <c r="VCF71" s="26"/>
      <c r="VCG71" s="26"/>
      <c r="VCH71" s="26"/>
      <c r="VCI71" s="26"/>
      <c r="VCJ71" s="26"/>
      <c r="VCK71" s="26"/>
      <c r="VCL71" s="26"/>
      <c r="VCM71" s="26"/>
      <c r="VCN71" s="26"/>
      <c r="VCO71" s="26"/>
      <c r="VCP71" s="26"/>
      <c r="VCQ71" s="26"/>
      <c r="VCR71" s="26"/>
      <c r="VCS71" s="26"/>
      <c r="VCT71" s="26"/>
      <c r="VCU71" s="26"/>
      <c r="VCV71" s="26"/>
      <c r="VCW71" s="26"/>
      <c r="VCX71" s="26"/>
      <c r="VCY71" s="26"/>
      <c r="VCZ71" s="26"/>
      <c r="VDA71" s="26"/>
      <c r="VDB71" s="26"/>
      <c r="VDC71" s="26"/>
      <c r="VDD71" s="26"/>
      <c r="VDE71" s="26"/>
      <c r="VDF71" s="26"/>
      <c r="VDG71" s="26"/>
      <c r="VDH71" s="26"/>
      <c r="VDI71" s="26"/>
      <c r="VDJ71" s="26"/>
      <c r="VDK71" s="26"/>
      <c r="VDL71" s="26"/>
      <c r="VDM71" s="26"/>
      <c r="VDN71" s="26"/>
      <c r="VDO71" s="26"/>
      <c r="VDP71" s="26"/>
      <c r="VDQ71" s="26"/>
      <c r="VDR71" s="26"/>
      <c r="VDS71" s="26"/>
      <c r="VDT71" s="26"/>
      <c r="VDU71" s="26"/>
      <c r="VDV71" s="26"/>
      <c r="VDW71" s="26"/>
      <c r="VDX71" s="26"/>
      <c r="VDY71" s="26"/>
      <c r="VDZ71" s="26"/>
      <c r="VEA71" s="26"/>
      <c r="VEB71" s="26"/>
      <c r="VEC71" s="26"/>
      <c r="VED71" s="26"/>
      <c r="VEE71" s="26"/>
      <c r="VEF71" s="26"/>
      <c r="VEG71" s="26"/>
      <c r="VEH71" s="26"/>
      <c r="VEI71" s="26"/>
      <c r="VEJ71" s="26"/>
      <c r="VEK71" s="26"/>
      <c r="VEL71" s="26"/>
      <c r="VEM71" s="26"/>
      <c r="VEN71" s="26"/>
      <c r="VEO71" s="26"/>
      <c r="VEP71" s="26"/>
      <c r="VEQ71" s="26"/>
      <c r="VER71" s="26"/>
      <c r="VES71" s="26"/>
      <c r="VET71" s="26"/>
      <c r="VEU71" s="26"/>
      <c r="VEV71" s="26"/>
      <c r="VEW71" s="26"/>
      <c r="VEX71" s="26"/>
      <c r="VEY71" s="26"/>
      <c r="VEZ71" s="26"/>
      <c r="VFA71" s="26"/>
      <c r="VFB71" s="26"/>
      <c r="VFC71" s="26"/>
      <c r="VFD71" s="26"/>
      <c r="VFE71" s="26"/>
      <c r="VFF71" s="26"/>
      <c r="VFG71" s="26"/>
      <c r="VFH71" s="26"/>
      <c r="VFI71" s="26"/>
      <c r="VFJ71" s="26"/>
      <c r="VFK71" s="26"/>
      <c r="VFL71" s="26"/>
      <c r="VFM71" s="26"/>
      <c r="VFN71" s="26"/>
      <c r="VFO71" s="26"/>
      <c r="VFP71" s="26"/>
      <c r="VFQ71" s="26"/>
      <c r="VFR71" s="26"/>
      <c r="VFS71" s="26"/>
      <c r="VFT71" s="26"/>
      <c r="VFU71" s="26"/>
      <c r="VFV71" s="26"/>
      <c r="VFW71" s="26"/>
      <c r="VFX71" s="26"/>
      <c r="VFY71" s="26"/>
      <c r="VFZ71" s="26"/>
      <c r="VGA71" s="26"/>
      <c r="VGB71" s="26"/>
      <c r="VGC71" s="26"/>
      <c r="VGD71" s="26"/>
      <c r="VGE71" s="26"/>
      <c r="VGF71" s="26"/>
      <c r="VGG71" s="26"/>
      <c r="VGH71" s="26"/>
      <c r="VGI71" s="26"/>
      <c r="VGJ71" s="26"/>
      <c r="VGK71" s="26"/>
      <c r="VGL71" s="26"/>
      <c r="VGM71" s="26"/>
      <c r="VGN71" s="26"/>
      <c r="VGO71" s="26"/>
      <c r="VGP71" s="26"/>
      <c r="VGQ71" s="26"/>
      <c r="VGR71" s="26"/>
      <c r="VGS71" s="26"/>
      <c r="VGT71" s="26"/>
      <c r="VGU71" s="26"/>
      <c r="VGV71" s="26"/>
      <c r="VGW71" s="26"/>
      <c r="VGX71" s="26"/>
      <c r="VGY71" s="26"/>
      <c r="VGZ71" s="26"/>
      <c r="VHA71" s="26"/>
      <c r="VHB71" s="26"/>
      <c r="VHC71" s="26"/>
      <c r="VHD71" s="26"/>
      <c r="VHE71" s="26"/>
      <c r="VHF71" s="26"/>
      <c r="VHG71" s="26"/>
      <c r="VHH71" s="26"/>
      <c r="VHI71" s="26"/>
      <c r="VHJ71" s="26"/>
      <c r="VHK71" s="26"/>
      <c r="VHL71" s="26"/>
      <c r="VHM71" s="26"/>
      <c r="VHN71" s="26"/>
      <c r="VHO71" s="26"/>
      <c r="VHP71" s="26"/>
      <c r="VHQ71" s="26"/>
      <c r="VHR71" s="26"/>
      <c r="VHS71" s="26"/>
      <c r="VHT71" s="26"/>
      <c r="VHU71" s="26"/>
      <c r="VHV71" s="26"/>
      <c r="VHW71" s="26"/>
      <c r="VHX71" s="26"/>
      <c r="VHY71" s="26"/>
      <c r="VHZ71" s="26"/>
      <c r="VIA71" s="26"/>
      <c r="VIB71" s="26"/>
      <c r="VIC71" s="26"/>
      <c r="VID71" s="26"/>
      <c r="VIE71" s="26"/>
      <c r="VIF71" s="26"/>
      <c r="VIG71" s="26"/>
      <c r="VIH71" s="26"/>
      <c r="VII71" s="26"/>
      <c r="VIJ71" s="26"/>
      <c r="VIK71" s="26"/>
      <c r="VIL71" s="26"/>
      <c r="VIM71" s="26"/>
      <c r="VIN71" s="26"/>
      <c r="VIO71" s="26"/>
      <c r="VIP71" s="26"/>
      <c r="VIQ71" s="26"/>
      <c r="VIR71" s="26"/>
      <c r="VIS71" s="26"/>
      <c r="VIT71" s="26"/>
      <c r="VIU71" s="26"/>
      <c r="VIV71" s="26"/>
      <c r="VIW71" s="26"/>
      <c r="VIX71" s="26"/>
      <c r="VIY71" s="26"/>
      <c r="VIZ71" s="26"/>
      <c r="VJA71" s="26"/>
      <c r="VJB71" s="26"/>
      <c r="VJC71" s="26"/>
      <c r="VJD71" s="26"/>
      <c r="VJE71" s="26"/>
      <c r="VJF71" s="26"/>
      <c r="VJG71" s="26"/>
      <c r="VJH71" s="26"/>
      <c r="VJI71" s="26"/>
      <c r="VJJ71" s="26"/>
      <c r="VJK71" s="26"/>
      <c r="VJL71" s="26"/>
      <c r="VJM71" s="26"/>
      <c r="VJN71" s="26"/>
      <c r="VJO71" s="26"/>
      <c r="VJP71" s="26"/>
      <c r="VJQ71" s="26"/>
      <c r="VJR71" s="26"/>
      <c r="VJS71" s="26"/>
      <c r="VJT71" s="26"/>
      <c r="VJU71" s="26"/>
      <c r="VJV71" s="26"/>
      <c r="VJW71" s="26"/>
      <c r="VJX71" s="26"/>
      <c r="VJY71" s="26"/>
      <c r="VJZ71" s="26"/>
      <c r="VKA71" s="26"/>
      <c r="VKB71" s="26"/>
      <c r="VKC71" s="26"/>
      <c r="VKD71" s="26"/>
      <c r="VKE71" s="26"/>
      <c r="VKF71" s="26"/>
      <c r="VKG71" s="26"/>
      <c r="VKH71" s="26"/>
      <c r="VKI71" s="26"/>
      <c r="VKJ71" s="26"/>
      <c r="VKK71" s="26"/>
      <c r="VKL71" s="26"/>
      <c r="VKM71" s="26"/>
      <c r="VKN71" s="26"/>
      <c r="VKO71" s="26"/>
      <c r="VKP71" s="26"/>
      <c r="VKQ71" s="26"/>
      <c r="VKR71" s="26"/>
      <c r="VKS71" s="26"/>
      <c r="VKT71" s="26"/>
      <c r="VKU71" s="26"/>
      <c r="VKV71" s="26"/>
      <c r="VKW71" s="26"/>
      <c r="VKX71" s="26"/>
      <c r="VKY71" s="26"/>
      <c r="VKZ71" s="26"/>
      <c r="VLA71" s="26"/>
      <c r="VLB71" s="26"/>
      <c r="VLC71" s="26"/>
      <c r="VLD71" s="26"/>
      <c r="VLE71" s="26"/>
      <c r="VLF71" s="26"/>
      <c r="VLG71" s="26"/>
      <c r="VLH71" s="26"/>
      <c r="VLI71" s="26"/>
      <c r="VLJ71" s="26"/>
      <c r="VLK71" s="26"/>
      <c r="VLL71" s="26"/>
      <c r="VLM71" s="26"/>
      <c r="VLN71" s="26"/>
      <c r="VLO71" s="26"/>
      <c r="VLP71" s="26"/>
      <c r="VLQ71" s="26"/>
      <c r="VLR71" s="26"/>
      <c r="VLS71" s="26"/>
      <c r="VLT71" s="26"/>
      <c r="VLU71" s="26"/>
      <c r="VLV71" s="26"/>
      <c r="VLW71" s="26"/>
      <c r="VLX71" s="26"/>
      <c r="VLY71" s="26"/>
      <c r="VLZ71" s="26"/>
      <c r="VMA71" s="26"/>
      <c r="VMB71" s="26"/>
      <c r="VMC71" s="26"/>
      <c r="VMD71" s="26"/>
      <c r="VME71" s="26"/>
      <c r="VMF71" s="26"/>
      <c r="VMG71" s="26"/>
      <c r="VMH71" s="26"/>
      <c r="VMI71" s="26"/>
      <c r="VMJ71" s="26"/>
      <c r="VMK71" s="26"/>
      <c r="VML71" s="26"/>
      <c r="VMM71" s="26"/>
      <c r="VMN71" s="26"/>
      <c r="VMO71" s="26"/>
      <c r="VMP71" s="26"/>
      <c r="VMQ71" s="26"/>
      <c r="VMR71" s="26"/>
      <c r="VMS71" s="26"/>
      <c r="VMT71" s="26"/>
      <c r="VMU71" s="26"/>
      <c r="VMV71" s="26"/>
      <c r="VMW71" s="26"/>
      <c r="VMX71" s="26"/>
      <c r="VMY71" s="26"/>
      <c r="VMZ71" s="26"/>
      <c r="VNA71" s="26"/>
      <c r="VNB71" s="26"/>
      <c r="VNC71" s="26"/>
      <c r="VND71" s="26"/>
      <c r="VNE71" s="26"/>
      <c r="VNF71" s="26"/>
      <c r="VNG71" s="26"/>
      <c r="VNH71" s="26"/>
      <c r="VNI71" s="26"/>
      <c r="VNJ71" s="26"/>
      <c r="VNK71" s="26"/>
      <c r="VNL71" s="26"/>
      <c r="VNM71" s="26"/>
      <c r="VNN71" s="26"/>
      <c r="VNO71" s="26"/>
      <c r="VNP71" s="26"/>
      <c r="VNQ71" s="26"/>
      <c r="VNR71" s="26"/>
      <c r="VNS71" s="26"/>
      <c r="VNT71" s="26"/>
      <c r="VNU71" s="26"/>
      <c r="VNV71" s="26"/>
      <c r="VNW71" s="26"/>
      <c r="VNX71" s="26"/>
      <c r="VNY71" s="26"/>
      <c r="VNZ71" s="26"/>
      <c r="VOA71" s="26"/>
      <c r="VOB71" s="26"/>
      <c r="VOC71" s="26"/>
      <c r="VOD71" s="26"/>
      <c r="VOE71" s="26"/>
      <c r="VOF71" s="26"/>
      <c r="VOG71" s="26"/>
      <c r="VOH71" s="26"/>
      <c r="VOI71" s="26"/>
      <c r="VOJ71" s="26"/>
      <c r="VOK71" s="26"/>
      <c r="VOL71" s="26"/>
      <c r="VOM71" s="26"/>
      <c r="VON71" s="26"/>
      <c r="VOO71" s="26"/>
      <c r="VOP71" s="26"/>
      <c r="VOQ71" s="26"/>
      <c r="VOR71" s="26"/>
      <c r="VOS71" s="26"/>
      <c r="VOT71" s="26"/>
      <c r="VOU71" s="26"/>
      <c r="VOV71" s="26"/>
      <c r="VOW71" s="26"/>
      <c r="VOX71" s="26"/>
      <c r="VOY71" s="26"/>
      <c r="VOZ71" s="26"/>
      <c r="VPA71" s="26"/>
      <c r="VPB71" s="26"/>
      <c r="VPC71" s="26"/>
      <c r="VPD71" s="26"/>
      <c r="VPE71" s="26"/>
      <c r="VPF71" s="26"/>
      <c r="VPG71" s="26"/>
      <c r="VPH71" s="26"/>
      <c r="VPI71" s="26"/>
      <c r="VPJ71" s="26"/>
      <c r="VPK71" s="26"/>
      <c r="VPL71" s="26"/>
      <c r="VPM71" s="26"/>
      <c r="VPN71" s="26"/>
      <c r="VPO71" s="26"/>
      <c r="VPP71" s="26"/>
      <c r="VPQ71" s="26"/>
      <c r="VPR71" s="26"/>
      <c r="VPS71" s="26"/>
      <c r="VPT71" s="26"/>
      <c r="VPU71" s="26"/>
      <c r="VPV71" s="26"/>
      <c r="VPW71" s="26"/>
      <c r="VPX71" s="26"/>
      <c r="VPY71" s="26"/>
      <c r="VPZ71" s="26"/>
      <c r="VQA71" s="26"/>
      <c r="VQB71" s="26"/>
      <c r="VQC71" s="26"/>
      <c r="VQD71" s="26"/>
      <c r="VQE71" s="26"/>
      <c r="VQF71" s="26"/>
      <c r="VQG71" s="26"/>
      <c r="VQH71" s="26"/>
      <c r="VQI71" s="26"/>
      <c r="VQJ71" s="26"/>
      <c r="VQK71" s="26"/>
      <c r="VQL71" s="26"/>
      <c r="VQM71" s="26"/>
      <c r="VQN71" s="26"/>
      <c r="VQO71" s="26"/>
      <c r="VQP71" s="26"/>
      <c r="VQQ71" s="26"/>
      <c r="VQR71" s="26"/>
      <c r="VQS71" s="26"/>
      <c r="VQT71" s="26"/>
      <c r="VQU71" s="26"/>
      <c r="VQV71" s="26"/>
      <c r="VQW71" s="26"/>
      <c r="VQX71" s="26"/>
      <c r="VQY71" s="26"/>
      <c r="VQZ71" s="26"/>
      <c r="VRA71" s="26"/>
      <c r="VRB71" s="26"/>
      <c r="VRC71" s="26"/>
      <c r="VRD71" s="26"/>
      <c r="VRE71" s="26"/>
      <c r="VRF71" s="26"/>
      <c r="VRG71" s="26"/>
      <c r="VRH71" s="26"/>
      <c r="VRI71" s="26"/>
      <c r="VRJ71" s="26"/>
      <c r="VRK71" s="26"/>
      <c r="VRL71" s="26"/>
      <c r="VRM71" s="26"/>
      <c r="VRN71" s="26"/>
      <c r="VRO71" s="26"/>
      <c r="VRP71" s="26"/>
      <c r="VRQ71" s="26"/>
      <c r="VRR71" s="26"/>
      <c r="VRS71" s="26"/>
      <c r="VRT71" s="26"/>
      <c r="VRU71" s="26"/>
      <c r="VRV71" s="26"/>
      <c r="VRW71" s="26"/>
      <c r="VRX71" s="26"/>
      <c r="VRY71" s="26"/>
      <c r="VRZ71" s="26"/>
      <c r="VSA71" s="26"/>
      <c r="VSB71" s="26"/>
      <c r="VSC71" s="26"/>
      <c r="VSD71" s="26"/>
      <c r="VSE71" s="26"/>
      <c r="VSF71" s="26"/>
      <c r="VSG71" s="26"/>
      <c r="VSH71" s="26"/>
      <c r="VSI71" s="26"/>
      <c r="VSJ71" s="26"/>
      <c r="VSK71" s="26"/>
      <c r="VSL71" s="26"/>
      <c r="VSM71" s="26"/>
      <c r="VSN71" s="26"/>
      <c r="VSO71" s="26"/>
      <c r="VSP71" s="26"/>
      <c r="VSQ71" s="26"/>
      <c r="VSR71" s="26"/>
      <c r="VSS71" s="26"/>
      <c r="VST71" s="26"/>
      <c r="VSU71" s="26"/>
      <c r="VSV71" s="26"/>
      <c r="VSW71" s="26"/>
      <c r="VSX71" s="26"/>
      <c r="VSY71" s="26"/>
      <c r="VSZ71" s="26"/>
      <c r="VTA71" s="26"/>
      <c r="VTB71" s="26"/>
      <c r="VTC71" s="26"/>
      <c r="VTD71" s="26"/>
      <c r="VTE71" s="26"/>
      <c r="VTF71" s="26"/>
      <c r="VTG71" s="26"/>
      <c r="VTH71" s="26"/>
      <c r="VTI71" s="26"/>
      <c r="VTJ71" s="26"/>
      <c r="VTK71" s="26"/>
      <c r="VTL71" s="26"/>
      <c r="VTM71" s="26"/>
      <c r="VTN71" s="26"/>
      <c r="VTO71" s="26"/>
      <c r="VTP71" s="26"/>
      <c r="VTQ71" s="26"/>
      <c r="VTR71" s="26"/>
      <c r="VTS71" s="26"/>
      <c r="VTT71" s="26"/>
      <c r="VTU71" s="26"/>
      <c r="VTV71" s="26"/>
      <c r="VTW71" s="26"/>
      <c r="VTX71" s="26"/>
      <c r="VTY71" s="26"/>
      <c r="VTZ71" s="26"/>
      <c r="VUA71" s="26"/>
      <c r="VUB71" s="26"/>
      <c r="VUC71" s="26"/>
      <c r="VUD71" s="26"/>
      <c r="VUE71" s="26"/>
      <c r="VUF71" s="26"/>
      <c r="VUG71" s="26"/>
      <c r="VUH71" s="26"/>
      <c r="VUI71" s="26"/>
      <c r="VUJ71" s="26"/>
      <c r="VUK71" s="26"/>
      <c r="VUL71" s="26"/>
      <c r="VUM71" s="26"/>
      <c r="VUN71" s="26"/>
      <c r="VUO71" s="26"/>
      <c r="VUP71" s="26"/>
      <c r="VUQ71" s="26"/>
      <c r="VUR71" s="26"/>
      <c r="VUS71" s="26"/>
      <c r="VUT71" s="26"/>
      <c r="VUU71" s="26"/>
      <c r="VUV71" s="26"/>
      <c r="VUW71" s="26"/>
      <c r="VUX71" s="26"/>
      <c r="VUY71" s="26"/>
      <c r="VUZ71" s="26"/>
      <c r="VVA71" s="26"/>
      <c r="VVB71" s="26"/>
      <c r="VVC71" s="26"/>
      <c r="VVD71" s="26"/>
      <c r="VVE71" s="26"/>
      <c r="VVF71" s="26"/>
      <c r="VVG71" s="26"/>
      <c r="VVH71" s="26"/>
      <c r="VVI71" s="26"/>
      <c r="VVJ71" s="26"/>
      <c r="VVK71" s="26"/>
      <c r="VVL71" s="26"/>
      <c r="VVM71" s="26"/>
      <c r="VVN71" s="26"/>
      <c r="VVO71" s="26"/>
      <c r="VVP71" s="26"/>
      <c r="VVQ71" s="26"/>
      <c r="VVR71" s="26"/>
      <c r="VVS71" s="26"/>
      <c r="VVT71" s="26"/>
      <c r="VVU71" s="26"/>
      <c r="VVV71" s="26"/>
      <c r="VVW71" s="26"/>
      <c r="VVX71" s="26"/>
      <c r="VVY71" s="26"/>
      <c r="VVZ71" s="26"/>
      <c r="VWA71" s="26"/>
      <c r="VWB71" s="26"/>
      <c r="VWC71" s="26"/>
      <c r="VWD71" s="26"/>
      <c r="VWE71" s="26"/>
      <c r="VWF71" s="26"/>
      <c r="VWG71" s="26"/>
      <c r="VWH71" s="26"/>
      <c r="VWI71" s="26"/>
      <c r="VWJ71" s="26"/>
      <c r="VWK71" s="26"/>
      <c r="VWL71" s="26"/>
      <c r="VWM71" s="26"/>
      <c r="VWN71" s="26"/>
      <c r="VWO71" s="26"/>
      <c r="VWP71" s="26"/>
      <c r="VWQ71" s="26"/>
      <c r="VWR71" s="26"/>
      <c r="VWS71" s="26"/>
      <c r="VWT71" s="26"/>
      <c r="VWU71" s="26"/>
      <c r="VWV71" s="26"/>
      <c r="VWW71" s="26"/>
      <c r="VWX71" s="26"/>
      <c r="VWY71" s="26"/>
      <c r="VWZ71" s="26"/>
      <c r="VXA71" s="26"/>
      <c r="VXB71" s="26"/>
      <c r="VXC71" s="26"/>
      <c r="VXD71" s="26"/>
      <c r="VXE71" s="26"/>
      <c r="VXF71" s="26"/>
      <c r="VXG71" s="26"/>
      <c r="VXH71" s="26"/>
      <c r="VXI71" s="26"/>
      <c r="VXJ71" s="26"/>
      <c r="VXK71" s="26"/>
      <c r="VXL71" s="26"/>
      <c r="VXM71" s="26"/>
      <c r="VXN71" s="26"/>
      <c r="VXO71" s="26"/>
      <c r="VXP71" s="26"/>
      <c r="VXQ71" s="26"/>
      <c r="VXR71" s="26"/>
      <c r="VXS71" s="26"/>
      <c r="VXT71" s="26"/>
      <c r="VXU71" s="26"/>
      <c r="VXV71" s="26"/>
      <c r="VXW71" s="26"/>
      <c r="VXX71" s="26"/>
      <c r="VXY71" s="26"/>
      <c r="VXZ71" s="26"/>
      <c r="VYA71" s="26"/>
      <c r="VYB71" s="26"/>
      <c r="VYC71" s="26"/>
      <c r="VYD71" s="26"/>
      <c r="VYE71" s="26"/>
      <c r="VYF71" s="26"/>
      <c r="VYG71" s="26"/>
      <c r="VYH71" s="26"/>
      <c r="VYI71" s="26"/>
      <c r="VYJ71" s="26"/>
      <c r="VYK71" s="26"/>
      <c r="VYL71" s="26"/>
      <c r="VYM71" s="26"/>
      <c r="VYN71" s="26"/>
      <c r="VYO71" s="26"/>
      <c r="VYP71" s="26"/>
      <c r="VYQ71" s="26"/>
      <c r="VYR71" s="26"/>
      <c r="VYS71" s="26"/>
      <c r="VYT71" s="26"/>
      <c r="VYU71" s="26"/>
      <c r="VYV71" s="26"/>
      <c r="VYW71" s="26"/>
      <c r="VYX71" s="26"/>
      <c r="VYY71" s="26"/>
      <c r="VYZ71" s="26"/>
      <c r="VZA71" s="26"/>
      <c r="VZB71" s="26"/>
      <c r="VZC71" s="26"/>
      <c r="VZD71" s="26"/>
      <c r="VZE71" s="26"/>
      <c r="VZF71" s="26"/>
      <c r="VZG71" s="26"/>
      <c r="VZH71" s="26"/>
      <c r="VZI71" s="26"/>
      <c r="VZJ71" s="26"/>
      <c r="VZK71" s="26"/>
      <c r="VZL71" s="26"/>
      <c r="VZM71" s="26"/>
      <c r="VZN71" s="26"/>
      <c r="VZO71" s="26"/>
      <c r="VZP71" s="26"/>
      <c r="VZQ71" s="26"/>
      <c r="VZR71" s="26"/>
      <c r="VZS71" s="26"/>
      <c r="VZT71" s="26"/>
      <c r="VZU71" s="26"/>
      <c r="VZV71" s="26"/>
      <c r="VZW71" s="26"/>
      <c r="VZX71" s="26"/>
      <c r="VZY71" s="26"/>
      <c r="VZZ71" s="26"/>
      <c r="WAA71" s="26"/>
      <c r="WAB71" s="26"/>
      <c r="WAC71" s="26"/>
      <c r="WAD71" s="26"/>
      <c r="WAE71" s="26"/>
      <c r="WAF71" s="26"/>
      <c r="WAG71" s="26"/>
      <c r="WAH71" s="26"/>
      <c r="WAI71" s="26"/>
      <c r="WAJ71" s="26"/>
      <c r="WAK71" s="26"/>
      <c r="WAL71" s="26"/>
      <c r="WAM71" s="26"/>
      <c r="WAN71" s="26"/>
      <c r="WAO71" s="26"/>
      <c r="WAP71" s="26"/>
      <c r="WAQ71" s="26"/>
      <c r="WAR71" s="26"/>
      <c r="WAS71" s="26"/>
      <c r="WAT71" s="26"/>
      <c r="WAU71" s="26"/>
      <c r="WAV71" s="26"/>
      <c r="WAW71" s="26"/>
      <c r="WAX71" s="26"/>
      <c r="WAY71" s="26"/>
      <c r="WAZ71" s="26"/>
      <c r="WBA71" s="26"/>
      <c r="WBB71" s="26"/>
      <c r="WBC71" s="26"/>
      <c r="WBD71" s="26"/>
      <c r="WBE71" s="26"/>
      <c r="WBF71" s="26"/>
      <c r="WBG71" s="26"/>
      <c r="WBH71" s="26"/>
      <c r="WBI71" s="26"/>
      <c r="WBJ71" s="26"/>
      <c r="WBK71" s="26"/>
      <c r="WBL71" s="26"/>
      <c r="WBM71" s="26"/>
      <c r="WBN71" s="26"/>
      <c r="WBO71" s="26"/>
      <c r="WBP71" s="26"/>
      <c r="WBQ71" s="26"/>
      <c r="WBR71" s="26"/>
      <c r="WBS71" s="26"/>
      <c r="WBT71" s="26"/>
      <c r="WBU71" s="26"/>
      <c r="WBV71" s="26"/>
      <c r="WBW71" s="26"/>
      <c r="WBX71" s="26"/>
      <c r="WBY71" s="26"/>
      <c r="WBZ71" s="26"/>
      <c r="WCA71" s="26"/>
      <c r="WCB71" s="26"/>
      <c r="WCC71" s="26"/>
      <c r="WCD71" s="26"/>
      <c r="WCE71" s="26"/>
      <c r="WCF71" s="26"/>
      <c r="WCG71" s="26"/>
      <c r="WCH71" s="26"/>
      <c r="WCI71" s="26"/>
      <c r="WCJ71" s="26"/>
      <c r="WCK71" s="26"/>
      <c r="WCL71" s="26"/>
      <c r="WCM71" s="26"/>
      <c r="WCN71" s="26"/>
      <c r="WCO71" s="26"/>
      <c r="WCP71" s="26"/>
      <c r="WCQ71" s="26"/>
      <c r="WCR71" s="26"/>
      <c r="WCS71" s="26"/>
      <c r="WCT71" s="26"/>
      <c r="WCU71" s="26"/>
      <c r="WCV71" s="26"/>
      <c r="WCW71" s="26"/>
      <c r="WCX71" s="26"/>
      <c r="WCY71" s="26"/>
      <c r="WCZ71" s="26"/>
      <c r="WDA71" s="26"/>
      <c r="WDB71" s="26"/>
      <c r="WDC71" s="26"/>
      <c r="WDD71" s="26"/>
      <c r="WDE71" s="26"/>
      <c r="WDF71" s="26"/>
      <c r="WDG71" s="26"/>
      <c r="WDH71" s="26"/>
      <c r="WDI71" s="26"/>
      <c r="WDJ71" s="26"/>
      <c r="WDK71" s="26"/>
      <c r="WDL71" s="26"/>
      <c r="WDM71" s="26"/>
      <c r="WDN71" s="26"/>
      <c r="WDO71" s="26"/>
      <c r="WDP71" s="26"/>
      <c r="WDQ71" s="26"/>
      <c r="WDR71" s="26"/>
      <c r="WDS71" s="26"/>
      <c r="WDT71" s="26"/>
      <c r="WDU71" s="26"/>
      <c r="WDV71" s="26"/>
      <c r="WDW71" s="26"/>
      <c r="WDX71" s="26"/>
      <c r="WDY71" s="26"/>
      <c r="WDZ71" s="26"/>
      <c r="WEA71" s="26"/>
      <c r="WEB71" s="26"/>
      <c r="WEC71" s="26"/>
      <c r="WED71" s="26"/>
      <c r="WEE71" s="26"/>
      <c r="WEF71" s="26"/>
      <c r="WEG71" s="26"/>
      <c r="WEH71" s="26"/>
      <c r="WEI71" s="26"/>
      <c r="WEJ71" s="26"/>
      <c r="WEK71" s="26"/>
      <c r="WEL71" s="26"/>
      <c r="WEM71" s="26"/>
      <c r="WEN71" s="26"/>
      <c r="WEO71" s="26"/>
      <c r="WEP71" s="26"/>
      <c r="WEQ71" s="26"/>
      <c r="WER71" s="26"/>
      <c r="WES71" s="26"/>
      <c r="WET71" s="26"/>
      <c r="WEU71" s="26"/>
      <c r="WEV71" s="26"/>
      <c r="WEW71" s="26"/>
      <c r="WEX71" s="26"/>
      <c r="WEY71" s="26"/>
      <c r="WEZ71" s="26"/>
      <c r="WFA71" s="26"/>
      <c r="WFB71" s="26"/>
      <c r="WFC71" s="26"/>
      <c r="WFD71" s="26"/>
      <c r="WFE71" s="26"/>
      <c r="WFF71" s="26"/>
      <c r="WFG71" s="26"/>
      <c r="WFH71" s="26"/>
      <c r="WFI71" s="26"/>
      <c r="WFJ71" s="26"/>
      <c r="WFK71" s="26"/>
      <c r="WFL71" s="26"/>
      <c r="WFM71" s="26"/>
      <c r="WFN71" s="26"/>
      <c r="WFO71" s="26"/>
      <c r="WFP71" s="26"/>
      <c r="WFQ71" s="26"/>
      <c r="WFR71" s="26"/>
      <c r="WFS71" s="26"/>
      <c r="WFT71" s="26"/>
      <c r="WFU71" s="26"/>
      <c r="WFV71" s="26"/>
      <c r="WFW71" s="26"/>
      <c r="WFX71" s="26"/>
      <c r="WFY71" s="26"/>
      <c r="WFZ71" s="26"/>
      <c r="WGA71" s="26"/>
      <c r="WGB71" s="26"/>
      <c r="WGC71" s="26"/>
      <c r="WGD71" s="26"/>
      <c r="WGE71" s="26"/>
      <c r="WGF71" s="26"/>
      <c r="WGG71" s="26"/>
      <c r="WGH71" s="26"/>
      <c r="WGI71" s="26"/>
      <c r="WGJ71" s="26"/>
      <c r="WGK71" s="26"/>
      <c r="WGL71" s="26"/>
      <c r="WGM71" s="26"/>
      <c r="WGN71" s="26"/>
      <c r="WGO71" s="26"/>
      <c r="WGP71" s="26"/>
      <c r="WGQ71" s="26"/>
      <c r="WGR71" s="26"/>
      <c r="WGS71" s="26"/>
      <c r="WGT71" s="26"/>
      <c r="WGU71" s="26"/>
      <c r="WGV71" s="26"/>
      <c r="WGW71" s="26"/>
      <c r="WGX71" s="26"/>
      <c r="WGY71" s="26"/>
      <c r="WGZ71" s="26"/>
      <c r="WHA71" s="26"/>
      <c r="WHB71" s="26"/>
      <c r="WHC71" s="26"/>
      <c r="WHD71" s="26"/>
      <c r="WHE71" s="26"/>
      <c r="WHF71" s="26"/>
      <c r="WHG71" s="26"/>
      <c r="WHH71" s="26"/>
      <c r="WHI71" s="26"/>
      <c r="WHJ71" s="26"/>
      <c r="WHK71" s="26"/>
      <c r="WHL71" s="26"/>
      <c r="WHM71" s="26"/>
      <c r="WHN71" s="26"/>
      <c r="WHO71" s="26"/>
      <c r="WHP71" s="26"/>
      <c r="WHQ71" s="26"/>
      <c r="WHR71" s="26"/>
      <c r="WHS71" s="26"/>
      <c r="WHT71" s="26"/>
      <c r="WHU71" s="26"/>
      <c r="WHV71" s="26"/>
      <c r="WHW71" s="26"/>
      <c r="WHX71" s="26"/>
      <c r="WHY71" s="26"/>
      <c r="WHZ71" s="26"/>
      <c r="WIA71" s="26"/>
      <c r="WIB71" s="26"/>
      <c r="WIC71" s="26"/>
      <c r="WID71" s="26"/>
      <c r="WIE71" s="26"/>
      <c r="WIF71" s="26"/>
      <c r="WIG71" s="26"/>
      <c r="WIH71" s="26"/>
      <c r="WII71" s="26"/>
      <c r="WIJ71" s="26"/>
      <c r="WIK71" s="26"/>
      <c r="WIL71" s="26"/>
      <c r="WIM71" s="26"/>
      <c r="WIN71" s="26"/>
      <c r="WIO71" s="26"/>
      <c r="WIP71" s="26"/>
      <c r="WIQ71" s="26"/>
      <c r="WIR71" s="26"/>
      <c r="WIS71" s="26"/>
      <c r="WIT71" s="26"/>
      <c r="WIU71" s="26"/>
      <c r="WIV71" s="26"/>
      <c r="WIW71" s="26"/>
      <c r="WIX71" s="26"/>
      <c r="WIY71" s="26"/>
      <c r="WIZ71" s="26"/>
      <c r="WJA71" s="26"/>
      <c r="WJB71" s="26"/>
      <c r="WJC71" s="26"/>
      <c r="WJD71" s="26"/>
      <c r="WJE71" s="26"/>
      <c r="WJF71" s="26"/>
      <c r="WJG71" s="26"/>
      <c r="WJH71" s="26"/>
      <c r="WJI71" s="26"/>
      <c r="WJJ71" s="26"/>
      <c r="WJK71" s="26"/>
      <c r="WJL71" s="26"/>
      <c r="WJM71" s="26"/>
      <c r="WJN71" s="26"/>
      <c r="WJO71" s="26"/>
      <c r="WJP71" s="26"/>
      <c r="WJQ71" s="26"/>
      <c r="WJR71" s="26"/>
      <c r="WJS71" s="26"/>
      <c r="WJT71" s="26"/>
      <c r="WJU71" s="26"/>
      <c r="WJV71" s="26"/>
      <c r="WJW71" s="26"/>
      <c r="WJX71" s="26"/>
      <c r="WJY71" s="26"/>
      <c r="WJZ71" s="26"/>
      <c r="WKA71" s="26"/>
      <c r="WKB71" s="26"/>
      <c r="WKC71" s="26"/>
      <c r="WKD71" s="26"/>
      <c r="WKE71" s="26"/>
      <c r="WKF71" s="26"/>
      <c r="WKG71" s="26"/>
      <c r="WKH71" s="26"/>
      <c r="WKI71" s="26"/>
      <c r="WKJ71" s="26"/>
      <c r="WKK71" s="26"/>
      <c r="WKL71" s="26"/>
      <c r="WKM71" s="26"/>
      <c r="WKN71" s="26"/>
      <c r="WKO71" s="26"/>
      <c r="WKP71" s="26"/>
      <c r="WKQ71" s="26"/>
      <c r="WKR71" s="26"/>
      <c r="WKS71" s="26"/>
      <c r="WKT71" s="26"/>
      <c r="WKU71" s="26"/>
      <c r="WKV71" s="26"/>
      <c r="WKW71" s="26"/>
      <c r="WKX71" s="26"/>
      <c r="WKY71" s="26"/>
      <c r="WKZ71" s="26"/>
      <c r="WLA71" s="26"/>
      <c r="WLB71" s="26"/>
      <c r="WLC71" s="26"/>
      <c r="WLD71" s="26"/>
      <c r="WLE71" s="26"/>
      <c r="WLF71" s="26"/>
      <c r="WLG71" s="26"/>
      <c r="WLH71" s="26"/>
      <c r="WLI71" s="26"/>
      <c r="WLJ71" s="26"/>
      <c r="WLK71" s="26"/>
      <c r="WLL71" s="26"/>
      <c r="WLM71" s="26"/>
      <c r="WLN71" s="26"/>
      <c r="WLO71" s="26"/>
      <c r="WLP71" s="26"/>
      <c r="WLQ71" s="26"/>
      <c r="WLR71" s="26"/>
      <c r="WLS71" s="26"/>
      <c r="WLT71" s="26"/>
      <c r="WLU71" s="26"/>
      <c r="WLV71" s="26"/>
      <c r="WLW71" s="26"/>
      <c r="WLX71" s="26"/>
      <c r="WLY71" s="26"/>
      <c r="WLZ71" s="26"/>
      <c r="WMA71" s="26"/>
      <c r="WMB71" s="26"/>
      <c r="WMC71" s="26"/>
      <c r="WMD71" s="26"/>
      <c r="WME71" s="26"/>
      <c r="WMF71" s="26"/>
      <c r="WMG71" s="26"/>
      <c r="WMH71" s="26"/>
      <c r="WMI71" s="26"/>
      <c r="WMJ71" s="26"/>
      <c r="WMK71" s="26"/>
      <c r="WML71" s="26"/>
      <c r="WMM71" s="26"/>
      <c r="WMN71" s="26"/>
      <c r="WMO71" s="26"/>
      <c r="WMP71" s="26"/>
      <c r="WMQ71" s="26"/>
      <c r="WMR71" s="26"/>
      <c r="WMS71" s="26"/>
      <c r="WMT71" s="26"/>
      <c r="WMU71" s="26"/>
      <c r="WMV71" s="26"/>
      <c r="WMW71" s="26"/>
      <c r="WMX71" s="26"/>
      <c r="WMY71" s="26"/>
      <c r="WMZ71" s="26"/>
      <c r="WNA71" s="26"/>
      <c r="WNB71" s="26"/>
      <c r="WNC71" s="26"/>
      <c r="WND71" s="26"/>
      <c r="WNE71" s="26"/>
      <c r="WNF71" s="26"/>
      <c r="WNG71" s="26"/>
      <c r="WNH71" s="26"/>
      <c r="WNI71" s="26"/>
      <c r="WNJ71" s="26"/>
      <c r="WNK71" s="26"/>
      <c r="WNL71" s="26"/>
      <c r="WNM71" s="26"/>
      <c r="WNN71" s="26"/>
      <c r="WNO71" s="26"/>
      <c r="WNP71" s="26"/>
      <c r="WNQ71" s="26"/>
      <c r="WNR71" s="26"/>
      <c r="WNS71" s="26"/>
      <c r="WNT71" s="26"/>
      <c r="WNU71" s="26"/>
      <c r="WNV71" s="26"/>
      <c r="WNW71" s="26"/>
      <c r="WNX71" s="26"/>
      <c r="WNY71" s="26"/>
      <c r="WNZ71" s="26"/>
      <c r="WOA71" s="26"/>
      <c r="WOB71" s="26"/>
      <c r="WOC71" s="26"/>
      <c r="WOD71" s="26"/>
      <c r="WOE71" s="26"/>
      <c r="WOF71" s="26"/>
      <c r="WOG71" s="26"/>
      <c r="WOH71" s="26"/>
      <c r="WOI71" s="26"/>
      <c r="WOJ71" s="26"/>
      <c r="WOK71" s="26"/>
      <c r="WOL71" s="26"/>
      <c r="WOM71" s="26"/>
      <c r="WON71" s="26"/>
      <c r="WOO71" s="26"/>
      <c r="WOP71" s="26"/>
      <c r="WOQ71" s="26"/>
      <c r="WOR71" s="26"/>
      <c r="WOS71" s="26"/>
      <c r="WOT71" s="26"/>
      <c r="WOU71" s="26"/>
      <c r="WOV71" s="26"/>
      <c r="WOW71" s="26"/>
      <c r="WOX71" s="26"/>
      <c r="WOY71" s="26"/>
      <c r="WOZ71" s="26"/>
      <c r="WPA71" s="26"/>
      <c r="WPB71" s="26"/>
      <c r="WPC71" s="26"/>
      <c r="WPD71" s="26"/>
      <c r="WPE71" s="26"/>
      <c r="WPF71" s="26"/>
      <c r="WPG71" s="26"/>
      <c r="WPH71" s="26"/>
      <c r="WPI71" s="26"/>
      <c r="WPJ71" s="26"/>
      <c r="WPK71" s="26"/>
      <c r="WPL71" s="26"/>
      <c r="WPM71" s="26"/>
      <c r="WPN71" s="26"/>
      <c r="WPO71" s="26"/>
      <c r="WPP71" s="26"/>
      <c r="WPQ71" s="26"/>
      <c r="WPR71" s="26"/>
      <c r="WPS71" s="26"/>
      <c r="WPT71" s="26"/>
      <c r="WPU71" s="26"/>
      <c r="WPV71" s="26"/>
      <c r="WPW71" s="26"/>
      <c r="WPX71" s="26"/>
      <c r="WPY71" s="26"/>
      <c r="WPZ71" s="26"/>
      <c r="WQA71" s="26"/>
      <c r="WQB71" s="26"/>
      <c r="WQC71" s="26"/>
      <c r="WQD71" s="26"/>
      <c r="WQE71" s="26"/>
      <c r="WQF71" s="26"/>
      <c r="WQG71" s="26"/>
      <c r="WQH71" s="26"/>
      <c r="WQI71" s="26"/>
      <c r="WQJ71" s="26"/>
      <c r="WQK71" s="26"/>
      <c r="WQL71" s="26"/>
      <c r="WQM71" s="26"/>
      <c r="WQN71" s="26"/>
      <c r="WQO71" s="26"/>
      <c r="WQP71" s="26"/>
      <c r="WQQ71" s="26"/>
      <c r="WQR71" s="26"/>
      <c r="WQS71" s="26"/>
      <c r="WQT71" s="26"/>
      <c r="WQU71" s="26"/>
      <c r="WQV71" s="26"/>
      <c r="WQW71" s="26"/>
      <c r="WQX71" s="26"/>
      <c r="WQY71" s="26"/>
      <c r="WQZ71" s="26"/>
      <c r="WRA71" s="26"/>
      <c r="WRB71" s="26"/>
      <c r="WRC71" s="26"/>
      <c r="WRD71" s="26"/>
      <c r="WRE71" s="26"/>
      <c r="WRF71" s="26"/>
      <c r="WRG71" s="26"/>
      <c r="WRH71" s="26"/>
      <c r="WRI71" s="26"/>
      <c r="WRJ71" s="26"/>
      <c r="WRK71" s="26"/>
      <c r="WRL71" s="26"/>
      <c r="WRM71" s="26"/>
      <c r="WRN71" s="26"/>
      <c r="WRO71" s="26"/>
      <c r="WRP71" s="26"/>
      <c r="WRQ71" s="26"/>
      <c r="WRR71" s="26"/>
      <c r="WRS71" s="26"/>
      <c r="WRT71" s="26"/>
      <c r="WRU71" s="26"/>
      <c r="WRV71" s="26"/>
      <c r="WRW71" s="26"/>
      <c r="WRX71" s="26"/>
      <c r="WRY71" s="26"/>
      <c r="WRZ71" s="26"/>
      <c r="WSA71" s="26"/>
      <c r="WSB71" s="26"/>
      <c r="WSC71" s="26"/>
      <c r="WSD71" s="26"/>
      <c r="WSE71" s="26"/>
      <c r="WSF71" s="26"/>
      <c r="WSG71" s="26"/>
      <c r="WSH71" s="26"/>
      <c r="WSI71" s="26"/>
      <c r="WSJ71" s="26"/>
      <c r="WSK71" s="26"/>
      <c r="WSL71" s="26"/>
      <c r="WSM71" s="26"/>
      <c r="WSN71" s="26"/>
      <c r="WSO71" s="26"/>
      <c r="WSP71" s="26"/>
      <c r="WSQ71" s="26"/>
      <c r="WSR71" s="26"/>
      <c r="WSS71" s="26"/>
      <c r="WST71" s="26"/>
      <c r="WSU71" s="26"/>
      <c r="WSV71" s="26"/>
      <c r="WSW71" s="26"/>
      <c r="WSX71" s="26"/>
      <c r="WSY71" s="26"/>
      <c r="WSZ71" s="26"/>
      <c r="WTA71" s="26"/>
      <c r="WTB71" s="26"/>
      <c r="WTC71" s="26"/>
      <c r="WTD71" s="26"/>
      <c r="WTE71" s="26"/>
      <c r="WTF71" s="26"/>
      <c r="WTG71" s="26"/>
      <c r="WTH71" s="26"/>
      <c r="WTI71" s="26"/>
      <c r="WTJ71" s="26"/>
      <c r="WTK71" s="26"/>
      <c r="WTL71" s="26"/>
      <c r="WTM71" s="26"/>
      <c r="WTN71" s="26"/>
      <c r="WTO71" s="26"/>
      <c r="WTP71" s="26"/>
      <c r="WTQ71" s="26"/>
      <c r="WTR71" s="26"/>
      <c r="WTS71" s="26"/>
      <c r="WTT71" s="26"/>
      <c r="WTU71" s="26"/>
      <c r="WTV71" s="26"/>
      <c r="WTW71" s="26"/>
      <c r="WTX71" s="26"/>
      <c r="WTY71" s="26"/>
      <c r="WTZ71" s="26"/>
      <c r="WUA71" s="26"/>
      <c r="WUB71" s="26"/>
      <c r="WUC71" s="26"/>
      <c r="WUD71" s="26"/>
      <c r="WUE71" s="26"/>
      <c r="WUF71" s="26"/>
      <c r="WUG71" s="26"/>
      <c r="WUH71" s="26"/>
      <c r="WUI71" s="26"/>
      <c r="WUJ71" s="26"/>
      <c r="WUK71" s="26"/>
      <c r="WUL71" s="26"/>
      <c r="WUM71" s="26"/>
      <c r="WUN71" s="26"/>
      <c r="WUO71" s="26"/>
      <c r="WUP71" s="26"/>
      <c r="WUQ71" s="26"/>
      <c r="WUR71" s="26"/>
      <c r="WUS71" s="26"/>
      <c r="WUT71" s="26"/>
      <c r="WUU71" s="26"/>
      <c r="WUV71" s="26"/>
      <c r="WUW71" s="26"/>
      <c r="WUX71" s="26"/>
      <c r="WUY71" s="26"/>
      <c r="WUZ71" s="26"/>
      <c r="WVA71" s="26"/>
      <c r="WVB71" s="26"/>
      <c r="WVC71" s="26"/>
      <c r="WVD71" s="26"/>
      <c r="WVE71" s="26"/>
      <c r="WVF71" s="26"/>
      <c r="WVG71" s="26"/>
      <c r="WVH71" s="26"/>
      <c r="WVI71" s="26"/>
      <c r="WVJ71" s="26"/>
      <c r="WVK71" s="26"/>
      <c r="WVL71" s="26"/>
      <c r="WVM71" s="26"/>
      <c r="WVN71" s="26"/>
      <c r="WVO71" s="26"/>
      <c r="WVP71" s="26"/>
      <c r="WVQ71" s="26"/>
      <c r="WVR71" s="26"/>
      <c r="WVS71" s="26"/>
      <c r="WVT71" s="26"/>
      <c r="WVU71" s="26"/>
      <c r="WVV71" s="26"/>
      <c r="WVW71" s="26"/>
      <c r="WVX71" s="26"/>
      <c r="WVY71" s="26"/>
      <c r="WVZ71" s="26"/>
      <c r="WWA71" s="26"/>
      <c r="WWB71" s="26"/>
      <c r="WWC71" s="26"/>
      <c r="WWD71" s="26"/>
      <c r="WWE71" s="26"/>
      <c r="WWF71" s="26"/>
      <c r="WWG71" s="26"/>
      <c r="WWH71" s="26"/>
      <c r="WWI71" s="26"/>
      <c r="WWJ71" s="26"/>
      <c r="WWK71" s="26"/>
      <c r="WWL71" s="26"/>
      <c r="WWM71" s="26"/>
      <c r="WWN71" s="26"/>
      <c r="WWO71" s="26"/>
      <c r="WWP71" s="26"/>
      <c r="WWQ71" s="26"/>
      <c r="WWR71" s="26"/>
      <c r="WWS71" s="26"/>
      <c r="WWT71" s="26"/>
      <c r="WWU71" s="26"/>
      <c r="WWV71" s="26"/>
      <c r="WWW71" s="26"/>
      <c r="WWX71" s="26"/>
      <c r="WWY71" s="26"/>
      <c r="WWZ71" s="26"/>
      <c r="WXA71" s="26"/>
      <c r="WXB71" s="26"/>
      <c r="WXC71" s="26"/>
      <c r="WXD71" s="26"/>
      <c r="WXE71" s="26"/>
      <c r="WXF71" s="26"/>
      <c r="WXG71" s="26"/>
      <c r="WXH71" s="26"/>
      <c r="WXI71" s="26"/>
      <c r="WXJ71" s="26"/>
      <c r="WXK71" s="26"/>
      <c r="WXL71" s="26"/>
      <c r="WXM71" s="26"/>
      <c r="WXN71" s="26"/>
      <c r="WXO71" s="26"/>
      <c r="WXP71" s="26"/>
      <c r="WXQ71" s="26"/>
      <c r="WXR71" s="26"/>
      <c r="WXS71" s="26"/>
      <c r="WXT71" s="26"/>
      <c r="WXU71" s="26"/>
      <c r="WXV71" s="26"/>
      <c r="WXW71" s="26"/>
      <c r="WXX71" s="26"/>
      <c r="WXY71" s="26"/>
      <c r="WXZ71" s="26"/>
      <c r="WYA71" s="26"/>
      <c r="WYB71" s="26"/>
      <c r="WYC71" s="26"/>
      <c r="WYD71" s="26"/>
      <c r="WYE71" s="26"/>
      <c r="WYF71" s="26"/>
      <c r="WYG71" s="26"/>
      <c r="WYH71" s="26"/>
      <c r="WYI71" s="26"/>
      <c r="WYJ71" s="26"/>
      <c r="WYK71" s="26"/>
      <c r="WYL71" s="26"/>
      <c r="WYM71" s="26"/>
      <c r="WYN71" s="26"/>
      <c r="WYO71" s="26"/>
      <c r="WYP71" s="26"/>
      <c r="WYQ71" s="26"/>
      <c r="WYR71" s="26"/>
      <c r="WYS71" s="26"/>
      <c r="WYT71" s="26"/>
      <c r="WYU71" s="26"/>
      <c r="WYV71" s="26"/>
      <c r="WYW71" s="26"/>
      <c r="WYX71" s="26"/>
      <c r="WYY71" s="26"/>
      <c r="WYZ71" s="26"/>
      <c r="WZA71" s="26"/>
      <c r="WZB71" s="26"/>
      <c r="WZC71" s="26"/>
      <c r="WZD71" s="26"/>
      <c r="WZE71" s="26"/>
      <c r="WZF71" s="26"/>
      <c r="WZG71" s="26"/>
      <c r="WZH71" s="26"/>
      <c r="WZI71" s="26"/>
      <c r="WZJ71" s="26"/>
      <c r="WZK71" s="26"/>
      <c r="WZL71" s="26"/>
      <c r="WZM71" s="26"/>
      <c r="WZN71" s="26"/>
      <c r="WZO71" s="26"/>
      <c r="WZP71" s="26"/>
      <c r="WZQ71" s="26"/>
      <c r="WZR71" s="26"/>
      <c r="WZS71" s="26"/>
      <c r="WZT71" s="26"/>
      <c r="WZU71" s="26"/>
      <c r="WZV71" s="26"/>
      <c r="WZW71" s="26"/>
      <c r="WZX71" s="26"/>
      <c r="WZY71" s="26"/>
      <c r="WZZ71" s="26"/>
      <c r="XAA71" s="26"/>
      <c r="XAB71" s="26"/>
      <c r="XAC71" s="26"/>
      <c r="XAD71" s="26"/>
      <c r="XAE71" s="26"/>
      <c r="XAF71" s="26"/>
      <c r="XAG71" s="26"/>
      <c r="XAH71" s="26"/>
      <c r="XAI71" s="26"/>
      <c r="XAJ71" s="26"/>
      <c r="XAK71" s="26"/>
      <c r="XAL71" s="26"/>
      <c r="XAM71" s="26"/>
      <c r="XAN71" s="26"/>
      <c r="XAO71" s="26"/>
      <c r="XAP71" s="26"/>
      <c r="XAQ71" s="26"/>
      <c r="XAR71" s="26"/>
      <c r="XAS71" s="26"/>
      <c r="XAT71" s="26"/>
      <c r="XAU71" s="26"/>
      <c r="XAV71" s="26"/>
      <c r="XAW71" s="26"/>
      <c r="XAX71" s="26"/>
      <c r="XAY71" s="26"/>
      <c r="XAZ71" s="26"/>
      <c r="XBA71" s="26"/>
      <c r="XBB71" s="26"/>
      <c r="XBC71" s="26"/>
      <c r="XBD71" s="26"/>
      <c r="XBE71" s="26"/>
      <c r="XBF71" s="26"/>
      <c r="XBG71" s="26"/>
      <c r="XBH71" s="26"/>
      <c r="XBI71" s="26"/>
      <c r="XBJ71" s="26"/>
      <c r="XBK71" s="26"/>
      <c r="XBL71" s="26"/>
      <c r="XBM71" s="26"/>
      <c r="XBN71" s="26"/>
      <c r="XBO71" s="26"/>
      <c r="XBP71" s="26"/>
      <c r="XBQ71" s="26"/>
      <c r="XBR71" s="26"/>
      <c r="XBS71" s="26"/>
      <c r="XBT71" s="26"/>
      <c r="XBU71" s="26"/>
      <c r="XBV71" s="26"/>
      <c r="XBW71" s="26"/>
      <c r="XBX71" s="26"/>
      <c r="XBY71" s="26"/>
      <c r="XBZ71" s="26"/>
      <c r="XCA71" s="26"/>
      <c r="XCB71" s="26"/>
      <c r="XCC71" s="26"/>
      <c r="XCD71" s="26"/>
      <c r="XCE71" s="26"/>
      <c r="XCF71" s="26"/>
      <c r="XCG71" s="26"/>
      <c r="XCH71" s="26"/>
      <c r="XCI71" s="26"/>
      <c r="XCJ71" s="26"/>
      <c r="XCK71" s="26"/>
      <c r="XCL71" s="26"/>
      <c r="XCM71" s="26"/>
      <c r="XCN71" s="26"/>
      <c r="XCO71" s="26"/>
      <c r="XCP71" s="26"/>
      <c r="XCQ71" s="26"/>
      <c r="XCR71" s="26"/>
      <c r="XCS71" s="26"/>
      <c r="XCT71" s="26"/>
      <c r="XCU71" s="26"/>
      <c r="XCV71" s="26"/>
      <c r="XCW71" s="26"/>
      <c r="XCX71" s="26"/>
      <c r="XCY71" s="26"/>
      <c r="XCZ71" s="26"/>
      <c r="XDA71" s="26"/>
      <c r="XDB71" s="26"/>
      <c r="XDC71" s="26"/>
      <c r="XDD71" s="26"/>
      <c r="XDE71" s="26"/>
      <c r="XDF71" s="26"/>
      <c r="XDG71" s="26"/>
      <c r="XDH71" s="26"/>
      <c r="XDI71" s="26"/>
      <c r="XDJ71" s="26"/>
      <c r="XDK71" s="26"/>
      <c r="XDL71" s="26"/>
      <c r="XDM71" s="26"/>
      <c r="XDN71" s="26"/>
      <c r="XDO71" s="26"/>
      <c r="XDP71" s="26"/>
      <c r="XDQ71" s="26"/>
      <c r="XDR71" s="26"/>
      <c r="XDS71" s="26"/>
      <c r="XDT71" s="26"/>
      <c r="XDU71" s="26"/>
      <c r="XDV71" s="26"/>
      <c r="XDW71" s="26"/>
      <c r="XDX71" s="26"/>
      <c r="XDY71" s="26"/>
      <c r="XDZ71" s="26"/>
      <c r="XEA71" s="26"/>
      <c r="XEB71" s="26"/>
      <c r="XEC71" s="26"/>
      <c r="XED71" s="26"/>
      <c r="XEE71" s="26"/>
      <c r="XEF71" s="26"/>
      <c r="XEG71" s="26"/>
      <c r="XEH71" s="26"/>
      <c r="XEI71" s="26"/>
      <c r="XEJ71" s="26"/>
      <c r="XEK71" s="26"/>
      <c r="XEL71" s="26"/>
      <c r="XEM71" s="26"/>
      <c r="XEN71" s="26"/>
      <c r="XEO71" s="26"/>
      <c r="XEP71" s="26"/>
      <c r="XEQ71" s="26"/>
      <c r="XER71" s="26"/>
      <c r="XES71" s="26"/>
      <c r="XET71" s="26"/>
      <c r="XEU71" s="26"/>
      <c r="XEV71" s="26"/>
      <c r="XEW71" s="26"/>
      <c r="XEX71" s="26"/>
      <c r="XEY71" s="26"/>
      <c r="XEZ71" s="26"/>
      <c r="XFA71" s="26"/>
      <c r="XFB71" s="26"/>
      <c r="XFC71" s="26"/>
    </row>
    <row r="72" spans="1:16383">
      <c r="A72" s="2" t="s">
        <v>48</v>
      </c>
      <c r="B72" s="56">
        <v>45143</v>
      </c>
      <c r="C72" s="56">
        <v>45145</v>
      </c>
      <c r="D72" s="3" t="s">
        <v>204</v>
      </c>
      <c r="E72" s="4">
        <v>45141</v>
      </c>
      <c r="F72" s="3" t="s">
        <v>223</v>
      </c>
      <c r="G72" s="2" t="s">
        <v>224</v>
      </c>
      <c r="H72" s="5">
        <v>1</v>
      </c>
      <c r="I72" s="2" t="s">
        <v>225</v>
      </c>
      <c r="J72" s="53" t="s">
        <v>207</v>
      </c>
      <c r="K72" s="2"/>
      <c r="L72" s="2" t="s">
        <v>48</v>
      </c>
      <c r="M72" s="40" t="s">
        <v>246</v>
      </c>
      <c r="N72" s="2"/>
      <c r="O72" s="2">
        <v>33000</v>
      </c>
      <c r="P72" s="2">
        <v>114500</v>
      </c>
      <c r="Q72" s="2"/>
      <c r="R72" s="2" t="s">
        <v>195</v>
      </c>
      <c r="S72" s="2"/>
      <c r="T72" s="2"/>
      <c r="U72" s="2"/>
    </row>
    <row r="73" spans="1:16383">
      <c r="A73" s="2" t="s">
        <v>48</v>
      </c>
      <c r="B73" s="56">
        <v>45141</v>
      </c>
      <c r="C73" s="56">
        <v>45143</v>
      </c>
      <c r="D73" s="3" t="s">
        <v>204</v>
      </c>
      <c r="E73" s="4">
        <v>45141</v>
      </c>
      <c r="F73" s="3">
        <v>86213480</v>
      </c>
      <c r="G73" s="2" t="s">
        <v>226</v>
      </c>
      <c r="H73" s="5">
        <v>1</v>
      </c>
      <c r="I73" s="2" t="s">
        <v>227</v>
      </c>
      <c r="J73" s="53" t="s">
        <v>207</v>
      </c>
      <c r="K73" s="2"/>
      <c r="L73" s="2" t="s">
        <v>48</v>
      </c>
      <c r="M73" s="6" t="s">
        <v>209</v>
      </c>
      <c r="N73" s="2"/>
      <c r="O73" s="2">
        <v>22000</v>
      </c>
      <c r="P73" s="2"/>
      <c r="Q73" s="2"/>
      <c r="R73" s="2" t="s">
        <v>195</v>
      </c>
      <c r="S73" s="2"/>
      <c r="T73" s="2"/>
      <c r="U73" s="2"/>
    </row>
    <row r="74" spans="1:16383">
      <c r="A74" s="2" t="s">
        <v>48</v>
      </c>
      <c r="B74" s="57"/>
      <c r="C74" s="57"/>
      <c r="D74" s="3" t="s">
        <v>204</v>
      </c>
      <c r="E74" s="3"/>
      <c r="F74" s="3"/>
      <c r="G74" s="58" t="s">
        <v>228</v>
      </c>
      <c r="H74" s="5"/>
      <c r="I74" s="58"/>
      <c r="J74" s="2"/>
      <c r="K74" s="2"/>
      <c r="L74" s="2" t="s">
        <v>48</v>
      </c>
      <c r="M74" s="2"/>
      <c r="N74" s="2"/>
      <c r="O74" s="2">
        <v>2300</v>
      </c>
      <c r="P74" s="2"/>
      <c r="Q74" s="2"/>
      <c r="R74" s="2" t="s">
        <v>195</v>
      </c>
      <c r="S74" s="2"/>
      <c r="T74" s="2"/>
      <c r="U74" s="2"/>
    </row>
    <row r="75" spans="1:16383">
      <c r="A75" s="2" t="s">
        <v>49</v>
      </c>
      <c r="B75" s="56">
        <v>45140</v>
      </c>
      <c r="C75" s="56">
        <v>45143</v>
      </c>
      <c r="D75" s="3" t="s">
        <v>204</v>
      </c>
      <c r="E75" s="4">
        <v>45139</v>
      </c>
      <c r="F75" s="3">
        <v>3253362379</v>
      </c>
      <c r="G75" s="2" t="s">
        <v>229</v>
      </c>
      <c r="H75" s="5">
        <v>1</v>
      </c>
      <c r="I75" s="2" t="s">
        <v>230</v>
      </c>
      <c r="J75" s="2" t="s">
        <v>99</v>
      </c>
      <c r="K75" s="2"/>
      <c r="L75" s="2" t="s">
        <v>231</v>
      </c>
      <c r="M75" s="2"/>
      <c r="N75" s="2"/>
      <c r="O75" s="2">
        <v>5800</v>
      </c>
      <c r="P75" s="2"/>
      <c r="Q75" s="2"/>
      <c r="R75" s="2"/>
      <c r="S75" s="2"/>
      <c r="T75" s="2"/>
      <c r="U75" s="2"/>
    </row>
    <row r="76" spans="1:16383">
      <c r="A76" s="68"/>
      <c r="B76" s="65"/>
      <c r="C76" s="65"/>
      <c r="D76" s="69"/>
      <c r="E76" s="14"/>
      <c r="F76" s="2"/>
      <c r="G76" s="91"/>
      <c r="H76" s="91"/>
      <c r="I76" s="2"/>
      <c r="J76" s="6"/>
      <c r="K76" s="2"/>
      <c r="L76" s="35"/>
      <c r="M76" s="6"/>
      <c r="N76" s="2"/>
      <c r="O76" s="35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16383" s="93" customForma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16383">
      <c r="A78" s="92"/>
      <c r="B78" s="92"/>
      <c r="C78" s="92"/>
      <c r="D78" s="92" t="s">
        <v>279</v>
      </c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>
        <f>SUBTOTAL(9,O2:O77)</f>
        <v>1670500</v>
      </c>
      <c r="P78" s="92">
        <f>SUBTOTAL(9,P1:P77)</f>
        <v>5817287</v>
      </c>
      <c r="Q78" s="92">
        <f>SUBTOTAL(9,Q15)</f>
        <v>24000</v>
      </c>
      <c r="R78" s="92"/>
      <c r="S78" s="92"/>
      <c r="T78" s="92"/>
      <c r="U78" s="92"/>
      <c r="V78" s="92"/>
      <c r="W78" s="92"/>
      <c r="X78" s="92"/>
      <c r="Y78" s="92"/>
    </row>
    <row r="79" spans="1:16383" s="93" customForma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16383">
      <c r="A80" s="92"/>
      <c r="B80" s="92"/>
      <c r="C80" s="92"/>
      <c r="D80" s="92" t="s">
        <v>280</v>
      </c>
      <c r="E80" s="92"/>
      <c r="F80" s="92"/>
      <c r="G80" s="92"/>
      <c r="H80" s="92"/>
      <c r="I80" s="92"/>
      <c r="J80" s="92"/>
      <c r="K80" s="92"/>
      <c r="L80" s="92"/>
      <c r="M80" s="92"/>
      <c r="N80" s="92" t="s">
        <v>263</v>
      </c>
      <c r="O80" s="92">
        <f>O78-P78+Q78</f>
        <v>-4122787</v>
      </c>
      <c r="P80" s="92"/>
      <c r="Q80" s="92"/>
      <c r="R80" s="92"/>
      <c r="S80" s="92"/>
      <c r="T80" s="92"/>
      <c r="U80" s="92"/>
      <c r="V80" s="92"/>
      <c r="W80" s="92"/>
      <c r="X80" s="92"/>
      <c r="Y80" s="92"/>
    </row>
    <row r="82" spans="16:17">
      <c r="P82" s="29"/>
      <c r="Q82" s="30"/>
    </row>
    <row r="85" spans="16:17">
      <c r="P85">
        <f>O84-O83</f>
        <v>0</v>
      </c>
    </row>
  </sheetData>
  <autoFilter ref="A1:XFC75"/>
  <hyperlinks>
    <hyperlink ref="J2" r:id="rId1"/>
    <hyperlink ref="J3" r:id="rId2"/>
    <hyperlink ref="J4" r:id="rId3"/>
    <hyperlink ref="J5" r:id="rId4"/>
    <hyperlink ref="J6" r:id="rId5"/>
    <hyperlink ref="J12" r:id="rId6"/>
    <hyperlink ref="J14" r:id="rId7"/>
    <hyperlink ref="J13" r:id="rId8"/>
    <hyperlink ref="M17" r:id="rId9"/>
    <hyperlink ref="J18" r:id="rId10"/>
    <hyperlink ref="M15" r:id="rId11"/>
    <hyperlink ref="M16" r:id="rId12"/>
    <hyperlink ref="J19" r:id="rId13"/>
    <hyperlink ref="J20" r:id="rId14"/>
    <hyperlink ref="J21" r:id="rId15"/>
    <hyperlink ref="J22" r:id="rId16"/>
    <hyperlink ref="J34" r:id="rId17"/>
    <hyperlink ref="J35" r:id="rId18"/>
    <hyperlink ref="J36" r:id="rId19"/>
    <hyperlink ref="J37" r:id="rId20"/>
    <hyperlink ref="J38" r:id="rId21"/>
    <hyperlink ref="N3" r:id="rId22" display="http://l.flipkart.com/t/click/lSto0r589iEAS5gj2aBQRRFCtnfPFrDDNXYVb_wicdS-nFSTyVKwU1rUrGlnnFgorGLV1l1v3Vaf4M958Rm0QyZCIZxAL8xsgvCmZR65S6yPXHn42B-PNGK7Q7oF60INaIl_b-FdWJiBuIpjeQ75qCCPRl5uw7vWVThKAgOqrwEPb4xbMuNf9ovcLdcGgaPXw8HvI4xhrekDh69oF8nrzECOkKS5MILtjnhMJ8_9VOl6wQ2zBG76c-wSdI3H0VN6ZUG9Lcu0EI6gSefVxLwGjNh_r2GMD-Y3ibTL-NjXdzeZljduLVXMd2GZL1zCyj_NDIzib0yJ9LwlqoN83c9CXvPVG1fyZS8d99EVUtfZaEJEsg1ULyIty00aW-j48wemZ672FHp46DEIiu-6USnSzpCBbZY99sL2DLQjPLPfnm0=?e=true"/>
    <hyperlink ref="N2" r:id="rId23" display="http://l.flipkart.com/t/click/lSto0r589iEAS5gj2aBQRQ7qQ3XLNiEp2cMSH84yguzZdg-Cv2WrCCDGeG5SVYDWgBV8TiqCji161FIy05jdgGfV_Te0DywT7fKuGvZn1kqpi3UfmyR760zOd6X6FvVLQe9__vOfDbUH3cPXg4kWMNmKCf1_Ef7oalwH7YgDv1t4bHPTkbPcDRsiVKOqWg3dY3BEjvYslddpgQLFVvAuIfFQN80mSQFK-EADHl8Yq0ViDMysHuZtgqIA-BeyXSwRF91HS48LszNSz4bHULeOlqh3Ss7T9f8uNieKyoXSJtYeh_rS52rs-xI-KIWM3qOSFXG0u9rj3jFo20qvmLWfcBnCWbivs1CQExHSUbcO9jLv1IsIeCktCes15_6vufh3cAYtMzDjS1ULfdYwArRvvQuumtBxpQu7gvT-jun0oeo=?e=true"/>
    <hyperlink ref="M2" r:id="rId24" display="mailto:travelhelp@flipkart.com"/>
    <hyperlink ref="M3" r:id="rId25" display="mailto:travelhelp@flipkart.com"/>
    <hyperlink ref="M5" r:id="rId26"/>
    <hyperlink ref="N5" r:id="rId27" display="http://l.flipkart.com/t/click/lSto0r589iEAS5gj2aBQRRFCtnfPFrDDNXYVb_wicdS-nFSTyVKwU1rUrGlnnFgorGLV1l1v3Vaf4M958Rm0QyZCIZxAL8xsgvCmZR65S6yPXHn42B-PNGK7Q7oF60INaIl_b-FdWJiBuIpjeQ75qCCPRl5uw7vWVThKAgOqrwEPb4xbMuNf9ovcLdcGgaPXw8HvI4xhrekDh69oF8nrzECOkKS5MILtjnhMJ8_9VOl6wQ2zBG76c-wSdI3H0VN6ZUG9Lcu0EI6gSefVxLwGjNh_r2GMD-Y3ibTL-NjXdzeZljduLVXMd2GZL1zCyj_NDIzib0yJ9LwlqoN83c9CXvPVG1fyZS8d99EVUtfZaEJEsg1ULyIty00aW-j48wemZ672FHp46DEIiu-6USnSzpCBbZY99sL2DLQjPLPfnm0=?e=true"/>
    <hyperlink ref="J47" r:id="rId28"/>
    <hyperlink ref="J48" r:id="rId29"/>
    <hyperlink ref="J49" r:id="rId30"/>
    <hyperlink ref="J50" r:id="rId31"/>
    <hyperlink ref="J51" r:id="rId32"/>
    <hyperlink ref="J52" r:id="rId33"/>
    <hyperlink ref="J54" r:id="rId34"/>
    <hyperlink ref="J55" r:id="rId35"/>
    <hyperlink ref="J56" r:id="rId36"/>
    <hyperlink ref="J64" r:id="rId37"/>
    <hyperlink ref="J65" r:id="rId38"/>
    <hyperlink ref="J66" r:id="rId39"/>
    <hyperlink ref="J67" r:id="rId40"/>
    <hyperlink ref="J72" r:id="rId41"/>
    <hyperlink ref="J73" r:id="rId42"/>
    <hyperlink ref="M73" r:id="rId43"/>
    <hyperlink ref="J63" r:id="rId44"/>
    <hyperlink ref="M6" r:id="rId45"/>
    <hyperlink ref="M14" r:id="rId46"/>
    <hyperlink ref="M37" r:id="rId47"/>
    <hyperlink ref="M63" r:id="rId48"/>
    <hyperlink ref="M7" r:id="rId49"/>
    <hyperlink ref="M35" r:id="rId50"/>
    <hyperlink ref="M34" r:id="rId51"/>
    <hyperlink ref="M36" r:id="rId52"/>
    <hyperlink ref="M56" r:id="rId53"/>
    <hyperlink ref="M18" r:id="rId54"/>
  </hyperlinks>
  <pageMargins left="0.7" right="0.7" top="0.75" bottom="0.75" header="0.3" footer="0.3"/>
  <pageSetup orientation="portrait" r:id="rId5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57"/>
  <sheetViews>
    <sheetView workbookViewId="0">
      <selection activeCell="H60" sqref="H60"/>
    </sheetView>
  </sheetViews>
  <sheetFormatPr defaultRowHeight="14.5"/>
  <cols>
    <col min="1" max="1" width="11.7265625" bestFit="1" customWidth="1"/>
    <col min="2" max="2" width="36" bestFit="1" customWidth="1"/>
    <col min="3" max="3" width="19.26953125" bestFit="1" customWidth="1"/>
    <col min="4" max="4" width="13.54296875" bestFit="1" customWidth="1"/>
    <col min="5" max="5" width="19.453125" bestFit="1" customWidth="1"/>
    <col min="6" max="6" width="18.54296875" bestFit="1" customWidth="1"/>
    <col min="7" max="7" width="17.26953125" bestFit="1" customWidth="1"/>
    <col min="8" max="8" width="33.453125" bestFit="1" customWidth="1"/>
    <col min="9" max="9" width="7" bestFit="1" customWidth="1"/>
    <col min="10" max="10" width="40.26953125" bestFit="1" customWidth="1"/>
    <col min="11" max="11" width="15.26953125" bestFit="1" customWidth="1"/>
  </cols>
  <sheetData>
    <row r="1" spans="1:11">
      <c r="A1" s="70" t="s">
        <v>286</v>
      </c>
      <c r="B1" s="71" t="s">
        <v>287</v>
      </c>
      <c r="C1" s="71" t="s">
        <v>16731</v>
      </c>
      <c r="D1" s="71" t="s">
        <v>288</v>
      </c>
      <c r="E1" s="71" t="s">
        <v>289</v>
      </c>
      <c r="F1" s="71" t="s">
        <v>290</v>
      </c>
      <c r="G1" s="71" t="s">
        <v>65</v>
      </c>
      <c r="H1" s="72" t="s">
        <v>291</v>
      </c>
      <c r="I1" s="71" t="s">
        <v>263</v>
      </c>
      <c r="J1" s="71" t="s">
        <v>292</v>
      </c>
      <c r="K1" s="71" t="s">
        <v>293</v>
      </c>
    </row>
    <row r="2" spans="1:11">
      <c r="A2" s="31">
        <v>227</v>
      </c>
      <c r="B2" s="26" t="s">
        <v>294</v>
      </c>
      <c r="C2" s="26" t="s">
        <v>16733</v>
      </c>
      <c r="D2" s="25">
        <v>45108</v>
      </c>
      <c r="E2" s="26">
        <v>313134</v>
      </c>
      <c r="F2" s="26">
        <v>313134</v>
      </c>
      <c r="G2" s="26" t="s">
        <v>251</v>
      </c>
      <c r="H2" s="73" t="s">
        <v>295</v>
      </c>
      <c r="I2" s="26">
        <f>E2-F2</f>
        <v>0</v>
      </c>
      <c r="J2" s="26"/>
      <c r="K2" s="74"/>
    </row>
    <row r="3" spans="1:11">
      <c r="A3" s="32">
        <v>228</v>
      </c>
      <c r="B3" s="24" t="s">
        <v>294</v>
      </c>
      <c r="C3" s="26" t="s">
        <v>16733</v>
      </c>
      <c r="D3" s="75">
        <v>45108</v>
      </c>
      <c r="E3" s="24">
        <v>99760</v>
      </c>
      <c r="F3" s="24">
        <v>99760</v>
      </c>
      <c r="G3" s="24" t="s">
        <v>251</v>
      </c>
      <c r="H3" s="76"/>
      <c r="I3" s="26">
        <f t="shared" ref="I3:I56" si="0">E3-F3</f>
        <v>0</v>
      </c>
      <c r="J3" s="24"/>
      <c r="K3" s="24"/>
    </row>
    <row r="4" spans="1:11">
      <c r="A4" s="31">
        <v>229</v>
      </c>
      <c r="B4" s="26" t="s">
        <v>296</v>
      </c>
      <c r="C4" s="26" t="s">
        <v>16734</v>
      </c>
      <c r="D4" s="25">
        <v>45108</v>
      </c>
      <c r="E4" s="26">
        <v>368088</v>
      </c>
      <c r="F4" s="26">
        <v>125645</v>
      </c>
      <c r="G4" s="26"/>
      <c r="H4" s="73"/>
      <c r="I4" s="26">
        <f t="shared" si="0"/>
        <v>242443</v>
      </c>
      <c r="J4" s="26" t="s">
        <v>146</v>
      </c>
      <c r="K4" s="26">
        <v>9929621418</v>
      </c>
    </row>
    <row r="5" spans="1:11">
      <c r="A5" s="32">
        <v>230</v>
      </c>
      <c r="B5" s="24" t="s">
        <v>296</v>
      </c>
      <c r="C5" s="24" t="s">
        <v>16735</v>
      </c>
      <c r="D5" s="75">
        <v>45108</v>
      </c>
      <c r="E5" s="24">
        <v>416364</v>
      </c>
      <c r="F5" s="24"/>
      <c r="G5" s="24"/>
      <c r="H5" s="76"/>
      <c r="I5" s="26">
        <f t="shared" si="0"/>
        <v>416364</v>
      </c>
      <c r="J5" s="24" t="s">
        <v>146</v>
      </c>
      <c r="K5" s="24">
        <v>8306333495</v>
      </c>
    </row>
    <row r="6" spans="1:11">
      <c r="A6" s="31">
        <v>231</v>
      </c>
      <c r="B6" s="26" t="s">
        <v>297</v>
      </c>
      <c r="C6" s="26" t="s">
        <v>16736</v>
      </c>
      <c r="D6" s="25">
        <v>45108</v>
      </c>
      <c r="E6" s="26">
        <v>30708</v>
      </c>
      <c r="F6" s="26">
        <v>30708</v>
      </c>
      <c r="G6" s="26" t="s">
        <v>251</v>
      </c>
      <c r="H6" s="73" t="s">
        <v>295</v>
      </c>
      <c r="I6" s="26">
        <f t="shared" si="0"/>
        <v>0</v>
      </c>
      <c r="J6" s="26"/>
      <c r="K6" s="26"/>
    </row>
    <row r="7" spans="1:11">
      <c r="A7" s="32">
        <v>232</v>
      </c>
      <c r="B7" s="24" t="s">
        <v>298</v>
      </c>
      <c r="C7" s="24" t="s">
        <v>16737</v>
      </c>
      <c r="D7" s="75">
        <v>45108</v>
      </c>
      <c r="E7" s="24">
        <v>202180</v>
      </c>
      <c r="F7" s="24">
        <v>202180</v>
      </c>
      <c r="G7" s="24" t="s">
        <v>251</v>
      </c>
      <c r="H7" s="76" t="s">
        <v>295</v>
      </c>
      <c r="I7" s="26">
        <f t="shared" si="0"/>
        <v>0</v>
      </c>
      <c r="J7" s="24"/>
      <c r="K7" s="24"/>
    </row>
    <row r="8" spans="1:11">
      <c r="A8" s="31">
        <v>233</v>
      </c>
      <c r="B8" s="26" t="s">
        <v>299</v>
      </c>
      <c r="C8" s="26" t="s">
        <v>16738</v>
      </c>
      <c r="D8" s="25">
        <v>45108</v>
      </c>
      <c r="E8" s="26">
        <v>102216</v>
      </c>
      <c r="F8" s="26">
        <v>102216</v>
      </c>
      <c r="G8" s="26" t="s">
        <v>251</v>
      </c>
      <c r="H8" s="73" t="s">
        <v>295</v>
      </c>
      <c r="I8" s="26">
        <f t="shared" si="0"/>
        <v>0</v>
      </c>
      <c r="J8" s="26" t="s">
        <v>50</v>
      </c>
      <c r="K8" s="26"/>
    </row>
    <row r="9" spans="1:11">
      <c r="A9" s="32">
        <v>234</v>
      </c>
      <c r="B9" s="24" t="s">
        <v>300</v>
      </c>
      <c r="C9" s="24" t="s">
        <v>16739</v>
      </c>
      <c r="D9" s="75">
        <v>45108</v>
      </c>
      <c r="E9" s="24">
        <v>96816</v>
      </c>
      <c r="F9" s="24">
        <v>96816</v>
      </c>
      <c r="G9" s="24" t="s">
        <v>251</v>
      </c>
      <c r="H9" s="76"/>
      <c r="I9" s="26">
        <f t="shared" si="0"/>
        <v>0</v>
      </c>
      <c r="J9" s="24" t="s">
        <v>301</v>
      </c>
      <c r="K9" s="24" t="s">
        <v>16745</v>
      </c>
    </row>
    <row r="10" spans="1:11">
      <c r="A10" s="31">
        <v>235</v>
      </c>
      <c r="B10" s="26" t="s">
        <v>302</v>
      </c>
      <c r="C10" s="26" t="s">
        <v>16740</v>
      </c>
      <c r="D10" s="25">
        <v>45108</v>
      </c>
      <c r="E10" s="26">
        <v>33308</v>
      </c>
      <c r="F10" s="26"/>
      <c r="G10" s="26"/>
      <c r="H10" s="73"/>
      <c r="I10" s="26">
        <f t="shared" si="0"/>
        <v>33308</v>
      </c>
      <c r="J10" s="26" t="s">
        <v>301</v>
      </c>
      <c r="K10" s="26" t="s">
        <v>16745</v>
      </c>
    </row>
    <row r="11" spans="1:11">
      <c r="A11" s="32">
        <v>236</v>
      </c>
      <c r="B11" s="24" t="s">
        <v>296</v>
      </c>
      <c r="C11" s="26" t="s">
        <v>16734</v>
      </c>
      <c r="D11" s="75">
        <v>45108</v>
      </c>
      <c r="E11" s="24">
        <v>486528</v>
      </c>
      <c r="F11" s="77">
        <v>486528</v>
      </c>
      <c r="G11" s="24" t="s">
        <v>251</v>
      </c>
      <c r="H11" s="76"/>
      <c r="I11" s="26">
        <f t="shared" si="0"/>
        <v>0</v>
      </c>
      <c r="J11" s="24" t="s">
        <v>146</v>
      </c>
      <c r="K11" s="24">
        <v>9929621418</v>
      </c>
    </row>
    <row r="12" spans="1:11">
      <c r="A12" s="31">
        <v>237</v>
      </c>
      <c r="B12" s="26" t="s">
        <v>303</v>
      </c>
      <c r="C12" s="26" t="s">
        <v>68</v>
      </c>
      <c r="D12" s="25">
        <v>45122</v>
      </c>
      <c r="E12" s="26">
        <v>76270</v>
      </c>
      <c r="F12" s="26">
        <v>76270</v>
      </c>
      <c r="G12" s="26" t="s">
        <v>251</v>
      </c>
      <c r="H12" s="73" t="s">
        <v>295</v>
      </c>
      <c r="I12" s="26">
        <f t="shared" si="0"/>
        <v>0</v>
      </c>
      <c r="J12" s="26" t="s">
        <v>303</v>
      </c>
      <c r="K12" s="26">
        <v>9818807958</v>
      </c>
    </row>
    <row r="13" spans="1:11">
      <c r="A13" s="32">
        <v>238</v>
      </c>
      <c r="B13" s="24" t="s">
        <v>303</v>
      </c>
      <c r="C13" s="24" t="s">
        <v>68</v>
      </c>
      <c r="D13" s="75">
        <v>45122</v>
      </c>
      <c r="E13" s="24">
        <v>59016</v>
      </c>
      <c r="F13" s="24">
        <f>100000-F12</f>
        <v>23730</v>
      </c>
      <c r="G13" s="24" t="s">
        <v>251</v>
      </c>
      <c r="H13" s="76" t="s">
        <v>295</v>
      </c>
      <c r="I13" s="26">
        <f t="shared" si="0"/>
        <v>35286</v>
      </c>
      <c r="J13" s="24" t="s">
        <v>303</v>
      </c>
      <c r="K13" s="24">
        <v>9818807958</v>
      </c>
    </row>
    <row r="14" spans="1:11">
      <c r="A14" s="31">
        <v>239</v>
      </c>
      <c r="B14" s="26" t="s">
        <v>303</v>
      </c>
      <c r="C14" s="26" t="s">
        <v>68</v>
      </c>
      <c r="D14" s="25">
        <v>45122</v>
      </c>
      <c r="E14" s="26">
        <v>276584</v>
      </c>
      <c r="F14" s="26">
        <v>276584</v>
      </c>
      <c r="G14" s="26" t="s">
        <v>251</v>
      </c>
      <c r="H14" s="73" t="s">
        <v>304</v>
      </c>
      <c r="I14" s="26">
        <f t="shared" si="0"/>
        <v>0</v>
      </c>
      <c r="J14" s="26" t="s">
        <v>303</v>
      </c>
      <c r="K14" s="26">
        <v>9818807958</v>
      </c>
    </row>
    <row r="15" spans="1:11">
      <c r="A15" s="32">
        <v>240</v>
      </c>
      <c r="B15" s="24" t="s">
        <v>305</v>
      </c>
      <c r="C15" s="24" t="s">
        <v>16741</v>
      </c>
      <c r="D15" s="75">
        <v>45122</v>
      </c>
      <c r="E15" s="24">
        <v>534408</v>
      </c>
      <c r="F15" s="24">
        <f>231600+300000</f>
        <v>531600</v>
      </c>
      <c r="G15" s="24" t="s">
        <v>251</v>
      </c>
      <c r="H15" s="76" t="s">
        <v>304</v>
      </c>
      <c r="I15" s="26">
        <f t="shared" si="0"/>
        <v>2808</v>
      </c>
      <c r="J15" s="24" t="s">
        <v>305</v>
      </c>
      <c r="K15" s="24"/>
    </row>
    <row r="16" spans="1:11">
      <c r="A16" s="31">
        <v>175</v>
      </c>
      <c r="B16" s="26" t="s">
        <v>306</v>
      </c>
      <c r="C16" s="26" t="s">
        <v>16742</v>
      </c>
      <c r="D16" s="25">
        <v>44855</v>
      </c>
      <c r="E16" s="26">
        <v>433634</v>
      </c>
      <c r="F16" s="26"/>
      <c r="G16" s="26"/>
      <c r="H16" s="73"/>
      <c r="I16" s="26">
        <f t="shared" si="0"/>
        <v>433634</v>
      </c>
      <c r="J16" s="26" t="s">
        <v>47</v>
      </c>
      <c r="K16" s="78">
        <v>9811046241</v>
      </c>
    </row>
    <row r="17" spans="1:11">
      <c r="A17" s="32">
        <v>241</v>
      </c>
      <c r="B17" s="24" t="s">
        <v>306</v>
      </c>
      <c r="C17" s="26" t="s">
        <v>16742</v>
      </c>
      <c r="D17" s="75">
        <v>45143</v>
      </c>
      <c r="E17" s="24">
        <v>187472</v>
      </c>
      <c r="F17" s="24">
        <v>187472</v>
      </c>
      <c r="G17" s="24" t="s">
        <v>251</v>
      </c>
      <c r="H17" s="76" t="s">
        <v>304</v>
      </c>
      <c r="I17" s="26">
        <f t="shared" si="0"/>
        <v>0</v>
      </c>
      <c r="J17" s="24" t="s">
        <v>47</v>
      </c>
      <c r="K17" s="78">
        <v>9811046241</v>
      </c>
    </row>
    <row r="18" spans="1:11">
      <c r="A18" s="31">
        <v>242</v>
      </c>
      <c r="B18" s="26" t="s">
        <v>307</v>
      </c>
      <c r="C18" s="26" t="s">
        <v>16743</v>
      </c>
      <c r="D18" s="25">
        <v>45143</v>
      </c>
      <c r="E18" s="26">
        <v>72904</v>
      </c>
      <c r="F18" s="26">
        <v>72904</v>
      </c>
      <c r="G18" s="26" t="s">
        <v>251</v>
      </c>
      <c r="H18" s="73" t="s">
        <v>295</v>
      </c>
      <c r="I18" s="26">
        <f t="shared" si="0"/>
        <v>0</v>
      </c>
      <c r="J18" s="26" t="s">
        <v>212</v>
      </c>
      <c r="K18" s="78">
        <v>9999282593</v>
      </c>
    </row>
    <row r="19" spans="1:11">
      <c r="A19" s="32">
        <v>243</v>
      </c>
      <c r="B19" s="24" t="s">
        <v>308</v>
      </c>
      <c r="C19" s="24"/>
      <c r="D19" s="75">
        <v>45143</v>
      </c>
      <c r="E19" s="24">
        <v>111068</v>
      </c>
      <c r="F19" s="24"/>
      <c r="G19" s="24"/>
      <c r="H19" s="76"/>
      <c r="I19" s="26">
        <f t="shared" si="0"/>
        <v>111068</v>
      </c>
      <c r="J19" s="24" t="s">
        <v>47</v>
      </c>
      <c r="K19" s="24" t="s">
        <v>309</v>
      </c>
    </row>
    <row r="20" spans="1:11">
      <c r="A20" s="31">
        <v>244</v>
      </c>
      <c r="B20" s="26" t="s">
        <v>306</v>
      </c>
      <c r="C20" s="26" t="s">
        <v>16742</v>
      </c>
      <c r="D20" s="25">
        <v>45143</v>
      </c>
      <c r="E20" s="26">
        <v>492648</v>
      </c>
      <c r="F20" s="26">
        <v>492648</v>
      </c>
      <c r="G20" s="26" t="s">
        <v>251</v>
      </c>
      <c r="H20" s="73"/>
      <c r="I20" s="26">
        <f t="shared" si="0"/>
        <v>0</v>
      </c>
      <c r="J20" s="26" t="s">
        <v>47</v>
      </c>
      <c r="K20" s="26"/>
    </row>
    <row r="21" spans="1:11">
      <c r="A21" s="32">
        <v>246</v>
      </c>
      <c r="B21" s="24" t="s">
        <v>296</v>
      </c>
      <c r="C21" s="26" t="s">
        <v>16734</v>
      </c>
      <c r="D21" s="75">
        <v>45156</v>
      </c>
      <c r="E21" s="24">
        <v>149634</v>
      </c>
      <c r="F21" s="24">
        <v>149634</v>
      </c>
      <c r="G21" s="24" t="s">
        <v>251</v>
      </c>
      <c r="H21" s="76"/>
      <c r="I21" s="26">
        <f t="shared" si="0"/>
        <v>0</v>
      </c>
      <c r="J21" s="24" t="s">
        <v>146</v>
      </c>
      <c r="K21" s="24">
        <v>9929621418</v>
      </c>
    </row>
    <row r="22" spans="1:11">
      <c r="A22" s="31">
        <v>247</v>
      </c>
      <c r="B22" s="26" t="s">
        <v>296</v>
      </c>
      <c r="C22" s="24" t="s">
        <v>16735</v>
      </c>
      <c r="D22" s="25">
        <v>45156</v>
      </c>
      <c r="E22" s="26">
        <v>30808</v>
      </c>
      <c r="F22" s="26"/>
      <c r="G22" s="26"/>
      <c r="H22" s="73"/>
      <c r="I22" s="26">
        <f t="shared" si="0"/>
        <v>30808</v>
      </c>
      <c r="J22" s="26" t="s">
        <v>146</v>
      </c>
      <c r="K22" s="26">
        <v>8306333495</v>
      </c>
    </row>
    <row r="23" spans="1:11">
      <c r="A23" s="32"/>
      <c r="B23" s="24" t="s">
        <v>310</v>
      </c>
      <c r="C23" s="24"/>
      <c r="D23" s="75">
        <v>45158</v>
      </c>
      <c r="E23" s="24">
        <v>13800</v>
      </c>
      <c r="F23" s="24"/>
      <c r="G23" s="24"/>
      <c r="H23" s="76"/>
      <c r="I23" s="26">
        <f t="shared" si="0"/>
        <v>13800</v>
      </c>
      <c r="J23" s="24" t="s">
        <v>311</v>
      </c>
      <c r="K23" s="24"/>
    </row>
    <row r="24" spans="1:11">
      <c r="A24" s="31"/>
      <c r="B24" s="26" t="s">
        <v>312</v>
      </c>
      <c r="C24" s="26"/>
      <c r="D24" s="25">
        <v>45148</v>
      </c>
      <c r="E24" s="26">
        <v>74500</v>
      </c>
      <c r="F24" s="26">
        <v>74500</v>
      </c>
      <c r="G24" s="26" t="s">
        <v>251</v>
      </c>
      <c r="H24" s="73"/>
      <c r="I24" s="26">
        <f t="shared" si="0"/>
        <v>0</v>
      </c>
      <c r="J24" s="26" t="s">
        <v>312</v>
      </c>
      <c r="K24" s="26"/>
    </row>
    <row r="25" spans="1:11">
      <c r="A25" s="32"/>
      <c r="B25" s="24" t="s">
        <v>313</v>
      </c>
      <c r="C25" s="13"/>
      <c r="D25" s="75">
        <v>45143</v>
      </c>
      <c r="E25" s="24">
        <f>109200+5400</f>
        <v>114600</v>
      </c>
      <c r="F25" s="24">
        <v>114500</v>
      </c>
      <c r="G25" s="24" t="s">
        <v>251</v>
      </c>
      <c r="H25" s="76" t="s">
        <v>265</v>
      </c>
      <c r="I25" s="26">
        <f t="shared" si="0"/>
        <v>100</v>
      </c>
      <c r="J25" s="24" t="s">
        <v>313</v>
      </c>
      <c r="K25" s="24"/>
    </row>
    <row r="26" spans="1:11">
      <c r="A26" s="31"/>
      <c r="B26" s="26" t="s">
        <v>314</v>
      </c>
      <c r="C26" s="26"/>
      <c r="D26" s="25">
        <v>45135</v>
      </c>
      <c r="E26" s="26">
        <v>52500</v>
      </c>
      <c r="F26" s="26">
        <v>52500</v>
      </c>
      <c r="G26" s="26"/>
      <c r="H26" s="73"/>
      <c r="I26" s="26">
        <f t="shared" si="0"/>
        <v>0</v>
      </c>
      <c r="J26" s="26" t="s">
        <v>315</v>
      </c>
      <c r="K26" s="26"/>
    </row>
    <row r="27" spans="1:11">
      <c r="A27" s="32"/>
      <c r="B27" s="24" t="s">
        <v>316</v>
      </c>
      <c r="C27" s="24"/>
      <c r="D27" s="75">
        <v>45133</v>
      </c>
      <c r="E27" s="24">
        <v>185300</v>
      </c>
      <c r="F27" s="24">
        <v>150000</v>
      </c>
      <c r="G27" s="24" t="s">
        <v>251</v>
      </c>
      <c r="H27" s="76" t="s">
        <v>317</v>
      </c>
      <c r="I27" s="26">
        <f t="shared" si="0"/>
        <v>35300</v>
      </c>
      <c r="J27" s="24" t="s">
        <v>124</v>
      </c>
      <c r="K27" s="24"/>
    </row>
    <row r="28" spans="1:11">
      <c r="A28" s="31">
        <v>248</v>
      </c>
      <c r="B28" s="26" t="s">
        <v>318</v>
      </c>
      <c r="C28" s="90" t="s">
        <v>16732</v>
      </c>
      <c r="D28" s="25">
        <v>45157</v>
      </c>
      <c r="E28" s="26">
        <v>257150</v>
      </c>
      <c r="F28" s="26">
        <v>257150</v>
      </c>
      <c r="G28" s="26"/>
      <c r="H28" s="73"/>
      <c r="I28" s="26">
        <f t="shared" si="0"/>
        <v>0</v>
      </c>
      <c r="J28" s="26" t="s">
        <v>319</v>
      </c>
      <c r="K28" s="26"/>
    </row>
    <row r="29" spans="1:11">
      <c r="A29" s="32">
        <v>249</v>
      </c>
      <c r="B29" s="24" t="s">
        <v>318</v>
      </c>
      <c r="C29" s="90" t="s">
        <v>16732</v>
      </c>
      <c r="D29" s="75">
        <v>45157</v>
      </c>
      <c r="E29" s="24">
        <v>137116</v>
      </c>
      <c r="F29" s="24">
        <v>137116</v>
      </c>
      <c r="G29" s="24"/>
      <c r="H29" s="76"/>
      <c r="I29" s="26">
        <f t="shared" si="0"/>
        <v>0</v>
      </c>
      <c r="J29" s="24" t="s">
        <v>319</v>
      </c>
      <c r="K29" s="24"/>
    </row>
    <row r="30" spans="1:11">
      <c r="A30" s="31">
        <v>250</v>
      </c>
      <c r="B30" s="26" t="s">
        <v>318</v>
      </c>
      <c r="C30" s="90" t="s">
        <v>16732</v>
      </c>
      <c r="D30" s="25">
        <v>45157</v>
      </c>
      <c r="E30" s="26">
        <v>104878</v>
      </c>
      <c r="F30" s="26">
        <v>104878</v>
      </c>
      <c r="G30" s="26"/>
      <c r="H30" s="73"/>
      <c r="I30" s="26">
        <f t="shared" si="0"/>
        <v>0</v>
      </c>
      <c r="J30" s="26" t="s">
        <v>319</v>
      </c>
      <c r="K30" s="26"/>
    </row>
    <row r="31" spans="1:11">
      <c r="A31" s="32">
        <v>251</v>
      </c>
      <c r="B31" s="24" t="s">
        <v>318</v>
      </c>
      <c r="C31" s="90" t="s">
        <v>16732</v>
      </c>
      <c r="D31" s="75">
        <v>45157</v>
      </c>
      <c r="E31" s="24">
        <v>198240</v>
      </c>
      <c r="F31" s="24">
        <v>198240</v>
      </c>
      <c r="G31" s="24"/>
      <c r="H31" s="76"/>
      <c r="I31" s="26">
        <f t="shared" si="0"/>
        <v>0</v>
      </c>
      <c r="J31" s="24" t="s">
        <v>319</v>
      </c>
      <c r="K31" s="24"/>
    </row>
    <row r="32" spans="1:11">
      <c r="A32" s="31">
        <v>252</v>
      </c>
      <c r="B32" s="26" t="s">
        <v>318</v>
      </c>
      <c r="C32" s="90" t="s">
        <v>16732</v>
      </c>
      <c r="D32" s="25">
        <v>45157</v>
      </c>
      <c r="E32" s="26">
        <v>130036</v>
      </c>
      <c r="F32" s="26">
        <v>130036</v>
      </c>
      <c r="G32" s="26"/>
      <c r="H32" s="73"/>
      <c r="I32" s="26">
        <f t="shared" si="0"/>
        <v>0</v>
      </c>
      <c r="J32" s="26" t="s">
        <v>319</v>
      </c>
      <c r="K32" s="26"/>
    </row>
    <row r="33" spans="1:11">
      <c r="A33" s="32">
        <v>253</v>
      </c>
      <c r="B33" s="24" t="s">
        <v>320</v>
      </c>
      <c r="C33" s="24" t="s">
        <v>16744</v>
      </c>
      <c r="D33" s="75">
        <v>45165</v>
      </c>
      <c r="E33" s="24">
        <v>35708</v>
      </c>
      <c r="F33" s="24"/>
      <c r="G33" s="24"/>
      <c r="H33" s="76"/>
      <c r="I33" s="26">
        <f t="shared" si="0"/>
        <v>35708</v>
      </c>
      <c r="J33" s="24" t="s">
        <v>321</v>
      </c>
      <c r="K33" s="24"/>
    </row>
    <row r="34" spans="1:11">
      <c r="A34" s="31">
        <v>245</v>
      </c>
      <c r="B34" s="26" t="s">
        <v>320</v>
      </c>
      <c r="C34" s="24" t="s">
        <v>16744</v>
      </c>
      <c r="D34" s="25">
        <v>45165</v>
      </c>
      <c r="E34" s="26">
        <v>83128</v>
      </c>
      <c r="F34" s="26"/>
      <c r="G34" s="26"/>
      <c r="H34" s="73"/>
      <c r="I34" s="26">
        <f t="shared" si="0"/>
        <v>83128</v>
      </c>
      <c r="J34" s="26" t="s">
        <v>321</v>
      </c>
      <c r="K34" s="26"/>
    </row>
    <row r="35" spans="1:11">
      <c r="A35" s="32">
        <v>254</v>
      </c>
      <c r="B35" s="24" t="s">
        <v>322</v>
      </c>
      <c r="C35" s="26" t="s">
        <v>16736</v>
      </c>
      <c r="D35" s="75">
        <v>45166</v>
      </c>
      <c r="E35" s="24">
        <v>71826</v>
      </c>
      <c r="F35" s="24">
        <v>71826</v>
      </c>
      <c r="G35" s="24" t="s">
        <v>251</v>
      </c>
      <c r="H35" s="76"/>
      <c r="I35" s="26">
        <f t="shared" si="0"/>
        <v>0</v>
      </c>
      <c r="J35" s="24" t="s">
        <v>323</v>
      </c>
      <c r="K35" s="24"/>
    </row>
    <row r="36" spans="1:11">
      <c r="A36" s="32"/>
      <c r="B36" s="24" t="s">
        <v>266</v>
      </c>
      <c r="C36" s="24"/>
      <c r="D36" s="75">
        <v>45164</v>
      </c>
      <c r="E36" s="24">
        <v>71700</v>
      </c>
      <c r="F36" s="24"/>
      <c r="G36" s="24"/>
      <c r="H36" s="76"/>
      <c r="I36" s="26">
        <f t="shared" si="0"/>
        <v>71700</v>
      </c>
      <c r="J36" s="24" t="s">
        <v>324</v>
      </c>
      <c r="K36" s="26"/>
    </row>
    <row r="37" spans="1:11">
      <c r="A37" s="31"/>
      <c r="B37" s="26" t="s">
        <v>325</v>
      </c>
      <c r="C37" s="26"/>
      <c r="D37" s="25">
        <v>45165</v>
      </c>
      <c r="E37" s="26">
        <v>292600</v>
      </c>
      <c r="F37" s="26"/>
      <c r="G37" s="26"/>
      <c r="H37" s="73"/>
      <c r="I37" s="26">
        <f t="shared" si="0"/>
        <v>292600</v>
      </c>
      <c r="J37" s="26" t="s">
        <v>247</v>
      </c>
      <c r="K37" s="24"/>
    </row>
    <row r="38" spans="1:11">
      <c r="A38" s="32"/>
      <c r="B38" s="24" t="s">
        <v>267</v>
      </c>
      <c r="C38" s="24"/>
      <c r="D38" s="75">
        <v>45166</v>
      </c>
      <c r="E38" s="24">
        <v>176900</v>
      </c>
      <c r="F38" s="24"/>
      <c r="G38" s="24"/>
      <c r="H38" s="76"/>
      <c r="I38" s="26">
        <f t="shared" si="0"/>
        <v>176900</v>
      </c>
      <c r="J38" s="24" t="s">
        <v>267</v>
      </c>
      <c r="K38" s="26"/>
    </row>
    <row r="39" spans="1:11">
      <c r="A39" s="31"/>
      <c r="B39" s="26" t="s">
        <v>248</v>
      </c>
      <c r="C39" s="26"/>
      <c r="D39" s="25">
        <v>45173</v>
      </c>
      <c r="E39" s="26">
        <v>9700</v>
      </c>
      <c r="F39" s="26"/>
      <c r="G39" s="26"/>
      <c r="H39" s="73"/>
      <c r="I39" s="26">
        <f t="shared" si="0"/>
        <v>9700</v>
      </c>
      <c r="J39" s="26" t="s">
        <v>248</v>
      </c>
      <c r="K39" s="24"/>
    </row>
    <row r="40" spans="1:11">
      <c r="A40" s="32">
        <v>255</v>
      </c>
      <c r="B40" s="24" t="s">
        <v>296</v>
      </c>
      <c r="C40" s="26" t="s">
        <v>16734</v>
      </c>
      <c r="D40" s="75">
        <v>45175</v>
      </c>
      <c r="E40" s="24">
        <v>75976</v>
      </c>
      <c r="F40" s="24"/>
      <c r="G40" s="24"/>
      <c r="H40" s="76"/>
      <c r="I40" s="26">
        <f t="shared" si="0"/>
        <v>75976</v>
      </c>
      <c r="J40" s="24" t="s">
        <v>146</v>
      </c>
      <c r="K40" s="26">
        <v>8306333495</v>
      </c>
    </row>
    <row r="41" spans="1:11">
      <c r="A41" s="31">
        <v>256</v>
      </c>
      <c r="B41" s="26" t="s">
        <v>296</v>
      </c>
      <c r="C41" s="24" t="s">
        <v>16735</v>
      </c>
      <c r="D41" s="25">
        <v>45175</v>
      </c>
      <c r="E41" s="26">
        <v>23208</v>
      </c>
      <c r="F41" s="26"/>
      <c r="G41" s="26"/>
      <c r="H41" s="73"/>
      <c r="I41" s="26">
        <f t="shared" si="0"/>
        <v>23208</v>
      </c>
      <c r="J41" s="26" t="s">
        <v>146</v>
      </c>
      <c r="K41" s="24">
        <v>8306333495</v>
      </c>
    </row>
    <row r="42" spans="1:11">
      <c r="A42" s="32"/>
      <c r="B42" s="24" t="s">
        <v>326</v>
      </c>
      <c r="C42" s="24"/>
      <c r="D42" s="79">
        <v>45115</v>
      </c>
      <c r="E42" s="24">
        <v>345500</v>
      </c>
      <c r="F42" s="24">
        <f>200000+100000</f>
        <v>300000</v>
      </c>
      <c r="G42" s="24"/>
      <c r="H42" s="76"/>
      <c r="I42" s="26">
        <f t="shared" si="0"/>
        <v>45500</v>
      </c>
      <c r="J42" s="24" t="s">
        <v>327</v>
      </c>
      <c r="K42" s="26"/>
    </row>
    <row r="43" spans="1:11">
      <c r="A43" s="31"/>
      <c r="B43" s="26" t="s">
        <v>328</v>
      </c>
      <c r="C43" s="26"/>
      <c r="D43" s="25">
        <v>45176</v>
      </c>
      <c r="E43" s="26">
        <v>64000</v>
      </c>
      <c r="F43" s="26"/>
      <c r="G43" s="26"/>
      <c r="H43" s="73"/>
      <c r="I43" s="26">
        <f t="shared" si="0"/>
        <v>64000</v>
      </c>
      <c r="J43" s="26" t="s">
        <v>329</v>
      </c>
      <c r="K43" s="24"/>
    </row>
    <row r="44" spans="1:11">
      <c r="A44" s="32"/>
      <c r="B44" s="24" t="s">
        <v>250</v>
      </c>
      <c r="C44" s="24"/>
      <c r="D44" s="75">
        <v>45176</v>
      </c>
      <c r="E44" s="24">
        <v>97200</v>
      </c>
      <c r="F44" s="24"/>
      <c r="G44" s="24"/>
      <c r="H44" s="76"/>
      <c r="I44" s="26">
        <f t="shared" si="0"/>
        <v>97200</v>
      </c>
      <c r="J44" s="24" t="s">
        <v>330</v>
      </c>
      <c r="K44" s="26"/>
    </row>
    <row r="45" spans="1:11">
      <c r="A45" s="31">
        <v>257</v>
      </c>
      <c r="B45" s="26" t="s">
        <v>318</v>
      </c>
      <c r="C45" s="26"/>
      <c r="D45" s="25">
        <v>45183</v>
      </c>
      <c r="E45" s="26">
        <v>130036</v>
      </c>
      <c r="F45" s="26">
        <v>130036</v>
      </c>
      <c r="G45" s="26"/>
      <c r="H45" s="73"/>
      <c r="I45" s="26">
        <f t="shared" si="0"/>
        <v>0</v>
      </c>
      <c r="J45" s="26" t="s">
        <v>319</v>
      </c>
      <c r="K45" s="24"/>
    </row>
    <row r="46" spans="1:11">
      <c r="A46" s="32"/>
      <c r="B46" s="24" t="s">
        <v>331</v>
      </c>
      <c r="C46" s="24"/>
      <c r="D46" s="75">
        <v>45181</v>
      </c>
      <c r="E46" s="24">
        <v>125100</v>
      </c>
      <c r="F46" s="24">
        <v>125100</v>
      </c>
      <c r="G46" s="24"/>
      <c r="H46" s="76"/>
      <c r="I46" s="26">
        <f t="shared" si="0"/>
        <v>0</v>
      </c>
      <c r="J46" s="24" t="s">
        <v>332</v>
      </c>
      <c r="K46" s="26"/>
    </row>
    <row r="47" spans="1:11">
      <c r="A47" s="80"/>
      <c r="B47" s="81" t="s">
        <v>333</v>
      </c>
      <c r="C47" s="81"/>
      <c r="D47" s="82">
        <v>45187</v>
      </c>
      <c r="E47" s="81">
        <v>403700</v>
      </c>
      <c r="F47" s="81">
        <v>100000</v>
      </c>
      <c r="G47" s="81"/>
      <c r="H47" s="83"/>
      <c r="I47" s="26">
        <f t="shared" si="0"/>
        <v>303700</v>
      </c>
      <c r="J47" s="26" t="s">
        <v>333</v>
      </c>
      <c r="K47" s="77"/>
    </row>
    <row r="48" spans="1:11">
      <c r="A48" s="32"/>
      <c r="B48" s="24" t="s">
        <v>268</v>
      </c>
      <c r="C48" s="24"/>
      <c r="D48" s="75">
        <v>45187</v>
      </c>
      <c r="E48" s="24">
        <v>23700</v>
      </c>
      <c r="F48" s="24"/>
      <c r="G48" s="24"/>
      <c r="H48" s="76"/>
      <c r="I48" s="26">
        <f t="shared" si="0"/>
        <v>23700</v>
      </c>
      <c r="J48" s="24" t="s">
        <v>268</v>
      </c>
      <c r="K48" s="26"/>
    </row>
    <row r="49" spans="1:13">
      <c r="A49" s="31"/>
      <c r="B49" s="26" t="s">
        <v>257</v>
      </c>
      <c r="C49" s="26"/>
      <c r="D49" s="25">
        <v>45187</v>
      </c>
      <c r="E49" s="26">
        <v>80200</v>
      </c>
      <c r="F49" s="26"/>
      <c r="G49" s="26"/>
      <c r="H49" s="73"/>
      <c r="I49" s="26">
        <f t="shared" si="0"/>
        <v>80200</v>
      </c>
      <c r="J49" s="26" t="s">
        <v>257</v>
      </c>
      <c r="K49" s="24"/>
    </row>
    <row r="50" spans="1:13">
      <c r="A50" s="89">
        <v>258</v>
      </c>
      <c r="B50" s="2" t="s">
        <v>318</v>
      </c>
      <c r="C50" s="90" t="s">
        <v>16732</v>
      </c>
      <c r="D50" s="14">
        <v>45189</v>
      </c>
      <c r="E50" s="2">
        <v>4543</v>
      </c>
      <c r="F50" s="2">
        <v>4543</v>
      </c>
      <c r="G50" s="2">
        <v>4543</v>
      </c>
      <c r="H50" s="18"/>
      <c r="I50" s="26">
        <f t="shared" si="0"/>
        <v>0</v>
      </c>
      <c r="J50" s="2" t="s">
        <v>319</v>
      </c>
      <c r="K50" s="26"/>
      <c r="L50" s="2"/>
      <c r="M50" s="2"/>
    </row>
    <row r="51" spans="1:13">
      <c r="A51" s="88"/>
      <c r="B51" s="19" t="s">
        <v>313</v>
      </c>
      <c r="C51" s="19"/>
      <c r="D51" s="14">
        <v>45189</v>
      </c>
      <c r="E51" s="19">
        <v>12300</v>
      </c>
      <c r="F51" s="19"/>
      <c r="G51" s="19"/>
      <c r="H51" s="20"/>
      <c r="I51" s="26">
        <f t="shared" si="0"/>
        <v>12300</v>
      </c>
      <c r="J51" s="19" t="s">
        <v>313</v>
      </c>
      <c r="K51" s="77"/>
      <c r="L51" s="19"/>
      <c r="M51" s="19"/>
    </row>
    <row r="52" spans="1:13">
      <c r="A52" s="88"/>
      <c r="B52" s="19" t="s">
        <v>18</v>
      </c>
      <c r="C52" s="19"/>
      <c r="D52" s="14">
        <v>45189</v>
      </c>
      <c r="E52" s="19">
        <v>105800</v>
      </c>
      <c r="F52" s="19"/>
      <c r="G52" s="19"/>
      <c r="H52" s="20"/>
      <c r="I52" s="26">
        <f t="shared" si="0"/>
        <v>105800</v>
      </c>
      <c r="J52" s="19" t="s">
        <v>18</v>
      </c>
      <c r="K52" s="81"/>
      <c r="L52" s="19"/>
      <c r="M52" s="19"/>
    </row>
    <row r="53" spans="1:13">
      <c r="A53" s="96"/>
      <c r="B53" s="77" t="s">
        <v>319</v>
      </c>
      <c r="C53" s="77"/>
      <c r="D53" s="97">
        <v>45197</v>
      </c>
      <c r="E53" s="77">
        <f>70000+40000+18500+49000</f>
        <v>177500</v>
      </c>
      <c r="F53" s="77"/>
      <c r="G53" s="77"/>
      <c r="H53" s="98"/>
      <c r="I53" s="26">
        <f t="shared" si="0"/>
        <v>177500</v>
      </c>
      <c r="J53" s="77" t="s">
        <v>319</v>
      </c>
      <c r="K53" s="99">
        <v>9829022070</v>
      </c>
    </row>
    <row r="54" spans="1:13">
      <c r="A54" s="80"/>
      <c r="B54" s="81" t="s">
        <v>281</v>
      </c>
      <c r="C54" s="81"/>
      <c r="D54" s="82">
        <v>45197</v>
      </c>
      <c r="E54" s="81">
        <v>43476</v>
      </c>
      <c r="F54" s="81"/>
      <c r="G54" s="81"/>
      <c r="H54" s="83"/>
      <c r="I54" s="26">
        <f t="shared" si="0"/>
        <v>43476</v>
      </c>
      <c r="J54" s="81" t="s">
        <v>281</v>
      </c>
      <c r="K54" s="100"/>
    </row>
    <row r="55" spans="1:13">
      <c r="A55" s="96">
        <v>254</v>
      </c>
      <c r="B55" s="77" t="s">
        <v>322</v>
      </c>
      <c r="C55" s="81" t="s">
        <v>16736</v>
      </c>
      <c r="D55" s="97">
        <v>45198</v>
      </c>
      <c r="E55" s="77">
        <v>44908</v>
      </c>
      <c r="F55" s="77">
        <v>44908</v>
      </c>
      <c r="G55" s="77" t="s">
        <v>251</v>
      </c>
      <c r="H55" s="98" t="s">
        <v>341</v>
      </c>
      <c r="I55" s="26">
        <f t="shared" si="0"/>
        <v>0</v>
      </c>
      <c r="J55" s="77" t="s">
        <v>323</v>
      </c>
      <c r="K55" s="101">
        <v>8140075028</v>
      </c>
    </row>
    <row r="56" spans="1:13">
      <c r="B56" s="102" t="s">
        <v>16750</v>
      </c>
      <c r="D56" s="103">
        <v>45199</v>
      </c>
      <c r="E56" s="104">
        <v>26000</v>
      </c>
      <c r="I56" s="26">
        <f t="shared" si="0"/>
        <v>26000</v>
      </c>
      <c r="J56" s="102" t="s">
        <v>16749</v>
      </c>
    </row>
    <row r="57" spans="1:13">
      <c r="B57" s="24" t="s">
        <v>267</v>
      </c>
      <c r="C57" s="24"/>
      <c r="D57" s="75">
        <v>45199</v>
      </c>
      <c r="E57" s="24">
        <v>175500</v>
      </c>
      <c r="F57" s="24"/>
      <c r="G57" s="24"/>
      <c r="H57" s="76"/>
      <c r="I57" s="105">
        <f>[1]!Table2[[#This Row],[INVOICE AMMOUNT]]-[1]!Table2[[#This Row],[AMOUNT RECEIVED]]</f>
        <v>175500</v>
      </c>
      <c r="J57" s="99" t="s">
        <v>267</v>
      </c>
    </row>
  </sheetData>
  <autoFilter ref="A1:K5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XFD27"/>
  <sheetViews>
    <sheetView tabSelected="1" workbookViewId="0">
      <selection activeCell="C28" sqref="C28"/>
    </sheetView>
  </sheetViews>
  <sheetFormatPr defaultRowHeight="14.5"/>
  <cols>
    <col min="1" max="1" width="9.81640625" bestFit="1" customWidth="1"/>
    <col min="2" max="2" width="36" bestFit="1" customWidth="1"/>
    <col min="3" max="3" width="10.7265625" bestFit="1" customWidth="1"/>
    <col min="4" max="4" width="33.453125" bestFit="1" customWidth="1"/>
    <col min="5" max="5" width="15.453125" bestFit="1" customWidth="1"/>
  </cols>
  <sheetData>
    <row r="1" spans="1:16384" s="65" customFormat="1">
      <c r="A1" s="84" t="s">
        <v>262</v>
      </c>
      <c r="B1" s="65" t="s">
        <v>0</v>
      </c>
      <c r="C1" s="65" t="s">
        <v>334</v>
      </c>
      <c r="D1" s="85" t="s">
        <v>335</v>
      </c>
      <c r="E1" s="65" t="s">
        <v>336</v>
      </c>
      <c r="F1" s="65" t="s">
        <v>352</v>
      </c>
      <c r="G1" s="65" t="s">
        <v>353</v>
      </c>
      <c r="H1" s="65" t="s">
        <v>354</v>
      </c>
      <c r="I1" s="65" t="s">
        <v>355</v>
      </c>
      <c r="J1" s="65" t="s">
        <v>356</v>
      </c>
      <c r="K1" s="65" t="s">
        <v>357</v>
      </c>
      <c r="L1" s="65" t="s">
        <v>358</v>
      </c>
      <c r="M1" s="65" t="s">
        <v>359</v>
      </c>
      <c r="N1" s="65" t="s">
        <v>360</v>
      </c>
      <c r="O1" s="65" t="s">
        <v>67</v>
      </c>
      <c r="P1" s="65" t="s">
        <v>361</v>
      </c>
      <c r="Q1" s="65" t="s">
        <v>362</v>
      </c>
      <c r="R1" s="65" t="s">
        <v>363</v>
      </c>
      <c r="S1" s="65" t="s">
        <v>364</v>
      </c>
      <c r="T1" s="65" t="s">
        <v>365</v>
      </c>
      <c r="U1" s="65" t="s">
        <v>366</v>
      </c>
      <c r="V1" s="65" t="s">
        <v>367</v>
      </c>
      <c r="W1" s="65" t="s">
        <v>368</v>
      </c>
      <c r="X1" s="65" t="s">
        <v>369</v>
      </c>
      <c r="Y1" s="65" t="s">
        <v>370</v>
      </c>
      <c r="Z1" s="65" t="s">
        <v>371</v>
      </c>
      <c r="AA1" s="65" t="s">
        <v>372</v>
      </c>
      <c r="AB1" s="65" t="s">
        <v>373</v>
      </c>
      <c r="AC1" s="65" t="s">
        <v>374</v>
      </c>
      <c r="AD1" s="65" t="s">
        <v>375</v>
      </c>
      <c r="AE1" s="65" t="s">
        <v>376</v>
      </c>
      <c r="AF1" s="65" t="s">
        <v>377</v>
      </c>
      <c r="AG1" s="65" t="s">
        <v>378</v>
      </c>
      <c r="AH1" s="65" t="s">
        <v>379</v>
      </c>
      <c r="AI1" s="65" t="s">
        <v>380</v>
      </c>
      <c r="AJ1" s="65" t="s">
        <v>381</v>
      </c>
      <c r="AK1" s="65" t="s">
        <v>382</v>
      </c>
      <c r="AL1" s="65" t="s">
        <v>383</v>
      </c>
      <c r="AM1" s="65" t="s">
        <v>384</v>
      </c>
      <c r="AN1" s="65" t="s">
        <v>385</v>
      </c>
      <c r="AO1" s="65" t="s">
        <v>386</v>
      </c>
      <c r="AP1" s="65" t="s">
        <v>387</v>
      </c>
      <c r="AQ1" s="65" t="s">
        <v>388</v>
      </c>
      <c r="AR1" s="65" t="s">
        <v>389</v>
      </c>
      <c r="AS1" s="65" t="s">
        <v>390</v>
      </c>
      <c r="AT1" s="65" t="s">
        <v>391</v>
      </c>
      <c r="AU1" s="65" t="s">
        <v>392</v>
      </c>
      <c r="AV1" s="65" t="s">
        <v>393</v>
      </c>
      <c r="AW1" s="65" t="s">
        <v>394</v>
      </c>
      <c r="AX1" s="65" t="s">
        <v>395</v>
      </c>
      <c r="AY1" s="65" t="s">
        <v>396</v>
      </c>
      <c r="AZ1" s="65" t="s">
        <v>397</v>
      </c>
      <c r="BA1" s="65" t="s">
        <v>398</v>
      </c>
      <c r="BB1" s="65" t="s">
        <v>399</v>
      </c>
      <c r="BC1" s="65" t="s">
        <v>400</v>
      </c>
      <c r="BD1" s="65" t="s">
        <v>401</v>
      </c>
      <c r="BE1" s="65" t="s">
        <v>402</v>
      </c>
      <c r="BF1" s="65" t="s">
        <v>403</v>
      </c>
      <c r="BG1" s="65" t="s">
        <v>404</v>
      </c>
      <c r="BH1" s="65" t="s">
        <v>405</v>
      </c>
      <c r="BI1" s="65" t="s">
        <v>406</v>
      </c>
      <c r="BJ1" s="65" t="s">
        <v>407</v>
      </c>
      <c r="BK1" s="65" t="s">
        <v>408</v>
      </c>
      <c r="BL1" s="65" t="s">
        <v>409</v>
      </c>
      <c r="BM1" s="65" t="s">
        <v>410</v>
      </c>
      <c r="BN1" s="65" t="s">
        <v>411</v>
      </c>
      <c r="BO1" s="65" t="s">
        <v>412</v>
      </c>
      <c r="BP1" s="65" t="s">
        <v>413</v>
      </c>
      <c r="BQ1" s="65" t="s">
        <v>414</v>
      </c>
      <c r="BR1" s="65" t="s">
        <v>415</v>
      </c>
      <c r="BS1" s="65" t="s">
        <v>416</v>
      </c>
      <c r="BT1" s="65" t="s">
        <v>417</v>
      </c>
      <c r="BU1" s="65" t="s">
        <v>418</v>
      </c>
      <c r="BV1" s="65" t="s">
        <v>419</v>
      </c>
      <c r="BW1" s="65" t="s">
        <v>420</v>
      </c>
      <c r="BX1" s="65" t="s">
        <v>421</v>
      </c>
      <c r="BY1" s="65" t="s">
        <v>422</v>
      </c>
      <c r="BZ1" s="65" t="s">
        <v>423</v>
      </c>
      <c r="CA1" s="65" t="s">
        <v>424</v>
      </c>
      <c r="CB1" s="65" t="s">
        <v>425</v>
      </c>
      <c r="CC1" s="65" t="s">
        <v>426</v>
      </c>
      <c r="CD1" s="65" t="s">
        <v>427</v>
      </c>
      <c r="CE1" s="65" t="s">
        <v>428</v>
      </c>
      <c r="CF1" s="65" t="s">
        <v>429</v>
      </c>
      <c r="CG1" s="65" t="s">
        <v>430</v>
      </c>
      <c r="CH1" s="65" t="s">
        <v>431</v>
      </c>
      <c r="CI1" s="65" t="s">
        <v>432</v>
      </c>
      <c r="CJ1" s="65" t="s">
        <v>433</v>
      </c>
      <c r="CK1" s="65" t="s">
        <v>434</v>
      </c>
      <c r="CL1" s="65" t="s">
        <v>435</v>
      </c>
      <c r="CM1" s="65" t="s">
        <v>436</v>
      </c>
      <c r="CN1" s="65" t="s">
        <v>437</v>
      </c>
      <c r="CO1" s="65" t="s">
        <v>438</v>
      </c>
      <c r="CP1" s="65" t="s">
        <v>439</v>
      </c>
      <c r="CQ1" s="65" t="s">
        <v>440</v>
      </c>
      <c r="CR1" s="65" t="s">
        <v>441</v>
      </c>
      <c r="CS1" s="65" t="s">
        <v>442</v>
      </c>
      <c r="CT1" s="65" t="s">
        <v>443</v>
      </c>
      <c r="CU1" s="65" t="s">
        <v>444</v>
      </c>
      <c r="CV1" s="65" t="s">
        <v>445</v>
      </c>
      <c r="CW1" s="65" t="s">
        <v>446</v>
      </c>
      <c r="CX1" s="65" t="s">
        <v>447</v>
      </c>
      <c r="CY1" s="65" t="s">
        <v>448</v>
      </c>
      <c r="CZ1" s="65" t="s">
        <v>449</v>
      </c>
      <c r="DA1" s="65" t="s">
        <v>450</v>
      </c>
      <c r="DB1" s="65" t="s">
        <v>451</v>
      </c>
      <c r="DC1" s="65" t="s">
        <v>452</v>
      </c>
      <c r="DD1" s="65" t="s">
        <v>453</v>
      </c>
      <c r="DE1" s="65" t="s">
        <v>454</v>
      </c>
      <c r="DF1" s="65" t="s">
        <v>455</v>
      </c>
      <c r="DG1" s="65" t="s">
        <v>456</v>
      </c>
      <c r="DH1" s="65" t="s">
        <v>457</v>
      </c>
      <c r="DI1" s="65" t="s">
        <v>458</v>
      </c>
      <c r="DJ1" s="65" t="s">
        <v>459</v>
      </c>
      <c r="DK1" s="65" t="s">
        <v>460</v>
      </c>
      <c r="DL1" s="65" t="s">
        <v>461</v>
      </c>
      <c r="DM1" s="65" t="s">
        <v>462</v>
      </c>
      <c r="DN1" s="65" t="s">
        <v>463</v>
      </c>
      <c r="DO1" s="65" t="s">
        <v>464</v>
      </c>
      <c r="DP1" s="65" t="s">
        <v>465</v>
      </c>
      <c r="DQ1" s="65" t="s">
        <v>466</v>
      </c>
      <c r="DR1" s="65" t="s">
        <v>467</v>
      </c>
      <c r="DS1" s="65" t="s">
        <v>468</v>
      </c>
      <c r="DT1" s="65" t="s">
        <v>469</v>
      </c>
      <c r="DU1" s="65" t="s">
        <v>470</v>
      </c>
      <c r="DV1" s="65" t="s">
        <v>471</v>
      </c>
      <c r="DW1" s="65" t="s">
        <v>472</v>
      </c>
      <c r="DX1" s="65" t="s">
        <v>473</v>
      </c>
      <c r="DY1" s="65" t="s">
        <v>474</v>
      </c>
      <c r="DZ1" s="65" t="s">
        <v>475</v>
      </c>
      <c r="EA1" s="65" t="s">
        <v>476</v>
      </c>
      <c r="EB1" s="65" t="s">
        <v>477</v>
      </c>
      <c r="EC1" s="65" t="s">
        <v>478</v>
      </c>
      <c r="ED1" s="65" t="s">
        <v>479</v>
      </c>
      <c r="EE1" s="65" t="s">
        <v>480</v>
      </c>
      <c r="EF1" s="65" t="s">
        <v>481</v>
      </c>
      <c r="EG1" s="65" t="s">
        <v>482</v>
      </c>
      <c r="EH1" s="65" t="s">
        <v>483</v>
      </c>
      <c r="EI1" s="65" t="s">
        <v>484</v>
      </c>
      <c r="EJ1" s="65" t="s">
        <v>485</v>
      </c>
      <c r="EK1" s="65" t="s">
        <v>486</v>
      </c>
      <c r="EL1" s="65" t="s">
        <v>487</v>
      </c>
      <c r="EM1" s="65" t="s">
        <v>488</v>
      </c>
      <c r="EN1" s="65" t="s">
        <v>489</v>
      </c>
      <c r="EO1" s="65" t="s">
        <v>490</v>
      </c>
      <c r="EP1" s="65" t="s">
        <v>491</v>
      </c>
      <c r="EQ1" s="65" t="s">
        <v>492</v>
      </c>
      <c r="ER1" s="65" t="s">
        <v>493</v>
      </c>
      <c r="ES1" s="65" t="s">
        <v>494</v>
      </c>
      <c r="ET1" s="65" t="s">
        <v>495</v>
      </c>
      <c r="EU1" s="65" t="s">
        <v>496</v>
      </c>
      <c r="EV1" s="65" t="s">
        <v>497</v>
      </c>
      <c r="EW1" s="65" t="s">
        <v>498</v>
      </c>
      <c r="EX1" s="65" t="s">
        <v>499</v>
      </c>
      <c r="EY1" s="65" t="s">
        <v>500</v>
      </c>
      <c r="EZ1" s="65" t="s">
        <v>501</v>
      </c>
      <c r="FA1" s="65" t="s">
        <v>502</v>
      </c>
      <c r="FB1" s="65" t="s">
        <v>503</v>
      </c>
      <c r="FC1" s="65" t="s">
        <v>504</v>
      </c>
      <c r="FD1" s="65" t="s">
        <v>505</v>
      </c>
      <c r="FE1" s="65" t="s">
        <v>506</v>
      </c>
      <c r="FF1" s="65" t="s">
        <v>507</v>
      </c>
      <c r="FG1" s="65" t="s">
        <v>508</v>
      </c>
      <c r="FH1" s="65" t="s">
        <v>509</v>
      </c>
      <c r="FI1" s="65" t="s">
        <v>510</v>
      </c>
      <c r="FJ1" s="65" t="s">
        <v>511</v>
      </c>
      <c r="FK1" s="65" t="s">
        <v>512</v>
      </c>
      <c r="FL1" s="65" t="s">
        <v>513</v>
      </c>
      <c r="FM1" s="65" t="s">
        <v>514</v>
      </c>
      <c r="FN1" s="65" t="s">
        <v>515</v>
      </c>
      <c r="FO1" s="65" t="s">
        <v>516</v>
      </c>
      <c r="FP1" s="65" t="s">
        <v>517</v>
      </c>
      <c r="FQ1" s="65" t="s">
        <v>518</v>
      </c>
      <c r="FR1" s="65" t="s">
        <v>519</v>
      </c>
      <c r="FS1" s="65" t="s">
        <v>520</v>
      </c>
      <c r="FT1" s="65" t="s">
        <v>521</v>
      </c>
      <c r="FU1" s="65" t="s">
        <v>522</v>
      </c>
      <c r="FV1" s="65" t="s">
        <v>523</v>
      </c>
      <c r="FW1" s="65" t="s">
        <v>524</v>
      </c>
      <c r="FX1" s="65" t="s">
        <v>525</v>
      </c>
      <c r="FY1" s="65" t="s">
        <v>526</v>
      </c>
      <c r="FZ1" s="65" t="s">
        <v>527</v>
      </c>
      <c r="GA1" s="65" t="s">
        <v>528</v>
      </c>
      <c r="GB1" s="65" t="s">
        <v>529</v>
      </c>
      <c r="GC1" s="65" t="s">
        <v>530</v>
      </c>
      <c r="GD1" s="65" t="s">
        <v>531</v>
      </c>
      <c r="GE1" s="65" t="s">
        <v>532</v>
      </c>
      <c r="GF1" s="65" t="s">
        <v>533</v>
      </c>
      <c r="GG1" s="65" t="s">
        <v>534</v>
      </c>
      <c r="GH1" s="65" t="s">
        <v>535</v>
      </c>
      <c r="GI1" s="65" t="s">
        <v>536</v>
      </c>
      <c r="GJ1" s="65" t="s">
        <v>537</v>
      </c>
      <c r="GK1" s="65" t="s">
        <v>538</v>
      </c>
      <c r="GL1" s="65" t="s">
        <v>539</v>
      </c>
      <c r="GM1" s="65" t="s">
        <v>540</v>
      </c>
      <c r="GN1" s="65" t="s">
        <v>541</v>
      </c>
      <c r="GO1" s="65" t="s">
        <v>542</v>
      </c>
      <c r="GP1" s="65" t="s">
        <v>543</v>
      </c>
      <c r="GQ1" s="65" t="s">
        <v>544</v>
      </c>
      <c r="GR1" s="65" t="s">
        <v>545</v>
      </c>
      <c r="GS1" s="65" t="s">
        <v>546</v>
      </c>
      <c r="GT1" s="65" t="s">
        <v>547</v>
      </c>
      <c r="GU1" s="65" t="s">
        <v>548</v>
      </c>
      <c r="GV1" s="65" t="s">
        <v>549</v>
      </c>
      <c r="GW1" s="65" t="s">
        <v>550</v>
      </c>
      <c r="GX1" s="65" t="s">
        <v>551</v>
      </c>
      <c r="GY1" s="65" t="s">
        <v>552</v>
      </c>
      <c r="GZ1" s="65" t="s">
        <v>553</v>
      </c>
      <c r="HA1" s="65" t="s">
        <v>554</v>
      </c>
      <c r="HB1" s="65" t="s">
        <v>555</v>
      </c>
      <c r="HC1" s="65" t="s">
        <v>556</v>
      </c>
      <c r="HD1" s="65" t="s">
        <v>557</v>
      </c>
      <c r="HE1" s="65" t="s">
        <v>558</v>
      </c>
      <c r="HF1" s="65" t="s">
        <v>559</v>
      </c>
      <c r="HG1" s="65" t="s">
        <v>560</v>
      </c>
      <c r="HH1" s="65" t="s">
        <v>561</v>
      </c>
      <c r="HI1" s="65" t="s">
        <v>562</v>
      </c>
      <c r="HJ1" s="65" t="s">
        <v>563</v>
      </c>
      <c r="HK1" s="65" t="s">
        <v>564</v>
      </c>
      <c r="HL1" s="65" t="s">
        <v>565</v>
      </c>
      <c r="HM1" s="65" t="s">
        <v>566</v>
      </c>
      <c r="HN1" s="65" t="s">
        <v>567</v>
      </c>
      <c r="HO1" s="65" t="s">
        <v>568</v>
      </c>
      <c r="HP1" s="65" t="s">
        <v>569</v>
      </c>
      <c r="HQ1" s="65" t="s">
        <v>570</v>
      </c>
      <c r="HR1" s="65" t="s">
        <v>571</v>
      </c>
      <c r="HS1" s="65" t="s">
        <v>572</v>
      </c>
      <c r="HT1" s="65" t="s">
        <v>573</v>
      </c>
      <c r="HU1" s="65" t="s">
        <v>574</v>
      </c>
      <c r="HV1" s="65" t="s">
        <v>575</v>
      </c>
      <c r="HW1" s="65" t="s">
        <v>576</v>
      </c>
      <c r="HX1" s="65" t="s">
        <v>577</v>
      </c>
      <c r="HY1" s="65" t="s">
        <v>578</v>
      </c>
      <c r="HZ1" s="65" t="s">
        <v>579</v>
      </c>
      <c r="IA1" s="65" t="s">
        <v>580</v>
      </c>
      <c r="IB1" s="65" t="s">
        <v>581</v>
      </c>
      <c r="IC1" s="65" t="s">
        <v>582</v>
      </c>
      <c r="ID1" s="65" t="s">
        <v>583</v>
      </c>
      <c r="IE1" s="65" t="s">
        <v>584</v>
      </c>
      <c r="IF1" s="65" t="s">
        <v>585</v>
      </c>
      <c r="IG1" s="65" t="s">
        <v>586</v>
      </c>
      <c r="IH1" s="65" t="s">
        <v>587</v>
      </c>
      <c r="II1" s="65" t="s">
        <v>588</v>
      </c>
      <c r="IJ1" s="65" t="s">
        <v>589</v>
      </c>
      <c r="IK1" s="65" t="s">
        <v>590</v>
      </c>
      <c r="IL1" s="65" t="s">
        <v>591</v>
      </c>
      <c r="IM1" s="65" t="s">
        <v>592</v>
      </c>
      <c r="IN1" s="65" t="s">
        <v>593</v>
      </c>
      <c r="IO1" s="65" t="s">
        <v>594</v>
      </c>
      <c r="IP1" s="65" t="s">
        <v>595</v>
      </c>
      <c r="IQ1" s="65" t="s">
        <v>596</v>
      </c>
      <c r="IR1" s="65" t="s">
        <v>597</v>
      </c>
      <c r="IS1" s="65" t="s">
        <v>598</v>
      </c>
      <c r="IT1" s="65" t="s">
        <v>599</v>
      </c>
      <c r="IU1" s="65" t="s">
        <v>600</v>
      </c>
      <c r="IV1" s="65" t="s">
        <v>601</v>
      </c>
      <c r="IW1" s="65" t="s">
        <v>602</v>
      </c>
      <c r="IX1" s="65" t="s">
        <v>603</v>
      </c>
      <c r="IY1" s="65" t="s">
        <v>604</v>
      </c>
      <c r="IZ1" s="65" t="s">
        <v>605</v>
      </c>
      <c r="JA1" s="65" t="s">
        <v>606</v>
      </c>
      <c r="JB1" s="65" t="s">
        <v>607</v>
      </c>
      <c r="JC1" s="65" t="s">
        <v>608</v>
      </c>
      <c r="JD1" s="65" t="s">
        <v>609</v>
      </c>
      <c r="JE1" s="65" t="s">
        <v>610</v>
      </c>
      <c r="JF1" s="65" t="s">
        <v>611</v>
      </c>
      <c r="JG1" s="65" t="s">
        <v>612</v>
      </c>
      <c r="JH1" s="65" t="s">
        <v>613</v>
      </c>
      <c r="JI1" s="65" t="s">
        <v>614</v>
      </c>
      <c r="JJ1" s="65" t="s">
        <v>615</v>
      </c>
      <c r="JK1" s="65" t="s">
        <v>616</v>
      </c>
      <c r="JL1" s="65" t="s">
        <v>617</v>
      </c>
      <c r="JM1" s="65" t="s">
        <v>618</v>
      </c>
      <c r="JN1" s="65" t="s">
        <v>619</v>
      </c>
      <c r="JO1" s="65" t="s">
        <v>620</v>
      </c>
      <c r="JP1" s="65" t="s">
        <v>621</v>
      </c>
      <c r="JQ1" s="65" t="s">
        <v>622</v>
      </c>
      <c r="JR1" s="65" t="s">
        <v>623</v>
      </c>
      <c r="JS1" s="65" t="s">
        <v>624</v>
      </c>
      <c r="JT1" s="65" t="s">
        <v>625</v>
      </c>
      <c r="JU1" s="65" t="s">
        <v>626</v>
      </c>
      <c r="JV1" s="65" t="s">
        <v>627</v>
      </c>
      <c r="JW1" s="65" t="s">
        <v>628</v>
      </c>
      <c r="JX1" s="65" t="s">
        <v>629</v>
      </c>
      <c r="JY1" s="65" t="s">
        <v>630</v>
      </c>
      <c r="JZ1" s="65" t="s">
        <v>631</v>
      </c>
      <c r="KA1" s="65" t="s">
        <v>632</v>
      </c>
      <c r="KB1" s="65" t="s">
        <v>633</v>
      </c>
      <c r="KC1" s="65" t="s">
        <v>634</v>
      </c>
      <c r="KD1" s="65" t="s">
        <v>635</v>
      </c>
      <c r="KE1" s="65" t="s">
        <v>636</v>
      </c>
      <c r="KF1" s="65" t="s">
        <v>637</v>
      </c>
      <c r="KG1" s="65" t="s">
        <v>638</v>
      </c>
      <c r="KH1" s="65" t="s">
        <v>639</v>
      </c>
      <c r="KI1" s="65" t="s">
        <v>640</v>
      </c>
      <c r="KJ1" s="65" t="s">
        <v>641</v>
      </c>
      <c r="KK1" s="65" t="s">
        <v>642</v>
      </c>
      <c r="KL1" s="65" t="s">
        <v>643</v>
      </c>
      <c r="KM1" s="65" t="s">
        <v>644</v>
      </c>
      <c r="KN1" s="65" t="s">
        <v>645</v>
      </c>
      <c r="KO1" s="65" t="s">
        <v>646</v>
      </c>
      <c r="KP1" s="65" t="s">
        <v>647</v>
      </c>
      <c r="KQ1" s="65" t="s">
        <v>648</v>
      </c>
      <c r="KR1" s="65" t="s">
        <v>649</v>
      </c>
      <c r="KS1" s="65" t="s">
        <v>650</v>
      </c>
      <c r="KT1" s="65" t="s">
        <v>651</v>
      </c>
      <c r="KU1" s="65" t="s">
        <v>652</v>
      </c>
      <c r="KV1" s="65" t="s">
        <v>653</v>
      </c>
      <c r="KW1" s="65" t="s">
        <v>654</v>
      </c>
      <c r="KX1" s="65" t="s">
        <v>655</v>
      </c>
      <c r="KY1" s="65" t="s">
        <v>656</v>
      </c>
      <c r="KZ1" s="65" t="s">
        <v>657</v>
      </c>
      <c r="LA1" s="65" t="s">
        <v>658</v>
      </c>
      <c r="LB1" s="65" t="s">
        <v>659</v>
      </c>
      <c r="LC1" s="65" t="s">
        <v>660</v>
      </c>
      <c r="LD1" s="65" t="s">
        <v>661</v>
      </c>
      <c r="LE1" s="65" t="s">
        <v>662</v>
      </c>
      <c r="LF1" s="65" t="s">
        <v>663</v>
      </c>
      <c r="LG1" s="65" t="s">
        <v>664</v>
      </c>
      <c r="LH1" s="65" t="s">
        <v>665</v>
      </c>
      <c r="LI1" s="65" t="s">
        <v>666</v>
      </c>
      <c r="LJ1" s="65" t="s">
        <v>667</v>
      </c>
      <c r="LK1" s="65" t="s">
        <v>668</v>
      </c>
      <c r="LL1" s="65" t="s">
        <v>669</v>
      </c>
      <c r="LM1" s="65" t="s">
        <v>670</v>
      </c>
      <c r="LN1" s="65" t="s">
        <v>671</v>
      </c>
      <c r="LO1" s="65" t="s">
        <v>672</v>
      </c>
      <c r="LP1" s="65" t="s">
        <v>673</v>
      </c>
      <c r="LQ1" s="65" t="s">
        <v>674</v>
      </c>
      <c r="LR1" s="65" t="s">
        <v>675</v>
      </c>
      <c r="LS1" s="65" t="s">
        <v>676</v>
      </c>
      <c r="LT1" s="65" t="s">
        <v>677</v>
      </c>
      <c r="LU1" s="65" t="s">
        <v>678</v>
      </c>
      <c r="LV1" s="65" t="s">
        <v>679</v>
      </c>
      <c r="LW1" s="65" t="s">
        <v>680</v>
      </c>
      <c r="LX1" s="65" t="s">
        <v>681</v>
      </c>
      <c r="LY1" s="65" t="s">
        <v>682</v>
      </c>
      <c r="LZ1" s="65" t="s">
        <v>683</v>
      </c>
      <c r="MA1" s="65" t="s">
        <v>684</v>
      </c>
      <c r="MB1" s="65" t="s">
        <v>685</v>
      </c>
      <c r="MC1" s="65" t="s">
        <v>686</v>
      </c>
      <c r="MD1" s="65" t="s">
        <v>687</v>
      </c>
      <c r="ME1" s="65" t="s">
        <v>688</v>
      </c>
      <c r="MF1" s="65" t="s">
        <v>689</v>
      </c>
      <c r="MG1" s="65" t="s">
        <v>690</v>
      </c>
      <c r="MH1" s="65" t="s">
        <v>691</v>
      </c>
      <c r="MI1" s="65" t="s">
        <v>692</v>
      </c>
      <c r="MJ1" s="65" t="s">
        <v>693</v>
      </c>
      <c r="MK1" s="65" t="s">
        <v>694</v>
      </c>
      <c r="ML1" s="65" t="s">
        <v>695</v>
      </c>
      <c r="MM1" s="65" t="s">
        <v>696</v>
      </c>
      <c r="MN1" s="65" t="s">
        <v>697</v>
      </c>
      <c r="MO1" s="65" t="s">
        <v>698</v>
      </c>
      <c r="MP1" s="65" t="s">
        <v>699</v>
      </c>
      <c r="MQ1" s="65" t="s">
        <v>700</v>
      </c>
      <c r="MR1" s="65" t="s">
        <v>701</v>
      </c>
      <c r="MS1" s="65" t="s">
        <v>702</v>
      </c>
      <c r="MT1" s="65" t="s">
        <v>703</v>
      </c>
      <c r="MU1" s="65" t="s">
        <v>704</v>
      </c>
      <c r="MV1" s="65" t="s">
        <v>705</v>
      </c>
      <c r="MW1" s="65" t="s">
        <v>706</v>
      </c>
      <c r="MX1" s="65" t="s">
        <v>707</v>
      </c>
      <c r="MY1" s="65" t="s">
        <v>708</v>
      </c>
      <c r="MZ1" s="65" t="s">
        <v>709</v>
      </c>
      <c r="NA1" s="65" t="s">
        <v>710</v>
      </c>
      <c r="NB1" s="65" t="s">
        <v>711</v>
      </c>
      <c r="NC1" s="65" t="s">
        <v>712</v>
      </c>
      <c r="ND1" s="65" t="s">
        <v>713</v>
      </c>
      <c r="NE1" s="65" t="s">
        <v>714</v>
      </c>
      <c r="NF1" s="65" t="s">
        <v>715</v>
      </c>
      <c r="NG1" s="65" t="s">
        <v>716</v>
      </c>
      <c r="NH1" s="65" t="s">
        <v>717</v>
      </c>
      <c r="NI1" s="65" t="s">
        <v>718</v>
      </c>
      <c r="NJ1" s="65" t="s">
        <v>719</v>
      </c>
      <c r="NK1" s="65" t="s">
        <v>720</v>
      </c>
      <c r="NL1" s="65" t="s">
        <v>721</v>
      </c>
      <c r="NM1" s="65" t="s">
        <v>722</v>
      </c>
      <c r="NN1" s="65" t="s">
        <v>723</v>
      </c>
      <c r="NO1" s="65" t="s">
        <v>724</v>
      </c>
      <c r="NP1" s="65" t="s">
        <v>725</v>
      </c>
      <c r="NQ1" s="65" t="s">
        <v>726</v>
      </c>
      <c r="NR1" s="65" t="s">
        <v>727</v>
      </c>
      <c r="NS1" s="65" t="s">
        <v>728</v>
      </c>
      <c r="NT1" s="65" t="s">
        <v>729</v>
      </c>
      <c r="NU1" s="65" t="s">
        <v>730</v>
      </c>
      <c r="NV1" s="65" t="s">
        <v>731</v>
      </c>
      <c r="NW1" s="65" t="s">
        <v>732</v>
      </c>
      <c r="NX1" s="65" t="s">
        <v>733</v>
      </c>
      <c r="NY1" s="65" t="s">
        <v>734</v>
      </c>
      <c r="NZ1" s="65" t="s">
        <v>735</v>
      </c>
      <c r="OA1" s="65" t="s">
        <v>736</v>
      </c>
      <c r="OB1" s="65" t="s">
        <v>737</v>
      </c>
      <c r="OC1" s="65" t="s">
        <v>738</v>
      </c>
      <c r="OD1" s="65" t="s">
        <v>739</v>
      </c>
      <c r="OE1" s="65" t="s">
        <v>740</v>
      </c>
      <c r="OF1" s="65" t="s">
        <v>741</v>
      </c>
      <c r="OG1" s="65" t="s">
        <v>742</v>
      </c>
      <c r="OH1" s="65" t="s">
        <v>743</v>
      </c>
      <c r="OI1" s="65" t="s">
        <v>744</v>
      </c>
      <c r="OJ1" s="65" t="s">
        <v>745</v>
      </c>
      <c r="OK1" s="65" t="s">
        <v>746</v>
      </c>
      <c r="OL1" s="65" t="s">
        <v>747</v>
      </c>
      <c r="OM1" s="65" t="s">
        <v>748</v>
      </c>
      <c r="ON1" s="65" t="s">
        <v>749</v>
      </c>
      <c r="OO1" s="65" t="s">
        <v>750</v>
      </c>
      <c r="OP1" s="65" t="s">
        <v>751</v>
      </c>
      <c r="OQ1" s="65" t="s">
        <v>752</v>
      </c>
      <c r="OR1" s="65" t="s">
        <v>753</v>
      </c>
      <c r="OS1" s="65" t="s">
        <v>754</v>
      </c>
      <c r="OT1" s="65" t="s">
        <v>755</v>
      </c>
      <c r="OU1" s="65" t="s">
        <v>756</v>
      </c>
      <c r="OV1" s="65" t="s">
        <v>757</v>
      </c>
      <c r="OW1" s="65" t="s">
        <v>758</v>
      </c>
      <c r="OX1" s="65" t="s">
        <v>759</v>
      </c>
      <c r="OY1" s="65" t="s">
        <v>760</v>
      </c>
      <c r="OZ1" s="65" t="s">
        <v>761</v>
      </c>
      <c r="PA1" s="65" t="s">
        <v>762</v>
      </c>
      <c r="PB1" s="65" t="s">
        <v>763</v>
      </c>
      <c r="PC1" s="65" t="s">
        <v>764</v>
      </c>
      <c r="PD1" s="65" t="s">
        <v>765</v>
      </c>
      <c r="PE1" s="65" t="s">
        <v>766</v>
      </c>
      <c r="PF1" s="65" t="s">
        <v>767</v>
      </c>
      <c r="PG1" s="65" t="s">
        <v>768</v>
      </c>
      <c r="PH1" s="65" t="s">
        <v>769</v>
      </c>
      <c r="PI1" s="65" t="s">
        <v>770</v>
      </c>
      <c r="PJ1" s="65" t="s">
        <v>771</v>
      </c>
      <c r="PK1" s="65" t="s">
        <v>772</v>
      </c>
      <c r="PL1" s="65" t="s">
        <v>773</v>
      </c>
      <c r="PM1" s="65" t="s">
        <v>774</v>
      </c>
      <c r="PN1" s="65" t="s">
        <v>775</v>
      </c>
      <c r="PO1" s="65" t="s">
        <v>776</v>
      </c>
      <c r="PP1" s="65" t="s">
        <v>777</v>
      </c>
      <c r="PQ1" s="65" t="s">
        <v>778</v>
      </c>
      <c r="PR1" s="65" t="s">
        <v>779</v>
      </c>
      <c r="PS1" s="65" t="s">
        <v>780</v>
      </c>
      <c r="PT1" s="65" t="s">
        <v>781</v>
      </c>
      <c r="PU1" s="65" t="s">
        <v>782</v>
      </c>
      <c r="PV1" s="65" t="s">
        <v>783</v>
      </c>
      <c r="PW1" s="65" t="s">
        <v>784</v>
      </c>
      <c r="PX1" s="65" t="s">
        <v>785</v>
      </c>
      <c r="PY1" s="65" t="s">
        <v>786</v>
      </c>
      <c r="PZ1" s="65" t="s">
        <v>787</v>
      </c>
      <c r="QA1" s="65" t="s">
        <v>788</v>
      </c>
      <c r="QB1" s="65" t="s">
        <v>789</v>
      </c>
      <c r="QC1" s="65" t="s">
        <v>790</v>
      </c>
      <c r="QD1" s="65" t="s">
        <v>791</v>
      </c>
      <c r="QE1" s="65" t="s">
        <v>792</v>
      </c>
      <c r="QF1" s="65" t="s">
        <v>793</v>
      </c>
      <c r="QG1" s="65" t="s">
        <v>794</v>
      </c>
      <c r="QH1" s="65" t="s">
        <v>795</v>
      </c>
      <c r="QI1" s="65" t="s">
        <v>796</v>
      </c>
      <c r="QJ1" s="65" t="s">
        <v>797</v>
      </c>
      <c r="QK1" s="65" t="s">
        <v>798</v>
      </c>
      <c r="QL1" s="65" t="s">
        <v>799</v>
      </c>
      <c r="QM1" s="65" t="s">
        <v>800</v>
      </c>
      <c r="QN1" s="65" t="s">
        <v>801</v>
      </c>
      <c r="QO1" s="65" t="s">
        <v>802</v>
      </c>
      <c r="QP1" s="65" t="s">
        <v>803</v>
      </c>
      <c r="QQ1" s="65" t="s">
        <v>804</v>
      </c>
      <c r="QR1" s="65" t="s">
        <v>805</v>
      </c>
      <c r="QS1" s="65" t="s">
        <v>806</v>
      </c>
      <c r="QT1" s="65" t="s">
        <v>807</v>
      </c>
      <c r="QU1" s="65" t="s">
        <v>808</v>
      </c>
      <c r="QV1" s="65" t="s">
        <v>809</v>
      </c>
      <c r="QW1" s="65" t="s">
        <v>810</v>
      </c>
      <c r="QX1" s="65" t="s">
        <v>811</v>
      </c>
      <c r="QY1" s="65" t="s">
        <v>812</v>
      </c>
      <c r="QZ1" s="65" t="s">
        <v>813</v>
      </c>
      <c r="RA1" s="65" t="s">
        <v>814</v>
      </c>
      <c r="RB1" s="65" t="s">
        <v>815</v>
      </c>
      <c r="RC1" s="65" t="s">
        <v>816</v>
      </c>
      <c r="RD1" s="65" t="s">
        <v>817</v>
      </c>
      <c r="RE1" s="65" t="s">
        <v>818</v>
      </c>
      <c r="RF1" s="65" t="s">
        <v>819</v>
      </c>
      <c r="RG1" s="65" t="s">
        <v>820</v>
      </c>
      <c r="RH1" s="65" t="s">
        <v>821</v>
      </c>
      <c r="RI1" s="65" t="s">
        <v>822</v>
      </c>
      <c r="RJ1" s="65" t="s">
        <v>823</v>
      </c>
      <c r="RK1" s="65" t="s">
        <v>824</v>
      </c>
      <c r="RL1" s="65" t="s">
        <v>825</v>
      </c>
      <c r="RM1" s="65" t="s">
        <v>826</v>
      </c>
      <c r="RN1" s="65" t="s">
        <v>827</v>
      </c>
      <c r="RO1" s="65" t="s">
        <v>828</v>
      </c>
      <c r="RP1" s="65" t="s">
        <v>829</v>
      </c>
      <c r="RQ1" s="65" t="s">
        <v>830</v>
      </c>
      <c r="RR1" s="65" t="s">
        <v>831</v>
      </c>
      <c r="RS1" s="65" t="s">
        <v>832</v>
      </c>
      <c r="RT1" s="65" t="s">
        <v>833</v>
      </c>
      <c r="RU1" s="65" t="s">
        <v>834</v>
      </c>
      <c r="RV1" s="65" t="s">
        <v>835</v>
      </c>
      <c r="RW1" s="65" t="s">
        <v>836</v>
      </c>
      <c r="RX1" s="65" t="s">
        <v>837</v>
      </c>
      <c r="RY1" s="65" t="s">
        <v>838</v>
      </c>
      <c r="RZ1" s="65" t="s">
        <v>839</v>
      </c>
      <c r="SA1" s="65" t="s">
        <v>840</v>
      </c>
      <c r="SB1" s="65" t="s">
        <v>841</v>
      </c>
      <c r="SC1" s="65" t="s">
        <v>842</v>
      </c>
      <c r="SD1" s="65" t="s">
        <v>843</v>
      </c>
      <c r="SE1" s="65" t="s">
        <v>844</v>
      </c>
      <c r="SF1" s="65" t="s">
        <v>845</v>
      </c>
      <c r="SG1" s="65" t="s">
        <v>846</v>
      </c>
      <c r="SH1" s="65" t="s">
        <v>847</v>
      </c>
      <c r="SI1" s="65" t="s">
        <v>848</v>
      </c>
      <c r="SJ1" s="65" t="s">
        <v>849</v>
      </c>
      <c r="SK1" s="65" t="s">
        <v>850</v>
      </c>
      <c r="SL1" s="65" t="s">
        <v>851</v>
      </c>
      <c r="SM1" s="65" t="s">
        <v>852</v>
      </c>
      <c r="SN1" s="65" t="s">
        <v>853</v>
      </c>
      <c r="SO1" s="65" t="s">
        <v>854</v>
      </c>
      <c r="SP1" s="65" t="s">
        <v>855</v>
      </c>
      <c r="SQ1" s="65" t="s">
        <v>856</v>
      </c>
      <c r="SR1" s="65" t="s">
        <v>857</v>
      </c>
      <c r="SS1" s="65" t="s">
        <v>858</v>
      </c>
      <c r="ST1" s="65" t="s">
        <v>859</v>
      </c>
      <c r="SU1" s="65" t="s">
        <v>860</v>
      </c>
      <c r="SV1" s="65" t="s">
        <v>861</v>
      </c>
      <c r="SW1" s="65" t="s">
        <v>862</v>
      </c>
      <c r="SX1" s="65" t="s">
        <v>863</v>
      </c>
      <c r="SY1" s="65" t="s">
        <v>864</v>
      </c>
      <c r="SZ1" s="65" t="s">
        <v>865</v>
      </c>
      <c r="TA1" s="65" t="s">
        <v>866</v>
      </c>
      <c r="TB1" s="65" t="s">
        <v>867</v>
      </c>
      <c r="TC1" s="65" t="s">
        <v>868</v>
      </c>
      <c r="TD1" s="65" t="s">
        <v>869</v>
      </c>
      <c r="TE1" s="65" t="s">
        <v>870</v>
      </c>
      <c r="TF1" s="65" t="s">
        <v>871</v>
      </c>
      <c r="TG1" s="65" t="s">
        <v>872</v>
      </c>
      <c r="TH1" s="65" t="s">
        <v>873</v>
      </c>
      <c r="TI1" s="65" t="s">
        <v>874</v>
      </c>
      <c r="TJ1" s="65" t="s">
        <v>875</v>
      </c>
      <c r="TK1" s="65" t="s">
        <v>876</v>
      </c>
      <c r="TL1" s="65" t="s">
        <v>877</v>
      </c>
      <c r="TM1" s="65" t="s">
        <v>878</v>
      </c>
      <c r="TN1" s="65" t="s">
        <v>879</v>
      </c>
      <c r="TO1" s="65" t="s">
        <v>880</v>
      </c>
      <c r="TP1" s="65" t="s">
        <v>881</v>
      </c>
      <c r="TQ1" s="65" t="s">
        <v>882</v>
      </c>
      <c r="TR1" s="65" t="s">
        <v>883</v>
      </c>
      <c r="TS1" s="65" t="s">
        <v>884</v>
      </c>
      <c r="TT1" s="65" t="s">
        <v>885</v>
      </c>
      <c r="TU1" s="65" t="s">
        <v>886</v>
      </c>
      <c r="TV1" s="65" t="s">
        <v>887</v>
      </c>
      <c r="TW1" s="65" t="s">
        <v>888</v>
      </c>
      <c r="TX1" s="65" t="s">
        <v>889</v>
      </c>
      <c r="TY1" s="65" t="s">
        <v>890</v>
      </c>
      <c r="TZ1" s="65" t="s">
        <v>891</v>
      </c>
      <c r="UA1" s="65" t="s">
        <v>892</v>
      </c>
      <c r="UB1" s="65" t="s">
        <v>893</v>
      </c>
      <c r="UC1" s="65" t="s">
        <v>894</v>
      </c>
      <c r="UD1" s="65" t="s">
        <v>895</v>
      </c>
      <c r="UE1" s="65" t="s">
        <v>896</v>
      </c>
      <c r="UF1" s="65" t="s">
        <v>897</v>
      </c>
      <c r="UG1" s="65" t="s">
        <v>898</v>
      </c>
      <c r="UH1" s="65" t="s">
        <v>899</v>
      </c>
      <c r="UI1" s="65" t="s">
        <v>900</v>
      </c>
      <c r="UJ1" s="65" t="s">
        <v>901</v>
      </c>
      <c r="UK1" s="65" t="s">
        <v>902</v>
      </c>
      <c r="UL1" s="65" t="s">
        <v>903</v>
      </c>
      <c r="UM1" s="65" t="s">
        <v>904</v>
      </c>
      <c r="UN1" s="65" t="s">
        <v>905</v>
      </c>
      <c r="UO1" s="65" t="s">
        <v>906</v>
      </c>
      <c r="UP1" s="65" t="s">
        <v>907</v>
      </c>
      <c r="UQ1" s="65" t="s">
        <v>908</v>
      </c>
      <c r="UR1" s="65" t="s">
        <v>909</v>
      </c>
      <c r="US1" s="65" t="s">
        <v>910</v>
      </c>
      <c r="UT1" s="65" t="s">
        <v>911</v>
      </c>
      <c r="UU1" s="65" t="s">
        <v>912</v>
      </c>
      <c r="UV1" s="65" t="s">
        <v>913</v>
      </c>
      <c r="UW1" s="65" t="s">
        <v>914</v>
      </c>
      <c r="UX1" s="65" t="s">
        <v>915</v>
      </c>
      <c r="UY1" s="65" t="s">
        <v>916</v>
      </c>
      <c r="UZ1" s="65" t="s">
        <v>917</v>
      </c>
      <c r="VA1" s="65" t="s">
        <v>918</v>
      </c>
      <c r="VB1" s="65" t="s">
        <v>919</v>
      </c>
      <c r="VC1" s="65" t="s">
        <v>920</v>
      </c>
      <c r="VD1" s="65" t="s">
        <v>921</v>
      </c>
      <c r="VE1" s="65" t="s">
        <v>922</v>
      </c>
      <c r="VF1" s="65" t="s">
        <v>923</v>
      </c>
      <c r="VG1" s="65" t="s">
        <v>924</v>
      </c>
      <c r="VH1" s="65" t="s">
        <v>925</v>
      </c>
      <c r="VI1" s="65" t="s">
        <v>926</v>
      </c>
      <c r="VJ1" s="65" t="s">
        <v>927</v>
      </c>
      <c r="VK1" s="65" t="s">
        <v>928</v>
      </c>
      <c r="VL1" s="65" t="s">
        <v>929</v>
      </c>
      <c r="VM1" s="65" t="s">
        <v>930</v>
      </c>
      <c r="VN1" s="65" t="s">
        <v>931</v>
      </c>
      <c r="VO1" s="65" t="s">
        <v>932</v>
      </c>
      <c r="VP1" s="65" t="s">
        <v>933</v>
      </c>
      <c r="VQ1" s="65" t="s">
        <v>934</v>
      </c>
      <c r="VR1" s="65" t="s">
        <v>935</v>
      </c>
      <c r="VS1" s="65" t="s">
        <v>936</v>
      </c>
      <c r="VT1" s="65" t="s">
        <v>937</v>
      </c>
      <c r="VU1" s="65" t="s">
        <v>938</v>
      </c>
      <c r="VV1" s="65" t="s">
        <v>939</v>
      </c>
      <c r="VW1" s="65" t="s">
        <v>940</v>
      </c>
      <c r="VX1" s="65" t="s">
        <v>941</v>
      </c>
      <c r="VY1" s="65" t="s">
        <v>942</v>
      </c>
      <c r="VZ1" s="65" t="s">
        <v>943</v>
      </c>
      <c r="WA1" s="65" t="s">
        <v>944</v>
      </c>
      <c r="WB1" s="65" t="s">
        <v>945</v>
      </c>
      <c r="WC1" s="65" t="s">
        <v>946</v>
      </c>
      <c r="WD1" s="65" t="s">
        <v>947</v>
      </c>
      <c r="WE1" s="65" t="s">
        <v>948</v>
      </c>
      <c r="WF1" s="65" t="s">
        <v>949</v>
      </c>
      <c r="WG1" s="65" t="s">
        <v>950</v>
      </c>
      <c r="WH1" s="65" t="s">
        <v>951</v>
      </c>
      <c r="WI1" s="65" t="s">
        <v>952</v>
      </c>
      <c r="WJ1" s="65" t="s">
        <v>953</v>
      </c>
      <c r="WK1" s="65" t="s">
        <v>954</v>
      </c>
      <c r="WL1" s="65" t="s">
        <v>955</v>
      </c>
      <c r="WM1" s="65" t="s">
        <v>956</v>
      </c>
      <c r="WN1" s="65" t="s">
        <v>957</v>
      </c>
      <c r="WO1" s="65" t="s">
        <v>958</v>
      </c>
      <c r="WP1" s="65" t="s">
        <v>959</v>
      </c>
      <c r="WQ1" s="65" t="s">
        <v>960</v>
      </c>
      <c r="WR1" s="65" t="s">
        <v>961</v>
      </c>
      <c r="WS1" s="65" t="s">
        <v>962</v>
      </c>
      <c r="WT1" s="65" t="s">
        <v>963</v>
      </c>
      <c r="WU1" s="65" t="s">
        <v>964</v>
      </c>
      <c r="WV1" s="65" t="s">
        <v>965</v>
      </c>
      <c r="WW1" s="65" t="s">
        <v>966</v>
      </c>
      <c r="WX1" s="65" t="s">
        <v>967</v>
      </c>
      <c r="WY1" s="65" t="s">
        <v>968</v>
      </c>
      <c r="WZ1" s="65" t="s">
        <v>969</v>
      </c>
      <c r="XA1" s="65" t="s">
        <v>970</v>
      </c>
      <c r="XB1" s="65" t="s">
        <v>971</v>
      </c>
      <c r="XC1" s="65" t="s">
        <v>972</v>
      </c>
      <c r="XD1" s="65" t="s">
        <v>973</v>
      </c>
      <c r="XE1" s="65" t="s">
        <v>974</v>
      </c>
      <c r="XF1" s="65" t="s">
        <v>975</v>
      </c>
      <c r="XG1" s="65" t="s">
        <v>976</v>
      </c>
      <c r="XH1" s="65" t="s">
        <v>977</v>
      </c>
      <c r="XI1" s="65" t="s">
        <v>978</v>
      </c>
      <c r="XJ1" s="65" t="s">
        <v>979</v>
      </c>
      <c r="XK1" s="65" t="s">
        <v>980</v>
      </c>
      <c r="XL1" s="65" t="s">
        <v>981</v>
      </c>
      <c r="XM1" s="65" t="s">
        <v>982</v>
      </c>
      <c r="XN1" s="65" t="s">
        <v>983</v>
      </c>
      <c r="XO1" s="65" t="s">
        <v>984</v>
      </c>
      <c r="XP1" s="65" t="s">
        <v>985</v>
      </c>
      <c r="XQ1" s="65" t="s">
        <v>986</v>
      </c>
      <c r="XR1" s="65" t="s">
        <v>987</v>
      </c>
      <c r="XS1" s="65" t="s">
        <v>988</v>
      </c>
      <c r="XT1" s="65" t="s">
        <v>989</v>
      </c>
      <c r="XU1" s="65" t="s">
        <v>990</v>
      </c>
      <c r="XV1" s="65" t="s">
        <v>991</v>
      </c>
      <c r="XW1" s="65" t="s">
        <v>992</v>
      </c>
      <c r="XX1" s="65" t="s">
        <v>993</v>
      </c>
      <c r="XY1" s="65" t="s">
        <v>994</v>
      </c>
      <c r="XZ1" s="65" t="s">
        <v>995</v>
      </c>
      <c r="YA1" s="65" t="s">
        <v>996</v>
      </c>
      <c r="YB1" s="65" t="s">
        <v>997</v>
      </c>
      <c r="YC1" s="65" t="s">
        <v>998</v>
      </c>
      <c r="YD1" s="65" t="s">
        <v>999</v>
      </c>
      <c r="YE1" s="65" t="s">
        <v>1000</v>
      </c>
      <c r="YF1" s="65" t="s">
        <v>1001</v>
      </c>
      <c r="YG1" s="65" t="s">
        <v>1002</v>
      </c>
      <c r="YH1" s="65" t="s">
        <v>1003</v>
      </c>
      <c r="YI1" s="65" t="s">
        <v>1004</v>
      </c>
      <c r="YJ1" s="65" t="s">
        <v>1005</v>
      </c>
      <c r="YK1" s="65" t="s">
        <v>1006</v>
      </c>
      <c r="YL1" s="65" t="s">
        <v>1007</v>
      </c>
      <c r="YM1" s="65" t="s">
        <v>1008</v>
      </c>
      <c r="YN1" s="65" t="s">
        <v>1009</v>
      </c>
      <c r="YO1" s="65" t="s">
        <v>1010</v>
      </c>
      <c r="YP1" s="65" t="s">
        <v>1011</v>
      </c>
      <c r="YQ1" s="65" t="s">
        <v>1012</v>
      </c>
      <c r="YR1" s="65" t="s">
        <v>1013</v>
      </c>
      <c r="YS1" s="65" t="s">
        <v>1014</v>
      </c>
      <c r="YT1" s="65" t="s">
        <v>1015</v>
      </c>
      <c r="YU1" s="65" t="s">
        <v>1016</v>
      </c>
      <c r="YV1" s="65" t="s">
        <v>1017</v>
      </c>
      <c r="YW1" s="65" t="s">
        <v>1018</v>
      </c>
      <c r="YX1" s="65" t="s">
        <v>1019</v>
      </c>
      <c r="YY1" s="65" t="s">
        <v>1020</v>
      </c>
      <c r="YZ1" s="65" t="s">
        <v>1021</v>
      </c>
      <c r="ZA1" s="65" t="s">
        <v>1022</v>
      </c>
      <c r="ZB1" s="65" t="s">
        <v>1023</v>
      </c>
      <c r="ZC1" s="65" t="s">
        <v>1024</v>
      </c>
      <c r="ZD1" s="65" t="s">
        <v>1025</v>
      </c>
      <c r="ZE1" s="65" t="s">
        <v>1026</v>
      </c>
      <c r="ZF1" s="65" t="s">
        <v>1027</v>
      </c>
      <c r="ZG1" s="65" t="s">
        <v>1028</v>
      </c>
      <c r="ZH1" s="65" t="s">
        <v>1029</v>
      </c>
      <c r="ZI1" s="65" t="s">
        <v>1030</v>
      </c>
      <c r="ZJ1" s="65" t="s">
        <v>1031</v>
      </c>
      <c r="ZK1" s="65" t="s">
        <v>1032</v>
      </c>
      <c r="ZL1" s="65" t="s">
        <v>1033</v>
      </c>
      <c r="ZM1" s="65" t="s">
        <v>1034</v>
      </c>
      <c r="ZN1" s="65" t="s">
        <v>1035</v>
      </c>
      <c r="ZO1" s="65" t="s">
        <v>1036</v>
      </c>
      <c r="ZP1" s="65" t="s">
        <v>1037</v>
      </c>
      <c r="ZQ1" s="65" t="s">
        <v>1038</v>
      </c>
      <c r="ZR1" s="65" t="s">
        <v>1039</v>
      </c>
      <c r="ZS1" s="65" t="s">
        <v>1040</v>
      </c>
      <c r="ZT1" s="65" t="s">
        <v>1041</v>
      </c>
      <c r="ZU1" s="65" t="s">
        <v>1042</v>
      </c>
      <c r="ZV1" s="65" t="s">
        <v>1043</v>
      </c>
      <c r="ZW1" s="65" t="s">
        <v>1044</v>
      </c>
      <c r="ZX1" s="65" t="s">
        <v>1045</v>
      </c>
      <c r="ZY1" s="65" t="s">
        <v>1046</v>
      </c>
      <c r="ZZ1" s="65" t="s">
        <v>1047</v>
      </c>
      <c r="AAA1" s="65" t="s">
        <v>1048</v>
      </c>
      <c r="AAB1" s="65" t="s">
        <v>1049</v>
      </c>
      <c r="AAC1" s="65" t="s">
        <v>1050</v>
      </c>
      <c r="AAD1" s="65" t="s">
        <v>1051</v>
      </c>
      <c r="AAE1" s="65" t="s">
        <v>1052</v>
      </c>
      <c r="AAF1" s="65" t="s">
        <v>1053</v>
      </c>
      <c r="AAG1" s="65" t="s">
        <v>1054</v>
      </c>
      <c r="AAH1" s="65" t="s">
        <v>1055</v>
      </c>
      <c r="AAI1" s="65" t="s">
        <v>1056</v>
      </c>
      <c r="AAJ1" s="65" t="s">
        <v>1057</v>
      </c>
      <c r="AAK1" s="65" t="s">
        <v>1058</v>
      </c>
      <c r="AAL1" s="65" t="s">
        <v>1059</v>
      </c>
      <c r="AAM1" s="65" t="s">
        <v>1060</v>
      </c>
      <c r="AAN1" s="65" t="s">
        <v>1061</v>
      </c>
      <c r="AAO1" s="65" t="s">
        <v>1062</v>
      </c>
      <c r="AAP1" s="65" t="s">
        <v>1063</v>
      </c>
      <c r="AAQ1" s="65" t="s">
        <v>1064</v>
      </c>
      <c r="AAR1" s="65" t="s">
        <v>1065</v>
      </c>
      <c r="AAS1" s="65" t="s">
        <v>1066</v>
      </c>
      <c r="AAT1" s="65" t="s">
        <v>1067</v>
      </c>
      <c r="AAU1" s="65" t="s">
        <v>1068</v>
      </c>
      <c r="AAV1" s="65" t="s">
        <v>1069</v>
      </c>
      <c r="AAW1" s="65" t="s">
        <v>1070</v>
      </c>
      <c r="AAX1" s="65" t="s">
        <v>1071</v>
      </c>
      <c r="AAY1" s="65" t="s">
        <v>1072</v>
      </c>
      <c r="AAZ1" s="65" t="s">
        <v>1073</v>
      </c>
      <c r="ABA1" s="65" t="s">
        <v>1074</v>
      </c>
      <c r="ABB1" s="65" t="s">
        <v>1075</v>
      </c>
      <c r="ABC1" s="65" t="s">
        <v>1076</v>
      </c>
      <c r="ABD1" s="65" t="s">
        <v>1077</v>
      </c>
      <c r="ABE1" s="65" t="s">
        <v>1078</v>
      </c>
      <c r="ABF1" s="65" t="s">
        <v>1079</v>
      </c>
      <c r="ABG1" s="65" t="s">
        <v>1080</v>
      </c>
      <c r="ABH1" s="65" t="s">
        <v>1081</v>
      </c>
      <c r="ABI1" s="65" t="s">
        <v>1082</v>
      </c>
      <c r="ABJ1" s="65" t="s">
        <v>1083</v>
      </c>
      <c r="ABK1" s="65" t="s">
        <v>1084</v>
      </c>
      <c r="ABL1" s="65" t="s">
        <v>1085</v>
      </c>
      <c r="ABM1" s="65" t="s">
        <v>1086</v>
      </c>
      <c r="ABN1" s="65" t="s">
        <v>1087</v>
      </c>
      <c r="ABO1" s="65" t="s">
        <v>1088</v>
      </c>
      <c r="ABP1" s="65" t="s">
        <v>1089</v>
      </c>
      <c r="ABQ1" s="65" t="s">
        <v>1090</v>
      </c>
      <c r="ABR1" s="65" t="s">
        <v>1091</v>
      </c>
      <c r="ABS1" s="65" t="s">
        <v>1092</v>
      </c>
      <c r="ABT1" s="65" t="s">
        <v>1093</v>
      </c>
      <c r="ABU1" s="65" t="s">
        <v>1094</v>
      </c>
      <c r="ABV1" s="65" t="s">
        <v>1095</v>
      </c>
      <c r="ABW1" s="65" t="s">
        <v>1096</v>
      </c>
      <c r="ABX1" s="65" t="s">
        <v>1097</v>
      </c>
      <c r="ABY1" s="65" t="s">
        <v>1098</v>
      </c>
      <c r="ABZ1" s="65" t="s">
        <v>1099</v>
      </c>
      <c r="ACA1" s="65" t="s">
        <v>1100</v>
      </c>
      <c r="ACB1" s="65" t="s">
        <v>1101</v>
      </c>
      <c r="ACC1" s="65" t="s">
        <v>1102</v>
      </c>
      <c r="ACD1" s="65" t="s">
        <v>1103</v>
      </c>
      <c r="ACE1" s="65" t="s">
        <v>1104</v>
      </c>
      <c r="ACF1" s="65" t="s">
        <v>1105</v>
      </c>
      <c r="ACG1" s="65" t="s">
        <v>1106</v>
      </c>
      <c r="ACH1" s="65" t="s">
        <v>1107</v>
      </c>
      <c r="ACI1" s="65" t="s">
        <v>1108</v>
      </c>
      <c r="ACJ1" s="65" t="s">
        <v>1109</v>
      </c>
      <c r="ACK1" s="65" t="s">
        <v>1110</v>
      </c>
      <c r="ACL1" s="65" t="s">
        <v>1111</v>
      </c>
      <c r="ACM1" s="65" t="s">
        <v>1112</v>
      </c>
      <c r="ACN1" s="65" t="s">
        <v>1113</v>
      </c>
      <c r="ACO1" s="65" t="s">
        <v>1114</v>
      </c>
      <c r="ACP1" s="65" t="s">
        <v>1115</v>
      </c>
      <c r="ACQ1" s="65" t="s">
        <v>1116</v>
      </c>
      <c r="ACR1" s="65" t="s">
        <v>1117</v>
      </c>
      <c r="ACS1" s="65" t="s">
        <v>1118</v>
      </c>
      <c r="ACT1" s="65" t="s">
        <v>1119</v>
      </c>
      <c r="ACU1" s="65" t="s">
        <v>1120</v>
      </c>
      <c r="ACV1" s="65" t="s">
        <v>1121</v>
      </c>
      <c r="ACW1" s="65" t="s">
        <v>1122</v>
      </c>
      <c r="ACX1" s="65" t="s">
        <v>1123</v>
      </c>
      <c r="ACY1" s="65" t="s">
        <v>1124</v>
      </c>
      <c r="ACZ1" s="65" t="s">
        <v>1125</v>
      </c>
      <c r="ADA1" s="65" t="s">
        <v>1126</v>
      </c>
      <c r="ADB1" s="65" t="s">
        <v>1127</v>
      </c>
      <c r="ADC1" s="65" t="s">
        <v>1128</v>
      </c>
      <c r="ADD1" s="65" t="s">
        <v>1129</v>
      </c>
      <c r="ADE1" s="65" t="s">
        <v>1130</v>
      </c>
      <c r="ADF1" s="65" t="s">
        <v>1131</v>
      </c>
      <c r="ADG1" s="65" t="s">
        <v>1132</v>
      </c>
      <c r="ADH1" s="65" t="s">
        <v>1133</v>
      </c>
      <c r="ADI1" s="65" t="s">
        <v>1134</v>
      </c>
      <c r="ADJ1" s="65" t="s">
        <v>1135</v>
      </c>
      <c r="ADK1" s="65" t="s">
        <v>1136</v>
      </c>
      <c r="ADL1" s="65" t="s">
        <v>1137</v>
      </c>
      <c r="ADM1" s="65" t="s">
        <v>1138</v>
      </c>
      <c r="ADN1" s="65" t="s">
        <v>1139</v>
      </c>
      <c r="ADO1" s="65" t="s">
        <v>1140</v>
      </c>
      <c r="ADP1" s="65" t="s">
        <v>1141</v>
      </c>
      <c r="ADQ1" s="65" t="s">
        <v>1142</v>
      </c>
      <c r="ADR1" s="65" t="s">
        <v>1143</v>
      </c>
      <c r="ADS1" s="65" t="s">
        <v>1144</v>
      </c>
      <c r="ADT1" s="65" t="s">
        <v>1145</v>
      </c>
      <c r="ADU1" s="65" t="s">
        <v>1146</v>
      </c>
      <c r="ADV1" s="65" t="s">
        <v>1147</v>
      </c>
      <c r="ADW1" s="65" t="s">
        <v>1148</v>
      </c>
      <c r="ADX1" s="65" t="s">
        <v>1149</v>
      </c>
      <c r="ADY1" s="65" t="s">
        <v>1150</v>
      </c>
      <c r="ADZ1" s="65" t="s">
        <v>1151</v>
      </c>
      <c r="AEA1" s="65" t="s">
        <v>1152</v>
      </c>
      <c r="AEB1" s="65" t="s">
        <v>1153</v>
      </c>
      <c r="AEC1" s="65" t="s">
        <v>1154</v>
      </c>
      <c r="AED1" s="65" t="s">
        <v>1155</v>
      </c>
      <c r="AEE1" s="65" t="s">
        <v>1156</v>
      </c>
      <c r="AEF1" s="65" t="s">
        <v>1157</v>
      </c>
      <c r="AEG1" s="65" t="s">
        <v>1158</v>
      </c>
      <c r="AEH1" s="65" t="s">
        <v>1159</v>
      </c>
      <c r="AEI1" s="65" t="s">
        <v>1160</v>
      </c>
      <c r="AEJ1" s="65" t="s">
        <v>1161</v>
      </c>
      <c r="AEK1" s="65" t="s">
        <v>1162</v>
      </c>
      <c r="AEL1" s="65" t="s">
        <v>1163</v>
      </c>
      <c r="AEM1" s="65" t="s">
        <v>1164</v>
      </c>
      <c r="AEN1" s="65" t="s">
        <v>1165</v>
      </c>
      <c r="AEO1" s="65" t="s">
        <v>1166</v>
      </c>
      <c r="AEP1" s="65" t="s">
        <v>1167</v>
      </c>
      <c r="AEQ1" s="65" t="s">
        <v>1168</v>
      </c>
      <c r="AER1" s="65" t="s">
        <v>1169</v>
      </c>
      <c r="AES1" s="65" t="s">
        <v>1170</v>
      </c>
      <c r="AET1" s="65" t="s">
        <v>1171</v>
      </c>
      <c r="AEU1" s="65" t="s">
        <v>1172</v>
      </c>
      <c r="AEV1" s="65" t="s">
        <v>1173</v>
      </c>
      <c r="AEW1" s="65" t="s">
        <v>1174</v>
      </c>
      <c r="AEX1" s="65" t="s">
        <v>1175</v>
      </c>
      <c r="AEY1" s="65" t="s">
        <v>1176</v>
      </c>
      <c r="AEZ1" s="65" t="s">
        <v>1177</v>
      </c>
      <c r="AFA1" s="65" t="s">
        <v>1178</v>
      </c>
      <c r="AFB1" s="65" t="s">
        <v>1179</v>
      </c>
      <c r="AFC1" s="65" t="s">
        <v>1180</v>
      </c>
      <c r="AFD1" s="65" t="s">
        <v>1181</v>
      </c>
      <c r="AFE1" s="65" t="s">
        <v>1182</v>
      </c>
      <c r="AFF1" s="65" t="s">
        <v>1183</v>
      </c>
      <c r="AFG1" s="65" t="s">
        <v>1184</v>
      </c>
      <c r="AFH1" s="65" t="s">
        <v>1185</v>
      </c>
      <c r="AFI1" s="65" t="s">
        <v>1186</v>
      </c>
      <c r="AFJ1" s="65" t="s">
        <v>1187</v>
      </c>
      <c r="AFK1" s="65" t="s">
        <v>1188</v>
      </c>
      <c r="AFL1" s="65" t="s">
        <v>1189</v>
      </c>
      <c r="AFM1" s="65" t="s">
        <v>1190</v>
      </c>
      <c r="AFN1" s="65" t="s">
        <v>1191</v>
      </c>
      <c r="AFO1" s="65" t="s">
        <v>1192</v>
      </c>
      <c r="AFP1" s="65" t="s">
        <v>1193</v>
      </c>
      <c r="AFQ1" s="65" t="s">
        <v>1194</v>
      </c>
      <c r="AFR1" s="65" t="s">
        <v>1195</v>
      </c>
      <c r="AFS1" s="65" t="s">
        <v>1196</v>
      </c>
      <c r="AFT1" s="65" t="s">
        <v>1197</v>
      </c>
      <c r="AFU1" s="65" t="s">
        <v>1198</v>
      </c>
      <c r="AFV1" s="65" t="s">
        <v>1199</v>
      </c>
      <c r="AFW1" s="65" t="s">
        <v>1200</v>
      </c>
      <c r="AFX1" s="65" t="s">
        <v>1201</v>
      </c>
      <c r="AFY1" s="65" t="s">
        <v>1202</v>
      </c>
      <c r="AFZ1" s="65" t="s">
        <v>1203</v>
      </c>
      <c r="AGA1" s="65" t="s">
        <v>1204</v>
      </c>
      <c r="AGB1" s="65" t="s">
        <v>1205</v>
      </c>
      <c r="AGC1" s="65" t="s">
        <v>1206</v>
      </c>
      <c r="AGD1" s="65" t="s">
        <v>1207</v>
      </c>
      <c r="AGE1" s="65" t="s">
        <v>1208</v>
      </c>
      <c r="AGF1" s="65" t="s">
        <v>1209</v>
      </c>
      <c r="AGG1" s="65" t="s">
        <v>1210</v>
      </c>
      <c r="AGH1" s="65" t="s">
        <v>1211</v>
      </c>
      <c r="AGI1" s="65" t="s">
        <v>1212</v>
      </c>
      <c r="AGJ1" s="65" t="s">
        <v>1213</v>
      </c>
      <c r="AGK1" s="65" t="s">
        <v>1214</v>
      </c>
      <c r="AGL1" s="65" t="s">
        <v>1215</v>
      </c>
      <c r="AGM1" s="65" t="s">
        <v>1216</v>
      </c>
      <c r="AGN1" s="65" t="s">
        <v>1217</v>
      </c>
      <c r="AGO1" s="65" t="s">
        <v>1218</v>
      </c>
      <c r="AGP1" s="65" t="s">
        <v>1219</v>
      </c>
      <c r="AGQ1" s="65" t="s">
        <v>1220</v>
      </c>
      <c r="AGR1" s="65" t="s">
        <v>1221</v>
      </c>
      <c r="AGS1" s="65" t="s">
        <v>1222</v>
      </c>
      <c r="AGT1" s="65" t="s">
        <v>1223</v>
      </c>
      <c r="AGU1" s="65" t="s">
        <v>1224</v>
      </c>
      <c r="AGV1" s="65" t="s">
        <v>1225</v>
      </c>
      <c r="AGW1" s="65" t="s">
        <v>1226</v>
      </c>
      <c r="AGX1" s="65" t="s">
        <v>1227</v>
      </c>
      <c r="AGY1" s="65" t="s">
        <v>1228</v>
      </c>
      <c r="AGZ1" s="65" t="s">
        <v>1229</v>
      </c>
      <c r="AHA1" s="65" t="s">
        <v>1230</v>
      </c>
      <c r="AHB1" s="65" t="s">
        <v>1231</v>
      </c>
      <c r="AHC1" s="65" t="s">
        <v>1232</v>
      </c>
      <c r="AHD1" s="65" t="s">
        <v>1233</v>
      </c>
      <c r="AHE1" s="65" t="s">
        <v>1234</v>
      </c>
      <c r="AHF1" s="65" t="s">
        <v>1235</v>
      </c>
      <c r="AHG1" s="65" t="s">
        <v>1236</v>
      </c>
      <c r="AHH1" s="65" t="s">
        <v>1237</v>
      </c>
      <c r="AHI1" s="65" t="s">
        <v>1238</v>
      </c>
      <c r="AHJ1" s="65" t="s">
        <v>1239</v>
      </c>
      <c r="AHK1" s="65" t="s">
        <v>1240</v>
      </c>
      <c r="AHL1" s="65" t="s">
        <v>1241</v>
      </c>
      <c r="AHM1" s="65" t="s">
        <v>1242</v>
      </c>
      <c r="AHN1" s="65" t="s">
        <v>1243</v>
      </c>
      <c r="AHO1" s="65" t="s">
        <v>1244</v>
      </c>
      <c r="AHP1" s="65" t="s">
        <v>1245</v>
      </c>
      <c r="AHQ1" s="65" t="s">
        <v>1246</v>
      </c>
      <c r="AHR1" s="65" t="s">
        <v>1247</v>
      </c>
      <c r="AHS1" s="65" t="s">
        <v>1248</v>
      </c>
      <c r="AHT1" s="65" t="s">
        <v>1249</v>
      </c>
      <c r="AHU1" s="65" t="s">
        <v>1250</v>
      </c>
      <c r="AHV1" s="65" t="s">
        <v>1251</v>
      </c>
      <c r="AHW1" s="65" t="s">
        <v>1252</v>
      </c>
      <c r="AHX1" s="65" t="s">
        <v>1253</v>
      </c>
      <c r="AHY1" s="65" t="s">
        <v>1254</v>
      </c>
      <c r="AHZ1" s="65" t="s">
        <v>1255</v>
      </c>
      <c r="AIA1" s="65" t="s">
        <v>1256</v>
      </c>
      <c r="AIB1" s="65" t="s">
        <v>1257</v>
      </c>
      <c r="AIC1" s="65" t="s">
        <v>1258</v>
      </c>
      <c r="AID1" s="65" t="s">
        <v>1259</v>
      </c>
      <c r="AIE1" s="65" t="s">
        <v>1260</v>
      </c>
      <c r="AIF1" s="65" t="s">
        <v>1261</v>
      </c>
      <c r="AIG1" s="65" t="s">
        <v>1262</v>
      </c>
      <c r="AIH1" s="65" t="s">
        <v>1263</v>
      </c>
      <c r="AII1" s="65" t="s">
        <v>1264</v>
      </c>
      <c r="AIJ1" s="65" t="s">
        <v>1265</v>
      </c>
      <c r="AIK1" s="65" t="s">
        <v>1266</v>
      </c>
      <c r="AIL1" s="65" t="s">
        <v>1267</v>
      </c>
      <c r="AIM1" s="65" t="s">
        <v>1268</v>
      </c>
      <c r="AIN1" s="65" t="s">
        <v>1269</v>
      </c>
      <c r="AIO1" s="65" t="s">
        <v>1270</v>
      </c>
      <c r="AIP1" s="65" t="s">
        <v>1271</v>
      </c>
      <c r="AIQ1" s="65" t="s">
        <v>1272</v>
      </c>
      <c r="AIR1" s="65" t="s">
        <v>1273</v>
      </c>
      <c r="AIS1" s="65" t="s">
        <v>1274</v>
      </c>
      <c r="AIT1" s="65" t="s">
        <v>1275</v>
      </c>
      <c r="AIU1" s="65" t="s">
        <v>1276</v>
      </c>
      <c r="AIV1" s="65" t="s">
        <v>1277</v>
      </c>
      <c r="AIW1" s="65" t="s">
        <v>1278</v>
      </c>
      <c r="AIX1" s="65" t="s">
        <v>1279</v>
      </c>
      <c r="AIY1" s="65" t="s">
        <v>1280</v>
      </c>
      <c r="AIZ1" s="65" t="s">
        <v>1281</v>
      </c>
      <c r="AJA1" s="65" t="s">
        <v>1282</v>
      </c>
      <c r="AJB1" s="65" t="s">
        <v>1283</v>
      </c>
      <c r="AJC1" s="65" t="s">
        <v>1284</v>
      </c>
      <c r="AJD1" s="65" t="s">
        <v>1285</v>
      </c>
      <c r="AJE1" s="65" t="s">
        <v>1286</v>
      </c>
      <c r="AJF1" s="65" t="s">
        <v>1287</v>
      </c>
      <c r="AJG1" s="65" t="s">
        <v>1288</v>
      </c>
      <c r="AJH1" s="65" t="s">
        <v>1289</v>
      </c>
      <c r="AJI1" s="65" t="s">
        <v>1290</v>
      </c>
      <c r="AJJ1" s="65" t="s">
        <v>1291</v>
      </c>
      <c r="AJK1" s="65" t="s">
        <v>1292</v>
      </c>
      <c r="AJL1" s="65" t="s">
        <v>1293</v>
      </c>
      <c r="AJM1" s="65" t="s">
        <v>1294</v>
      </c>
      <c r="AJN1" s="65" t="s">
        <v>1295</v>
      </c>
      <c r="AJO1" s="65" t="s">
        <v>1296</v>
      </c>
      <c r="AJP1" s="65" t="s">
        <v>1297</v>
      </c>
      <c r="AJQ1" s="65" t="s">
        <v>1298</v>
      </c>
      <c r="AJR1" s="65" t="s">
        <v>1299</v>
      </c>
      <c r="AJS1" s="65" t="s">
        <v>1300</v>
      </c>
      <c r="AJT1" s="65" t="s">
        <v>1301</v>
      </c>
      <c r="AJU1" s="65" t="s">
        <v>1302</v>
      </c>
      <c r="AJV1" s="65" t="s">
        <v>1303</v>
      </c>
      <c r="AJW1" s="65" t="s">
        <v>1304</v>
      </c>
      <c r="AJX1" s="65" t="s">
        <v>1305</v>
      </c>
      <c r="AJY1" s="65" t="s">
        <v>1306</v>
      </c>
      <c r="AJZ1" s="65" t="s">
        <v>1307</v>
      </c>
      <c r="AKA1" s="65" t="s">
        <v>1308</v>
      </c>
      <c r="AKB1" s="65" t="s">
        <v>1309</v>
      </c>
      <c r="AKC1" s="65" t="s">
        <v>1310</v>
      </c>
      <c r="AKD1" s="65" t="s">
        <v>1311</v>
      </c>
      <c r="AKE1" s="65" t="s">
        <v>1312</v>
      </c>
      <c r="AKF1" s="65" t="s">
        <v>1313</v>
      </c>
      <c r="AKG1" s="65" t="s">
        <v>1314</v>
      </c>
      <c r="AKH1" s="65" t="s">
        <v>1315</v>
      </c>
      <c r="AKI1" s="65" t="s">
        <v>1316</v>
      </c>
      <c r="AKJ1" s="65" t="s">
        <v>1317</v>
      </c>
      <c r="AKK1" s="65" t="s">
        <v>1318</v>
      </c>
      <c r="AKL1" s="65" t="s">
        <v>1319</v>
      </c>
      <c r="AKM1" s="65" t="s">
        <v>1320</v>
      </c>
      <c r="AKN1" s="65" t="s">
        <v>1321</v>
      </c>
      <c r="AKO1" s="65" t="s">
        <v>1322</v>
      </c>
      <c r="AKP1" s="65" t="s">
        <v>1323</v>
      </c>
      <c r="AKQ1" s="65" t="s">
        <v>1324</v>
      </c>
      <c r="AKR1" s="65" t="s">
        <v>1325</v>
      </c>
      <c r="AKS1" s="65" t="s">
        <v>1326</v>
      </c>
      <c r="AKT1" s="65" t="s">
        <v>1327</v>
      </c>
      <c r="AKU1" s="65" t="s">
        <v>1328</v>
      </c>
      <c r="AKV1" s="65" t="s">
        <v>1329</v>
      </c>
      <c r="AKW1" s="65" t="s">
        <v>1330</v>
      </c>
      <c r="AKX1" s="65" t="s">
        <v>1331</v>
      </c>
      <c r="AKY1" s="65" t="s">
        <v>1332</v>
      </c>
      <c r="AKZ1" s="65" t="s">
        <v>1333</v>
      </c>
      <c r="ALA1" s="65" t="s">
        <v>1334</v>
      </c>
      <c r="ALB1" s="65" t="s">
        <v>1335</v>
      </c>
      <c r="ALC1" s="65" t="s">
        <v>1336</v>
      </c>
      <c r="ALD1" s="65" t="s">
        <v>1337</v>
      </c>
      <c r="ALE1" s="65" t="s">
        <v>1338</v>
      </c>
      <c r="ALF1" s="65" t="s">
        <v>1339</v>
      </c>
      <c r="ALG1" s="65" t="s">
        <v>1340</v>
      </c>
      <c r="ALH1" s="65" t="s">
        <v>1341</v>
      </c>
      <c r="ALI1" s="65" t="s">
        <v>1342</v>
      </c>
      <c r="ALJ1" s="65" t="s">
        <v>1343</v>
      </c>
      <c r="ALK1" s="65" t="s">
        <v>1344</v>
      </c>
      <c r="ALL1" s="65" t="s">
        <v>1345</v>
      </c>
      <c r="ALM1" s="65" t="s">
        <v>1346</v>
      </c>
      <c r="ALN1" s="65" t="s">
        <v>1347</v>
      </c>
      <c r="ALO1" s="65" t="s">
        <v>1348</v>
      </c>
      <c r="ALP1" s="65" t="s">
        <v>1349</v>
      </c>
      <c r="ALQ1" s="65" t="s">
        <v>1350</v>
      </c>
      <c r="ALR1" s="65" t="s">
        <v>1351</v>
      </c>
      <c r="ALS1" s="65" t="s">
        <v>1352</v>
      </c>
      <c r="ALT1" s="65" t="s">
        <v>1353</v>
      </c>
      <c r="ALU1" s="65" t="s">
        <v>1354</v>
      </c>
      <c r="ALV1" s="65" t="s">
        <v>1355</v>
      </c>
      <c r="ALW1" s="65" t="s">
        <v>1356</v>
      </c>
      <c r="ALX1" s="65" t="s">
        <v>1357</v>
      </c>
      <c r="ALY1" s="65" t="s">
        <v>1358</v>
      </c>
      <c r="ALZ1" s="65" t="s">
        <v>1359</v>
      </c>
      <c r="AMA1" s="65" t="s">
        <v>1360</v>
      </c>
      <c r="AMB1" s="65" t="s">
        <v>1361</v>
      </c>
      <c r="AMC1" s="65" t="s">
        <v>1362</v>
      </c>
      <c r="AMD1" s="65" t="s">
        <v>1363</v>
      </c>
      <c r="AME1" s="65" t="s">
        <v>1364</v>
      </c>
      <c r="AMF1" s="65" t="s">
        <v>1365</v>
      </c>
      <c r="AMG1" s="65" t="s">
        <v>1366</v>
      </c>
      <c r="AMH1" s="65" t="s">
        <v>1367</v>
      </c>
      <c r="AMI1" s="65" t="s">
        <v>1368</v>
      </c>
      <c r="AMJ1" s="65" t="s">
        <v>1369</v>
      </c>
      <c r="AMK1" s="65" t="s">
        <v>1370</v>
      </c>
      <c r="AML1" s="65" t="s">
        <v>1371</v>
      </c>
      <c r="AMM1" s="65" t="s">
        <v>1372</v>
      </c>
      <c r="AMN1" s="65" t="s">
        <v>1373</v>
      </c>
      <c r="AMO1" s="65" t="s">
        <v>1374</v>
      </c>
      <c r="AMP1" s="65" t="s">
        <v>1375</v>
      </c>
      <c r="AMQ1" s="65" t="s">
        <v>1376</v>
      </c>
      <c r="AMR1" s="65" t="s">
        <v>1377</v>
      </c>
      <c r="AMS1" s="65" t="s">
        <v>1378</v>
      </c>
      <c r="AMT1" s="65" t="s">
        <v>1379</v>
      </c>
      <c r="AMU1" s="65" t="s">
        <v>1380</v>
      </c>
      <c r="AMV1" s="65" t="s">
        <v>1381</v>
      </c>
      <c r="AMW1" s="65" t="s">
        <v>1382</v>
      </c>
      <c r="AMX1" s="65" t="s">
        <v>1383</v>
      </c>
      <c r="AMY1" s="65" t="s">
        <v>1384</v>
      </c>
      <c r="AMZ1" s="65" t="s">
        <v>1385</v>
      </c>
      <c r="ANA1" s="65" t="s">
        <v>1386</v>
      </c>
      <c r="ANB1" s="65" t="s">
        <v>1387</v>
      </c>
      <c r="ANC1" s="65" t="s">
        <v>1388</v>
      </c>
      <c r="AND1" s="65" t="s">
        <v>1389</v>
      </c>
      <c r="ANE1" s="65" t="s">
        <v>1390</v>
      </c>
      <c r="ANF1" s="65" t="s">
        <v>1391</v>
      </c>
      <c r="ANG1" s="65" t="s">
        <v>1392</v>
      </c>
      <c r="ANH1" s="65" t="s">
        <v>1393</v>
      </c>
      <c r="ANI1" s="65" t="s">
        <v>1394</v>
      </c>
      <c r="ANJ1" s="65" t="s">
        <v>1395</v>
      </c>
      <c r="ANK1" s="65" t="s">
        <v>1396</v>
      </c>
      <c r="ANL1" s="65" t="s">
        <v>1397</v>
      </c>
      <c r="ANM1" s="65" t="s">
        <v>1398</v>
      </c>
      <c r="ANN1" s="65" t="s">
        <v>1399</v>
      </c>
      <c r="ANO1" s="65" t="s">
        <v>1400</v>
      </c>
      <c r="ANP1" s="65" t="s">
        <v>1401</v>
      </c>
      <c r="ANQ1" s="65" t="s">
        <v>1402</v>
      </c>
      <c r="ANR1" s="65" t="s">
        <v>1403</v>
      </c>
      <c r="ANS1" s="65" t="s">
        <v>1404</v>
      </c>
      <c r="ANT1" s="65" t="s">
        <v>1405</v>
      </c>
      <c r="ANU1" s="65" t="s">
        <v>1406</v>
      </c>
      <c r="ANV1" s="65" t="s">
        <v>1407</v>
      </c>
      <c r="ANW1" s="65" t="s">
        <v>1408</v>
      </c>
      <c r="ANX1" s="65" t="s">
        <v>1409</v>
      </c>
      <c r="ANY1" s="65" t="s">
        <v>1410</v>
      </c>
      <c r="ANZ1" s="65" t="s">
        <v>1411</v>
      </c>
      <c r="AOA1" s="65" t="s">
        <v>1412</v>
      </c>
      <c r="AOB1" s="65" t="s">
        <v>1413</v>
      </c>
      <c r="AOC1" s="65" t="s">
        <v>1414</v>
      </c>
      <c r="AOD1" s="65" t="s">
        <v>1415</v>
      </c>
      <c r="AOE1" s="65" t="s">
        <v>1416</v>
      </c>
      <c r="AOF1" s="65" t="s">
        <v>1417</v>
      </c>
      <c r="AOG1" s="65" t="s">
        <v>1418</v>
      </c>
      <c r="AOH1" s="65" t="s">
        <v>1419</v>
      </c>
      <c r="AOI1" s="65" t="s">
        <v>1420</v>
      </c>
      <c r="AOJ1" s="65" t="s">
        <v>1421</v>
      </c>
      <c r="AOK1" s="65" t="s">
        <v>1422</v>
      </c>
      <c r="AOL1" s="65" t="s">
        <v>1423</v>
      </c>
      <c r="AOM1" s="65" t="s">
        <v>1424</v>
      </c>
      <c r="AON1" s="65" t="s">
        <v>1425</v>
      </c>
      <c r="AOO1" s="65" t="s">
        <v>1426</v>
      </c>
      <c r="AOP1" s="65" t="s">
        <v>1427</v>
      </c>
      <c r="AOQ1" s="65" t="s">
        <v>1428</v>
      </c>
      <c r="AOR1" s="65" t="s">
        <v>1429</v>
      </c>
      <c r="AOS1" s="65" t="s">
        <v>1430</v>
      </c>
      <c r="AOT1" s="65" t="s">
        <v>1431</v>
      </c>
      <c r="AOU1" s="65" t="s">
        <v>1432</v>
      </c>
      <c r="AOV1" s="65" t="s">
        <v>1433</v>
      </c>
      <c r="AOW1" s="65" t="s">
        <v>1434</v>
      </c>
      <c r="AOX1" s="65" t="s">
        <v>1435</v>
      </c>
      <c r="AOY1" s="65" t="s">
        <v>1436</v>
      </c>
      <c r="AOZ1" s="65" t="s">
        <v>1437</v>
      </c>
      <c r="APA1" s="65" t="s">
        <v>1438</v>
      </c>
      <c r="APB1" s="65" t="s">
        <v>1439</v>
      </c>
      <c r="APC1" s="65" t="s">
        <v>1440</v>
      </c>
      <c r="APD1" s="65" t="s">
        <v>1441</v>
      </c>
      <c r="APE1" s="65" t="s">
        <v>1442</v>
      </c>
      <c r="APF1" s="65" t="s">
        <v>1443</v>
      </c>
      <c r="APG1" s="65" t="s">
        <v>1444</v>
      </c>
      <c r="APH1" s="65" t="s">
        <v>1445</v>
      </c>
      <c r="API1" s="65" t="s">
        <v>1446</v>
      </c>
      <c r="APJ1" s="65" t="s">
        <v>1447</v>
      </c>
      <c r="APK1" s="65" t="s">
        <v>1448</v>
      </c>
      <c r="APL1" s="65" t="s">
        <v>1449</v>
      </c>
      <c r="APM1" s="65" t="s">
        <v>1450</v>
      </c>
      <c r="APN1" s="65" t="s">
        <v>1451</v>
      </c>
      <c r="APO1" s="65" t="s">
        <v>1452</v>
      </c>
      <c r="APP1" s="65" t="s">
        <v>1453</v>
      </c>
      <c r="APQ1" s="65" t="s">
        <v>1454</v>
      </c>
      <c r="APR1" s="65" t="s">
        <v>1455</v>
      </c>
      <c r="APS1" s="65" t="s">
        <v>1456</v>
      </c>
      <c r="APT1" s="65" t="s">
        <v>1457</v>
      </c>
      <c r="APU1" s="65" t="s">
        <v>1458</v>
      </c>
      <c r="APV1" s="65" t="s">
        <v>1459</v>
      </c>
      <c r="APW1" s="65" t="s">
        <v>1460</v>
      </c>
      <c r="APX1" s="65" t="s">
        <v>1461</v>
      </c>
      <c r="APY1" s="65" t="s">
        <v>1462</v>
      </c>
      <c r="APZ1" s="65" t="s">
        <v>1463</v>
      </c>
      <c r="AQA1" s="65" t="s">
        <v>1464</v>
      </c>
      <c r="AQB1" s="65" t="s">
        <v>1465</v>
      </c>
      <c r="AQC1" s="65" t="s">
        <v>1466</v>
      </c>
      <c r="AQD1" s="65" t="s">
        <v>1467</v>
      </c>
      <c r="AQE1" s="65" t="s">
        <v>1468</v>
      </c>
      <c r="AQF1" s="65" t="s">
        <v>1469</v>
      </c>
      <c r="AQG1" s="65" t="s">
        <v>1470</v>
      </c>
      <c r="AQH1" s="65" t="s">
        <v>1471</v>
      </c>
      <c r="AQI1" s="65" t="s">
        <v>1472</v>
      </c>
      <c r="AQJ1" s="65" t="s">
        <v>1473</v>
      </c>
      <c r="AQK1" s="65" t="s">
        <v>1474</v>
      </c>
      <c r="AQL1" s="65" t="s">
        <v>1475</v>
      </c>
      <c r="AQM1" s="65" t="s">
        <v>1476</v>
      </c>
      <c r="AQN1" s="65" t="s">
        <v>1477</v>
      </c>
      <c r="AQO1" s="65" t="s">
        <v>1478</v>
      </c>
      <c r="AQP1" s="65" t="s">
        <v>1479</v>
      </c>
      <c r="AQQ1" s="65" t="s">
        <v>1480</v>
      </c>
      <c r="AQR1" s="65" t="s">
        <v>1481</v>
      </c>
      <c r="AQS1" s="65" t="s">
        <v>1482</v>
      </c>
      <c r="AQT1" s="65" t="s">
        <v>1483</v>
      </c>
      <c r="AQU1" s="65" t="s">
        <v>1484</v>
      </c>
      <c r="AQV1" s="65" t="s">
        <v>1485</v>
      </c>
      <c r="AQW1" s="65" t="s">
        <v>1486</v>
      </c>
      <c r="AQX1" s="65" t="s">
        <v>1487</v>
      </c>
      <c r="AQY1" s="65" t="s">
        <v>1488</v>
      </c>
      <c r="AQZ1" s="65" t="s">
        <v>1489</v>
      </c>
      <c r="ARA1" s="65" t="s">
        <v>1490</v>
      </c>
      <c r="ARB1" s="65" t="s">
        <v>1491</v>
      </c>
      <c r="ARC1" s="65" t="s">
        <v>1492</v>
      </c>
      <c r="ARD1" s="65" t="s">
        <v>1493</v>
      </c>
      <c r="ARE1" s="65" t="s">
        <v>1494</v>
      </c>
      <c r="ARF1" s="65" t="s">
        <v>1495</v>
      </c>
      <c r="ARG1" s="65" t="s">
        <v>1496</v>
      </c>
      <c r="ARH1" s="65" t="s">
        <v>1497</v>
      </c>
      <c r="ARI1" s="65" t="s">
        <v>1498</v>
      </c>
      <c r="ARJ1" s="65" t="s">
        <v>1499</v>
      </c>
      <c r="ARK1" s="65" t="s">
        <v>1500</v>
      </c>
      <c r="ARL1" s="65" t="s">
        <v>1501</v>
      </c>
      <c r="ARM1" s="65" t="s">
        <v>1502</v>
      </c>
      <c r="ARN1" s="65" t="s">
        <v>1503</v>
      </c>
      <c r="ARO1" s="65" t="s">
        <v>1504</v>
      </c>
      <c r="ARP1" s="65" t="s">
        <v>1505</v>
      </c>
      <c r="ARQ1" s="65" t="s">
        <v>1506</v>
      </c>
      <c r="ARR1" s="65" t="s">
        <v>1507</v>
      </c>
      <c r="ARS1" s="65" t="s">
        <v>1508</v>
      </c>
      <c r="ART1" s="65" t="s">
        <v>1509</v>
      </c>
      <c r="ARU1" s="65" t="s">
        <v>1510</v>
      </c>
      <c r="ARV1" s="65" t="s">
        <v>1511</v>
      </c>
      <c r="ARW1" s="65" t="s">
        <v>1512</v>
      </c>
      <c r="ARX1" s="65" t="s">
        <v>1513</v>
      </c>
      <c r="ARY1" s="65" t="s">
        <v>1514</v>
      </c>
      <c r="ARZ1" s="65" t="s">
        <v>1515</v>
      </c>
      <c r="ASA1" s="65" t="s">
        <v>1516</v>
      </c>
      <c r="ASB1" s="65" t="s">
        <v>1517</v>
      </c>
      <c r="ASC1" s="65" t="s">
        <v>1518</v>
      </c>
      <c r="ASD1" s="65" t="s">
        <v>1519</v>
      </c>
      <c r="ASE1" s="65" t="s">
        <v>1520</v>
      </c>
      <c r="ASF1" s="65" t="s">
        <v>1521</v>
      </c>
      <c r="ASG1" s="65" t="s">
        <v>1522</v>
      </c>
      <c r="ASH1" s="65" t="s">
        <v>1523</v>
      </c>
      <c r="ASI1" s="65" t="s">
        <v>1524</v>
      </c>
      <c r="ASJ1" s="65" t="s">
        <v>1525</v>
      </c>
      <c r="ASK1" s="65" t="s">
        <v>1526</v>
      </c>
      <c r="ASL1" s="65" t="s">
        <v>1527</v>
      </c>
      <c r="ASM1" s="65" t="s">
        <v>1528</v>
      </c>
      <c r="ASN1" s="65" t="s">
        <v>1529</v>
      </c>
      <c r="ASO1" s="65" t="s">
        <v>1530</v>
      </c>
      <c r="ASP1" s="65" t="s">
        <v>1531</v>
      </c>
      <c r="ASQ1" s="65" t="s">
        <v>1532</v>
      </c>
      <c r="ASR1" s="65" t="s">
        <v>1533</v>
      </c>
      <c r="ASS1" s="65" t="s">
        <v>1534</v>
      </c>
      <c r="AST1" s="65" t="s">
        <v>1535</v>
      </c>
      <c r="ASU1" s="65" t="s">
        <v>1536</v>
      </c>
      <c r="ASV1" s="65" t="s">
        <v>1537</v>
      </c>
      <c r="ASW1" s="65" t="s">
        <v>1538</v>
      </c>
      <c r="ASX1" s="65" t="s">
        <v>1539</v>
      </c>
      <c r="ASY1" s="65" t="s">
        <v>1540</v>
      </c>
      <c r="ASZ1" s="65" t="s">
        <v>1541</v>
      </c>
      <c r="ATA1" s="65" t="s">
        <v>1542</v>
      </c>
      <c r="ATB1" s="65" t="s">
        <v>1543</v>
      </c>
      <c r="ATC1" s="65" t="s">
        <v>1544</v>
      </c>
      <c r="ATD1" s="65" t="s">
        <v>1545</v>
      </c>
      <c r="ATE1" s="65" t="s">
        <v>1546</v>
      </c>
      <c r="ATF1" s="65" t="s">
        <v>1547</v>
      </c>
      <c r="ATG1" s="65" t="s">
        <v>1548</v>
      </c>
      <c r="ATH1" s="65" t="s">
        <v>1549</v>
      </c>
      <c r="ATI1" s="65" t="s">
        <v>1550</v>
      </c>
      <c r="ATJ1" s="65" t="s">
        <v>1551</v>
      </c>
      <c r="ATK1" s="65" t="s">
        <v>1552</v>
      </c>
      <c r="ATL1" s="65" t="s">
        <v>1553</v>
      </c>
      <c r="ATM1" s="65" t="s">
        <v>1554</v>
      </c>
      <c r="ATN1" s="65" t="s">
        <v>1555</v>
      </c>
      <c r="ATO1" s="65" t="s">
        <v>1556</v>
      </c>
      <c r="ATP1" s="65" t="s">
        <v>1557</v>
      </c>
      <c r="ATQ1" s="65" t="s">
        <v>1558</v>
      </c>
      <c r="ATR1" s="65" t="s">
        <v>1559</v>
      </c>
      <c r="ATS1" s="65" t="s">
        <v>1560</v>
      </c>
      <c r="ATT1" s="65" t="s">
        <v>1561</v>
      </c>
      <c r="ATU1" s="65" t="s">
        <v>1562</v>
      </c>
      <c r="ATV1" s="65" t="s">
        <v>1563</v>
      </c>
      <c r="ATW1" s="65" t="s">
        <v>1564</v>
      </c>
      <c r="ATX1" s="65" t="s">
        <v>1565</v>
      </c>
      <c r="ATY1" s="65" t="s">
        <v>1566</v>
      </c>
      <c r="ATZ1" s="65" t="s">
        <v>1567</v>
      </c>
      <c r="AUA1" s="65" t="s">
        <v>1568</v>
      </c>
      <c r="AUB1" s="65" t="s">
        <v>1569</v>
      </c>
      <c r="AUC1" s="65" t="s">
        <v>1570</v>
      </c>
      <c r="AUD1" s="65" t="s">
        <v>1571</v>
      </c>
      <c r="AUE1" s="65" t="s">
        <v>1572</v>
      </c>
      <c r="AUF1" s="65" t="s">
        <v>1573</v>
      </c>
      <c r="AUG1" s="65" t="s">
        <v>1574</v>
      </c>
      <c r="AUH1" s="65" t="s">
        <v>1575</v>
      </c>
      <c r="AUI1" s="65" t="s">
        <v>1576</v>
      </c>
      <c r="AUJ1" s="65" t="s">
        <v>1577</v>
      </c>
      <c r="AUK1" s="65" t="s">
        <v>1578</v>
      </c>
      <c r="AUL1" s="65" t="s">
        <v>1579</v>
      </c>
      <c r="AUM1" s="65" t="s">
        <v>1580</v>
      </c>
      <c r="AUN1" s="65" t="s">
        <v>1581</v>
      </c>
      <c r="AUO1" s="65" t="s">
        <v>1582</v>
      </c>
      <c r="AUP1" s="65" t="s">
        <v>1583</v>
      </c>
      <c r="AUQ1" s="65" t="s">
        <v>1584</v>
      </c>
      <c r="AUR1" s="65" t="s">
        <v>1585</v>
      </c>
      <c r="AUS1" s="65" t="s">
        <v>1586</v>
      </c>
      <c r="AUT1" s="65" t="s">
        <v>1587</v>
      </c>
      <c r="AUU1" s="65" t="s">
        <v>1588</v>
      </c>
      <c r="AUV1" s="65" t="s">
        <v>1589</v>
      </c>
      <c r="AUW1" s="65" t="s">
        <v>1590</v>
      </c>
      <c r="AUX1" s="65" t="s">
        <v>1591</v>
      </c>
      <c r="AUY1" s="65" t="s">
        <v>1592</v>
      </c>
      <c r="AUZ1" s="65" t="s">
        <v>1593</v>
      </c>
      <c r="AVA1" s="65" t="s">
        <v>1594</v>
      </c>
      <c r="AVB1" s="65" t="s">
        <v>1595</v>
      </c>
      <c r="AVC1" s="65" t="s">
        <v>1596</v>
      </c>
      <c r="AVD1" s="65" t="s">
        <v>1597</v>
      </c>
      <c r="AVE1" s="65" t="s">
        <v>1598</v>
      </c>
      <c r="AVF1" s="65" t="s">
        <v>1599</v>
      </c>
      <c r="AVG1" s="65" t="s">
        <v>1600</v>
      </c>
      <c r="AVH1" s="65" t="s">
        <v>1601</v>
      </c>
      <c r="AVI1" s="65" t="s">
        <v>1602</v>
      </c>
      <c r="AVJ1" s="65" t="s">
        <v>1603</v>
      </c>
      <c r="AVK1" s="65" t="s">
        <v>1604</v>
      </c>
      <c r="AVL1" s="65" t="s">
        <v>1605</v>
      </c>
      <c r="AVM1" s="65" t="s">
        <v>1606</v>
      </c>
      <c r="AVN1" s="65" t="s">
        <v>1607</v>
      </c>
      <c r="AVO1" s="65" t="s">
        <v>1608</v>
      </c>
      <c r="AVP1" s="65" t="s">
        <v>1609</v>
      </c>
      <c r="AVQ1" s="65" t="s">
        <v>1610</v>
      </c>
      <c r="AVR1" s="65" t="s">
        <v>1611</v>
      </c>
      <c r="AVS1" s="65" t="s">
        <v>1612</v>
      </c>
      <c r="AVT1" s="65" t="s">
        <v>1613</v>
      </c>
      <c r="AVU1" s="65" t="s">
        <v>1614</v>
      </c>
      <c r="AVV1" s="65" t="s">
        <v>1615</v>
      </c>
      <c r="AVW1" s="65" t="s">
        <v>1616</v>
      </c>
      <c r="AVX1" s="65" t="s">
        <v>1617</v>
      </c>
      <c r="AVY1" s="65" t="s">
        <v>1618</v>
      </c>
      <c r="AVZ1" s="65" t="s">
        <v>1619</v>
      </c>
      <c r="AWA1" s="65" t="s">
        <v>1620</v>
      </c>
      <c r="AWB1" s="65" t="s">
        <v>1621</v>
      </c>
      <c r="AWC1" s="65" t="s">
        <v>1622</v>
      </c>
      <c r="AWD1" s="65" t="s">
        <v>1623</v>
      </c>
      <c r="AWE1" s="65" t="s">
        <v>1624</v>
      </c>
      <c r="AWF1" s="65" t="s">
        <v>1625</v>
      </c>
      <c r="AWG1" s="65" t="s">
        <v>1626</v>
      </c>
      <c r="AWH1" s="65" t="s">
        <v>1627</v>
      </c>
      <c r="AWI1" s="65" t="s">
        <v>1628</v>
      </c>
      <c r="AWJ1" s="65" t="s">
        <v>1629</v>
      </c>
      <c r="AWK1" s="65" t="s">
        <v>1630</v>
      </c>
      <c r="AWL1" s="65" t="s">
        <v>1631</v>
      </c>
      <c r="AWM1" s="65" t="s">
        <v>1632</v>
      </c>
      <c r="AWN1" s="65" t="s">
        <v>1633</v>
      </c>
      <c r="AWO1" s="65" t="s">
        <v>1634</v>
      </c>
      <c r="AWP1" s="65" t="s">
        <v>1635</v>
      </c>
      <c r="AWQ1" s="65" t="s">
        <v>1636</v>
      </c>
      <c r="AWR1" s="65" t="s">
        <v>1637</v>
      </c>
      <c r="AWS1" s="65" t="s">
        <v>1638</v>
      </c>
      <c r="AWT1" s="65" t="s">
        <v>1639</v>
      </c>
      <c r="AWU1" s="65" t="s">
        <v>1640</v>
      </c>
      <c r="AWV1" s="65" t="s">
        <v>1641</v>
      </c>
      <c r="AWW1" s="65" t="s">
        <v>1642</v>
      </c>
      <c r="AWX1" s="65" t="s">
        <v>1643</v>
      </c>
      <c r="AWY1" s="65" t="s">
        <v>1644</v>
      </c>
      <c r="AWZ1" s="65" t="s">
        <v>1645</v>
      </c>
      <c r="AXA1" s="65" t="s">
        <v>1646</v>
      </c>
      <c r="AXB1" s="65" t="s">
        <v>1647</v>
      </c>
      <c r="AXC1" s="65" t="s">
        <v>1648</v>
      </c>
      <c r="AXD1" s="65" t="s">
        <v>1649</v>
      </c>
      <c r="AXE1" s="65" t="s">
        <v>1650</v>
      </c>
      <c r="AXF1" s="65" t="s">
        <v>1651</v>
      </c>
      <c r="AXG1" s="65" t="s">
        <v>1652</v>
      </c>
      <c r="AXH1" s="65" t="s">
        <v>1653</v>
      </c>
      <c r="AXI1" s="65" t="s">
        <v>1654</v>
      </c>
      <c r="AXJ1" s="65" t="s">
        <v>1655</v>
      </c>
      <c r="AXK1" s="65" t="s">
        <v>1656</v>
      </c>
      <c r="AXL1" s="65" t="s">
        <v>1657</v>
      </c>
      <c r="AXM1" s="65" t="s">
        <v>1658</v>
      </c>
      <c r="AXN1" s="65" t="s">
        <v>1659</v>
      </c>
      <c r="AXO1" s="65" t="s">
        <v>1660</v>
      </c>
      <c r="AXP1" s="65" t="s">
        <v>1661</v>
      </c>
      <c r="AXQ1" s="65" t="s">
        <v>1662</v>
      </c>
      <c r="AXR1" s="65" t="s">
        <v>1663</v>
      </c>
      <c r="AXS1" s="65" t="s">
        <v>1664</v>
      </c>
      <c r="AXT1" s="65" t="s">
        <v>1665</v>
      </c>
      <c r="AXU1" s="65" t="s">
        <v>1666</v>
      </c>
      <c r="AXV1" s="65" t="s">
        <v>1667</v>
      </c>
      <c r="AXW1" s="65" t="s">
        <v>1668</v>
      </c>
      <c r="AXX1" s="65" t="s">
        <v>1669</v>
      </c>
      <c r="AXY1" s="65" t="s">
        <v>1670</v>
      </c>
      <c r="AXZ1" s="65" t="s">
        <v>1671</v>
      </c>
      <c r="AYA1" s="65" t="s">
        <v>1672</v>
      </c>
      <c r="AYB1" s="65" t="s">
        <v>1673</v>
      </c>
      <c r="AYC1" s="65" t="s">
        <v>1674</v>
      </c>
      <c r="AYD1" s="65" t="s">
        <v>1675</v>
      </c>
      <c r="AYE1" s="65" t="s">
        <v>1676</v>
      </c>
      <c r="AYF1" s="65" t="s">
        <v>1677</v>
      </c>
      <c r="AYG1" s="65" t="s">
        <v>1678</v>
      </c>
      <c r="AYH1" s="65" t="s">
        <v>1679</v>
      </c>
      <c r="AYI1" s="65" t="s">
        <v>1680</v>
      </c>
      <c r="AYJ1" s="65" t="s">
        <v>1681</v>
      </c>
      <c r="AYK1" s="65" t="s">
        <v>1682</v>
      </c>
      <c r="AYL1" s="65" t="s">
        <v>1683</v>
      </c>
      <c r="AYM1" s="65" t="s">
        <v>1684</v>
      </c>
      <c r="AYN1" s="65" t="s">
        <v>1685</v>
      </c>
      <c r="AYO1" s="65" t="s">
        <v>1686</v>
      </c>
      <c r="AYP1" s="65" t="s">
        <v>1687</v>
      </c>
      <c r="AYQ1" s="65" t="s">
        <v>1688</v>
      </c>
      <c r="AYR1" s="65" t="s">
        <v>1689</v>
      </c>
      <c r="AYS1" s="65" t="s">
        <v>1690</v>
      </c>
      <c r="AYT1" s="65" t="s">
        <v>1691</v>
      </c>
      <c r="AYU1" s="65" t="s">
        <v>1692</v>
      </c>
      <c r="AYV1" s="65" t="s">
        <v>1693</v>
      </c>
      <c r="AYW1" s="65" t="s">
        <v>1694</v>
      </c>
      <c r="AYX1" s="65" t="s">
        <v>1695</v>
      </c>
      <c r="AYY1" s="65" t="s">
        <v>1696</v>
      </c>
      <c r="AYZ1" s="65" t="s">
        <v>1697</v>
      </c>
      <c r="AZA1" s="65" t="s">
        <v>1698</v>
      </c>
      <c r="AZB1" s="65" t="s">
        <v>1699</v>
      </c>
      <c r="AZC1" s="65" t="s">
        <v>1700</v>
      </c>
      <c r="AZD1" s="65" t="s">
        <v>1701</v>
      </c>
      <c r="AZE1" s="65" t="s">
        <v>1702</v>
      </c>
      <c r="AZF1" s="65" t="s">
        <v>1703</v>
      </c>
      <c r="AZG1" s="65" t="s">
        <v>1704</v>
      </c>
      <c r="AZH1" s="65" t="s">
        <v>1705</v>
      </c>
      <c r="AZI1" s="65" t="s">
        <v>1706</v>
      </c>
      <c r="AZJ1" s="65" t="s">
        <v>1707</v>
      </c>
      <c r="AZK1" s="65" t="s">
        <v>1708</v>
      </c>
      <c r="AZL1" s="65" t="s">
        <v>1709</v>
      </c>
      <c r="AZM1" s="65" t="s">
        <v>1710</v>
      </c>
      <c r="AZN1" s="65" t="s">
        <v>1711</v>
      </c>
      <c r="AZO1" s="65" t="s">
        <v>1712</v>
      </c>
      <c r="AZP1" s="65" t="s">
        <v>1713</v>
      </c>
      <c r="AZQ1" s="65" t="s">
        <v>1714</v>
      </c>
      <c r="AZR1" s="65" t="s">
        <v>1715</v>
      </c>
      <c r="AZS1" s="65" t="s">
        <v>1716</v>
      </c>
      <c r="AZT1" s="65" t="s">
        <v>1717</v>
      </c>
      <c r="AZU1" s="65" t="s">
        <v>1718</v>
      </c>
      <c r="AZV1" s="65" t="s">
        <v>1719</v>
      </c>
      <c r="AZW1" s="65" t="s">
        <v>1720</v>
      </c>
      <c r="AZX1" s="65" t="s">
        <v>1721</v>
      </c>
      <c r="AZY1" s="65" t="s">
        <v>1722</v>
      </c>
      <c r="AZZ1" s="65" t="s">
        <v>1723</v>
      </c>
      <c r="BAA1" s="65" t="s">
        <v>1724</v>
      </c>
      <c r="BAB1" s="65" t="s">
        <v>1725</v>
      </c>
      <c r="BAC1" s="65" t="s">
        <v>1726</v>
      </c>
      <c r="BAD1" s="65" t="s">
        <v>1727</v>
      </c>
      <c r="BAE1" s="65" t="s">
        <v>1728</v>
      </c>
      <c r="BAF1" s="65" t="s">
        <v>1729</v>
      </c>
      <c r="BAG1" s="65" t="s">
        <v>1730</v>
      </c>
      <c r="BAH1" s="65" t="s">
        <v>1731</v>
      </c>
      <c r="BAI1" s="65" t="s">
        <v>1732</v>
      </c>
      <c r="BAJ1" s="65" t="s">
        <v>1733</v>
      </c>
      <c r="BAK1" s="65" t="s">
        <v>1734</v>
      </c>
      <c r="BAL1" s="65" t="s">
        <v>1735</v>
      </c>
      <c r="BAM1" s="65" t="s">
        <v>1736</v>
      </c>
      <c r="BAN1" s="65" t="s">
        <v>1737</v>
      </c>
      <c r="BAO1" s="65" t="s">
        <v>1738</v>
      </c>
      <c r="BAP1" s="65" t="s">
        <v>1739</v>
      </c>
      <c r="BAQ1" s="65" t="s">
        <v>1740</v>
      </c>
      <c r="BAR1" s="65" t="s">
        <v>1741</v>
      </c>
      <c r="BAS1" s="65" t="s">
        <v>1742</v>
      </c>
      <c r="BAT1" s="65" t="s">
        <v>1743</v>
      </c>
      <c r="BAU1" s="65" t="s">
        <v>1744</v>
      </c>
      <c r="BAV1" s="65" t="s">
        <v>1745</v>
      </c>
      <c r="BAW1" s="65" t="s">
        <v>1746</v>
      </c>
      <c r="BAX1" s="65" t="s">
        <v>1747</v>
      </c>
      <c r="BAY1" s="65" t="s">
        <v>1748</v>
      </c>
      <c r="BAZ1" s="65" t="s">
        <v>1749</v>
      </c>
      <c r="BBA1" s="65" t="s">
        <v>1750</v>
      </c>
      <c r="BBB1" s="65" t="s">
        <v>1751</v>
      </c>
      <c r="BBC1" s="65" t="s">
        <v>1752</v>
      </c>
      <c r="BBD1" s="65" t="s">
        <v>1753</v>
      </c>
      <c r="BBE1" s="65" t="s">
        <v>1754</v>
      </c>
      <c r="BBF1" s="65" t="s">
        <v>1755</v>
      </c>
      <c r="BBG1" s="65" t="s">
        <v>1756</v>
      </c>
      <c r="BBH1" s="65" t="s">
        <v>1757</v>
      </c>
      <c r="BBI1" s="65" t="s">
        <v>1758</v>
      </c>
      <c r="BBJ1" s="65" t="s">
        <v>1759</v>
      </c>
      <c r="BBK1" s="65" t="s">
        <v>1760</v>
      </c>
      <c r="BBL1" s="65" t="s">
        <v>1761</v>
      </c>
      <c r="BBM1" s="65" t="s">
        <v>1762</v>
      </c>
      <c r="BBN1" s="65" t="s">
        <v>1763</v>
      </c>
      <c r="BBO1" s="65" t="s">
        <v>1764</v>
      </c>
      <c r="BBP1" s="65" t="s">
        <v>1765</v>
      </c>
      <c r="BBQ1" s="65" t="s">
        <v>1766</v>
      </c>
      <c r="BBR1" s="65" t="s">
        <v>1767</v>
      </c>
      <c r="BBS1" s="65" t="s">
        <v>1768</v>
      </c>
      <c r="BBT1" s="65" t="s">
        <v>1769</v>
      </c>
      <c r="BBU1" s="65" t="s">
        <v>1770</v>
      </c>
      <c r="BBV1" s="65" t="s">
        <v>1771</v>
      </c>
      <c r="BBW1" s="65" t="s">
        <v>1772</v>
      </c>
      <c r="BBX1" s="65" t="s">
        <v>1773</v>
      </c>
      <c r="BBY1" s="65" t="s">
        <v>1774</v>
      </c>
      <c r="BBZ1" s="65" t="s">
        <v>1775</v>
      </c>
      <c r="BCA1" s="65" t="s">
        <v>1776</v>
      </c>
      <c r="BCB1" s="65" t="s">
        <v>1777</v>
      </c>
      <c r="BCC1" s="65" t="s">
        <v>1778</v>
      </c>
      <c r="BCD1" s="65" t="s">
        <v>1779</v>
      </c>
      <c r="BCE1" s="65" t="s">
        <v>1780</v>
      </c>
      <c r="BCF1" s="65" t="s">
        <v>1781</v>
      </c>
      <c r="BCG1" s="65" t="s">
        <v>1782</v>
      </c>
      <c r="BCH1" s="65" t="s">
        <v>1783</v>
      </c>
      <c r="BCI1" s="65" t="s">
        <v>1784</v>
      </c>
      <c r="BCJ1" s="65" t="s">
        <v>1785</v>
      </c>
      <c r="BCK1" s="65" t="s">
        <v>1786</v>
      </c>
      <c r="BCL1" s="65" t="s">
        <v>1787</v>
      </c>
      <c r="BCM1" s="65" t="s">
        <v>1788</v>
      </c>
      <c r="BCN1" s="65" t="s">
        <v>1789</v>
      </c>
      <c r="BCO1" s="65" t="s">
        <v>1790</v>
      </c>
      <c r="BCP1" s="65" t="s">
        <v>1791</v>
      </c>
      <c r="BCQ1" s="65" t="s">
        <v>1792</v>
      </c>
      <c r="BCR1" s="65" t="s">
        <v>1793</v>
      </c>
      <c r="BCS1" s="65" t="s">
        <v>1794</v>
      </c>
      <c r="BCT1" s="65" t="s">
        <v>1795</v>
      </c>
      <c r="BCU1" s="65" t="s">
        <v>1796</v>
      </c>
      <c r="BCV1" s="65" t="s">
        <v>1797</v>
      </c>
      <c r="BCW1" s="65" t="s">
        <v>1798</v>
      </c>
      <c r="BCX1" s="65" t="s">
        <v>1799</v>
      </c>
      <c r="BCY1" s="65" t="s">
        <v>1800</v>
      </c>
      <c r="BCZ1" s="65" t="s">
        <v>1801</v>
      </c>
      <c r="BDA1" s="65" t="s">
        <v>1802</v>
      </c>
      <c r="BDB1" s="65" t="s">
        <v>1803</v>
      </c>
      <c r="BDC1" s="65" t="s">
        <v>1804</v>
      </c>
      <c r="BDD1" s="65" t="s">
        <v>1805</v>
      </c>
      <c r="BDE1" s="65" t="s">
        <v>1806</v>
      </c>
      <c r="BDF1" s="65" t="s">
        <v>1807</v>
      </c>
      <c r="BDG1" s="65" t="s">
        <v>1808</v>
      </c>
      <c r="BDH1" s="65" t="s">
        <v>1809</v>
      </c>
      <c r="BDI1" s="65" t="s">
        <v>1810</v>
      </c>
      <c r="BDJ1" s="65" t="s">
        <v>1811</v>
      </c>
      <c r="BDK1" s="65" t="s">
        <v>1812</v>
      </c>
      <c r="BDL1" s="65" t="s">
        <v>1813</v>
      </c>
      <c r="BDM1" s="65" t="s">
        <v>1814</v>
      </c>
      <c r="BDN1" s="65" t="s">
        <v>1815</v>
      </c>
      <c r="BDO1" s="65" t="s">
        <v>1816</v>
      </c>
      <c r="BDP1" s="65" t="s">
        <v>1817</v>
      </c>
      <c r="BDQ1" s="65" t="s">
        <v>1818</v>
      </c>
      <c r="BDR1" s="65" t="s">
        <v>1819</v>
      </c>
      <c r="BDS1" s="65" t="s">
        <v>1820</v>
      </c>
      <c r="BDT1" s="65" t="s">
        <v>1821</v>
      </c>
      <c r="BDU1" s="65" t="s">
        <v>1822</v>
      </c>
      <c r="BDV1" s="65" t="s">
        <v>1823</v>
      </c>
      <c r="BDW1" s="65" t="s">
        <v>1824</v>
      </c>
      <c r="BDX1" s="65" t="s">
        <v>1825</v>
      </c>
      <c r="BDY1" s="65" t="s">
        <v>1826</v>
      </c>
      <c r="BDZ1" s="65" t="s">
        <v>1827</v>
      </c>
      <c r="BEA1" s="65" t="s">
        <v>1828</v>
      </c>
      <c r="BEB1" s="65" t="s">
        <v>1829</v>
      </c>
      <c r="BEC1" s="65" t="s">
        <v>1830</v>
      </c>
      <c r="BED1" s="65" t="s">
        <v>1831</v>
      </c>
      <c r="BEE1" s="65" t="s">
        <v>1832</v>
      </c>
      <c r="BEF1" s="65" t="s">
        <v>1833</v>
      </c>
      <c r="BEG1" s="65" t="s">
        <v>1834</v>
      </c>
      <c r="BEH1" s="65" t="s">
        <v>1835</v>
      </c>
      <c r="BEI1" s="65" t="s">
        <v>1836</v>
      </c>
      <c r="BEJ1" s="65" t="s">
        <v>1837</v>
      </c>
      <c r="BEK1" s="65" t="s">
        <v>1838</v>
      </c>
      <c r="BEL1" s="65" t="s">
        <v>1839</v>
      </c>
      <c r="BEM1" s="65" t="s">
        <v>1840</v>
      </c>
      <c r="BEN1" s="65" t="s">
        <v>1841</v>
      </c>
      <c r="BEO1" s="65" t="s">
        <v>1842</v>
      </c>
      <c r="BEP1" s="65" t="s">
        <v>1843</v>
      </c>
      <c r="BEQ1" s="65" t="s">
        <v>1844</v>
      </c>
      <c r="BER1" s="65" t="s">
        <v>1845</v>
      </c>
      <c r="BES1" s="65" t="s">
        <v>1846</v>
      </c>
      <c r="BET1" s="65" t="s">
        <v>1847</v>
      </c>
      <c r="BEU1" s="65" t="s">
        <v>1848</v>
      </c>
      <c r="BEV1" s="65" t="s">
        <v>1849</v>
      </c>
      <c r="BEW1" s="65" t="s">
        <v>1850</v>
      </c>
      <c r="BEX1" s="65" t="s">
        <v>1851</v>
      </c>
      <c r="BEY1" s="65" t="s">
        <v>1852</v>
      </c>
      <c r="BEZ1" s="65" t="s">
        <v>1853</v>
      </c>
      <c r="BFA1" s="65" t="s">
        <v>1854</v>
      </c>
      <c r="BFB1" s="65" t="s">
        <v>1855</v>
      </c>
      <c r="BFC1" s="65" t="s">
        <v>1856</v>
      </c>
      <c r="BFD1" s="65" t="s">
        <v>1857</v>
      </c>
      <c r="BFE1" s="65" t="s">
        <v>1858</v>
      </c>
      <c r="BFF1" s="65" t="s">
        <v>1859</v>
      </c>
      <c r="BFG1" s="65" t="s">
        <v>1860</v>
      </c>
      <c r="BFH1" s="65" t="s">
        <v>1861</v>
      </c>
      <c r="BFI1" s="65" t="s">
        <v>1862</v>
      </c>
      <c r="BFJ1" s="65" t="s">
        <v>1863</v>
      </c>
      <c r="BFK1" s="65" t="s">
        <v>1864</v>
      </c>
      <c r="BFL1" s="65" t="s">
        <v>1865</v>
      </c>
      <c r="BFM1" s="65" t="s">
        <v>1866</v>
      </c>
      <c r="BFN1" s="65" t="s">
        <v>1867</v>
      </c>
      <c r="BFO1" s="65" t="s">
        <v>1868</v>
      </c>
      <c r="BFP1" s="65" t="s">
        <v>1869</v>
      </c>
      <c r="BFQ1" s="65" t="s">
        <v>1870</v>
      </c>
      <c r="BFR1" s="65" t="s">
        <v>1871</v>
      </c>
      <c r="BFS1" s="65" t="s">
        <v>1872</v>
      </c>
      <c r="BFT1" s="65" t="s">
        <v>1873</v>
      </c>
      <c r="BFU1" s="65" t="s">
        <v>1874</v>
      </c>
      <c r="BFV1" s="65" t="s">
        <v>1875</v>
      </c>
      <c r="BFW1" s="65" t="s">
        <v>1876</v>
      </c>
      <c r="BFX1" s="65" t="s">
        <v>1877</v>
      </c>
      <c r="BFY1" s="65" t="s">
        <v>1878</v>
      </c>
      <c r="BFZ1" s="65" t="s">
        <v>1879</v>
      </c>
      <c r="BGA1" s="65" t="s">
        <v>1880</v>
      </c>
      <c r="BGB1" s="65" t="s">
        <v>1881</v>
      </c>
      <c r="BGC1" s="65" t="s">
        <v>1882</v>
      </c>
      <c r="BGD1" s="65" t="s">
        <v>1883</v>
      </c>
      <c r="BGE1" s="65" t="s">
        <v>1884</v>
      </c>
      <c r="BGF1" s="65" t="s">
        <v>1885</v>
      </c>
      <c r="BGG1" s="65" t="s">
        <v>1886</v>
      </c>
      <c r="BGH1" s="65" t="s">
        <v>1887</v>
      </c>
      <c r="BGI1" s="65" t="s">
        <v>1888</v>
      </c>
      <c r="BGJ1" s="65" t="s">
        <v>1889</v>
      </c>
      <c r="BGK1" s="65" t="s">
        <v>1890</v>
      </c>
      <c r="BGL1" s="65" t="s">
        <v>1891</v>
      </c>
      <c r="BGM1" s="65" t="s">
        <v>1892</v>
      </c>
      <c r="BGN1" s="65" t="s">
        <v>1893</v>
      </c>
      <c r="BGO1" s="65" t="s">
        <v>1894</v>
      </c>
      <c r="BGP1" s="65" t="s">
        <v>1895</v>
      </c>
      <c r="BGQ1" s="65" t="s">
        <v>1896</v>
      </c>
      <c r="BGR1" s="65" t="s">
        <v>1897</v>
      </c>
      <c r="BGS1" s="65" t="s">
        <v>1898</v>
      </c>
      <c r="BGT1" s="65" t="s">
        <v>1899</v>
      </c>
      <c r="BGU1" s="65" t="s">
        <v>1900</v>
      </c>
      <c r="BGV1" s="65" t="s">
        <v>1901</v>
      </c>
      <c r="BGW1" s="65" t="s">
        <v>1902</v>
      </c>
      <c r="BGX1" s="65" t="s">
        <v>1903</v>
      </c>
      <c r="BGY1" s="65" t="s">
        <v>1904</v>
      </c>
      <c r="BGZ1" s="65" t="s">
        <v>1905</v>
      </c>
      <c r="BHA1" s="65" t="s">
        <v>1906</v>
      </c>
      <c r="BHB1" s="65" t="s">
        <v>1907</v>
      </c>
      <c r="BHC1" s="65" t="s">
        <v>1908</v>
      </c>
      <c r="BHD1" s="65" t="s">
        <v>1909</v>
      </c>
      <c r="BHE1" s="65" t="s">
        <v>1910</v>
      </c>
      <c r="BHF1" s="65" t="s">
        <v>1911</v>
      </c>
      <c r="BHG1" s="65" t="s">
        <v>1912</v>
      </c>
      <c r="BHH1" s="65" t="s">
        <v>1913</v>
      </c>
      <c r="BHI1" s="65" t="s">
        <v>1914</v>
      </c>
      <c r="BHJ1" s="65" t="s">
        <v>1915</v>
      </c>
      <c r="BHK1" s="65" t="s">
        <v>1916</v>
      </c>
      <c r="BHL1" s="65" t="s">
        <v>1917</v>
      </c>
      <c r="BHM1" s="65" t="s">
        <v>1918</v>
      </c>
      <c r="BHN1" s="65" t="s">
        <v>1919</v>
      </c>
      <c r="BHO1" s="65" t="s">
        <v>1920</v>
      </c>
      <c r="BHP1" s="65" t="s">
        <v>1921</v>
      </c>
      <c r="BHQ1" s="65" t="s">
        <v>1922</v>
      </c>
      <c r="BHR1" s="65" t="s">
        <v>1923</v>
      </c>
      <c r="BHS1" s="65" t="s">
        <v>1924</v>
      </c>
      <c r="BHT1" s="65" t="s">
        <v>1925</v>
      </c>
      <c r="BHU1" s="65" t="s">
        <v>1926</v>
      </c>
      <c r="BHV1" s="65" t="s">
        <v>1927</v>
      </c>
      <c r="BHW1" s="65" t="s">
        <v>1928</v>
      </c>
      <c r="BHX1" s="65" t="s">
        <v>1929</v>
      </c>
      <c r="BHY1" s="65" t="s">
        <v>1930</v>
      </c>
      <c r="BHZ1" s="65" t="s">
        <v>1931</v>
      </c>
      <c r="BIA1" s="65" t="s">
        <v>1932</v>
      </c>
      <c r="BIB1" s="65" t="s">
        <v>1933</v>
      </c>
      <c r="BIC1" s="65" t="s">
        <v>1934</v>
      </c>
      <c r="BID1" s="65" t="s">
        <v>1935</v>
      </c>
      <c r="BIE1" s="65" t="s">
        <v>1936</v>
      </c>
      <c r="BIF1" s="65" t="s">
        <v>1937</v>
      </c>
      <c r="BIG1" s="65" t="s">
        <v>1938</v>
      </c>
      <c r="BIH1" s="65" t="s">
        <v>1939</v>
      </c>
      <c r="BII1" s="65" t="s">
        <v>1940</v>
      </c>
      <c r="BIJ1" s="65" t="s">
        <v>1941</v>
      </c>
      <c r="BIK1" s="65" t="s">
        <v>1942</v>
      </c>
      <c r="BIL1" s="65" t="s">
        <v>1943</v>
      </c>
      <c r="BIM1" s="65" t="s">
        <v>1944</v>
      </c>
      <c r="BIN1" s="65" t="s">
        <v>1945</v>
      </c>
      <c r="BIO1" s="65" t="s">
        <v>1946</v>
      </c>
      <c r="BIP1" s="65" t="s">
        <v>1947</v>
      </c>
      <c r="BIQ1" s="65" t="s">
        <v>1948</v>
      </c>
      <c r="BIR1" s="65" t="s">
        <v>1949</v>
      </c>
      <c r="BIS1" s="65" t="s">
        <v>1950</v>
      </c>
      <c r="BIT1" s="65" t="s">
        <v>1951</v>
      </c>
      <c r="BIU1" s="65" t="s">
        <v>1952</v>
      </c>
      <c r="BIV1" s="65" t="s">
        <v>1953</v>
      </c>
      <c r="BIW1" s="65" t="s">
        <v>1954</v>
      </c>
      <c r="BIX1" s="65" t="s">
        <v>1955</v>
      </c>
      <c r="BIY1" s="65" t="s">
        <v>1956</v>
      </c>
      <c r="BIZ1" s="65" t="s">
        <v>1957</v>
      </c>
      <c r="BJA1" s="65" t="s">
        <v>1958</v>
      </c>
      <c r="BJB1" s="65" t="s">
        <v>1959</v>
      </c>
      <c r="BJC1" s="65" t="s">
        <v>1960</v>
      </c>
      <c r="BJD1" s="65" t="s">
        <v>1961</v>
      </c>
      <c r="BJE1" s="65" t="s">
        <v>1962</v>
      </c>
      <c r="BJF1" s="65" t="s">
        <v>1963</v>
      </c>
      <c r="BJG1" s="65" t="s">
        <v>1964</v>
      </c>
      <c r="BJH1" s="65" t="s">
        <v>1965</v>
      </c>
      <c r="BJI1" s="65" t="s">
        <v>1966</v>
      </c>
      <c r="BJJ1" s="65" t="s">
        <v>1967</v>
      </c>
      <c r="BJK1" s="65" t="s">
        <v>1968</v>
      </c>
      <c r="BJL1" s="65" t="s">
        <v>1969</v>
      </c>
      <c r="BJM1" s="65" t="s">
        <v>1970</v>
      </c>
      <c r="BJN1" s="65" t="s">
        <v>1971</v>
      </c>
      <c r="BJO1" s="65" t="s">
        <v>1972</v>
      </c>
      <c r="BJP1" s="65" t="s">
        <v>1973</v>
      </c>
      <c r="BJQ1" s="65" t="s">
        <v>1974</v>
      </c>
      <c r="BJR1" s="65" t="s">
        <v>1975</v>
      </c>
      <c r="BJS1" s="65" t="s">
        <v>1976</v>
      </c>
      <c r="BJT1" s="65" t="s">
        <v>1977</v>
      </c>
      <c r="BJU1" s="65" t="s">
        <v>1978</v>
      </c>
      <c r="BJV1" s="65" t="s">
        <v>1979</v>
      </c>
      <c r="BJW1" s="65" t="s">
        <v>1980</v>
      </c>
      <c r="BJX1" s="65" t="s">
        <v>1981</v>
      </c>
      <c r="BJY1" s="65" t="s">
        <v>1982</v>
      </c>
      <c r="BJZ1" s="65" t="s">
        <v>1983</v>
      </c>
      <c r="BKA1" s="65" t="s">
        <v>1984</v>
      </c>
      <c r="BKB1" s="65" t="s">
        <v>1985</v>
      </c>
      <c r="BKC1" s="65" t="s">
        <v>1986</v>
      </c>
      <c r="BKD1" s="65" t="s">
        <v>1987</v>
      </c>
      <c r="BKE1" s="65" t="s">
        <v>1988</v>
      </c>
      <c r="BKF1" s="65" t="s">
        <v>1989</v>
      </c>
      <c r="BKG1" s="65" t="s">
        <v>1990</v>
      </c>
      <c r="BKH1" s="65" t="s">
        <v>1991</v>
      </c>
      <c r="BKI1" s="65" t="s">
        <v>1992</v>
      </c>
      <c r="BKJ1" s="65" t="s">
        <v>1993</v>
      </c>
      <c r="BKK1" s="65" t="s">
        <v>1994</v>
      </c>
      <c r="BKL1" s="65" t="s">
        <v>1995</v>
      </c>
      <c r="BKM1" s="65" t="s">
        <v>1996</v>
      </c>
      <c r="BKN1" s="65" t="s">
        <v>1997</v>
      </c>
      <c r="BKO1" s="65" t="s">
        <v>1998</v>
      </c>
      <c r="BKP1" s="65" t="s">
        <v>1999</v>
      </c>
      <c r="BKQ1" s="65" t="s">
        <v>2000</v>
      </c>
      <c r="BKR1" s="65" t="s">
        <v>2001</v>
      </c>
      <c r="BKS1" s="65" t="s">
        <v>2002</v>
      </c>
      <c r="BKT1" s="65" t="s">
        <v>2003</v>
      </c>
      <c r="BKU1" s="65" t="s">
        <v>2004</v>
      </c>
      <c r="BKV1" s="65" t="s">
        <v>2005</v>
      </c>
      <c r="BKW1" s="65" t="s">
        <v>2006</v>
      </c>
      <c r="BKX1" s="65" t="s">
        <v>2007</v>
      </c>
      <c r="BKY1" s="65" t="s">
        <v>2008</v>
      </c>
      <c r="BKZ1" s="65" t="s">
        <v>2009</v>
      </c>
      <c r="BLA1" s="65" t="s">
        <v>2010</v>
      </c>
      <c r="BLB1" s="65" t="s">
        <v>2011</v>
      </c>
      <c r="BLC1" s="65" t="s">
        <v>2012</v>
      </c>
      <c r="BLD1" s="65" t="s">
        <v>2013</v>
      </c>
      <c r="BLE1" s="65" t="s">
        <v>2014</v>
      </c>
      <c r="BLF1" s="65" t="s">
        <v>2015</v>
      </c>
      <c r="BLG1" s="65" t="s">
        <v>2016</v>
      </c>
      <c r="BLH1" s="65" t="s">
        <v>2017</v>
      </c>
      <c r="BLI1" s="65" t="s">
        <v>2018</v>
      </c>
      <c r="BLJ1" s="65" t="s">
        <v>2019</v>
      </c>
      <c r="BLK1" s="65" t="s">
        <v>2020</v>
      </c>
      <c r="BLL1" s="65" t="s">
        <v>2021</v>
      </c>
      <c r="BLM1" s="65" t="s">
        <v>2022</v>
      </c>
      <c r="BLN1" s="65" t="s">
        <v>2023</v>
      </c>
      <c r="BLO1" s="65" t="s">
        <v>2024</v>
      </c>
      <c r="BLP1" s="65" t="s">
        <v>2025</v>
      </c>
      <c r="BLQ1" s="65" t="s">
        <v>2026</v>
      </c>
      <c r="BLR1" s="65" t="s">
        <v>2027</v>
      </c>
      <c r="BLS1" s="65" t="s">
        <v>2028</v>
      </c>
      <c r="BLT1" s="65" t="s">
        <v>2029</v>
      </c>
      <c r="BLU1" s="65" t="s">
        <v>2030</v>
      </c>
      <c r="BLV1" s="65" t="s">
        <v>2031</v>
      </c>
      <c r="BLW1" s="65" t="s">
        <v>2032</v>
      </c>
      <c r="BLX1" s="65" t="s">
        <v>2033</v>
      </c>
      <c r="BLY1" s="65" t="s">
        <v>2034</v>
      </c>
      <c r="BLZ1" s="65" t="s">
        <v>2035</v>
      </c>
      <c r="BMA1" s="65" t="s">
        <v>2036</v>
      </c>
      <c r="BMB1" s="65" t="s">
        <v>2037</v>
      </c>
      <c r="BMC1" s="65" t="s">
        <v>2038</v>
      </c>
      <c r="BMD1" s="65" t="s">
        <v>2039</v>
      </c>
      <c r="BME1" s="65" t="s">
        <v>2040</v>
      </c>
      <c r="BMF1" s="65" t="s">
        <v>2041</v>
      </c>
      <c r="BMG1" s="65" t="s">
        <v>2042</v>
      </c>
      <c r="BMH1" s="65" t="s">
        <v>2043</v>
      </c>
      <c r="BMI1" s="65" t="s">
        <v>2044</v>
      </c>
      <c r="BMJ1" s="65" t="s">
        <v>2045</v>
      </c>
      <c r="BMK1" s="65" t="s">
        <v>2046</v>
      </c>
      <c r="BML1" s="65" t="s">
        <v>2047</v>
      </c>
      <c r="BMM1" s="65" t="s">
        <v>2048</v>
      </c>
      <c r="BMN1" s="65" t="s">
        <v>2049</v>
      </c>
      <c r="BMO1" s="65" t="s">
        <v>2050</v>
      </c>
      <c r="BMP1" s="65" t="s">
        <v>2051</v>
      </c>
      <c r="BMQ1" s="65" t="s">
        <v>2052</v>
      </c>
      <c r="BMR1" s="65" t="s">
        <v>2053</v>
      </c>
      <c r="BMS1" s="65" t="s">
        <v>2054</v>
      </c>
      <c r="BMT1" s="65" t="s">
        <v>2055</v>
      </c>
      <c r="BMU1" s="65" t="s">
        <v>2056</v>
      </c>
      <c r="BMV1" s="65" t="s">
        <v>2057</v>
      </c>
      <c r="BMW1" s="65" t="s">
        <v>2058</v>
      </c>
      <c r="BMX1" s="65" t="s">
        <v>2059</v>
      </c>
      <c r="BMY1" s="65" t="s">
        <v>2060</v>
      </c>
      <c r="BMZ1" s="65" t="s">
        <v>2061</v>
      </c>
      <c r="BNA1" s="65" t="s">
        <v>2062</v>
      </c>
      <c r="BNB1" s="65" t="s">
        <v>2063</v>
      </c>
      <c r="BNC1" s="65" t="s">
        <v>2064</v>
      </c>
      <c r="BND1" s="65" t="s">
        <v>2065</v>
      </c>
      <c r="BNE1" s="65" t="s">
        <v>2066</v>
      </c>
      <c r="BNF1" s="65" t="s">
        <v>2067</v>
      </c>
      <c r="BNG1" s="65" t="s">
        <v>2068</v>
      </c>
      <c r="BNH1" s="65" t="s">
        <v>2069</v>
      </c>
      <c r="BNI1" s="65" t="s">
        <v>2070</v>
      </c>
      <c r="BNJ1" s="65" t="s">
        <v>2071</v>
      </c>
      <c r="BNK1" s="65" t="s">
        <v>2072</v>
      </c>
      <c r="BNL1" s="65" t="s">
        <v>2073</v>
      </c>
      <c r="BNM1" s="65" t="s">
        <v>2074</v>
      </c>
      <c r="BNN1" s="65" t="s">
        <v>2075</v>
      </c>
      <c r="BNO1" s="65" t="s">
        <v>2076</v>
      </c>
      <c r="BNP1" s="65" t="s">
        <v>2077</v>
      </c>
      <c r="BNQ1" s="65" t="s">
        <v>2078</v>
      </c>
      <c r="BNR1" s="65" t="s">
        <v>2079</v>
      </c>
      <c r="BNS1" s="65" t="s">
        <v>2080</v>
      </c>
      <c r="BNT1" s="65" t="s">
        <v>2081</v>
      </c>
      <c r="BNU1" s="65" t="s">
        <v>2082</v>
      </c>
      <c r="BNV1" s="65" t="s">
        <v>2083</v>
      </c>
      <c r="BNW1" s="65" t="s">
        <v>2084</v>
      </c>
      <c r="BNX1" s="65" t="s">
        <v>2085</v>
      </c>
      <c r="BNY1" s="65" t="s">
        <v>2086</v>
      </c>
      <c r="BNZ1" s="65" t="s">
        <v>2087</v>
      </c>
      <c r="BOA1" s="65" t="s">
        <v>2088</v>
      </c>
      <c r="BOB1" s="65" t="s">
        <v>2089</v>
      </c>
      <c r="BOC1" s="65" t="s">
        <v>2090</v>
      </c>
      <c r="BOD1" s="65" t="s">
        <v>2091</v>
      </c>
      <c r="BOE1" s="65" t="s">
        <v>2092</v>
      </c>
      <c r="BOF1" s="65" t="s">
        <v>2093</v>
      </c>
      <c r="BOG1" s="65" t="s">
        <v>2094</v>
      </c>
      <c r="BOH1" s="65" t="s">
        <v>2095</v>
      </c>
      <c r="BOI1" s="65" t="s">
        <v>2096</v>
      </c>
      <c r="BOJ1" s="65" t="s">
        <v>2097</v>
      </c>
      <c r="BOK1" s="65" t="s">
        <v>2098</v>
      </c>
      <c r="BOL1" s="65" t="s">
        <v>2099</v>
      </c>
      <c r="BOM1" s="65" t="s">
        <v>2100</v>
      </c>
      <c r="BON1" s="65" t="s">
        <v>2101</v>
      </c>
      <c r="BOO1" s="65" t="s">
        <v>2102</v>
      </c>
      <c r="BOP1" s="65" t="s">
        <v>2103</v>
      </c>
      <c r="BOQ1" s="65" t="s">
        <v>2104</v>
      </c>
      <c r="BOR1" s="65" t="s">
        <v>2105</v>
      </c>
      <c r="BOS1" s="65" t="s">
        <v>2106</v>
      </c>
      <c r="BOT1" s="65" t="s">
        <v>2107</v>
      </c>
      <c r="BOU1" s="65" t="s">
        <v>2108</v>
      </c>
      <c r="BOV1" s="65" t="s">
        <v>2109</v>
      </c>
      <c r="BOW1" s="65" t="s">
        <v>2110</v>
      </c>
      <c r="BOX1" s="65" t="s">
        <v>2111</v>
      </c>
      <c r="BOY1" s="65" t="s">
        <v>2112</v>
      </c>
      <c r="BOZ1" s="65" t="s">
        <v>2113</v>
      </c>
      <c r="BPA1" s="65" t="s">
        <v>2114</v>
      </c>
      <c r="BPB1" s="65" t="s">
        <v>2115</v>
      </c>
      <c r="BPC1" s="65" t="s">
        <v>2116</v>
      </c>
      <c r="BPD1" s="65" t="s">
        <v>2117</v>
      </c>
      <c r="BPE1" s="65" t="s">
        <v>2118</v>
      </c>
      <c r="BPF1" s="65" t="s">
        <v>2119</v>
      </c>
      <c r="BPG1" s="65" t="s">
        <v>2120</v>
      </c>
      <c r="BPH1" s="65" t="s">
        <v>2121</v>
      </c>
      <c r="BPI1" s="65" t="s">
        <v>2122</v>
      </c>
      <c r="BPJ1" s="65" t="s">
        <v>2123</v>
      </c>
      <c r="BPK1" s="65" t="s">
        <v>2124</v>
      </c>
      <c r="BPL1" s="65" t="s">
        <v>2125</v>
      </c>
      <c r="BPM1" s="65" t="s">
        <v>2126</v>
      </c>
      <c r="BPN1" s="65" t="s">
        <v>2127</v>
      </c>
      <c r="BPO1" s="65" t="s">
        <v>2128</v>
      </c>
      <c r="BPP1" s="65" t="s">
        <v>2129</v>
      </c>
      <c r="BPQ1" s="65" t="s">
        <v>2130</v>
      </c>
      <c r="BPR1" s="65" t="s">
        <v>2131</v>
      </c>
      <c r="BPS1" s="65" t="s">
        <v>2132</v>
      </c>
      <c r="BPT1" s="65" t="s">
        <v>2133</v>
      </c>
      <c r="BPU1" s="65" t="s">
        <v>2134</v>
      </c>
      <c r="BPV1" s="65" t="s">
        <v>2135</v>
      </c>
      <c r="BPW1" s="65" t="s">
        <v>2136</v>
      </c>
      <c r="BPX1" s="65" t="s">
        <v>2137</v>
      </c>
      <c r="BPY1" s="65" t="s">
        <v>2138</v>
      </c>
      <c r="BPZ1" s="65" t="s">
        <v>2139</v>
      </c>
      <c r="BQA1" s="65" t="s">
        <v>2140</v>
      </c>
      <c r="BQB1" s="65" t="s">
        <v>2141</v>
      </c>
      <c r="BQC1" s="65" t="s">
        <v>2142</v>
      </c>
      <c r="BQD1" s="65" t="s">
        <v>2143</v>
      </c>
      <c r="BQE1" s="65" t="s">
        <v>2144</v>
      </c>
      <c r="BQF1" s="65" t="s">
        <v>2145</v>
      </c>
      <c r="BQG1" s="65" t="s">
        <v>2146</v>
      </c>
      <c r="BQH1" s="65" t="s">
        <v>2147</v>
      </c>
      <c r="BQI1" s="65" t="s">
        <v>2148</v>
      </c>
      <c r="BQJ1" s="65" t="s">
        <v>2149</v>
      </c>
      <c r="BQK1" s="65" t="s">
        <v>2150</v>
      </c>
      <c r="BQL1" s="65" t="s">
        <v>2151</v>
      </c>
      <c r="BQM1" s="65" t="s">
        <v>2152</v>
      </c>
      <c r="BQN1" s="65" t="s">
        <v>2153</v>
      </c>
      <c r="BQO1" s="65" t="s">
        <v>2154</v>
      </c>
      <c r="BQP1" s="65" t="s">
        <v>2155</v>
      </c>
      <c r="BQQ1" s="65" t="s">
        <v>2156</v>
      </c>
      <c r="BQR1" s="65" t="s">
        <v>2157</v>
      </c>
      <c r="BQS1" s="65" t="s">
        <v>2158</v>
      </c>
      <c r="BQT1" s="65" t="s">
        <v>2159</v>
      </c>
      <c r="BQU1" s="65" t="s">
        <v>2160</v>
      </c>
      <c r="BQV1" s="65" t="s">
        <v>2161</v>
      </c>
      <c r="BQW1" s="65" t="s">
        <v>2162</v>
      </c>
      <c r="BQX1" s="65" t="s">
        <v>2163</v>
      </c>
      <c r="BQY1" s="65" t="s">
        <v>2164</v>
      </c>
      <c r="BQZ1" s="65" t="s">
        <v>2165</v>
      </c>
      <c r="BRA1" s="65" t="s">
        <v>2166</v>
      </c>
      <c r="BRB1" s="65" t="s">
        <v>2167</v>
      </c>
      <c r="BRC1" s="65" t="s">
        <v>2168</v>
      </c>
      <c r="BRD1" s="65" t="s">
        <v>2169</v>
      </c>
      <c r="BRE1" s="65" t="s">
        <v>2170</v>
      </c>
      <c r="BRF1" s="65" t="s">
        <v>2171</v>
      </c>
      <c r="BRG1" s="65" t="s">
        <v>2172</v>
      </c>
      <c r="BRH1" s="65" t="s">
        <v>2173</v>
      </c>
      <c r="BRI1" s="65" t="s">
        <v>2174</v>
      </c>
      <c r="BRJ1" s="65" t="s">
        <v>2175</v>
      </c>
      <c r="BRK1" s="65" t="s">
        <v>2176</v>
      </c>
      <c r="BRL1" s="65" t="s">
        <v>2177</v>
      </c>
      <c r="BRM1" s="65" t="s">
        <v>2178</v>
      </c>
      <c r="BRN1" s="65" t="s">
        <v>2179</v>
      </c>
      <c r="BRO1" s="65" t="s">
        <v>2180</v>
      </c>
      <c r="BRP1" s="65" t="s">
        <v>2181</v>
      </c>
      <c r="BRQ1" s="65" t="s">
        <v>2182</v>
      </c>
      <c r="BRR1" s="65" t="s">
        <v>2183</v>
      </c>
      <c r="BRS1" s="65" t="s">
        <v>2184</v>
      </c>
      <c r="BRT1" s="65" t="s">
        <v>2185</v>
      </c>
      <c r="BRU1" s="65" t="s">
        <v>2186</v>
      </c>
      <c r="BRV1" s="65" t="s">
        <v>2187</v>
      </c>
      <c r="BRW1" s="65" t="s">
        <v>2188</v>
      </c>
      <c r="BRX1" s="65" t="s">
        <v>2189</v>
      </c>
      <c r="BRY1" s="65" t="s">
        <v>2190</v>
      </c>
      <c r="BRZ1" s="65" t="s">
        <v>2191</v>
      </c>
      <c r="BSA1" s="65" t="s">
        <v>2192</v>
      </c>
      <c r="BSB1" s="65" t="s">
        <v>2193</v>
      </c>
      <c r="BSC1" s="65" t="s">
        <v>2194</v>
      </c>
      <c r="BSD1" s="65" t="s">
        <v>2195</v>
      </c>
      <c r="BSE1" s="65" t="s">
        <v>2196</v>
      </c>
      <c r="BSF1" s="65" t="s">
        <v>2197</v>
      </c>
      <c r="BSG1" s="65" t="s">
        <v>2198</v>
      </c>
      <c r="BSH1" s="65" t="s">
        <v>2199</v>
      </c>
      <c r="BSI1" s="65" t="s">
        <v>2200</v>
      </c>
      <c r="BSJ1" s="65" t="s">
        <v>2201</v>
      </c>
      <c r="BSK1" s="65" t="s">
        <v>2202</v>
      </c>
      <c r="BSL1" s="65" t="s">
        <v>2203</v>
      </c>
      <c r="BSM1" s="65" t="s">
        <v>2204</v>
      </c>
      <c r="BSN1" s="65" t="s">
        <v>2205</v>
      </c>
      <c r="BSO1" s="65" t="s">
        <v>2206</v>
      </c>
      <c r="BSP1" s="65" t="s">
        <v>2207</v>
      </c>
      <c r="BSQ1" s="65" t="s">
        <v>2208</v>
      </c>
      <c r="BSR1" s="65" t="s">
        <v>2209</v>
      </c>
      <c r="BSS1" s="65" t="s">
        <v>2210</v>
      </c>
      <c r="BST1" s="65" t="s">
        <v>2211</v>
      </c>
      <c r="BSU1" s="65" t="s">
        <v>2212</v>
      </c>
      <c r="BSV1" s="65" t="s">
        <v>2213</v>
      </c>
      <c r="BSW1" s="65" t="s">
        <v>2214</v>
      </c>
      <c r="BSX1" s="65" t="s">
        <v>2215</v>
      </c>
      <c r="BSY1" s="65" t="s">
        <v>2216</v>
      </c>
      <c r="BSZ1" s="65" t="s">
        <v>2217</v>
      </c>
      <c r="BTA1" s="65" t="s">
        <v>2218</v>
      </c>
      <c r="BTB1" s="65" t="s">
        <v>2219</v>
      </c>
      <c r="BTC1" s="65" t="s">
        <v>2220</v>
      </c>
      <c r="BTD1" s="65" t="s">
        <v>2221</v>
      </c>
      <c r="BTE1" s="65" t="s">
        <v>2222</v>
      </c>
      <c r="BTF1" s="65" t="s">
        <v>2223</v>
      </c>
      <c r="BTG1" s="65" t="s">
        <v>2224</v>
      </c>
      <c r="BTH1" s="65" t="s">
        <v>2225</v>
      </c>
      <c r="BTI1" s="65" t="s">
        <v>2226</v>
      </c>
      <c r="BTJ1" s="65" t="s">
        <v>2227</v>
      </c>
      <c r="BTK1" s="65" t="s">
        <v>2228</v>
      </c>
      <c r="BTL1" s="65" t="s">
        <v>2229</v>
      </c>
      <c r="BTM1" s="65" t="s">
        <v>2230</v>
      </c>
      <c r="BTN1" s="65" t="s">
        <v>2231</v>
      </c>
      <c r="BTO1" s="65" t="s">
        <v>2232</v>
      </c>
      <c r="BTP1" s="65" t="s">
        <v>2233</v>
      </c>
      <c r="BTQ1" s="65" t="s">
        <v>2234</v>
      </c>
      <c r="BTR1" s="65" t="s">
        <v>2235</v>
      </c>
      <c r="BTS1" s="65" t="s">
        <v>2236</v>
      </c>
      <c r="BTT1" s="65" t="s">
        <v>2237</v>
      </c>
      <c r="BTU1" s="65" t="s">
        <v>2238</v>
      </c>
      <c r="BTV1" s="65" t="s">
        <v>2239</v>
      </c>
      <c r="BTW1" s="65" t="s">
        <v>2240</v>
      </c>
      <c r="BTX1" s="65" t="s">
        <v>2241</v>
      </c>
      <c r="BTY1" s="65" t="s">
        <v>2242</v>
      </c>
      <c r="BTZ1" s="65" t="s">
        <v>2243</v>
      </c>
      <c r="BUA1" s="65" t="s">
        <v>2244</v>
      </c>
      <c r="BUB1" s="65" t="s">
        <v>2245</v>
      </c>
      <c r="BUC1" s="65" t="s">
        <v>2246</v>
      </c>
      <c r="BUD1" s="65" t="s">
        <v>2247</v>
      </c>
      <c r="BUE1" s="65" t="s">
        <v>2248</v>
      </c>
      <c r="BUF1" s="65" t="s">
        <v>2249</v>
      </c>
      <c r="BUG1" s="65" t="s">
        <v>2250</v>
      </c>
      <c r="BUH1" s="65" t="s">
        <v>2251</v>
      </c>
      <c r="BUI1" s="65" t="s">
        <v>2252</v>
      </c>
      <c r="BUJ1" s="65" t="s">
        <v>2253</v>
      </c>
      <c r="BUK1" s="65" t="s">
        <v>2254</v>
      </c>
      <c r="BUL1" s="65" t="s">
        <v>2255</v>
      </c>
      <c r="BUM1" s="65" t="s">
        <v>2256</v>
      </c>
      <c r="BUN1" s="65" t="s">
        <v>2257</v>
      </c>
      <c r="BUO1" s="65" t="s">
        <v>2258</v>
      </c>
      <c r="BUP1" s="65" t="s">
        <v>2259</v>
      </c>
      <c r="BUQ1" s="65" t="s">
        <v>2260</v>
      </c>
      <c r="BUR1" s="65" t="s">
        <v>2261</v>
      </c>
      <c r="BUS1" s="65" t="s">
        <v>2262</v>
      </c>
      <c r="BUT1" s="65" t="s">
        <v>2263</v>
      </c>
      <c r="BUU1" s="65" t="s">
        <v>2264</v>
      </c>
      <c r="BUV1" s="65" t="s">
        <v>2265</v>
      </c>
      <c r="BUW1" s="65" t="s">
        <v>2266</v>
      </c>
      <c r="BUX1" s="65" t="s">
        <v>2267</v>
      </c>
      <c r="BUY1" s="65" t="s">
        <v>2268</v>
      </c>
      <c r="BUZ1" s="65" t="s">
        <v>2269</v>
      </c>
      <c r="BVA1" s="65" t="s">
        <v>2270</v>
      </c>
      <c r="BVB1" s="65" t="s">
        <v>2271</v>
      </c>
      <c r="BVC1" s="65" t="s">
        <v>2272</v>
      </c>
      <c r="BVD1" s="65" t="s">
        <v>2273</v>
      </c>
      <c r="BVE1" s="65" t="s">
        <v>2274</v>
      </c>
      <c r="BVF1" s="65" t="s">
        <v>2275</v>
      </c>
      <c r="BVG1" s="65" t="s">
        <v>2276</v>
      </c>
      <c r="BVH1" s="65" t="s">
        <v>2277</v>
      </c>
      <c r="BVI1" s="65" t="s">
        <v>2278</v>
      </c>
      <c r="BVJ1" s="65" t="s">
        <v>2279</v>
      </c>
      <c r="BVK1" s="65" t="s">
        <v>2280</v>
      </c>
      <c r="BVL1" s="65" t="s">
        <v>2281</v>
      </c>
      <c r="BVM1" s="65" t="s">
        <v>2282</v>
      </c>
      <c r="BVN1" s="65" t="s">
        <v>2283</v>
      </c>
      <c r="BVO1" s="65" t="s">
        <v>2284</v>
      </c>
      <c r="BVP1" s="65" t="s">
        <v>2285</v>
      </c>
      <c r="BVQ1" s="65" t="s">
        <v>2286</v>
      </c>
      <c r="BVR1" s="65" t="s">
        <v>2287</v>
      </c>
      <c r="BVS1" s="65" t="s">
        <v>2288</v>
      </c>
      <c r="BVT1" s="65" t="s">
        <v>2289</v>
      </c>
      <c r="BVU1" s="65" t="s">
        <v>2290</v>
      </c>
      <c r="BVV1" s="65" t="s">
        <v>2291</v>
      </c>
      <c r="BVW1" s="65" t="s">
        <v>2292</v>
      </c>
      <c r="BVX1" s="65" t="s">
        <v>2293</v>
      </c>
      <c r="BVY1" s="65" t="s">
        <v>2294</v>
      </c>
      <c r="BVZ1" s="65" t="s">
        <v>2295</v>
      </c>
      <c r="BWA1" s="65" t="s">
        <v>2296</v>
      </c>
      <c r="BWB1" s="65" t="s">
        <v>2297</v>
      </c>
      <c r="BWC1" s="65" t="s">
        <v>2298</v>
      </c>
      <c r="BWD1" s="65" t="s">
        <v>2299</v>
      </c>
      <c r="BWE1" s="65" t="s">
        <v>2300</v>
      </c>
      <c r="BWF1" s="65" t="s">
        <v>2301</v>
      </c>
      <c r="BWG1" s="65" t="s">
        <v>2302</v>
      </c>
      <c r="BWH1" s="65" t="s">
        <v>2303</v>
      </c>
      <c r="BWI1" s="65" t="s">
        <v>2304</v>
      </c>
      <c r="BWJ1" s="65" t="s">
        <v>2305</v>
      </c>
      <c r="BWK1" s="65" t="s">
        <v>2306</v>
      </c>
      <c r="BWL1" s="65" t="s">
        <v>2307</v>
      </c>
      <c r="BWM1" s="65" t="s">
        <v>2308</v>
      </c>
      <c r="BWN1" s="65" t="s">
        <v>2309</v>
      </c>
      <c r="BWO1" s="65" t="s">
        <v>2310</v>
      </c>
      <c r="BWP1" s="65" t="s">
        <v>2311</v>
      </c>
      <c r="BWQ1" s="65" t="s">
        <v>2312</v>
      </c>
      <c r="BWR1" s="65" t="s">
        <v>2313</v>
      </c>
      <c r="BWS1" s="65" t="s">
        <v>2314</v>
      </c>
      <c r="BWT1" s="65" t="s">
        <v>2315</v>
      </c>
      <c r="BWU1" s="65" t="s">
        <v>2316</v>
      </c>
      <c r="BWV1" s="65" t="s">
        <v>2317</v>
      </c>
      <c r="BWW1" s="65" t="s">
        <v>2318</v>
      </c>
      <c r="BWX1" s="65" t="s">
        <v>2319</v>
      </c>
      <c r="BWY1" s="65" t="s">
        <v>2320</v>
      </c>
      <c r="BWZ1" s="65" t="s">
        <v>2321</v>
      </c>
      <c r="BXA1" s="65" t="s">
        <v>2322</v>
      </c>
      <c r="BXB1" s="65" t="s">
        <v>2323</v>
      </c>
      <c r="BXC1" s="65" t="s">
        <v>2324</v>
      </c>
      <c r="BXD1" s="65" t="s">
        <v>2325</v>
      </c>
      <c r="BXE1" s="65" t="s">
        <v>2326</v>
      </c>
      <c r="BXF1" s="65" t="s">
        <v>2327</v>
      </c>
      <c r="BXG1" s="65" t="s">
        <v>2328</v>
      </c>
      <c r="BXH1" s="65" t="s">
        <v>2329</v>
      </c>
      <c r="BXI1" s="65" t="s">
        <v>2330</v>
      </c>
      <c r="BXJ1" s="65" t="s">
        <v>2331</v>
      </c>
      <c r="BXK1" s="65" t="s">
        <v>2332</v>
      </c>
      <c r="BXL1" s="65" t="s">
        <v>2333</v>
      </c>
      <c r="BXM1" s="65" t="s">
        <v>2334</v>
      </c>
      <c r="BXN1" s="65" t="s">
        <v>2335</v>
      </c>
      <c r="BXO1" s="65" t="s">
        <v>2336</v>
      </c>
      <c r="BXP1" s="65" t="s">
        <v>2337</v>
      </c>
      <c r="BXQ1" s="65" t="s">
        <v>2338</v>
      </c>
      <c r="BXR1" s="65" t="s">
        <v>2339</v>
      </c>
      <c r="BXS1" s="65" t="s">
        <v>2340</v>
      </c>
      <c r="BXT1" s="65" t="s">
        <v>2341</v>
      </c>
      <c r="BXU1" s="65" t="s">
        <v>2342</v>
      </c>
      <c r="BXV1" s="65" t="s">
        <v>2343</v>
      </c>
      <c r="BXW1" s="65" t="s">
        <v>2344</v>
      </c>
      <c r="BXX1" s="65" t="s">
        <v>2345</v>
      </c>
      <c r="BXY1" s="65" t="s">
        <v>2346</v>
      </c>
      <c r="BXZ1" s="65" t="s">
        <v>2347</v>
      </c>
      <c r="BYA1" s="65" t="s">
        <v>2348</v>
      </c>
      <c r="BYB1" s="65" t="s">
        <v>2349</v>
      </c>
      <c r="BYC1" s="65" t="s">
        <v>2350</v>
      </c>
      <c r="BYD1" s="65" t="s">
        <v>2351</v>
      </c>
      <c r="BYE1" s="65" t="s">
        <v>2352</v>
      </c>
      <c r="BYF1" s="65" t="s">
        <v>2353</v>
      </c>
      <c r="BYG1" s="65" t="s">
        <v>2354</v>
      </c>
      <c r="BYH1" s="65" t="s">
        <v>2355</v>
      </c>
      <c r="BYI1" s="65" t="s">
        <v>2356</v>
      </c>
      <c r="BYJ1" s="65" t="s">
        <v>2357</v>
      </c>
      <c r="BYK1" s="65" t="s">
        <v>2358</v>
      </c>
      <c r="BYL1" s="65" t="s">
        <v>2359</v>
      </c>
      <c r="BYM1" s="65" t="s">
        <v>2360</v>
      </c>
      <c r="BYN1" s="65" t="s">
        <v>2361</v>
      </c>
      <c r="BYO1" s="65" t="s">
        <v>2362</v>
      </c>
      <c r="BYP1" s="65" t="s">
        <v>2363</v>
      </c>
      <c r="BYQ1" s="65" t="s">
        <v>2364</v>
      </c>
      <c r="BYR1" s="65" t="s">
        <v>2365</v>
      </c>
      <c r="BYS1" s="65" t="s">
        <v>2366</v>
      </c>
      <c r="BYT1" s="65" t="s">
        <v>2367</v>
      </c>
      <c r="BYU1" s="65" t="s">
        <v>2368</v>
      </c>
      <c r="BYV1" s="65" t="s">
        <v>2369</v>
      </c>
      <c r="BYW1" s="65" t="s">
        <v>2370</v>
      </c>
      <c r="BYX1" s="65" t="s">
        <v>2371</v>
      </c>
      <c r="BYY1" s="65" t="s">
        <v>2372</v>
      </c>
      <c r="BYZ1" s="65" t="s">
        <v>2373</v>
      </c>
      <c r="BZA1" s="65" t="s">
        <v>2374</v>
      </c>
      <c r="BZB1" s="65" t="s">
        <v>2375</v>
      </c>
      <c r="BZC1" s="65" t="s">
        <v>2376</v>
      </c>
      <c r="BZD1" s="65" t="s">
        <v>2377</v>
      </c>
      <c r="BZE1" s="65" t="s">
        <v>2378</v>
      </c>
      <c r="BZF1" s="65" t="s">
        <v>2379</v>
      </c>
      <c r="BZG1" s="65" t="s">
        <v>2380</v>
      </c>
      <c r="BZH1" s="65" t="s">
        <v>2381</v>
      </c>
      <c r="BZI1" s="65" t="s">
        <v>2382</v>
      </c>
      <c r="BZJ1" s="65" t="s">
        <v>2383</v>
      </c>
      <c r="BZK1" s="65" t="s">
        <v>2384</v>
      </c>
      <c r="BZL1" s="65" t="s">
        <v>2385</v>
      </c>
      <c r="BZM1" s="65" t="s">
        <v>2386</v>
      </c>
      <c r="BZN1" s="65" t="s">
        <v>2387</v>
      </c>
      <c r="BZO1" s="65" t="s">
        <v>2388</v>
      </c>
      <c r="BZP1" s="65" t="s">
        <v>2389</v>
      </c>
      <c r="BZQ1" s="65" t="s">
        <v>2390</v>
      </c>
      <c r="BZR1" s="65" t="s">
        <v>2391</v>
      </c>
      <c r="BZS1" s="65" t="s">
        <v>2392</v>
      </c>
      <c r="BZT1" s="65" t="s">
        <v>2393</v>
      </c>
      <c r="BZU1" s="65" t="s">
        <v>2394</v>
      </c>
      <c r="BZV1" s="65" t="s">
        <v>2395</v>
      </c>
      <c r="BZW1" s="65" t="s">
        <v>2396</v>
      </c>
      <c r="BZX1" s="65" t="s">
        <v>2397</v>
      </c>
      <c r="BZY1" s="65" t="s">
        <v>2398</v>
      </c>
      <c r="BZZ1" s="65" t="s">
        <v>2399</v>
      </c>
      <c r="CAA1" s="65" t="s">
        <v>2400</v>
      </c>
      <c r="CAB1" s="65" t="s">
        <v>2401</v>
      </c>
      <c r="CAC1" s="65" t="s">
        <v>2402</v>
      </c>
      <c r="CAD1" s="65" t="s">
        <v>2403</v>
      </c>
      <c r="CAE1" s="65" t="s">
        <v>2404</v>
      </c>
      <c r="CAF1" s="65" t="s">
        <v>2405</v>
      </c>
      <c r="CAG1" s="65" t="s">
        <v>2406</v>
      </c>
      <c r="CAH1" s="65" t="s">
        <v>2407</v>
      </c>
      <c r="CAI1" s="65" t="s">
        <v>2408</v>
      </c>
      <c r="CAJ1" s="65" t="s">
        <v>2409</v>
      </c>
      <c r="CAK1" s="65" t="s">
        <v>2410</v>
      </c>
      <c r="CAL1" s="65" t="s">
        <v>2411</v>
      </c>
      <c r="CAM1" s="65" t="s">
        <v>2412</v>
      </c>
      <c r="CAN1" s="65" t="s">
        <v>2413</v>
      </c>
      <c r="CAO1" s="65" t="s">
        <v>2414</v>
      </c>
      <c r="CAP1" s="65" t="s">
        <v>2415</v>
      </c>
      <c r="CAQ1" s="65" t="s">
        <v>2416</v>
      </c>
      <c r="CAR1" s="65" t="s">
        <v>2417</v>
      </c>
      <c r="CAS1" s="65" t="s">
        <v>2418</v>
      </c>
      <c r="CAT1" s="65" t="s">
        <v>2419</v>
      </c>
      <c r="CAU1" s="65" t="s">
        <v>2420</v>
      </c>
      <c r="CAV1" s="65" t="s">
        <v>2421</v>
      </c>
      <c r="CAW1" s="65" t="s">
        <v>2422</v>
      </c>
      <c r="CAX1" s="65" t="s">
        <v>2423</v>
      </c>
      <c r="CAY1" s="65" t="s">
        <v>2424</v>
      </c>
      <c r="CAZ1" s="65" t="s">
        <v>2425</v>
      </c>
      <c r="CBA1" s="65" t="s">
        <v>2426</v>
      </c>
      <c r="CBB1" s="65" t="s">
        <v>2427</v>
      </c>
      <c r="CBC1" s="65" t="s">
        <v>2428</v>
      </c>
      <c r="CBD1" s="65" t="s">
        <v>2429</v>
      </c>
      <c r="CBE1" s="65" t="s">
        <v>2430</v>
      </c>
      <c r="CBF1" s="65" t="s">
        <v>2431</v>
      </c>
      <c r="CBG1" s="65" t="s">
        <v>2432</v>
      </c>
      <c r="CBH1" s="65" t="s">
        <v>2433</v>
      </c>
      <c r="CBI1" s="65" t="s">
        <v>2434</v>
      </c>
      <c r="CBJ1" s="65" t="s">
        <v>2435</v>
      </c>
      <c r="CBK1" s="65" t="s">
        <v>2436</v>
      </c>
      <c r="CBL1" s="65" t="s">
        <v>2437</v>
      </c>
      <c r="CBM1" s="65" t="s">
        <v>2438</v>
      </c>
      <c r="CBN1" s="65" t="s">
        <v>2439</v>
      </c>
      <c r="CBO1" s="65" t="s">
        <v>2440</v>
      </c>
      <c r="CBP1" s="65" t="s">
        <v>2441</v>
      </c>
      <c r="CBQ1" s="65" t="s">
        <v>2442</v>
      </c>
      <c r="CBR1" s="65" t="s">
        <v>2443</v>
      </c>
      <c r="CBS1" s="65" t="s">
        <v>2444</v>
      </c>
      <c r="CBT1" s="65" t="s">
        <v>2445</v>
      </c>
      <c r="CBU1" s="65" t="s">
        <v>2446</v>
      </c>
      <c r="CBV1" s="65" t="s">
        <v>2447</v>
      </c>
      <c r="CBW1" s="65" t="s">
        <v>2448</v>
      </c>
      <c r="CBX1" s="65" t="s">
        <v>2449</v>
      </c>
      <c r="CBY1" s="65" t="s">
        <v>2450</v>
      </c>
      <c r="CBZ1" s="65" t="s">
        <v>2451</v>
      </c>
      <c r="CCA1" s="65" t="s">
        <v>2452</v>
      </c>
      <c r="CCB1" s="65" t="s">
        <v>2453</v>
      </c>
      <c r="CCC1" s="65" t="s">
        <v>2454</v>
      </c>
      <c r="CCD1" s="65" t="s">
        <v>2455</v>
      </c>
      <c r="CCE1" s="65" t="s">
        <v>2456</v>
      </c>
      <c r="CCF1" s="65" t="s">
        <v>2457</v>
      </c>
      <c r="CCG1" s="65" t="s">
        <v>2458</v>
      </c>
      <c r="CCH1" s="65" t="s">
        <v>2459</v>
      </c>
      <c r="CCI1" s="65" t="s">
        <v>2460</v>
      </c>
      <c r="CCJ1" s="65" t="s">
        <v>2461</v>
      </c>
      <c r="CCK1" s="65" t="s">
        <v>2462</v>
      </c>
      <c r="CCL1" s="65" t="s">
        <v>2463</v>
      </c>
      <c r="CCM1" s="65" t="s">
        <v>2464</v>
      </c>
      <c r="CCN1" s="65" t="s">
        <v>2465</v>
      </c>
      <c r="CCO1" s="65" t="s">
        <v>2466</v>
      </c>
      <c r="CCP1" s="65" t="s">
        <v>2467</v>
      </c>
      <c r="CCQ1" s="65" t="s">
        <v>2468</v>
      </c>
      <c r="CCR1" s="65" t="s">
        <v>2469</v>
      </c>
      <c r="CCS1" s="65" t="s">
        <v>2470</v>
      </c>
      <c r="CCT1" s="65" t="s">
        <v>2471</v>
      </c>
      <c r="CCU1" s="65" t="s">
        <v>2472</v>
      </c>
      <c r="CCV1" s="65" t="s">
        <v>2473</v>
      </c>
      <c r="CCW1" s="65" t="s">
        <v>2474</v>
      </c>
      <c r="CCX1" s="65" t="s">
        <v>2475</v>
      </c>
      <c r="CCY1" s="65" t="s">
        <v>2476</v>
      </c>
      <c r="CCZ1" s="65" t="s">
        <v>2477</v>
      </c>
      <c r="CDA1" s="65" t="s">
        <v>2478</v>
      </c>
      <c r="CDB1" s="65" t="s">
        <v>2479</v>
      </c>
      <c r="CDC1" s="65" t="s">
        <v>2480</v>
      </c>
      <c r="CDD1" s="65" t="s">
        <v>2481</v>
      </c>
      <c r="CDE1" s="65" t="s">
        <v>2482</v>
      </c>
      <c r="CDF1" s="65" t="s">
        <v>2483</v>
      </c>
      <c r="CDG1" s="65" t="s">
        <v>2484</v>
      </c>
      <c r="CDH1" s="65" t="s">
        <v>2485</v>
      </c>
      <c r="CDI1" s="65" t="s">
        <v>2486</v>
      </c>
      <c r="CDJ1" s="65" t="s">
        <v>2487</v>
      </c>
      <c r="CDK1" s="65" t="s">
        <v>2488</v>
      </c>
      <c r="CDL1" s="65" t="s">
        <v>2489</v>
      </c>
      <c r="CDM1" s="65" t="s">
        <v>2490</v>
      </c>
      <c r="CDN1" s="65" t="s">
        <v>2491</v>
      </c>
      <c r="CDO1" s="65" t="s">
        <v>2492</v>
      </c>
      <c r="CDP1" s="65" t="s">
        <v>2493</v>
      </c>
      <c r="CDQ1" s="65" t="s">
        <v>2494</v>
      </c>
      <c r="CDR1" s="65" t="s">
        <v>2495</v>
      </c>
      <c r="CDS1" s="65" t="s">
        <v>2496</v>
      </c>
      <c r="CDT1" s="65" t="s">
        <v>2497</v>
      </c>
      <c r="CDU1" s="65" t="s">
        <v>2498</v>
      </c>
      <c r="CDV1" s="65" t="s">
        <v>2499</v>
      </c>
      <c r="CDW1" s="65" t="s">
        <v>2500</v>
      </c>
      <c r="CDX1" s="65" t="s">
        <v>2501</v>
      </c>
      <c r="CDY1" s="65" t="s">
        <v>2502</v>
      </c>
      <c r="CDZ1" s="65" t="s">
        <v>2503</v>
      </c>
      <c r="CEA1" s="65" t="s">
        <v>2504</v>
      </c>
      <c r="CEB1" s="65" t="s">
        <v>2505</v>
      </c>
      <c r="CEC1" s="65" t="s">
        <v>2506</v>
      </c>
      <c r="CED1" s="65" t="s">
        <v>2507</v>
      </c>
      <c r="CEE1" s="65" t="s">
        <v>2508</v>
      </c>
      <c r="CEF1" s="65" t="s">
        <v>2509</v>
      </c>
      <c r="CEG1" s="65" t="s">
        <v>2510</v>
      </c>
      <c r="CEH1" s="65" t="s">
        <v>2511</v>
      </c>
      <c r="CEI1" s="65" t="s">
        <v>2512</v>
      </c>
      <c r="CEJ1" s="65" t="s">
        <v>2513</v>
      </c>
      <c r="CEK1" s="65" t="s">
        <v>2514</v>
      </c>
      <c r="CEL1" s="65" t="s">
        <v>2515</v>
      </c>
      <c r="CEM1" s="65" t="s">
        <v>2516</v>
      </c>
      <c r="CEN1" s="65" t="s">
        <v>2517</v>
      </c>
      <c r="CEO1" s="65" t="s">
        <v>2518</v>
      </c>
      <c r="CEP1" s="65" t="s">
        <v>2519</v>
      </c>
      <c r="CEQ1" s="65" t="s">
        <v>2520</v>
      </c>
      <c r="CER1" s="65" t="s">
        <v>2521</v>
      </c>
      <c r="CES1" s="65" t="s">
        <v>2522</v>
      </c>
      <c r="CET1" s="65" t="s">
        <v>2523</v>
      </c>
      <c r="CEU1" s="65" t="s">
        <v>2524</v>
      </c>
      <c r="CEV1" s="65" t="s">
        <v>2525</v>
      </c>
      <c r="CEW1" s="65" t="s">
        <v>2526</v>
      </c>
      <c r="CEX1" s="65" t="s">
        <v>2527</v>
      </c>
      <c r="CEY1" s="65" t="s">
        <v>2528</v>
      </c>
      <c r="CEZ1" s="65" t="s">
        <v>2529</v>
      </c>
      <c r="CFA1" s="65" t="s">
        <v>2530</v>
      </c>
      <c r="CFB1" s="65" t="s">
        <v>2531</v>
      </c>
      <c r="CFC1" s="65" t="s">
        <v>2532</v>
      </c>
      <c r="CFD1" s="65" t="s">
        <v>2533</v>
      </c>
      <c r="CFE1" s="65" t="s">
        <v>2534</v>
      </c>
      <c r="CFF1" s="65" t="s">
        <v>2535</v>
      </c>
      <c r="CFG1" s="65" t="s">
        <v>2536</v>
      </c>
      <c r="CFH1" s="65" t="s">
        <v>2537</v>
      </c>
      <c r="CFI1" s="65" t="s">
        <v>2538</v>
      </c>
      <c r="CFJ1" s="65" t="s">
        <v>2539</v>
      </c>
      <c r="CFK1" s="65" t="s">
        <v>2540</v>
      </c>
      <c r="CFL1" s="65" t="s">
        <v>2541</v>
      </c>
      <c r="CFM1" s="65" t="s">
        <v>2542</v>
      </c>
      <c r="CFN1" s="65" t="s">
        <v>2543</v>
      </c>
      <c r="CFO1" s="65" t="s">
        <v>2544</v>
      </c>
      <c r="CFP1" s="65" t="s">
        <v>2545</v>
      </c>
      <c r="CFQ1" s="65" t="s">
        <v>2546</v>
      </c>
      <c r="CFR1" s="65" t="s">
        <v>2547</v>
      </c>
      <c r="CFS1" s="65" t="s">
        <v>2548</v>
      </c>
      <c r="CFT1" s="65" t="s">
        <v>2549</v>
      </c>
      <c r="CFU1" s="65" t="s">
        <v>2550</v>
      </c>
      <c r="CFV1" s="65" t="s">
        <v>2551</v>
      </c>
      <c r="CFW1" s="65" t="s">
        <v>2552</v>
      </c>
      <c r="CFX1" s="65" t="s">
        <v>2553</v>
      </c>
      <c r="CFY1" s="65" t="s">
        <v>2554</v>
      </c>
      <c r="CFZ1" s="65" t="s">
        <v>2555</v>
      </c>
      <c r="CGA1" s="65" t="s">
        <v>2556</v>
      </c>
      <c r="CGB1" s="65" t="s">
        <v>2557</v>
      </c>
      <c r="CGC1" s="65" t="s">
        <v>2558</v>
      </c>
      <c r="CGD1" s="65" t="s">
        <v>2559</v>
      </c>
      <c r="CGE1" s="65" t="s">
        <v>2560</v>
      </c>
      <c r="CGF1" s="65" t="s">
        <v>2561</v>
      </c>
      <c r="CGG1" s="65" t="s">
        <v>2562</v>
      </c>
      <c r="CGH1" s="65" t="s">
        <v>2563</v>
      </c>
      <c r="CGI1" s="65" t="s">
        <v>2564</v>
      </c>
      <c r="CGJ1" s="65" t="s">
        <v>2565</v>
      </c>
      <c r="CGK1" s="65" t="s">
        <v>2566</v>
      </c>
      <c r="CGL1" s="65" t="s">
        <v>2567</v>
      </c>
      <c r="CGM1" s="65" t="s">
        <v>2568</v>
      </c>
      <c r="CGN1" s="65" t="s">
        <v>2569</v>
      </c>
      <c r="CGO1" s="65" t="s">
        <v>2570</v>
      </c>
      <c r="CGP1" s="65" t="s">
        <v>2571</v>
      </c>
      <c r="CGQ1" s="65" t="s">
        <v>2572</v>
      </c>
      <c r="CGR1" s="65" t="s">
        <v>2573</v>
      </c>
      <c r="CGS1" s="65" t="s">
        <v>2574</v>
      </c>
      <c r="CGT1" s="65" t="s">
        <v>2575</v>
      </c>
      <c r="CGU1" s="65" t="s">
        <v>2576</v>
      </c>
      <c r="CGV1" s="65" t="s">
        <v>2577</v>
      </c>
      <c r="CGW1" s="65" t="s">
        <v>2578</v>
      </c>
      <c r="CGX1" s="65" t="s">
        <v>2579</v>
      </c>
      <c r="CGY1" s="65" t="s">
        <v>2580</v>
      </c>
      <c r="CGZ1" s="65" t="s">
        <v>2581</v>
      </c>
      <c r="CHA1" s="65" t="s">
        <v>2582</v>
      </c>
      <c r="CHB1" s="65" t="s">
        <v>2583</v>
      </c>
      <c r="CHC1" s="65" t="s">
        <v>2584</v>
      </c>
      <c r="CHD1" s="65" t="s">
        <v>2585</v>
      </c>
      <c r="CHE1" s="65" t="s">
        <v>2586</v>
      </c>
      <c r="CHF1" s="65" t="s">
        <v>2587</v>
      </c>
      <c r="CHG1" s="65" t="s">
        <v>2588</v>
      </c>
      <c r="CHH1" s="65" t="s">
        <v>2589</v>
      </c>
      <c r="CHI1" s="65" t="s">
        <v>2590</v>
      </c>
      <c r="CHJ1" s="65" t="s">
        <v>2591</v>
      </c>
      <c r="CHK1" s="65" t="s">
        <v>2592</v>
      </c>
      <c r="CHL1" s="65" t="s">
        <v>2593</v>
      </c>
      <c r="CHM1" s="65" t="s">
        <v>2594</v>
      </c>
      <c r="CHN1" s="65" t="s">
        <v>2595</v>
      </c>
      <c r="CHO1" s="65" t="s">
        <v>2596</v>
      </c>
      <c r="CHP1" s="65" t="s">
        <v>2597</v>
      </c>
      <c r="CHQ1" s="65" t="s">
        <v>2598</v>
      </c>
      <c r="CHR1" s="65" t="s">
        <v>2599</v>
      </c>
      <c r="CHS1" s="65" t="s">
        <v>2600</v>
      </c>
      <c r="CHT1" s="65" t="s">
        <v>2601</v>
      </c>
      <c r="CHU1" s="65" t="s">
        <v>2602</v>
      </c>
      <c r="CHV1" s="65" t="s">
        <v>2603</v>
      </c>
      <c r="CHW1" s="65" t="s">
        <v>2604</v>
      </c>
      <c r="CHX1" s="65" t="s">
        <v>2605</v>
      </c>
      <c r="CHY1" s="65" t="s">
        <v>2606</v>
      </c>
      <c r="CHZ1" s="65" t="s">
        <v>2607</v>
      </c>
      <c r="CIA1" s="65" t="s">
        <v>2608</v>
      </c>
      <c r="CIB1" s="65" t="s">
        <v>2609</v>
      </c>
      <c r="CIC1" s="65" t="s">
        <v>2610</v>
      </c>
      <c r="CID1" s="65" t="s">
        <v>2611</v>
      </c>
      <c r="CIE1" s="65" t="s">
        <v>2612</v>
      </c>
      <c r="CIF1" s="65" t="s">
        <v>2613</v>
      </c>
      <c r="CIG1" s="65" t="s">
        <v>2614</v>
      </c>
      <c r="CIH1" s="65" t="s">
        <v>2615</v>
      </c>
      <c r="CII1" s="65" t="s">
        <v>2616</v>
      </c>
      <c r="CIJ1" s="65" t="s">
        <v>2617</v>
      </c>
      <c r="CIK1" s="65" t="s">
        <v>2618</v>
      </c>
      <c r="CIL1" s="65" t="s">
        <v>2619</v>
      </c>
      <c r="CIM1" s="65" t="s">
        <v>2620</v>
      </c>
      <c r="CIN1" s="65" t="s">
        <v>2621</v>
      </c>
      <c r="CIO1" s="65" t="s">
        <v>2622</v>
      </c>
      <c r="CIP1" s="65" t="s">
        <v>2623</v>
      </c>
      <c r="CIQ1" s="65" t="s">
        <v>2624</v>
      </c>
      <c r="CIR1" s="65" t="s">
        <v>2625</v>
      </c>
      <c r="CIS1" s="65" t="s">
        <v>2626</v>
      </c>
      <c r="CIT1" s="65" t="s">
        <v>2627</v>
      </c>
      <c r="CIU1" s="65" t="s">
        <v>2628</v>
      </c>
      <c r="CIV1" s="65" t="s">
        <v>2629</v>
      </c>
      <c r="CIW1" s="65" t="s">
        <v>2630</v>
      </c>
      <c r="CIX1" s="65" t="s">
        <v>2631</v>
      </c>
      <c r="CIY1" s="65" t="s">
        <v>2632</v>
      </c>
      <c r="CIZ1" s="65" t="s">
        <v>2633</v>
      </c>
      <c r="CJA1" s="65" t="s">
        <v>2634</v>
      </c>
      <c r="CJB1" s="65" t="s">
        <v>2635</v>
      </c>
      <c r="CJC1" s="65" t="s">
        <v>2636</v>
      </c>
      <c r="CJD1" s="65" t="s">
        <v>2637</v>
      </c>
      <c r="CJE1" s="65" t="s">
        <v>2638</v>
      </c>
      <c r="CJF1" s="65" t="s">
        <v>2639</v>
      </c>
      <c r="CJG1" s="65" t="s">
        <v>2640</v>
      </c>
      <c r="CJH1" s="65" t="s">
        <v>2641</v>
      </c>
      <c r="CJI1" s="65" t="s">
        <v>2642</v>
      </c>
      <c r="CJJ1" s="65" t="s">
        <v>2643</v>
      </c>
      <c r="CJK1" s="65" t="s">
        <v>2644</v>
      </c>
      <c r="CJL1" s="65" t="s">
        <v>2645</v>
      </c>
      <c r="CJM1" s="65" t="s">
        <v>2646</v>
      </c>
      <c r="CJN1" s="65" t="s">
        <v>2647</v>
      </c>
      <c r="CJO1" s="65" t="s">
        <v>2648</v>
      </c>
      <c r="CJP1" s="65" t="s">
        <v>2649</v>
      </c>
      <c r="CJQ1" s="65" t="s">
        <v>2650</v>
      </c>
      <c r="CJR1" s="65" t="s">
        <v>2651</v>
      </c>
      <c r="CJS1" s="65" t="s">
        <v>2652</v>
      </c>
      <c r="CJT1" s="65" t="s">
        <v>2653</v>
      </c>
      <c r="CJU1" s="65" t="s">
        <v>2654</v>
      </c>
      <c r="CJV1" s="65" t="s">
        <v>2655</v>
      </c>
      <c r="CJW1" s="65" t="s">
        <v>2656</v>
      </c>
      <c r="CJX1" s="65" t="s">
        <v>2657</v>
      </c>
      <c r="CJY1" s="65" t="s">
        <v>2658</v>
      </c>
      <c r="CJZ1" s="65" t="s">
        <v>2659</v>
      </c>
      <c r="CKA1" s="65" t="s">
        <v>2660</v>
      </c>
      <c r="CKB1" s="65" t="s">
        <v>2661</v>
      </c>
      <c r="CKC1" s="65" t="s">
        <v>2662</v>
      </c>
      <c r="CKD1" s="65" t="s">
        <v>2663</v>
      </c>
      <c r="CKE1" s="65" t="s">
        <v>2664</v>
      </c>
      <c r="CKF1" s="65" t="s">
        <v>2665</v>
      </c>
      <c r="CKG1" s="65" t="s">
        <v>2666</v>
      </c>
      <c r="CKH1" s="65" t="s">
        <v>2667</v>
      </c>
      <c r="CKI1" s="65" t="s">
        <v>2668</v>
      </c>
      <c r="CKJ1" s="65" t="s">
        <v>2669</v>
      </c>
      <c r="CKK1" s="65" t="s">
        <v>2670</v>
      </c>
      <c r="CKL1" s="65" t="s">
        <v>2671</v>
      </c>
      <c r="CKM1" s="65" t="s">
        <v>2672</v>
      </c>
      <c r="CKN1" s="65" t="s">
        <v>2673</v>
      </c>
      <c r="CKO1" s="65" t="s">
        <v>2674</v>
      </c>
      <c r="CKP1" s="65" t="s">
        <v>2675</v>
      </c>
      <c r="CKQ1" s="65" t="s">
        <v>2676</v>
      </c>
      <c r="CKR1" s="65" t="s">
        <v>2677</v>
      </c>
      <c r="CKS1" s="65" t="s">
        <v>2678</v>
      </c>
      <c r="CKT1" s="65" t="s">
        <v>2679</v>
      </c>
      <c r="CKU1" s="65" t="s">
        <v>2680</v>
      </c>
      <c r="CKV1" s="65" t="s">
        <v>2681</v>
      </c>
      <c r="CKW1" s="65" t="s">
        <v>2682</v>
      </c>
      <c r="CKX1" s="65" t="s">
        <v>2683</v>
      </c>
      <c r="CKY1" s="65" t="s">
        <v>2684</v>
      </c>
      <c r="CKZ1" s="65" t="s">
        <v>2685</v>
      </c>
      <c r="CLA1" s="65" t="s">
        <v>2686</v>
      </c>
      <c r="CLB1" s="65" t="s">
        <v>2687</v>
      </c>
      <c r="CLC1" s="65" t="s">
        <v>2688</v>
      </c>
      <c r="CLD1" s="65" t="s">
        <v>2689</v>
      </c>
      <c r="CLE1" s="65" t="s">
        <v>2690</v>
      </c>
      <c r="CLF1" s="65" t="s">
        <v>2691</v>
      </c>
      <c r="CLG1" s="65" t="s">
        <v>2692</v>
      </c>
      <c r="CLH1" s="65" t="s">
        <v>2693</v>
      </c>
      <c r="CLI1" s="65" t="s">
        <v>2694</v>
      </c>
      <c r="CLJ1" s="65" t="s">
        <v>2695</v>
      </c>
      <c r="CLK1" s="65" t="s">
        <v>2696</v>
      </c>
      <c r="CLL1" s="65" t="s">
        <v>2697</v>
      </c>
      <c r="CLM1" s="65" t="s">
        <v>2698</v>
      </c>
      <c r="CLN1" s="65" t="s">
        <v>2699</v>
      </c>
      <c r="CLO1" s="65" t="s">
        <v>2700</v>
      </c>
      <c r="CLP1" s="65" t="s">
        <v>2701</v>
      </c>
      <c r="CLQ1" s="65" t="s">
        <v>2702</v>
      </c>
      <c r="CLR1" s="65" t="s">
        <v>2703</v>
      </c>
      <c r="CLS1" s="65" t="s">
        <v>2704</v>
      </c>
      <c r="CLT1" s="65" t="s">
        <v>2705</v>
      </c>
      <c r="CLU1" s="65" t="s">
        <v>2706</v>
      </c>
      <c r="CLV1" s="65" t="s">
        <v>2707</v>
      </c>
      <c r="CLW1" s="65" t="s">
        <v>2708</v>
      </c>
      <c r="CLX1" s="65" t="s">
        <v>2709</v>
      </c>
      <c r="CLY1" s="65" t="s">
        <v>2710</v>
      </c>
      <c r="CLZ1" s="65" t="s">
        <v>2711</v>
      </c>
      <c r="CMA1" s="65" t="s">
        <v>2712</v>
      </c>
      <c r="CMB1" s="65" t="s">
        <v>2713</v>
      </c>
      <c r="CMC1" s="65" t="s">
        <v>2714</v>
      </c>
      <c r="CMD1" s="65" t="s">
        <v>2715</v>
      </c>
      <c r="CME1" s="65" t="s">
        <v>2716</v>
      </c>
      <c r="CMF1" s="65" t="s">
        <v>2717</v>
      </c>
      <c r="CMG1" s="65" t="s">
        <v>2718</v>
      </c>
      <c r="CMH1" s="65" t="s">
        <v>2719</v>
      </c>
      <c r="CMI1" s="65" t="s">
        <v>2720</v>
      </c>
      <c r="CMJ1" s="65" t="s">
        <v>2721</v>
      </c>
      <c r="CMK1" s="65" t="s">
        <v>2722</v>
      </c>
      <c r="CML1" s="65" t="s">
        <v>2723</v>
      </c>
      <c r="CMM1" s="65" t="s">
        <v>2724</v>
      </c>
      <c r="CMN1" s="65" t="s">
        <v>2725</v>
      </c>
      <c r="CMO1" s="65" t="s">
        <v>2726</v>
      </c>
      <c r="CMP1" s="65" t="s">
        <v>2727</v>
      </c>
      <c r="CMQ1" s="65" t="s">
        <v>2728</v>
      </c>
      <c r="CMR1" s="65" t="s">
        <v>2729</v>
      </c>
      <c r="CMS1" s="65" t="s">
        <v>2730</v>
      </c>
      <c r="CMT1" s="65" t="s">
        <v>2731</v>
      </c>
      <c r="CMU1" s="65" t="s">
        <v>2732</v>
      </c>
      <c r="CMV1" s="65" t="s">
        <v>2733</v>
      </c>
      <c r="CMW1" s="65" t="s">
        <v>2734</v>
      </c>
      <c r="CMX1" s="65" t="s">
        <v>2735</v>
      </c>
      <c r="CMY1" s="65" t="s">
        <v>2736</v>
      </c>
      <c r="CMZ1" s="65" t="s">
        <v>2737</v>
      </c>
      <c r="CNA1" s="65" t="s">
        <v>2738</v>
      </c>
      <c r="CNB1" s="65" t="s">
        <v>2739</v>
      </c>
      <c r="CNC1" s="65" t="s">
        <v>2740</v>
      </c>
      <c r="CND1" s="65" t="s">
        <v>2741</v>
      </c>
      <c r="CNE1" s="65" t="s">
        <v>2742</v>
      </c>
      <c r="CNF1" s="65" t="s">
        <v>2743</v>
      </c>
      <c r="CNG1" s="65" t="s">
        <v>2744</v>
      </c>
      <c r="CNH1" s="65" t="s">
        <v>2745</v>
      </c>
      <c r="CNI1" s="65" t="s">
        <v>2746</v>
      </c>
      <c r="CNJ1" s="65" t="s">
        <v>2747</v>
      </c>
      <c r="CNK1" s="65" t="s">
        <v>2748</v>
      </c>
      <c r="CNL1" s="65" t="s">
        <v>2749</v>
      </c>
      <c r="CNM1" s="65" t="s">
        <v>2750</v>
      </c>
      <c r="CNN1" s="65" t="s">
        <v>2751</v>
      </c>
      <c r="CNO1" s="65" t="s">
        <v>2752</v>
      </c>
      <c r="CNP1" s="65" t="s">
        <v>2753</v>
      </c>
      <c r="CNQ1" s="65" t="s">
        <v>2754</v>
      </c>
      <c r="CNR1" s="65" t="s">
        <v>2755</v>
      </c>
      <c r="CNS1" s="65" t="s">
        <v>2756</v>
      </c>
      <c r="CNT1" s="65" t="s">
        <v>2757</v>
      </c>
      <c r="CNU1" s="65" t="s">
        <v>2758</v>
      </c>
      <c r="CNV1" s="65" t="s">
        <v>2759</v>
      </c>
      <c r="CNW1" s="65" t="s">
        <v>2760</v>
      </c>
      <c r="CNX1" s="65" t="s">
        <v>2761</v>
      </c>
      <c r="CNY1" s="65" t="s">
        <v>2762</v>
      </c>
      <c r="CNZ1" s="65" t="s">
        <v>2763</v>
      </c>
      <c r="COA1" s="65" t="s">
        <v>2764</v>
      </c>
      <c r="COB1" s="65" t="s">
        <v>2765</v>
      </c>
      <c r="COC1" s="65" t="s">
        <v>2766</v>
      </c>
      <c r="COD1" s="65" t="s">
        <v>2767</v>
      </c>
      <c r="COE1" s="65" t="s">
        <v>2768</v>
      </c>
      <c r="COF1" s="65" t="s">
        <v>2769</v>
      </c>
      <c r="COG1" s="65" t="s">
        <v>2770</v>
      </c>
      <c r="COH1" s="65" t="s">
        <v>2771</v>
      </c>
      <c r="COI1" s="65" t="s">
        <v>2772</v>
      </c>
      <c r="COJ1" s="65" t="s">
        <v>2773</v>
      </c>
      <c r="COK1" s="65" t="s">
        <v>2774</v>
      </c>
      <c r="COL1" s="65" t="s">
        <v>2775</v>
      </c>
      <c r="COM1" s="65" t="s">
        <v>2776</v>
      </c>
      <c r="CON1" s="65" t="s">
        <v>2777</v>
      </c>
      <c r="COO1" s="65" t="s">
        <v>2778</v>
      </c>
      <c r="COP1" s="65" t="s">
        <v>2779</v>
      </c>
      <c r="COQ1" s="65" t="s">
        <v>2780</v>
      </c>
      <c r="COR1" s="65" t="s">
        <v>2781</v>
      </c>
      <c r="COS1" s="65" t="s">
        <v>2782</v>
      </c>
      <c r="COT1" s="65" t="s">
        <v>2783</v>
      </c>
      <c r="COU1" s="65" t="s">
        <v>2784</v>
      </c>
      <c r="COV1" s="65" t="s">
        <v>2785</v>
      </c>
      <c r="COW1" s="65" t="s">
        <v>2786</v>
      </c>
      <c r="COX1" s="65" t="s">
        <v>2787</v>
      </c>
      <c r="COY1" s="65" t="s">
        <v>2788</v>
      </c>
      <c r="COZ1" s="65" t="s">
        <v>2789</v>
      </c>
      <c r="CPA1" s="65" t="s">
        <v>2790</v>
      </c>
      <c r="CPB1" s="65" t="s">
        <v>2791</v>
      </c>
      <c r="CPC1" s="65" t="s">
        <v>2792</v>
      </c>
      <c r="CPD1" s="65" t="s">
        <v>2793</v>
      </c>
      <c r="CPE1" s="65" t="s">
        <v>2794</v>
      </c>
      <c r="CPF1" s="65" t="s">
        <v>2795</v>
      </c>
      <c r="CPG1" s="65" t="s">
        <v>2796</v>
      </c>
      <c r="CPH1" s="65" t="s">
        <v>2797</v>
      </c>
      <c r="CPI1" s="65" t="s">
        <v>2798</v>
      </c>
      <c r="CPJ1" s="65" t="s">
        <v>2799</v>
      </c>
      <c r="CPK1" s="65" t="s">
        <v>2800</v>
      </c>
      <c r="CPL1" s="65" t="s">
        <v>2801</v>
      </c>
      <c r="CPM1" s="65" t="s">
        <v>2802</v>
      </c>
      <c r="CPN1" s="65" t="s">
        <v>2803</v>
      </c>
      <c r="CPO1" s="65" t="s">
        <v>2804</v>
      </c>
      <c r="CPP1" s="65" t="s">
        <v>2805</v>
      </c>
      <c r="CPQ1" s="65" t="s">
        <v>2806</v>
      </c>
      <c r="CPR1" s="65" t="s">
        <v>2807</v>
      </c>
      <c r="CPS1" s="65" t="s">
        <v>2808</v>
      </c>
      <c r="CPT1" s="65" t="s">
        <v>2809</v>
      </c>
      <c r="CPU1" s="65" t="s">
        <v>2810</v>
      </c>
      <c r="CPV1" s="65" t="s">
        <v>2811</v>
      </c>
      <c r="CPW1" s="65" t="s">
        <v>2812</v>
      </c>
      <c r="CPX1" s="65" t="s">
        <v>2813</v>
      </c>
      <c r="CPY1" s="65" t="s">
        <v>2814</v>
      </c>
      <c r="CPZ1" s="65" t="s">
        <v>2815</v>
      </c>
      <c r="CQA1" s="65" t="s">
        <v>2816</v>
      </c>
      <c r="CQB1" s="65" t="s">
        <v>2817</v>
      </c>
      <c r="CQC1" s="65" t="s">
        <v>2818</v>
      </c>
      <c r="CQD1" s="65" t="s">
        <v>2819</v>
      </c>
      <c r="CQE1" s="65" t="s">
        <v>2820</v>
      </c>
      <c r="CQF1" s="65" t="s">
        <v>2821</v>
      </c>
      <c r="CQG1" s="65" t="s">
        <v>2822</v>
      </c>
      <c r="CQH1" s="65" t="s">
        <v>2823</v>
      </c>
      <c r="CQI1" s="65" t="s">
        <v>2824</v>
      </c>
      <c r="CQJ1" s="65" t="s">
        <v>2825</v>
      </c>
      <c r="CQK1" s="65" t="s">
        <v>2826</v>
      </c>
      <c r="CQL1" s="65" t="s">
        <v>2827</v>
      </c>
      <c r="CQM1" s="65" t="s">
        <v>2828</v>
      </c>
      <c r="CQN1" s="65" t="s">
        <v>2829</v>
      </c>
      <c r="CQO1" s="65" t="s">
        <v>2830</v>
      </c>
      <c r="CQP1" s="65" t="s">
        <v>2831</v>
      </c>
      <c r="CQQ1" s="65" t="s">
        <v>2832</v>
      </c>
      <c r="CQR1" s="65" t="s">
        <v>2833</v>
      </c>
      <c r="CQS1" s="65" t="s">
        <v>2834</v>
      </c>
      <c r="CQT1" s="65" t="s">
        <v>2835</v>
      </c>
      <c r="CQU1" s="65" t="s">
        <v>2836</v>
      </c>
      <c r="CQV1" s="65" t="s">
        <v>2837</v>
      </c>
      <c r="CQW1" s="65" t="s">
        <v>2838</v>
      </c>
      <c r="CQX1" s="65" t="s">
        <v>2839</v>
      </c>
      <c r="CQY1" s="65" t="s">
        <v>2840</v>
      </c>
      <c r="CQZ1" s="65" t="s">
        <v>2841</v>
      </c>
      <c r="CRA1" s="65" t="s">
        <v>2842</v>
      </c>
      <c r="CRB1" s="65" t="s">
        <v>2843</v>
      </c>
      <c r="CRC1" s="65" t="s">
        <v>2844</v>
      </c>
      <c r="CRD1" s="65" t="s">
        <v>2845</v>
      </c>
      <c r="CRE1" s="65" t="s">
        <v>2846</v>
      </c>
      <c r="CRF1" s="65" t="s">
        <v>2847</v>
      </c>
      <c r="CRG1" s="65" t="s">
        <v>2848</v>
      </c>
      <c r="CRH1" s="65" t="s">
        <v>2849</v>
      </c>
      <c r="CRI1" s="65" t="s">
        <v>2850</v>
      </c>
      <c r="CRJ1" s="65" t="s">
        <v>2851</v>
      </c>
      <c r="CRK1" s="65" t="s">
        <v>2852</v>
      </c>
      <c r="CRL1" s="65" t="s">
        <v>2853</v>
      </c>
      <c r="CRM1" s="65" t="s">
        <v>2854</v>
      </c>
      <c r="CRN1" s="65" t="s">
        <v>2855</v>
      </c>
      <c r="CRO1" s="65" t="s">
        <v>2856</v>
      </c>
      <c r="CRP1" s="65" t="s">
        <v>2857</v>
      </c>
      <c r="CRQ1" s="65" t="s">
        <v>2858</v>
      </c>
      <c r="CRR1" s="65" t="s">
        <v>2859</v>
      </c>
      <c r="CRS1" s="65" t="s">
        <v>2860</v>
      </c>
      <c r="CRT1" s="65" t="s">
        <v>2861</v>
      </c>
      <c r="CRU1" s="65" t="s">
        <v>2862</v>
      </c>
      <c r="CRV1" s="65" t="s">
        <v>2863</v>
      </c>
      <c r="CRW1" s="65" t="s">
        <v>2864</v>
      </c>
      <c r="CRX1" s="65" t="s">
        <v>2865</v>
      </c>
      <c r="CRY1" s="65" t="s">
        <v>2866</v>
      </c>
      <c r="CRZ1" s="65" t="s">
        <v>2867</v>
      </c>
      <c r="CSA1" s="65" t="s">
        <v>2868</v>
      </c>
      <c r="CSB1" s="65" t="s">
        <v>2869</v>
      </c>
      <c r="CSC1" s="65" t="s">
        <v>2870</v>
      </c>
      <c r="CSD1" s="65" t="s">
        <v>2871</v>
      </c>
      <c r="CSE1" s="65" t="s">
        <v>2872</v>
      </c>
      <c r="CSF1" s="65" t="s">
        <v>2873</v>
      </c>
      <c r="CSG1" s="65" t="s">
        <v>2874</v>
      </c>
      <c r="CSH1" s="65" t="s">
        <v>2875</v>
      </c>
      <c r="CSI1" s="65" t="s">
        <v>2876</v>
      </c>
      <c r="CSJ1" s="65" t="s">
        <v>2877</v>
      </c>
      <c r="CSK1" s="65" t="s">
        <v>2878</v>
      </c>
      <c r="CSL1" s="65" t="s">
        <v>2879</v>
      </c>
      <c r="CSM1" s="65" t="s">
        <v>2880</v>
      </c>
      <c r="CSN1" s="65" t="s">
        <v>2881</v>
      </c>
      <c r="CSO1" s="65" t="s">
        <v>2882</v>
      </c>
      <c r="CSP1" s="65" t="s">
        <v>2883</v>
      </c>
      <c r="CSQ1" s="65" t="s">
        <v>2884</v>
      </c>
      <c r="CSR1" s="65" t="s">
        <v>2885</v>
      </c>
      <c r="CSS1" s="65" t="s">
        <v>2886</v>
      </c>
      <c r="CST1" s="65" t="s">
        <v>2887</v>
      </c>
      <c r="CSU1" s="65" t="s">
        <v>2888</v>
      </c>
      <c r="CSV1" s="65" t="s">
        <v>2889</v>
      </c>
      <c r="CSW1" s="65" t="s">
        <v>2890</v>
      </c>
      <c r="CSX1" s="65" t="s">
        <v>2891</v>
      </c>
      <c r="CSY1" s="65" t="s">
        <v>2892</v>
      </c>
      <c r="CSZ1" s="65" t="s">
        <v>2893</v>
      </c>
      <c r="CTA1" s="65" t="s">
        <v>2894</v>
      </c>
      <c r="CTB1" s="65" t="s">
        <v>2895</v>
      </c>
      <c r="CTC1" s="65" t="s">
        <v>2896</v>
      </c>
      <c r="CTD1" s="65" t="s">
        <v>2897</v>
      </c>
      <c r="CTE1" s="65" t="s">
        <v>2898</v>
      </c>
      <c r="CTF1" s="65" t="s">
        <v>2899</v>
      </c>
      <c r="CTG1" s="65" t="s">
        <v>2900</v>
      </c>
      <c r="CTH1" s="65" t="s">
        <v>2901</v>
      </c>
      <c r="CTI1" s="65" t="s">
        <v>2902</v>
      </c>
      <c r="CTJ1" s="65" t="s">
        <v>2903</v>
      </c>
      <c r="CTK1" s="65" t="s">
        <v>2904</v>
      </c>
      <c r="CTL1" s="65" t="s">
        <v>2905</v>
      </c>
      <c r="CTM1" s="65" t="s">
        <v>2906</v>
      </c>
      <c r="CTN1" s="65" t="s">
        <v>2907</v>
      </c>
      <c r="CTO1" s="65" t="s">
        <v>2908</v>
      </c>
      <c r="CTP1" s="65" t="s">
        <v>2909</v>
      </c>
      <c r="CTQ1" s="65" t="s">
        <v>2910</v>
      </c>
      <c r="CTR1" s="65" t="s">
        <v>2911</v>
      </c>
      <c r="CTS1" s="65" t="s">
        <v>2912</v>
      </c>
      <c r="CTT1" s="65" t="s">
        <v>2913</v>
      </c>
      <c r="CTU1" s="65" t="s">
        <v>2914</v>
      </c>
      <c r="CTV1" s="65" t="s">
        <v>2915</v>
      </c>
      <c r="CTW1" s="65" t="s">
        <v>2916</v>
      </c>
      <c r="CTX1" s="65" t="s">
        <v>2917</v>
      </c>
      <c r="CTY1" s="65" t="s">
        <v>2918</v>
      </c>
      <c r="CTZ1" s="65" t="s">
        <v>2919</v>
      </c>
      <c r="CUA1" s="65" t="s">
        <v>2920</v>
      </c>
      <c r="CUB1" s="65" t="s">
        <v>2921</v>
      </c>
      <c r="CUC1" s="65" t="s">
        <v>2922</v>
      </c>
      <c r="CUD1" s="65" t="s">
        <v>2923</v>
      </c>
      <c r="CUE1" s="65" t="s">
        <v>2924</v>
      </c>
      <c r="CUF1" s="65" t="s">
        <v>2925</v>
      </c>
      <c r="CUG1" s="65" t="s">
        <v>2926</v>
      </c>
      <c r="CUH1" s="65" t="s">
        <v>2927</v>
      </c>
      <c r="CUI1" s="65" t="s">
        <v>2928</v>
      </c>
      <c r="CUJ1" s="65" t="s">
        <v>2929</v>
      </c>
      <c r="CUK1" s="65" t="s">
        <v>2930</v>
      </c>
      <c r="CUL1" s="65" t="s">
        <v>2931</v>
      </c>
      <c r="CUM1" s="65" t="s">
        <v>2932</v>
      </c>
      <c r="CUN1" s="65" t="s">
        <v>2933</v>
      </c>
      <c r="CUO1" s="65" t="s">
        <v>2934</v>
      </c>
      <c r="CUP1" s="65" t="s">
        <v>2935</v>
      </c>
      <c r="CUQ1" s="65" t="s">
        <v>2936</v>
      </c>
      <c r="CUR1" s="65" t="s">
        <v>2937</v>
      </c>
      <c r="CUS1" s="65" t="s">
        <v>2938</v>
      </c>
      <c r="CUT1" s="65" t="s">
        <v>2939</v>
      </c>
      <c r="CUU1" s="65" t="s">
        <v>2940</v>
      </c>
      <c r="CUV1" s="65" t="s">
        <v>2941</v>
      </c>
      <c r="CUW1" s="65" t="s">
        <v>2942</v>
      </c>
      <c r="CUX1" s="65" t="s">
        <v>2943</v>
      </c>
      <c r="CUY1" s="65" t="s">
        <v>2944</v>
      </c>
      <c r="CUZ1" s="65" t="s">
        <v>2945</v>
      </c>
      <c r="CVA1" s="65" t="s">
        <v>2946</v>
      </c>
      <c r="CVB1" s="65" t="s">
        <v>2947</v>
      </c>
      <c r="CVC1" s="65" t="s">
        <v>2948</v>
      </c>
      <c r="CVD1" s="65" t="s">
        <v>2949</v>
      </c>
      <c r="CVE1" s="65" t="s">
        <v>2950</v>
      </c>
      <c r="CVF1" s="65" t="s">
        <v>2951</v>
      </c>
      <c r="CVG1" s="65" t="s">
        <v>2952</v>
      </c>
      <c r="CVH1" s="65" t="s">
        <v>2953</v>
      </c>
      <c r="CVI1" s="65" t="s">
        <v>2954</v>
      </c>
      <c r="CVJ1" s="65" t="s">
        <v>2955</v>
      </c>
      <c r="CVK1" s="65" t="s">
        <v>2956</v>
      </c>
      <c r="CVL1" s="65" t="s">
        <v>2957</v>
      </c>
      <c r="CVM1" s="65" t="s">
        <v>2958</v>
      </c>
      <c r="CVN1" s="65" t="s">
        <v>2959</v>
      </c>
      <c r="CVO1" s="65" t="s">
        <v>2960</v>
      </c>
      <c r="CVP1" s="65" t="s">
        <v>2961</v>
      </c>
      <c r="CVQ1" s="65" t="s">
        <v>2962</v>
      </c>
      <c r="CVR1" s="65" t="s">
        <v>2963</v>
      </c>
      <c r="CVS1" s="65" t="s">
        <v>2964</v>
      </c>
      <c r="CVT1" s="65" t="s">
        <v>2965</v>
      </c>
      <c r="CVU1" s="65" t="s">
        <v>2966</v>
      </c>
      <c r="CVV1" s="65" t="s">
        <v>2967</v>
      </c>
      <c r="CVW1" s="65" t="s">
        <v>2968</v>
      </c>
      <c r="CVX1" s="65" t="s">
        <v>2969</v>
      </c>
      <c r="CVY1" s="65" t="s">
        <v>2970</v>
      </c>
      <c r="CVZ1" s="65" t="s">
        <v>2971</v>
      </c>
      <c r="CWA1" s="65" t="s">
        <v>2972</v>
      </c>
      <c r="CWB1" s="65" t="s">
        <v>2973</v>
      </c>
      <c r="CWC1" s="65" t="s">
        <v>2974</v>
      </c>
      <c r="CWD1" s="65" t="s">
        <v>2975</v>
      </c>
      <c r="CWE1" s="65" t="s">
        <v>2976</v>
      </c>
      <c r="CWF1" s="65" t="s">
        <v>2977</v>
      </c>
      <c r="CWG1" s="65" t="s">
        <v>2978</v>
      </c>
      <c r="CWH1" s="65" t="s">
        <v>2979</v>
      </c>
      <c r="CWI1" s="65" t="s">
        <v>2980</v>
      </c>
      <c r="CWJ1" s="65" t="s">
        <v>2981</v>
      </c>
      <c r="CWK1" s="65" t="s">
        <v>2982</v>
      </c>
      <c r="CWL1" s="65" t="s">
        <v>2983</v>
      </c>
      <c r="CWM1" s="65" t="s">
        <v>2984</v>
      </c>
      <c r="CWN1" s="65" t="s">
        <v>2985</v>
      </c>
      <c r="CWO1" s="65" t="s">
        <v>2986</v>
      </c>
      <c r="CWP1" s="65" t="s">
        <v>2987</v>
      </c>
      <c r="CWQ1" s="65" t="s">
        <v>2988</v>
      </c>
      <c r="CWR1" s="65" t="s">
        <v>2989</v>
      </c>
      <c r="CWS1" s="65" t="s">
        <v>2990</v>
      </c>
      <c r="CWT1" s="65" t="s">
        <v>2991</v>
      </c>
      <c r="CWU1" s="65" t="s">
        <v>2992</v>
      </c>
      <c r="CWV1" s="65" t="s">
        <v>2993</v>
      </c>
      <c r="CWW1" s="65" t="s">
        <v>2994</v>
      </c>
      <c r="CWX1" s="65" t="s">
        <v>2995</v>
      </c>
      <c r="CWY1" s="65" t="s">
        <v>2996</v>
      </c>
      <c r="CWZ1" s="65" t="s">
        <v>2997</v>
      </c>
      <c r="CXA1" s="65" t="s">
        <v>2998</v>
      </c>
      <c r="CXB1" s="65" t="s">
        <v>2999</v>
      </c>
      <c r="CXC1" s="65" t="s">
        <v>3000</v>
      </c>
      <c r="CXD1" s="65" t="s">
        <v>3001</v>
      </c>
      <c r="CXE1" s="65" t="s">
        <v>3002</v>
      </c>
      <c r="CXF1" s="65" t="s">
        <v>3003</v>
      </c>
      <c r="CXG1" s="65" t="s">
        <v>3004</v>
      </c>
      <c r="CXH1" s="65" t="s">
        <v>3005</v>
      </c>
      <c r="CXI1" s="65" t="s">
        <v>3006</v>
      </c>
      <c r="CXJ1" s="65" t="s">
        <v>3007</v>
      </c>
      <c r="CXK1" s="65" t="s">
        <v>3008</v>
      </c>
      <c r="CXL1" s="65" t="s">
        <v>3009</v>
      </c>
      <c r="CXM1" s="65" t="s">
        <v>3010</v>
      </c>
      <c r="CXN1" s="65" t="s">
        <v>3011</v>
      </c>
      <c r="CXO1" s="65" t="s">
        <v>3012</v>
      </c>
      <c r="CXP1" s="65" t="s">
        <v>3013</v>
      </c>
      <c r="CXQ1" s="65" t="s">
        <v>3014</v>
      </c>
      <c r="CXR1" s="65" t="s">
        <v>3015</v>
      </c>
      <c r="CXS1" s="65" t="s">
        <v>3016</v>
      </c>
      <c r="CXT1" s="65" t="s">
        <v>3017</v>
      </c>
      <c r="CXU1" s="65" t="s">
        <v>3018</v>
      </c>
      <c r="CXV1" s="65" t="s">
        <v>3019</v>
      </c>
      <c r="CXW1" s="65" t="s">
        <v>3020</v>
      </c>
      <c r="CXX1" s="65" t="s">
        <v>3021</v>
      </c>
      <c r="CXY1" s="65" t="s">
        <v>3022</v>
      </c>
      <c r="CXZ1" s="65" t="s">
        <v>3023</v>
      </c>
      <c r="CYA1" s="65" t="s">
        <v>3024</v>
      </c>
      <c r="CYB1" s="65" t="s">
        <v>3025</v>
      </c>
      <c r="CYC1" s="65" t="s">
        <v>3026</v>
      </c>
      <c r="CYD1" s="65" t="s">
        <v>3027</v>
      </c>
      <c r="CYE1" s="65" t="s">
        <v>3028</v>
      </c>
      <c r="CYF1" s="65" t="s">
        <v>3029</v>
      </c>
      <c r="CYG1" s="65" t="s">
        <v>3030</v>
      </c>
      <c r="CYH1" s="65" t="s">
        <v>3031</v>
      </c>
      <c r="CYI1" s="65" t="s">
        <v>3032</v>
      </c>
      <c r="CYJ1" s="65" t="s">
        <v>3033</v>
      </c>
      <c r="CYK1" s="65" t="s">
        <v>3034</v>
      </c>
      <c r="CYL1" s="65" t="s">
        <v>3035</v>
      </c>
      <c r="CYM1" s="65" t="s">
        <v>3036</v>
      </c>
      <c r="CYN1" s="65" t="s">
        <v>3037</v>
      </c>
      <c r="CYO1" s="65" t="s">
        <v>3038</v>
      </c>
      <c r="CYP1" s="65" t="s">
        <v>3039</v>
      </c>
      <c r="CYQ1" s="65" t="s">
        <v>3040</v>
      </c>
      <c r="CYR1" s="65" t="s">
        <v>3041</v>
      </c>
      <c r="CYS1" s="65" t="s">
        <v>3042</v>
      </c>
      <c r="CYT1" s="65" t="s">
        <v>3043</v>
      </c>
      <c r="CYU1" s="65" t="s">
        <v>3044</v>
      </c>
      <c r="CYV1" s="65" t="s">
        <v>3045</v>
      </c>
      <c r="CYW1" s="65" t="s">
        <v>3046</v>
      </c>
      <c r="CYX1" s="65" t="s">
        <v>3047</v>
      </c>
      <c r="CYY1" s="65" t="s">
        <v>3048</v>
      </c>
      <c r="CYZ1" s="65" t="s">
        <v>3049</v>
      </c>
      <c r="CZA1" s="65" t="s">
        <v>3050</v>
      </c>
      <c r="CZB1" s="65" t="s">
        <v>3051</v>
      </c>
      <c r="CZC1" s="65" t="s">
        <v>3052</v>
      </c>
      <c r="CZD1" s="65" t="s">
        <v>3053</v>
      </c>
      <c r="CZE1" s="65" t="s">
        <v>3054</v>
      </c>
      <c r="CZF1" s="65" t="s">
        <v>3055</v>
      </c>
      <c r="CZG1" s="65" t="s">
        <v>3056</v>
      </c>
      <c r="CZH1" s="65" t="s">
        <v>3057</v>
      </c>
      <c r="CZI1" s="65" t="s">
        <v>3058</v>
      </c>
      <c r="CZJ1" s="65" t="s">
        <v>3059</v>
      </c>
      <c r="CZK1" s="65" t="s">
        <v>3060</v>
      </c>
      <c r="CZL1" s="65" t="s">
        <v>3061</v>
      </c>
      <c r="CZM1" s="65" t="s">
        <v>3062</v>
      </c>
      <c r="CZN1" s="65" t="s">
        <v>3063</v>
      </c>
      <c r="CZO1" s="65" t="s">
        <v>3064</v>
      </c>
      <c r="CZP1" s="65" t="s">
        <v>3065</v>
      </c>
      <c r="CZQ1" s="65" t="s">
        <v>3066</v>
      </c>
      <c r="CZR1" s="65" t="s">
        <v>3067</v>
      </c>
      <c r="CZS1" s="65" t="s">
        <v>3068</v>
      </c>
      <c r="CZT1" s="65" t="s">
        <v>3069</v>
      </c>
      <c r="CZU1" s="65" t="s">
        <v>3070</v>
      </c>
      <c r="CZV1" s="65" t="s">
        <v>3071</v>
      </c>
      <c r="CZW1" s="65" t="s">
        <v>3072</v>
      </c>
      <c r="CZX1" s="65" t="s">
        <v>3073</v>
      </c>
      <c r="CZY1" s="65" t="s">
        <v>3074</v>
      </c>
      <c r="CZZ1" s="65" t="s">
        <v>3075</v>
      </c>
      <c r="DAA1" s="65" t="s">
        <v>3076</v>
      </c>
      <c r="DAB1" s="65" t="s">
        <v>3077</v>
      </c>
      <c r="DAC1" s="65" t="s">
        <v>3078</v>
      </c>
      <c r="DAD1" s="65" t="s">
        <v>3079</v>
      </c>
      <c r="DAE1" s="65" t="s">
        <v>3080</v>
      </c>
      <c r="DAF1" s="65" t="s">
        <v>3081</v>
      </c>
      <c r="DAG1" s="65" t="s">
        <v>3082</v>
      </c>
      <c r="DAH1" s="65" t="s">
        <v>3083</v>
      </c>
      <c r="DAI1" s="65" t="s">
        <v>3084</v>
      </c>
      <c r="DAJ1" s="65" t="s">
        <v>3085</v>
      </c>
      <c r="DAK1" s="65" t="s">
        <v>3086</v>
      </c>
      <c r="DAL1" s="65" t="s">
        <v>3087</v>
      </c>
      <c r="DAM1" s="65" t="s">
        <v>3088</v>
      </c>
      <c r="DAN1" s="65" t="s">
        <v>3089</v>
      </c>
      <c r="DAO1" s="65" t="s">
        <v>3090</v>
      </c>
      <c r="DAP1" s="65" t="s">
        <v>3091</v>
      </c>
      <c r="DAQ1" s="65" t="s">
        <v>3092</v>
      </c>
      <c r="DAR1" s="65" t="s">
        <v>3093</v>
      </c>
      <c r="DAS1" s="65" t="s">
        <v>3094</v>
      </c>
      <c r="DAT1" s="65" t="s">
        <v>3095</v>
      </c>
      <c r="DAU1" s="65" t="s">
        <v>3096</v>
      </c>
      <c r="DAV1" s="65" t="s">
        <v>3097</v>
      </c>
      <c r="DAW1" s="65" t="s">
        <v>3098</v>
      </c>
      <c r="DAX1" s="65" t="s">
        <v>3099</v>
      </c>
      <c r="DAY1" s="65" t="s">
        <v>3100</v>
      </c>
      <c r="DAZ1" s="65" t="s">
        <v>3101</v>
      </c>
      <c r="DBA1" s="65" t="s">
        <v>3102</v>
      </c>
      <c r="DBB1" s="65" t="s">
        <v>3103</v>
      </c>
      <c r="DBC1" s="65" t="s">
        <v>3104</v>
      </c>
      <c r="DBD1" s="65" t="s">
        <v>3105</v>
      </c>
      <c r="DBE1" s="65" t="s">
        <v>3106</v>
      </c>
      <c r="DBF1" s="65" t="s">
        <v>3107</v>
      </c>
      <c r="DBG1" s="65" t="s">
        <v>3108</v>
      </c>
      <c r="DBH1" s="65" t="s">
        <v>3109</v>
      </c>
      <c r="DBI1" s="65" t="s">
        <v>3110</v>
      </c>
      <c r="DBJ1" s="65" t="s">
        <v>3111</v>
      </c>
      <c r="DBK1" s="65" t="s">
        <v>3112</v>
      </c>
      <c r="DBL1" s="65" t="s">
        <v>3113</v>
      </c>
      <c r="DBM1" s="65" t="s">
        <v>3114</v>
      </c>
      <c r="DBN1" s="65" t="s">
        <v>3115</v>
      </c>
      <c r="DBO1" s="65" t="s">
        <v>3116</v>
      </c>
      <c r="DBP1" s="65" t="s">
        <v>3117</v>
      </c>
      <c r="DBQ1" s="65" t="s">
        <v>3118</v>
      </c>
      <c r="DBR1" s="65" t="s">
        <v>3119</v>
      </c>
      <c r="DBS1" s="65" t="s">
        <v>3120</v>
      </c>
      <c r="DBT1" s="65" t="s">
        <v>3121</v>
      </c>
      <c r="DBU1" s="65" t="s">
        <v>3122</v>
      </c>
      <c r="DBV1" s="65" t="s">
        <v>3123</v>
      </c>
      <c r="DBW1" s="65" t="s">
        <v>3124</v>
      </c>
      <c r="DBX1" s="65" t="s">
        <v>3125</v>
      </c>
      <c r="DBY1" s="65" t="s">
        <v>3126</v>
      </c>
      <c r="DBZ1" s="65" t="s">
        <v>3127</v>
      </c>
      <c r="DCA1" s="65" t="s">
        <v>3128</v>
      </c>
      <c r="DCB1" s="65" t="s">
        <v>3129</v>
      </c>
      <c r="DCC1" s="65" t="s">
        <v>3130</v>
      </c>
      <c r="DCD1" s="65" t="s">
        <v>3131</v>
      </c>
      <c r="DCE1" s="65" t="s">
        <v>3132</v>
      </c>
      <c r="DCF1" s="65" t="s">
        <v>3133</v>
      </c>
      <c r="DCG1" s="65" t="s">
        <v>3134</v>
      </c>
      <c r="DCH1" s="65" t="s">
        <v>3135</v>
      </c>
      <c r="DCI1" s="65" t="s">
        <v>3136</v>
      </c>
      <c r="DCJ1" s="65" t="s">
        <v>3137</v>
      </c>
      <c r="DCK1" s="65" t="s">
        <v>3138</v>
      </c>
      <c r="DCL1" s="65" t="s">
        <v>3139</v>
      </c>
      <c r="DCM1" s="65" t="s">
        <v>3140</v>
      </c>
      <c r="DCN1" s="65" t="s">
        <v>3141</v>
      </c>
      <c r="DCO1" s="65" t="s">
        <v>3142</v>
      </c>
      <c r="DCP1" s="65" t="s">
        <v>3143</v>
      </c>
      <c r="DCQ1" s="65" t="s">
        <v>3144</v>
      </c>
      <c r="DCR1" s="65" t="s">
        <v>3145</v>
      </c>
      <c r="DCS1" s="65" t="s">
        <v>3146</v>
      </c>
      <c r="DCT1" s="65" t="s">
        <v>3147</v>
      </c>
      <c r="DCU1" s="65" t="s">
        <v>3148</v>
      </c>
      <c r="DCV1" s="65" t="s">
        <v>3149</v>
      </c>
      <c r="DCW1" s="65" t="s">
        <v>3150</v>
      </c>
      <c r="DCX1" s="65" t="s">
        <v>3151</v>
      </c>
      <c r="DCY1" s="65" t="s">
        <v>3152</v>
      </c>
      <c r="DCZ1" s="65" t="s">
        <v>3153</v>
      </c>
      <c r="DDA1" s="65" t="s">
        <v>3154</v>
      </c>
      <c r="DDB1" s="65" t="s">
        <v>3155</v>
      </c>
      <c r="DDC1" s="65" t="s">
        <v>3156</v>
      </c>
      <c r="DDD1" s="65" t="s">
        <v>3157</v>
      </c>
      <c r="DDE1" s="65" t="s">
        <v>3158</v>
      </c>
      <c r="DDF1" s="65" t="s">
        <v>3159</v>
      </c>
      <c r="DDG1" s="65" t="s">
        <v>3160</v>
      </c>
      <c r="DDH1" s="65" t="s">
        <v>3161</v>
      </c>
      <c r="DDI1" s="65" t="s">
        <v>3162</v>
      </c>
      <c r="DDJ1" s="65" t="s">
        <v>3163</v>
      </c>
      <c r="DDK1" s="65" t="s">
        <v>3164</v>
      </c>
      <c r="DDL1" s="65" t="s">
        <v>3165</v>
      </c>
      <c r="DDM1" s="65" t="s">
        <v>3166</v>
      </c>
      <c r="DDN1" s="65" t="s">
        <v>3167</v>
      </c>
      <c r="DDO1" s="65" t="s">
        <v>3168</v>
      </c>
      <c r="DDP1" s="65" t="s">
        <v>3169</v>
      </c>
      <c r="DDQ1" s="65" t="s">
        <v>3170</v>
      </c>
      <c r="DDR1" s="65" t="s">
        <v>3171</v>
      </c>
      <c r="DDS1" s="65" t="s">
        <v>3172</v>
      </c>
      <c r="DDT1" s="65" t="s">
        <v>3173</v>
      </c>
      <c r="DDU1" s="65" t="s">
        <v>3174</v>
      </c>
      <c r="DDV1" s="65" t="s">
        <v>3175</v>
      </c>
      <c r="DDW1" s="65" t="s">
        <v>3176</v>
      </c>
      <c r="DDX1" s="65" t="s">
        <v>3177</v>
      </c>
      <c r="DDY1" s="65" t="s">
        <v>3178</v>
      </c>
      <c r="DDZ1" s="65" t="s">
        <v>3179</v>
      </c>
      <c r="DEA1" s="65" t="s">
        <v>3180</v>
      </c>
      <c r="DEB1" s="65" t="s">
        <v>3181</v>
      </c>
      <c r="DEC1" s="65" t="s">
        <v>3182</v>
      </c>
      <c r="DED1" s="65" t="s">
        <v>3183</v>
      </c>
      <c r="DEE1" s="65" t="s">
        <v>3184</v>
      </c>
      <c r="DEF1" s="65" t="s">
        <v>3185</v>
      </c>
      <c r="DEG1" s="65" t="s">
        <v>3186</v>
      </c>
      <c r="DEH1" s="65" t="s">
        <v>3187</v>
      </c>
      <c r="DEI1" s="65" t="s">
        <v>3188</v>
      </c>
      <c r="DEJ1" s="65" t="s">
        <v>3189</v>
      </c>
      <c r="DEK1" s="65" t="s">
        <v>3190</v>
      </c>
      <c r="DEL1" s="65" t="s">
        <v>3191</v>
      </c>
      <c r="DEM1" s="65" t="s">
        <v>3192</v>
      </c>
      <c r="DEN1" s="65" t="s">
        <v>3193</v>
      </c>
      <c r="DEO1" s="65" t="s">
        <v>3194</v>
      </c>
      <c r="DEP1" s="65" t="s">
        <v>3195</v>
      </c>
      <c r="DEQ1" s="65" t="s">
        <v>3196</v>
      </c>
      <c r="DER1" s="65" t="s">
        <v>3197</v>
      </c>
      <c r="DES1" s="65" t="s">
        <v>3198</v>
      </c>
      <c r="DET1" s="65" t="s">
        <v>3199</v>
      </c>
      <c r="DEU1" s="65" t="s">
        <v>3200</v>
      </c>
      <c r="DEV1" s="65" t="s">
        <v>3201</v>
      </c>
      <c r="DEW1" s="65" t="s">
        <v>3202</v>
      </c>
      <c r="DEX1" s="65" t="s">
        <v>3203</v>
      </c>
      <c r="DEY1" s="65" t="s">
        <v>3204</v>
      </c>
      <c r="DEZ1" s="65" t="s">
        <v>3205</v>
      </c>
      <c r="DFA1" s="65" t="s">
        <v>3206</v>
      </c>
      <c r="DFB1" s="65" t="s">
        <v>3207</v>
      </c>
      <c r="DFC1" s="65" t="s">
        <v>3208</v>
      </c>
      <c r="DFD1" s="65" t="s">
        <v>3209</v>
      </c>
      <c r="DFE1" s="65" t="s">
        <v>3210</v>
      </c>
      <c r="DFF1" s="65" t="s">
        <v>3211</v>
      </c>
      <c r="DFG1" s="65" t="s">
        <v>3212</v>
      </c>
      <c r="DFH1" s="65" t="s">
        <v>3213</v>
      </c>
      <c r="DFI1" s="65" t="s">
        <v>3214</v>
      </c>
      <c r="DFJ1" s="65" t="s">
        <v>3215</v>
      </c>
      <c r="DFK1" s="65" t="s">
        <v>3216</v>
      </c>
      <c r="DFL1" s="65" t="s">
        <v>3217</v>
      </c>
      <c r="DFM1" s="65" t="s">
        <v>3218</v>
      </c>
      <c r="DFN1" s="65" t="s">
        <v>3219</v>
      </c>
      <c r="DFO1" s="65" t="s">
        <v>3220</v>
      </c>
      <c r="DFP1" s="65" t="s">
        <v>3221</v>
      </c>
      <c r="DFQ1" s="65" t="s">
        <v>3222</v>
      </c>
      <c r="DFR1" s="65" t="s">
        <v>3223</v>
      </c>
      <c r="DFS1" s="65" t="s">
        <v>3224</v>
      </c>
      <c r="DFT1" s="65" t="s">
        <v>3225</v>
      </c>
      <c r="DFU1" s="65" t="s">
        <v>3226</v>
      </c>
      <c r="DFV1" s="65" t="s">
        <v>3227</v>
      </c>
      <c r="DFW1" s="65" t="s">
        <v>3228</v>
      </c>
      <c r="DFX1" s="65" t="s">
        <v>3229</v>
      </c>
      <c r="DFY1" s="65" t="s">
        <v>3230</v>
      </c>
      <c r="DFZ1" s="65" t="s">
        <v>3231</v>
      </c>
      <c r="DGA1" s="65" t="s">
        <v>3232</v>
      </c>
      <c r="DGB1" s="65" t="s">
        <v>3233</v>
      </c>
      <c r="DGC1" s="65" t="s">
        <v>3234</v>
      </c>
      <c r="DGD1" s="65" t="s">
        <v>3235</v>
      </c>
      <c r="DGE1" s="65" t="s">
        <v>3236</v>
      </c>
      <c r="DGF1" s="65" t="s">
        <v>3237</v>
      </c>
      <c r="DGG1" s="65" t="s">
        <v>3238</v>
      </c>
      <c r="DGH1" s="65" t="s">
        <v>3239</v>
      </c>
      <c r="DGI1" s="65" t="s">
        <v>3240</v>
      </c>
      <c r="DGJ1" s="65" t="s">
        <v>3241</v>
      </c>
      <c r="DGK1" s="65" t="s">
        <v>3242</v>
      </c>
      <c r="DGL1" s="65" t="s">
        <v>3243</v>
      </c>
      <c r="DGM1" s="65" t="s">
        <v>3244</v>
      </c>
      <c r="DGN1" s="65" t="s">
        <v>3245</v>
      </c>
      <c r="DGO1" s="65" t="s">
        <v>3246</v>
      </c>
      <c r="DGP1" s="65" t="s">
        <v>3247</v>
      </c>
      <c r="DGQ1" s="65" t="s">
        <v>3248</v>
      </c>
      <c r="DGR1" s="65" t="s">
        <v>3249</v>
      </c>
      <c r="DGS1" s="65" t="s">
        <v>3250</v>
      </c>
      <c r="DGT1" s="65" t="s">
        <v>3251</v>
      </c>
      <c r="DGU1" s="65" t="s">
        <v>3252</v>
      </c>
      <c r="DGV1" s="65" t="s">
        <v>3253</v>
      </c>
      <c r="DGW1" s="65" t="s">
        <v>3254</v>
      </c>
      <c r="DGX1" s="65" t="s">
        <v>3255</v>
      </c>
      <c r="DGY1" s="65" t="s">
        <v>3256</v>
      </c>
      <c r="DGZ1" s="65" t="s">
        <v>3257</v>
      </c>
      <c r="DHA1" s="65" t="s">
        <v>3258</v>
      </c>
      <c r="DHB1" s="65" t="s">
        <v>3259</v>
      </c>
      <c r="DHC1" s="65" t="s">
        <v>3260</v>
      </c>
      <c r="DHD1" s="65" t="s">
        <v>3261</v>
      </c>
      <c r="DHE1" s="65" t="s">
        <v>3262</v>
      </c>
      <c r="DHF1" s="65" t="s">
        <v>3263</v>
      </c>
      <c r="DHG1" s="65" t="s">
        <v>3264</v>
      </c>
      <c r="DHH1" s="65" t="s">
        <v>3265</v>
      </c>
      <c r="DHI1" s="65" t="s">
        <v>3266</v>
      </c>
      <c r="DHJ1" s="65" t="s">
        <v>3267</v>
      </c>
      <c r="DHK1" s="65" t="s">
        <v>3268</v>
      </c>
      <c r="DHL1" s="65" t="s">
        <v>3269</v>
      </c>
      <c r="DHM1" s="65" t="s">
        <v>3270</v>
      </c>
      <c r="DHN1" s="65" t="s">
        <v>3271</v>
      </c>
      <c r="DHO1" s="65" t="s">
        <v>3272</v>
      </c>
      <c r="DHP1" s="65" t="s">
        <v>3273</v>
      </c>
      <c r="DHQ1" s="65" t="s">
        <v>3274</v>
      </c>
      <c r="DHR1" s="65" t="s">
        <v>3275</v>
      </c>
      <c r="DHS1" s="65" t="s">
        <v>3276</v>
      </c>
      <c r="DHT1" s="65" t="s">
        <v>3277</v>
      </c>
      <c r="DHU1" s="65" t="s">
        <v>3278</v>
      </c>
      <c r="DHV1" s="65" t="s">
        <v>3279</v>
      </c>
      <c r="DHW1" s="65" t="s">
        <v>3280</v>
      </c>
      <c r="DHX1" s="65" t="s">
        <v>3281</v>
      </c>
      <c r="DHY1" s="65" t="s">
        <v>3282</v>
      </c>
      <c r="DHZ1" s="65" t="s">
        <v>3283</v>
      </c>
      <c r="DIA1" s="65" t="s">
        <v>3284</v>
      </c>
      <c r="DIB1" s="65" t="s">
        <v>3285</v>
      </c>
      <c r="DIC1" s="65" t="s">
        <v>3286</v>
      </c>
      <c r="DID1" s="65" t="s">
        <v>3287</v>
      </c>
      <c r="DIE1" s="65" t="s">
        <v>3288</v>
      </c>
      <c r="DIF1" s="65" t="s">
        <v>3289</v>
      </c>
      <c r="DIG1" s="65" t="s">
        <v>3290</v>
      </c>
      <c r="DIH1" s="65" t="s">
        <v>3291</v>
      </c>
      <c r="DII1" s="65" t="s">
        <v>3292</v>
      </c>
      <c r="DIJ1" s="65" t="s">
        <v>3293</v>
      </c>
      <c r="DIK1" s="65" t="s">
        <v>3294</v>
      </c>
      <c r="DIL1" s="65" t="s">
        <v>3295</v>
      </c>
      <c r="DIM1" s="65" t="s">
        <v>3296</v>
      </c>
      <c r="DIN1" s="65" t="s">
        <v>3297</v>
      </c>
      <c r="DIO1" s="65" t="s">
        <v>3298</v>
      </c>
      <c r="DIP1" s="65" t="s">
        <v>3299</v>
      </c>
      <c r="DIQ1" s="65" t="s">
        <v>3300</v>
      </c>
      <c r="DIR1" s="65" t="s">
        <v>3301</v>
      </c>
      <c r="DIS1" s="65" t="s">
        <v>3302</v>
      </c>
      <c r="DIT1" s="65" t="s">
        <v>3303</v>
      </c>
      <c r="DIU1" s="65" t="s">
        <v>3304</v>
      </c>
      <c r="DIV1" s="65" t="s">
        <v>3305</v>
      </c>
      <c r="DIW1" s="65" t="s">
        <v>3306</v>
      </c>
      <c r="DIX1" s="65" t="s">
        <v>3307</v>
      </c>
      <c r="DIY1" s="65" t="s">
        <v>3308</v>
      </c>
      <c r="DIZ1" s="65" t="s">
        <v>3309</v>
      </c>
      <c r="DJA1" s="65" t="s">
        <v>3310</v>
      </c>
      <c r="DJB1" s="65" t="s">
        <v>3311</v>
      </c>
      <c r="DJC1" s="65" t="s">
        <v>3312</v>
      </c>
      <c r="DJD1" s="65" t="s">
        <v>3313</v>
      </c>
      <c r="DJE1" s="65" t="s">
        <v>3314</v>
      </c>
      <c r="DJF1" s="65" t="s">
        <v>3315</v>
      </c>
      <c r="DJG1" s="65" t="s">
        <v>3316</v>
      </c>
      <c r="DJH1" s="65" t="s">
        <v>3317</v>
      </c>
      <c r="DJI1" s="65" t="s">
        <v>3318</v>
      </c>
      <c r="DJJ1" s="65" t="s">
        <v>3319</v>
      </c>
      <c r="DJK1" s="65" t="s">
        <v>3320</v>
      </c>
      <c r="DJL1" s="65" t="s">
        <v>3321</v>
      </c>
      <c r="DJM1" s="65" t="s">
        <v>3322</v>
      </c>
      <c r="DJN1" s="65" t="s">
        <v>3323</v>
      </c>
      <c r="DJO1" s="65" t="s">
        <v>3324</v>
      </c>
      <c r="DJP1" s="65" t="s">
        <v>3325</v>
      </c>
      <c r="DJQ1" s="65" t="s">
        <v>3326</v>
      </c>
      <c r="DJR1" s="65" t="s">
        <v>3327</v>
      </c>
      <c r="DJS1" s="65" t="s">
        <v>3328</v>
      </c>
      <c r="DJT1" s="65" t="s">
        <v>3329</v>
      </c>
      <c r="DJU1" s="65" t="s">
        <v>3330</v>
      </c>
      <c r="DJV1" s="65" t="s">
        <v>3331</v>
      </c>
      <c r="DJW1" s="65" t="s">
        <v>3332</v>
      </c>
      <c r="DJX1" s="65" t="s">
        <v>3333</v>
      </c>
      <c r="DJY1" s="65" t="s">
        <v>3334</v>
      </c>
      <c r="DJZ1" s="65" t="s">
        <v>3335</v>
      </c>
      <c r="DKA1" s="65" t="s">
        <v>3336</v>
      </c>
      <c r="DKB1" s="65" t="s">
        <v>3337</v>
      </c>
      <c r="DKC1" s="65" t="s">
        <v>3338</v>
      </c>
      <c r="DKD1" s="65" t="s">
        <v>3339</v>
      </c>
      <c r="DKE1" s="65" t="s">
        <v>3340</v>
      </c>
      <c r="DKF1" s="65" t="s">
        <v>3341</v>
      </c>
      <c r="DKG1" s="65" t="s">
        <v>3342</v>
      </c>
      <c r="DKH1" s="65" t="s">
        <v>3343</v>
      </c>
      <c r="DKI1" s="65" t="s">
        <v>3344</v>
      </c>
      <c r="DKJ1" s="65" t="s">
        <v>3345</v>
      </c>
      <c r="DKK1" s="65" t="s">
        <v>3346</v>
      </c>
      <c r="DKL1" s="65" t="s">
        <v>3347</v>
      </c>
      <c r="DKM1" s="65" t="s">
        <v>3348</v>
      </c>
      <c r="DKN1" s="65" t="s">
        <v>3349</v>
      </c>
      <c r="DKO1" s="65" t="s">
        <v>3350</v>
      </c>
      <c r="DKP1" s="65" t="s">
        <v>3351</v>
      </c>
      <c r="DKQ1" s="65" t="s">
        <v>3352</v>
      </c>
      <c r="DKR1" s="65" t="s">
        <v>3353</v>
      </c>
      <c r="DKS1" s="65" t="s">
        <v>3354</v>
      </c>
      <c r="DKT1" s="65" t="s">
        <v>3355</v>
      </c>
      <c r="DKU1" s="65" t="s">
        <v>3356</v>
      </c>
      <c r="DKV1" s="65" t="s">
        <v>3357</v>
      </c>
      <c r="DKW1" s="65" t="s">
        <v>3358</v>
      </c>
      <c r="DKX1" s="65" t="s">
        <v>3359</v>
      </c>
      <c r="DKY1" s="65" t="s">
        <v>3360</v>
      </c>
      <c r="DKZ1" s="65" t="s">
        <v>3361</v>
      </c>
      <c r="DLA1" s="65" t="s">
        <v>3362</v>
      </c>
      <c r="DLB1" s="65" t="s">
        <v>3363</v>
      </c>
      <c r="DLC1" s="65" t="s">
        <v>3364</v>
      </c>
      <c r="DLD1" s="65" t="s">
        <v>3365</v>
      </c>
      <c r="DLE1" s="65" t="s">
        <v>3366</v>
      </c>
      <c r="DLF1" s="65" t="s">
        <v>3367</v>
      </c>
      <c r="DLG1" s="65" t="s">
        <v>3368</v>
      </c>
      <c r="DLH1" s="65" t="s">
        <v>3369</v>
      </c>
      <c r="DLI1" s="65" t="s">
        <v>3370</v>
      </c>
      <c r="DLJ1" s="65" t="s">
        <v>3371</v>
      </c>
      <c r="DLK1" s="65" t="s">
        <v>3372</v>
      </c>
      <c r="DLL1" s="65" t="s">
        <v>3373</v>
      </c>
      <c r="DLM1" s="65" t="s">
        <v>3374</v>
      </c>
      <c r="DLN1" s="65" t="s">
        <v>3375</v>
      </c>
      <c r="DLO1" s="65" t="s">
        <v>3376</v>
      </c>
      <c r="DLP1" s="65" t="s">
        <v>3377</v>
      </c>
      <c r="DLQ1" s="65" t="s">
        <v>3378</v>
      </c>
      <c r="DLR1" s="65" t="s">
        <v>3379</v>
      </c>
      <c r="DLS1" s="65" t="s">
        <v>3380</v>
      </c>
      <c r="DLT1" s="65" t="s">
        <v>3381</v>
      </c>
      <c r="DLU1" s="65" t="s">
        <v>3382</v>
      </c>
      <c r="DLV1" s="65" t="s">
        <v>3383</v>
      </c>
      <c r="DLW1" s="65" t="s">
        <v>3384</v>
      </c>
      <c r="DLX1" s="65" t="s">
        <v>3385</v>
      </c>
      <c r="DLY1" s="65" t="s">
        <v>3386</v>
      </c>
      <c r="DLZ1" s="65" t="s">
        <v>3387</v>
      </c>
      <c r="DMA1" s="65" t="s">
        <v>3388</v>
      </c>
      <c r="DMB1" s="65" t="s">
        <v>3389</v>
      </c>
      <c r="DMC1" s="65" t="s">
        <v>3390</v>
      </c>
      <c r="DMD1" s="65" t="s">
        <v>3391</v>
      </c>
      <c r="DME1" s="65" t="s">
        <v>3392</v>
      </c>
      <c r="DMF1" s="65" t="s">
        <v>3393</v>
      </c>
      <c r="DMG1" s="65" t="s">
        <v>3394</v>
      </c>
      <c r="DMH1" s="65" t="s">
        <v>3395</v>
      </c>
      <c r="DMI1" s="65" t="s">
        <v>3396</v>
      </c>
      <c r="DMJ1" s="65" t="s">
        <v>3397</v>
      </c>
      <c r="DMK1" s="65" t="s">
        <v>3398</v>
      </c>
      <c r="DML1" s="65" t="s">
        <v>3399</v>
      </c>
      <c r="DMM1" s="65" t="s">
        <v>3400</v>
      </c>
      <c r="DMN1" s="65" t="s">
        <v>3401</v>
      </c>
      <c r="DMO1" s="65" t="s">
        <v>3402</v>
      </c>
      <c r="DMP1" s="65" t="s">
        <v>3403</v>
      </c>
      <c r="DMQ1" s="65" t="s">
        <v>3404</v>
      </c>
      <c r="DMR1" s="65" t="s">
        <v>3405</v>
      </c>
      <c r="DMS1" s="65" t="s">
        <v>3406</v>
      </c>
      <c r="DMT1" s="65" t="s">
        <v>3407</v>
      </c>
      <c r="DMU1" s="65" t="s">
        <v>3408</v>
      </c>
      <c r="DMV1" s="65" t="s">
        <v>3409</v>
      </c>
      <c r="DMW1" s="65" t="s">
        <v>3410</v>
      </c>
      <c r="DMX1" s="65" t="s">
        <v>3411</v>
      </c>
      <c r="DMY1" s="65" t="s">
        <v>3412</v>
      </c>
      <c r="DMZ1" s="65" t="s">
        <v>3413</v>
      </c>
      <c r="DNA1" s="65" t="s">
        <v>3414</v>
      </c>
      <c r="DNB1" s="65" t="s">
        <v>3415</v>
      </c>
      <c r="DNC1" s="65" t="s">
        <v>3416</v>
      </c>
      <c r="DND1" s="65" t="s">
        <v>3417</v>
      </c>
      <c r="DNE1" s="65" t="s">
        <v>3418</v>
      </c>
      <c r="DNF1" s="65" t="s">
        <v>3419</v>
      </c>
      <c r="DNG1" s="65" t="s">
        <v>3420</v>
      </c>
      <c r="DNH1" s="65" t="s">
        <v>3421</v>
      </c>
      <c r="DNI1" s="65" t="s">
        <v>3422</v>
      </c>
      <c r="DNJ1" s="65" t="s">
        <v>3423</v>
      </c>
      <c r="DNK1" s="65" t="s">
        <v>3424</v>
      </c>
      <c r="DNL1" s="65" t="s">
        <v>3425</v>
      </c>
      <c r="DNM1" s="65" t="s">
        <v>3426</v>
      </c>
      <c r="DNN1" s="65" t="s">
        <v>3427</v>
      </c>
      <c r="DNO1" s="65" t="s">
        <v>3428</v>
      </c>
      <c r="DNP1" s="65" t="s">
        <v>3429</v>
      </c>
      <c r="DNQ1" s="65" t="s">
        <v>3430</v>
      </c>
      <c r="DNR1" s="65" t="s">
        <v>3431</v>
      </c>
      <c r="DNS1" s="65" t="s">
        <v>3432</v>
      </c>
      <c r="DNT1" s="65" t="s">
        <v>3433</v>
      </c>
      <c r="DNU1" s="65" t="s">
        <v>3434</v>
      </c>
      <c r="DNV1" s="65" t="s">
        <v>3435</v>
      </c>
      <c r="DNW1" s="65" t="s">
        <v>3436</v>
      </c>
      <c r="DNX1" s="65" t="s">
        <v>3437</v>
      </c>
      <c r="DNY1" s="65" t="s">
        <v>3438</v>
      </c>
      <c r="DNZ1" s="65" t="s">
        <v>3439</v>
      </c>
      <c r="DOA1" s="65" t="s">
        <v>3440</v>
      </c>
      <c r="DOB1" s="65" t="s">
        <v>3441</v>
      </c>
      <c r="DOC1" s="65" t="s">
        <v>3442</v>
      </c>
      <c r="DOD1" s="65" t="s">
        <v>3443</v>
      </c>
      <c r="DOE1" s="65" t="s">
        <v>3444</v>
      </c>
      <c r="DOF1" s="65" t="s">
        <v>3445</v>
      </c>
      <c r="DOG1" s="65" t="s">
        <v>3446</v>
      </c>
      <c r="DOH1" s="65" t="s">
        <v>3447</v>
      </c>
      <c r="DOI1" s="65" t="s">
        <v>3448</v>
      </c>
      <c r="DOJ1" s="65" t="s">
        <v>3449</v>
      </c>
      <c r="DOK1" s="65" t="s">
        <v>3450</v>
      </c>
      <c r="DOL1" s="65" t="s">
        <v>3451</v>
      </c>
      <c r="DOM1" s="65" t="s">
        <v>3452</v>
      </c>
      <c r="DON1" s="65" t="s">
        <v>3453</v>
      </c>
      <c r="DOO1" s="65" t="s">
        <v>3454</v>
      </c>
      <c r="DOP1" s="65" t="s">
        <v>3455</v>
      </c>
      <c r="DOQ1" s="65" t="s">
        <v>3456</v>
      </c>
      <c r="DOR1" s="65" t="s">
        <v>3457</v>
      </c>
      <c r="DOS1" s="65" t="s">
        <v>3458</v>
      </c>
      <c r="DOT1" s="65" t="s">
        <v>3459</v>
      </c>
      <c r="DOU1" s="65" t="s">
        <v>3460</v>
      </c>
      <c r="DOV1" s="65" t="s">
        <v>3461</v>
      </c>
      <c r="DOW1" s="65" t="s">
        <v>3462</v>
      </c>
      <c r="DOX1" s="65" t="s">
        <v>3463</v>
      </c>
      <c r="DOY1" s="65" t="s">
        <v>3464</v>
      </c>
      <c r="DOZ1" s="65" t="s">
        <v>3465</v>
      </c>
      <c r="DPA1" s="65" t="s">
        <v>3466</v>
      </c>
      <c r="DPB1" s="65" t="s">
        <v>3467</v>
      </c>
      <c r="DPC1" s="65" t="s">
        <v>3468</v>
      </c>
      <c r="DPD1" s="65" t="s">
        <v>3469</v>
      </c>
      <c r="DPE1" s="65" t="s">
        <v>3470</v>
      </c>
      <c r="DPF1" s="65" t="s">
        <v>3471</v>
      </c>
      <c r="DPG1" s="65" t="s">
        <v>3472</v>
      </c>
      <c r="DPH1" s="65" t="s">
        <v>3473</v>
      </c>
      <c r="DPI1" s="65" t="s">
        <v>3474</v>
      </c>
      <c r="DPJ1" s="65" t="s">
        <v>3475</v>
      </c>
      <c r="DPK1" s="65" t="s">
        <v>3476</v>
      </c>
      <c r="DPL1" s="65" t="s">
        <v>3477</v>
      </c>
      <c r="DPM1" s="65" t="s">
        <v>3478</v>
      </c>
      <c r="DPN1" s="65" t="s">
        <v>3479</v>
      </c>
      <c r="DPO1" s="65" t="s">
        <v>3480</v>
      </c>
      <c r="DPP1" s="65" t="s">
        <v>3481</v>
      </c>
      <c r="DPQ1" s="65" t="s">
        <v>3482</v>
      </c>
      <c r="DPR1" s="65" t="s">
        <v>3483</v>
      </c>
      <c r="DPS1" s="65" t="s">
        <v>3484</v>
      </c>
      <c r="DPT1" s="65" t="s">
        <v>3485</v>
      </c>
      <c r="DPU1" s="65" t="s">
        <v>3486</v>
      </c>
      <c r="DPV1" s="65" t="s">
        <v>3487</v>
      </c>
      <c r="DPW1" s="65" t="s">
        <v>3488</v>
      </c>
      <c r="DPX1" s="65" t="s">
        <v>3489</v>
      </c>
      <c r="DPY1" s="65" t="s">
        <v>3490</v>
      </c>
      <c r="DPZ1" s="65" t="s">
        <v>3491</v>
      </c>
      <c r="DQA1" s="65" t="s">
        <v>3492</v>
      </c>
      <c r="DQB1" s="65" t="s">
        <v>3493</v>
      </c>
      <c r="DQC1" s="65" t="s">
        <v>3494</v>
      </c>
      <c r="DQD1" s="65" t="s">
        <v>3495</v>
      </c>
      <c r="DQE1" s="65" t="s">
        <v>3496</v>
      </c>
      <c r="DQF1" s="65" t="s">
        <v>3497</v>
      </c>
      <c r="DQG1" s="65" t="s">
        <v>3498</v>
      </c>
      <c r="DQH1" s="65" t="s">
        <v>3499</v>
      </c>
      <c r="DQI1" s="65" t="s">
        <v>3500</v>
      </c>
      <c r="DQJ1" s="65" t="s">
        <v>3501</v>
      </c>
      <c r="DQK1" s="65" t="s">
        <v>3502</v>
      </c>
      <c r="DQL1" s="65" t="s">
        <v>3503</v>
      </c>
      <c r="DQM1" s="65" t="s">
        <v>3504</v>
      </c>
      <c r="DQN1" s="65" t="s">
        <v>3505</v>
      </c>
      <c r="DQO1" s="65" t="s">
        <v>3506</v>
      </c>
      <c r="DQP1" s="65" t="s">
        <v>3507</v>
      </c>
      <c r="DQQ1" s="65" t="s">
        <v>3508</v>
      </c>
      <c r="DQR1" s="65" t="s">
        <v>3509</v>
      </c>
      <c r="DQS1" s="65" t="s">
        <v>3510</v>
      </c>
      <c r="DQT1" s="65" t="s">
        <v>3511</v>
      </c>
      <c r="DQU1" s="65" t="s">
        <v>3512</v>
      </c>
      <c r="DQV1" s="65" t="s">
        <v>3513</v>
      </c>
      <c r="DQW1" s="65" t="s">
        <v>3514</v>
      </c>
      <c r="DQX1" s="65" t="s">
        <v>3515</v>
      </c>
      <c r="DQY1" s="65" t="s">
        <v>3516</v>
      </c>
      <c r="DQZ1" s="65" t="s">
        <v>3517</v>
      </c>
      <c r="DRA1" s="65" t="s">
        <v>3518</v>
      </c>
      <c r="DRB1" s="65" t="s">
        <v>3519</v>
      </c>
      <c r="DRC1" s="65" t="s">
        <v>3520</v>
      </c>
      <c r="DRD1" s="65" t="s">
        <v>3521</v>
      </c>
      <c r="DRE1" s="65" t="s">
        <v>3522</v>
      </c>
      <c r="DRF1" s="65" t="s">
        <v>3523</v>
      </c>
      <c r="DRG1" s="65" t="s">
        <v>3524</v>
      </c>
      <c r="DRH1" s="65" t="s">
        <v>3525</v>
      </c>
      <c r="DRI1" s="65" t="s">
        <v>3526</v>
      </c>
      <c r="DRJ1" s="65" t="s">
        <v>3527</v>
      </c>
      <c r="DRK1" s="65" t="s">
        <v>3528</v>
      </c>
      <c r="DRL1" s="65" t="s">
        <v>3529</v>
      </c>
      <c r="DRM1" s="65" t="s">
        <v>3530</v>
      </c>
      <c r="DRN1" s="65" t="s">
        <v>3531</v>
      </c>
      <c r="DRO1" s="65" t="s">
        <v>3532</v>
      </c>
      <c r="DRP1" s="65" t="s">
        <v>3533</v>
      </c>
      <c r="DRQ1" s="65" t="s">
        <v>3534</v>
      </c>
      <c r="DRR1" s="65" t="s">
        <v>3535</v>
      </c>
      <c r="DRS1" s="65" t="s">
        <v>3536</v>
      </c>
      <c r="DRT1" s="65" t="s">
        <v>3537</v>
      </c>
      <c r="DRU1" s="65" t="s">
        <v>3538</v>
      </c>
      <c r="DRV1" s="65" t="s">
        <v>3539</v>
      </c>
      <c r="DRW1" s="65" t="s">
        <v>3540</v>
      </c>
      <c r="DRX1" s="65" t="s">
        <v>3541</v>
      </c>
      <c r="DRY1" s="65" t="s">
        <v>3542</v>
      </c>
      <c r="DRZ1" s="65" t="s">
        <v>3543</v>
      </c>
      <c r="DSA1" s="65" t="s">
        <v>3544</v>
      </c>
      <c r="DSB1" s="65" t="s">
        <v>3545</v>
      </c>
      <c r="DSC1" s="65" t="s">
        <v>3546</v>
      </c>
      <c r="DSD1" s="65" t="s">
        <v>3547</v>
      </c>
      <c r="DSE1" s="65" t="s">
        <v>3548</v>
      </c>
      <c r="DSF1" s="65" t="s">
        <v>3549</v>
      </c>
      <c r="DSG1" s="65" t="s">
        <v>3550</v>
      </c>
      <c r="DSH1" s="65" t="s">
        <v>3551</v>
      </c>
      <c r="DSI1" s="65" t="s">
        <v>3552</v>
      </c>
      <c r="DSJ1" s="65" t="s">
        <v>3553</v>
      </c>
      <c r="DSK1" s="65" t="s">
        <v>3554</v>
      </c>
      <c r="DSL1" s="65" t="s">
        <v>3555</v>
      </c>
      <c r="DSM1" s="65" t="s">
        <v>3556</v>
      </c>
      <c r="DSN1" s="65" t="s">
        <v>3557</v>
      </c>
      <c r="DSO1" s="65" t="s">
        <v>3558</v>
      </c>
      <c r="DSP1" s="65" t="s">
        <v>3559</v>
      </c>
      <c r="DSQ1" s="65" t="s">
        <v>3560</v>
      </c>
      <c r="DSR1" s="65" t="s">
        <v>3561</v>
      </c>
      <c r="DSS1" s="65" t="s">
        <v>3562</v>
      </c>
      <c r="DST1" s="65" t="s">
        <v>3563</v>
      </c>
      <c r="DSU1" s="65" t="s">
        <v>3564</v>
      </c>
      <c r="DSV1" s="65" t="s">
        <v>3565</v>
      </c>
      <c r="DSW1" s="65" t="s">
        <v>3566</v>
      </c>
      <c r="DSX1" s="65" t="s">
        <v>3567</v>
      </c>
      <c r="DSY1" s="65" t="s">
        <v>3568</v>
      </c>
      <c r="DSZ1" s="65" t="s">
        <v>3569</v>
      </c>
      <c r="DTA1" s="65" t="s">
        <v>3570</v>
      </c>
      <c r="DTB1" s="65" t="s">
        <v>3571</v>
      </c>
      <c r="DTC1" s="65" t="s">
        <v>3572</v>
      </c>
      <c r="DTD1" s="65" t="s">
        <v>3573</v>
      </c>
      <c r="DTE1" s="65" t="s">
        <v>3574</v>
      </c>
      <c r="DTF1" s="65" t="s">
        <v>3575</v>
      </c>
      <c r="DTG1" s="65" t="s">
        <v>3576</v>
      </c>
      <c r="DTH1" s="65" t="s">
        <v>3577</v>
      </c>
      <c r="DTI1" s="65" t="s">
        <v>3578</v>
      </c>
      <c r="DTJ1" s="65" t="s">
        <v>3579</v>
      </c>
      <c r="DTK1" s="65" t="s">
        <v>3580</v>
      </c>
      <c r="DTL1" s="65" t="s">
        <v>3581</v>
      </c>
      <c r="DTM1" s="65" t="s">
        <v>3582</v>
      </c>
      <c r="DTN1" s="65" t="s">
        <v>3583</v>
      </c>
      <c r="DTO1" s="65" t="s">
        <v>3584</v>
      </c>
      <c r="DTP1" s="65" t="s">
        <v>3585</v>
      </c>
      <c r="DTQ1" s="65" t="s">
        <v>3586</v>
      </c>
      <c r="DTR1" s="65" t="s">
        <v>3587</v>
      </c>
      <c r="DTS1" s="65" t="s">
        <v>3588</v>
      </c>
      <c r="DTT1" s="65" t="s">
        <v>3589</v>
      </c>
      <c r="DTU1" s="65" t="s">
        <v>3590</v>
      </c>
      <c r="DTV1" s="65" t="s">
        <v>3591</v>
      </c>
      <c r="DTW1" s="65" t="s">
        <v>3592</v>
      </c>
      <c r="DTX1" s="65" t="s">
        <v>3593</v>
      </c>
      <c r="DTY1" s="65" t="s">
        <v>3594</v>
      </c>
      <c r="DTZ1" s="65" t="s">
        <v>3595</v>
      </c>
      <c r="DUA1" s="65" t="s">
        <v>3596</v>
      </c>
      <c r="DUB1" s="65" t="s">
        <v>3597</v>
      </c>
      <c r="DUC1" s="65" t="s">
        <v>3598</v>
      </c>
      <c r="DUD1" s="65" t="s">
        <v>3599</v>
      </c>
      <c r="DUE1" s="65" t="s">
        <v>3600</v>
      </c>
      <c r="DUF1" s="65" t="s">
        <v>3601</v>
      </c>
      <c r="DUG1" s="65" t="s">
        <v>3602</v>
      </c>
      <c r="DUH1" s="65" t="s">
        <v>3603</v>
      </c>
      <c r="DUI1" s="65" t="s">
        <v>3604</v>
      </c>
      <c r="DUJ1" s="65" t="s">
        <v>3605</v>
      </c>
      <c r="DUK1" s="65" t="s">
        <v>3606</v>
      </c>
      <c r="DUL1" s="65" t="s">
        <v>3607</v>
      </c>
      <c r="DUM1" s="65" t="s">
        <v>3608</v>
      </c>
      <c r="DUN1" s="65" t="s">
        <v>3609</v>
      </c>
      <c r="DUO1" s="65" t="s">
        <v>3610</v>
      </c>
      <c r="DUP1" s="65" t="s">
        <v>3611</v>
      </c>
      <c r="DUQ1" s="65" t="s">
        <v>3612</v>
      </c>
      <c r="DUR1" s="65" t="s">
        <v>3613</v>
      </c>
      <c r="DUS1" s="65" t="s">
        <v>3614</v>
      </c>
      <c r="DUT1" s="65" t="s">
        <v>3615</v>
      </c>
      <c r="DUU1" s="65" t="s">
        <v>3616</v>
      </c>
      <c r="DUV1" s="65" t="s">
        <v>3617</v>
      </c>
      <c r="DUW1" s="65" t="s">
        <v>3618</v>
      </c>
      <c r="DUX1" s="65" t="s">
        <v>3619</v>
      </c>
      <c r="DUY1" s="65" t="s">
        <v>3620</v>
      </c>
      <c r="DUZ1" s="65" t="s">
        <v>3621</v>
      </c>
      <c r="DVA1" s="65" t="s">
        <v>3622</v>
      </c>
      <c r="DVB1" s="65" t="s">
        <v>3623</v>
      </c>
      <c r="DVC1" s="65" t="s">
        <v>3624</v>
      </c>
      <c r="DVD1" s="65" t="s">
        <v>3625</v>
      </c>
      <c r="DVE1" s="65" t="s">
        <v>3626</v>
      </c>
      <c r="DVF1" s="65" t="s">
        <v>3627</v>
      </c>
      <c r="DVG1" s="65" t="s">
        <v>3628</v>
      </c>
      <c r="DVH1" s="65" t="s">
        <v>3629</v>
      </c>
      <c r="DVI1" s="65" t="s">
        <v>3630</v>
      </c>
      <c r="DVJ1" s="65" t="s">
        <v>3631</v>
      </c>
      <c r="DVK1" s="65" t="s">
        <v>3632</v>
      </c>
      <c r="DVL1" s="65" t="s">
        <v>3633</v>
      </c>
      <c r="DVM1" s="65" t="s">
        <v>3634</v>
      </c>
      <c r="DVN1" s="65" t="s">
        <v>3635</v>
      </c>
      <c r="DVO1" s="65" t="s">
        <v>3636</v>
      </c>
      <c r="DVP1" s="65" t="s">
        <v>3637</v>
      </c>
      <c r="DVQ1" s="65" t="s">
        <v>3638</v>
      </c>
      <c r="DVR1" s="65" t="s">
        <v>3639</v>
      </c>
      <c r="DVS1" s="65" t="s">
        <v>3640</v>
      </c>
      <c r="DVT1" s="65" t="s">
        <v>3641</v>
      </c>
      <c r="DVU1" s="65" t="s">
        <v>3642</v>
      </c>
      <c r="DVV1" s="65" t="s">
        <v>3643</v>
      </c>
      <c r="DVW1" s="65" t="s">
        <v>3644</v>
      </c>
      <c r="DVX1" s="65" t="s">
        <v>3645</v>
      </c>
      <c r="DVY1" s="65" t="s">
        <v>3646</v>
      </c>
      <c r="DVZ1" s="65" t="s">
        <v>3647</v>
      </c>
      <c r="DWA1" s="65" t="s">
        <v>3648</v>
      </c>
      <c r="DWB1" s="65" t="s">
        <v>3649</v>
      </c>
      <c r="DWC1" s="65" t="s">
        <v>3650</v>
      </c>
      <c r="DWD1" s="65" t="s">
        <v>3651</v>
      </c>
      <c r="DWE1" s="65" t="s">
        <v>3652</v>
      </c>
      <c r="DWF1" s="65" t="s">
        <v>3653</v>
      </c>
      <c r="DWG1" s="65" t="s">
        <v>3654</v>
      </c>
      <c r="DWH1" s="65" t="s">
        <v>3655</v>
      </c>
      <c r="DWI1" s="65" t="s">
        <v>3656</v>
      </c>
      <c r="DWJ1" s="65" t="s">
        <v>3657</v>
      </c>
      <c r="DWK1" s="65" t="s">
        <v>3658</v>
      </c>
      <c r="DWL1" s="65" t="s">
        <v>3659</v>
      </c>
      <c r="DWM1" s="65" t="s">
        <v>3660</v>
      </c>
      <c r="DWN1" s="65" t="s">
        <v>3661</v>
      </c>
      <c r="DWO1" s="65" t="s">
        <v>3662</v>
      </c>
      <c r="DWP1" s="65" t="s">
        <v>3663</v>
      </c>
      <c r="DWQ1" s="65" t="s">
        <v>3664</v>
      </c>
      <c r="DWR1" s="65" t="s">
        <v>3665</v>
      </c>
      <c r="DWS1" s="65" t="s">
        <v>3666</v>
      </c>
      <c r="DWT1" s="65" t="s">
        <v>3667</v>
      </c>
      <c r="DWU1" s="65" t="s">
        <v>3668</v>
      </c>
      <c r="DWV1" s="65" t="s">
        <v>3669</v>
      </c>
      <c r="DWW1" s="65" t="s">
        <v>3670</v>
      </c>
      <c r="DWX1" s="65" t="s">
        <v>3671</v>
      </c>
      <c r="DWY1" s="65" t="s">
        <v>3672</v>
      </c>
      <c r="DWZ1" s="65" t="s">
        <v>3673</v>
      </c>
      <c r="DXA1" s="65" t="s">
        <v>3674</v>
      </c>
      <c r="DXB1" s="65" t="s">
        <v>3675</v>
      </c>
      <c r="DXC1" s="65" t="s">
        <v>3676</v>
      </c>
      <c r="DXD1" s="65" t="s">
        <v>3677</v>
      </c>
      <c r="DXE1" s="65" t="s">
        <v>3678</v>
      </c>
      <c r="DXF1" s="65" t="s">
        <v>3679</v>
      </c>
      <c r="DXG1" s="65" t="s">
        <v>3680</v>
      </c>
      <c r="DXH1" s="65" t="s">
        <v>3681</v>
      </c>
      <c r="DXI1" s="65" t="s">
        <v>3682</v>
      </c>
      <c r="DXJ1" s="65" t="s">
        <v>3683</v>
      </c>
      <c r="DXK1" s="65" t="s">
        <v>3684</v>
      </c>
      <c r="DXL1" s="65" t="s">
        <v>3685</v>
      </c>
      <c r="DXM1" s="65" t="s">
        <v>3686</v>
      </c>
      <c r="DXN1" s="65" t="s">
        <v>3687</v>
      </c>
      <c r="DXO1" s="65" t="s">
        <v>3688</v>
      </c>
      <c r="DXP1" s="65" t="s">
        <v>3689</v>
      </c>
      <c r="DXQ1" s="65" t="s">
        <v>3690</v>
      </c>
      <c r="DXR1" s="65" t="s">
        <v>3691</v>
      </c>
      <c r="DXS1" s="65" t="s">
        <v>3692</v>
      </c>
      <c r="DXT1" s="65" t="s">
        <v>3693</v>
      </c>
      <c r="DXU1" s="65" t="s">
        <v>3694</v>
      </c>
      <c r="DXV1" s="65" t="s">
        <v>3695</v>
      </c>
      <c r="DXW1" s="65" t="s">
        <v>3696</v>
      </c>
      <c r="DXX1" s="65" t="s">
        <v>3697</v>
      </c>
      <c r="DXY1" s="65" t="s">
        <v>3698</v>
      </c>
      <c r="DXZ1" s="65" t="s">
        <v>3699</v>
      </c>
      <c r="DYA1" s="65" t="s">
        <v>3700</v>
      </c>
      <c r="DYB1" s="65" t="s">
        <v>3701</v>
      </c>
      <c r="DYC1" s="65" t="s">
        <v>3702</v>
      </c>
      <c r="DYD1" s="65" t="s">
        <v>3703</v>
      </c>
      <c r="DYE1" s="65" t="s">
        <v>3704</v>
      </c>
      <c r="DYF1" s="65" t="s">
        <v>3705</v>
      </c>
      <c r="DYG1" s="65" t="s">
        <v>3706</v>
      </c>
      <c r="DYH1" s="65" t="s">
        <v>3707</v>
      </c>
      <c r="DYI1" s="65" t="s">
        <v>3708</v>
      </c>
      <c r="DYJ1" s="65" t="s">
        <v>3709</v>
      </c>
      <c r="DYK1" s="65" t="s">
        <v>3710</v>
      </c>
      <c r="DYL1" s="65" t="s">
        <v>3711</v>
      </c>
      <c r="DYM1" s="65" t="s">
        <v>3712</v>
      </c>
      <c r="DYN1" s="65" t="s">
        <v>3713</v>
      </c>
      <c r="DYO1" s="65" t="s">
        <v>3714</v>
      </c>
      <c r="DYP1" s="65" t="s">
        <v>3715</v>
      </c>
      <c r="DYQ1" s="65" t="s">
        <v>3716</v>
      </c>
      <c r="DYR1" s="65" t="s">
        <v>3717</v>
      </c>
      <c r="DYS1" s="65" t="s">
        <v>3718</v>
      </c>
      <c r="DYT1" s="65" t="s">
        <v>3719</v>
      </c>
      <c r="DYU1" s="65" t="s">
        <v>3720</v>
      </c>
      <c r="DYV1" s="65" t="s">
        <v>3721</v>
      </c>
      <c r="DYW1" s="65" t="s">
        <v>3722</v>
      </c>
      <c r="DYX1" s="65" t="s">
        <v>3723</v>
      </c>
      <c r="DYY1" s="65" t="s">
        <v>3724</v>
      </c>
      <c r="DYZ1" s="65" t="s">
        <v>3725</v>
      </c>
      <c r="DZA1" s="65" t="s">
        <v>3726</v>
      </c>
      <c r="DZB1" s="65" t="s">
        <v>3727</v>
      </c>
      <c r="DZC1" s="65" t="s">
        <v>3728</v>
      </c>
      <c r="DZD1" s="65" t="s">
        <v>3729</v>
      </c>
      <c r="DZE1" s="65" t="s">
        <v>3730</v>
      </c>
      <c r="DZF1" s="65" t="s">
        <v>3731</v>
      </c>
      <c r="DZG1" s="65" t="s">
        <v>3732</v>
      </c>
      <c r="DZH1" s="65" t="s">
        <v>3733</v>
      </c>
      <c r="DZI1" s="65" t="s">
        <v>3734</v>
      </c>
      <c r="DZJ1" s="65" t="s">
        <v>3735</v>
      </c>
      <c r="DZK1" s="65" t="s">
        <v>3736</v>
      </c>
      <c r="DZL1" s="65" t="s">
        <v>3737</v>
      </c>
      <c r="DZM1" s="65" t="s">
        <v>3738</v>
      </c>
      <c r="DZN1" s="65" t="s">
        <v>3739</v>
      </c>
      <c r="DZO1" s="65" t="s">
        <v>3740</v>
      </c>
      <c r="DZP1" s="65" t="s">
        <v>3741</v>
      </c>
      <c r="DZQ1" s="65" t="s">
        <v>3742</v>
      </c>
      <c r="DZR1" s="65" t="s">
        <v>3743</v>
      </c>
      <c r="DZS1" s="65" t="s">
        <v>3744</v>
      </c>
      <c r="DZT1" s="65" t="s">
        <v>3745</v>
      </c>
      <c r="DZU1" s="65" t="s">
        <v>3746</v>
      </c>
      <c r="DZV1" s="65" t="s">
        <v>3747</v>
      </c>
      <c r="DZW1" s="65" t="s">
        <v>3748</v>
      </c>
      <c r="DZX1" s="65" t="s">
        <v>3749</v>
      </c>
      <c r="DZY1" s="65" t="s">
        <v>3750</v>
      </c>
      <c r="DZZ1" s="65" t="s">
        <v>3751</v>
      </c>
      <c r="EAA1" s="65" t="s">
        <v>3752</v>
      </c>
      <c r="EAB1" s="65" t="s">
        <v>3753</v>
      </c>
      <c r="EAC1" s="65" t="s">
        <v>3754</v>
      </c>
      <c r="EAD1" s="65" t="s">
        <v>3755</v>
      </c>
      <c r="EAE1" s="65" t="s">
        <v>3756</v>
      </c>
      <c r="EAF1" s="65" t="s">
        <v>3757</v>
      </c>
      <c r="EAG1" s="65" t="s">
        <v>3758</v>
      </c>
      <c r="EAH1" s="65" t="s">
        <v>3759</v>
      </c>
      <c r="EAI1" s="65" t="s">
        <v>3760</v>
      </c>
      <c r="EAJ1" s="65" t="s">
        <v>3761</v>
      </c>
      <c r="EAK1" s="65" t="s">
        <v>3762</v>
      </c>
      <c r="EAL1" s="65" t="s">
        <v>3763</v>
      </c>
      <c r="EAM1" s="65" t="s">
        <v>3764</v>
      </c>
      <c r="EAN1" s="65" t="s">
        <v>3765</v>
      </c>
      <c r="EAO1" s="65" t="s">
        <v>3766</v>
      </c>
      <c r="EAP1" s="65" t="s">
        <v>3767</v>
      </c>
      <c r="EAQ1" s="65" t="s">
        <v>3768</v>
      </c>
      <c r="EAR1" s="65" t="s">
        <v>3769</v>
      </c>
      <c r="EAS1" s="65" t="s">
        <v>3770</v>
      </c>
      <c r="EAT1" s="65" t="s">
        <v>3771</v>
      </c>
      <c r="EAU1" s="65" t="s">
        <v>3772</v>
      </c>
      <c r="EAV1" s="65" t="s">
        <v>3773</v>
      </c>
      <c r="EAW1" s="65" t="s">
        <v>3774</v>
      </c>
      <c r="EAX1" s="65" t="s">
        <v>3775</v>
      </c>
      <c r="EAY1" s="65" t="s">
        <v>3776</v>
      </c>
      <c r="EAZ1" s="65" t="s">
        <v>3777</v>
      </c>
      <c r="EBA1" s="65" t="s">
        <v>3778</v>
      </c>
      <c r="EBB1" s="65" t="s">
        <v>3779</v>
      </c>
      <c r="EBC1" s="65" t="s">
        <v>3780</v>
      </c>
      <c r="EBD1" s="65" t="s">
        <v>3781</v>
      </c>
      <c r="EBE1" s="65" t="s">
        <v>3782</v>
      </c>
      <c r="EBF1" s="65" t="s">
        <v>3783</v>
      </c>
      <c r="EBG1" s="65" t="s">
        <v>3784</v>
      </c>
      <c r="EBH1" s="65" t="s">
        <v>3785</v>
      </c>
      <c r="EBI1" s="65" t="s">
        <v>3786</v>
      </c>
      <c r="EBJ1" s="65" t="s">
        <v>3787</v>
      </c>
      <c r="EBK1" s="65" t="s">
        <v>3788</v>
      </c>
      <c r="EBL1" s="65" t="s">
        <v>3789</v>
      </c>
      <c r="EBM1" s="65" t="s">
        <v>3790</v>
      </c>
      <c r="EBN1" s="65" t="s">
        <v>3791</v>
      </c>
      <c r="EBO1" s="65" t="s">
        <v>3792</v>
      </c>
      <c r="EBP1" s="65" t="s">
        <v>3793</v>
      </c>
      <c r="EBQ1" s="65" t="s">
        <v>3794</v>
      </c>
      <c r="EBR1" s="65" t="s">
        <v>3795</v>
      </c>
      <c r="EBS1" s="65" t="s">
        <v>3796</v>
      </c>
      <c r="EBT1" s="65" t="s">
        <v>3797</v>
      </c>
      <c r="EBU1" s="65" t="s">
        <v>3798</v>
      </c>
      <c r="EBV1" s="65" t="s">
        <v>3799</v>
      </c>
      <c r="EBW1" s="65" t="s">
        <v>3800</v>
      </c>
      <c r="EBX1" s="65" t="s">
        <v>3801</v>
      </c>
      <c r="EBY1" s="65" t="s">
        <v>3802</v>
      </c>
      <c r="EBZ1" s="65" t="s">
        <v>3803</v>
      </c>
      <c r="ECA1" s="65" t="s">
        <v>3804</v>
      </c>
      <c r="ECB1" s="65" t="s">
        <v>3805</v>
      </c>
      <c r="ECC1" s="65" t="s">
        <v>3806</v>
      </c>
      <c r="ECD1" s="65" t="s">
        <v>3807</v>
      </c>
      <c r="ECE1" s="65" t="s">
        <v>3808</v>
      </c>
      <c r="ECF1" s="65" t="s">
        <v>3809</v>
      </c>
      <c r="ECG1" s="65" t="s">
        <v>3810</v>
      </c>
      <c r="ECH1" s="65" t="s">
        <v>3811</v>
      </c>
      <c r="ECI1" s="65" t="s">
        <v>3812</v>
      </c>
      <c r="ECJ1" s="65" t="s">
        <v>3813</v>
      </c>
      <c r="ECK1" s="65" t="s">
        <v>3814</v>
      </c>
      <c r="ECL1" s="65" t="s">
        <v>3815</v>
      </c>
      <c r="ECM1" s="65" t="s">
        <v>3816</v>
      </c>
      <c r="ECN1" s="65" t="s">
        <v>3817</v>
      </c>
      <c r="ECO1" s="65" t="s">
        <v>3818</v>
      </c>
      <c r="ECP1" s="65" t="s">
        <v>3819</v>
      </c>
      <c r="ECQ1" s="65" t="s">
        <v>3820</v>
      </c>
      <c r="ECR1" s="65" t="s">
        <v>3821</v>
      </c>
      <c r="ECS1" s="65" t="s">
        <v>3822</v>
      </c>
      <c r="ECT1" s="65" t="s">
        <v>3823</v>
      </c>
      <c r="ECU1" s="65" t="s">
        <v>3824</v>
      </c>
      <c r="ECV1" s="65" t="s">
        <v>3825</v>
      </c>
      <c r="ECW1" s="65" t="s">
        <v>3826</v>
      </c>
      <c r="ECX1" s="65" t="s">
        <v>3827</v>
      </c>
      <c r="ECY1" s="65" t="s">
        <v>3828</v>
      </c>
      <c r="ECZ1" s="65" t="s">
        <v>3829</v>
      </c>
      <c r="EDA1" s="65" t="s">
        <v>3830</v>
      </c>
      <c r="EDB1" s="65" t="s">
        <v>3831</v>
      </c>
      <c r="EDC1" s="65" t="s">
        <v>3832</v>
      </c>
      <c r="EDD1" s="65" t="s">
        <v>3833</v>
      </c>
      <c r="EDE1" s="65" t="s">
        <v>3834</v>
      </c>
      <c r="EDF1" s="65" t="s">
        <v>3835</v>
      </c>
      <c r="EDG1" s="65" t="s">
        <v>3836</v>
      </c>
      <c r="EDH1" s="65" t="s">
        <v>3837</v>
      </c>
      <c r="EDI1" s="65" t="s">
        <v>3838</v>
      </c>
      <c r="EDJ1" s="65" t="s">
        <v>3839</v>
      </c>
      <c r="EDK1" s="65" t="s">
        <v>3840</v>
      </c>
      <c r="EDL1" s="65" t="s">
        <v>3841</v>
      </c>
      <c r="EDM1" s="65" t="s">
        <v>3842</v>
      </c>
      <c r="EDN1" s="65" t="s">
        <v>3843</v>
      </c>
      <c r="EDO1" s="65" t="s">
        <v>3844</v>
      </c>
      <c r="EDP1" s="65" t="s">
        <v>3845</v>
      </c>
      <c r="EDQ1" s="65" t="s">
        <v>3846</v>
      </c>
      <c r="EDR1" s="65" t="s">
        <v>3847</v>
      </c>
      <c r="EDS1" s="65" t="s">
        <v>3848</v>
      </c>
      <c r="EDT1" s="65" t="s">
        <v>3849</v>
      </c>
      <c r="EDU1" s="65" t="s">
        <v>3850</v>
      </c>
      <c r="EDV1" s="65" t="s">
        <v>3851</v>
      </c>
      <c r="EDW1" s="65" t="s">
        <v>3852</v>
      </c>
      <c r="EDX1" s="65" t="s">
        <v>3853</v>
      </c>
      <c r="EDY1" s="65" t="s">
        <v>3854</v>
      </c>
      <c r="EDZ1" s="65" t="s">
        <v>3855</v>
      </c>
      <c r="EEA1" s="65" t="s">
        <v>3856</v>
      </c>
      <c r="EEB1" s="65" t="s">
        <v>3857</v>
      </c>
      <c r="EEC1" s="65" t="s">
        <v>3858</v>
      </c>
      <c r="EED1" s="65" t="s">
        <v>3859</v>
      </c>
      <c r="EEE1" s="65" t="s">
        <v>3860</v>
      </c>
      <c r="EEF1" s="65" t="s">
        <v>3861</v>
      </c>
      <c r="EEG1" s="65" t="s">
        <v>3862</v>
      </c>
      <c r="EEH1" s="65" t="s">
        <v>3863</v>
      </c>
      <c r="EEI1" s="65" t="s">
        <v>3864</v>
      </c>
      <c r="EEJ1" s="65" t="s">
        <v>3865</v>
      </c>
      <c r="EEK1" s="65" t="s">
        <v>3866</v>
      </c>
      <c r="EEL1" s="65" t="s">
        <v>3867</v>
      </c>
      <c r="EEM1" s="65" t="s">
        <v>3868</v>
      </c>
      <c r="EEN1" s="65" t="s">
        <v>3869</v>
      </c>
      <c r="EEO1" s="65" t="s">
        <v>3870</v>
      </c>
      <c r="EEP1" s="65" t="s">
        <v>3871</v>
      </c>
      <c r="EEQ1" s="65" t="s">
        <v>3872</v>
      </c>
      <c r="EER1" s="65" t="s">
        <v>3873</v>
      </c>
      <c r="EES1" s="65" t="s">
        <v>3874</v>
      </c>
      <c r="EET1" s="65" t="s">
        <v>3875</v>
      </c>
      <c r="EEU1" s="65" t="s">
        <v>3876</v>
      </c>
      <c r="EEV1" s="65" t="s">
        <v>3877</v>
      </c>
      <c r="EEW1" s="65" t="s">
        <v>3878</v>
      </c>
      <c r="EEX1" s="65" t="s">
        <v>3879</v>
      </c>
      <c r="EEY1" s="65" t="s">
        <v>3880</v>
      </c>
      <c r="EEZ1" s="65" t="s">
        <v>3881</v>
      </c>
      <c r="EFA1" s="65" t="s">
        <v>3882</v>
      </c>
      <c r="EFB1" s="65" t="s">
        <v>3883</v>
      </c>
      <c r="EFC1" s="65" t="s">
        <v>3884</v>
      </c>
      <c r="EFD1" s="65" t="s">
        <v>3885</v>
      </c>
      <c r="EFE1" s="65" t="s">
        <v>3886</v>
      </c>
      <c r="EFF1" s="65" t="s">
        <v>3887</v>
      </c>
      <c r="EFG1" s="65" t="s">
        <v>3888</v>
      </c>
      <c r="EFH1" s="65" t="s">
        <v>3889</v>
      </c>
      <c r="EFI1" s="65" t="s">
        <v>3890</v>
      </c>
      <c r="EFJ1" s="65" t="s">
        <v>3891</v>
      </c>
      <c r="EFK1" s="65" t="s">
        <v>3892</v>
      </c>
      <c r="EFL1" s="65" t="s">
        <v>3893</v>
      </c>
      <c r="EFM1" s="65" t="s">
        <v>3894</v>
      </c>
      <c r="EFN1" s="65" t="s">
        <v>3895</v>
      </c>
      <c r="EFO1" s="65" t="s">
        <v>3896</v>
      </c>
      <c r="EFP1" s="65" t="s">
        <v>3897</v>
      </c>
      <c r="EFQ1" s="65" t="s">
        <v>3898</v>
      </c>
      <c r="EFR1" s="65" t="s">
        <v>3899</v>
      </c>
      <c r="EFS1" s="65" t="s">
        <v>3900</v>
      </c>
      <c r="EFT1" s="65" t="s">
        <v>3901</v>
      </c>
      <c r="EFU1" s="65" t="s">
        <v>3902</v>
      </c>
      <c r="EFV1" s="65" t="s">
        <v>3903</v>
      </c>
      <c r="EFW1" s="65" t="s">
        <v>3904</v>
      </c>
      <c r="EFX1" s="65" t="s">
        <v>3905</v>
      </c>
      <c r="EFY1" s="65" t="s">
        <v>3906</v>
      </c>
      <c r="EFZ1" s="65" t="s">
        <v>3907</v>
      </c>
      <c r="EGA1" s="65" t="s">
        <v>3908</v>
      </c>
      <c r="EGB1" s="65" t="s">
        <v>3909</v>
      </c>
      <c r="EGC1" s="65" t="s">
        <v>3910</v>
      </c>
      <c r="EGD1" s="65" t="s">
        <v>3911</v>
      </c>
      <c r="EGE1" s="65" t="s">
        <v>3912</v>
      </c>
      <c r="EGF1" s="65" t="s">
        <v>3913</v>
      </c>
      <c r="EGG1" s="65" t="s">
        <v>3914</v>
      </c>
      <c r="EGH1" s="65" t="s">
        <v>3915</v>
      </c>
      <c r="EGI1" s="65" t="s">
        <v>3916</v>
      </c>
      <c r="EGJ1" s="65" t="s">
        <v>3917</v>
      </c>
      <c r="EGK1" s="65" t="s">
        <v>3918</v>
      </c>
      <c r="EGL1" s="65" t="s">
        <v>3919</v>
      </c>
      <c r="EGM1" s="65" t="s">
        <v>3920</v>
      </c>
      <c r="EGN1" s="65" t="s">
        <v>3921</v>
      </c>
      <c r="EGO1" s="65" t="s">
        <v>3922</v>
      </c>
      <c r="EGP1" s="65" t="s">
        <v>3923</v>
      </c>
      <c r="EGQ1" s="65" t="s">
        <v>3924</v>
      </c>
      <c r="EGR1" s="65" t="s">
        <v>3925</v>
      </c>
      <c r="EGS1" s="65" t="s">
        <v>3926</v>
      </c>
      <c r="EGT1" s="65" t="s">
        <v>3927</v>
      </c>
      <c r="EGU1" s="65" t="s">
        <v>3928</v>
      </c>
      <c r="EGV1" s="65" t="s">
        <v>3929</v>
      </c>
      <c r="EGW1" s="65" t="s">
        <v>3930</v>
      </c>
      <c r="EGX1" s="65" t="s">
        <v>3931</v>
      </c>
      <c r="EGY1" s="65" t="s">
        <v>3932</v>
      </c>
      <c r="EGZ1" s="65" t="s">
        <v>3933</v>
      </c>
      <c r="EHA1" s="65" t="s">
        <v>3934</v>
      </c>
      <c r="EHB1" s="65" t="s">
        <v>3935</v>
      </c>
      <c r="EHC1" s="65" t="s">
        <v>3936</v>
      </c>
      <c r="EHD1" s="65" t="s">
        <v>3937</v>
      </c>
      <c r="EHE1" s="65" t="s">
        <v>3938</v>
      </c>
      <c r="EHF1" s="65" t="s">
        <v>3939</v>
      </c>
      <c r="EHG1" s="65" t="s">
        <v>3940</v>
      </c>
      <c r="EHH1" s="65" t="s">
        <v>3941</v>
      </c>
      <c r="EHI1" s="65" t="s">
        <v>3942</v>
      </c>
      <c r="EHJ1" s="65" t="s">
        <v>3943</v>
      </c>
      <c r="EHK1" s="65" t="s">
        <v>3944</v>
      </c>
      <c r="EHL1" s="65" t="s">
        <v>3945</v>
      </c>
      <c r="EHM1" s="65" t="s">
        <v>3946</v>
      </c>
      <c r="EHN1" s="65" t="s">
        <v>3947</v>
      </c>
      <c r="EHO1" s="65" t="s">
        <v>3948</v>
      </c>
      <c r="EHP1" s="65" t="s">
        <v>3949</v>
      </c>
      <c r="EHQ1" s="65" t="s">
        <v>3950</v>
      </c>
      <c r="EHR1" s="65" t="s">
        <v>3951</v>
      </c>
      <c r="EHS1" s="65" t="s">
        <v>3952</v>
      </c>
      <c r="EHT1" s="65" t="s">
        <v>3953</v>
      </c>
      <c r="EHU1" s="65" t="s">
        <v>3954</v>
      </c>
      <c r="EHV1" s="65" t="s">
        <v>3955</v>
      </c>
      <c r="EHW1" s="65" t="s">
        <v>3956</v>
      </c>
      <c r="EHX1" s="65" t="s">
        <v>3957</v>
      </c>
      <c r="EHY1" s="65" t="s">
        <v>3958</v>
      </c>
      <c r="EHZ1" s="65" t="s">
        <v>3959</v>
      </c>
      <c r="EIA1" s="65" t="s">
        <v>3960</v>
      </c>
      <c r="EIB1" s="65" t="s">
        <v>3961</v>
      </c>
      <c r="EIC1" s="65" t="s">
        <v>3962</v>
      </c>
      <c r="EID1" s="65" t="s">
        <v>3963</v>
      </c>
      <c r="EIE1" s="65" t="s">
        <v>3964</v>
      </c>
      <c r="EIF1" s="65" t="s">
        <v>3965</v>
      </c>
      <c r="EIG1" s="65" t="s">
        <v>3966</v>
      </c>
      <c r="EIH1" s="65" t="s">
        <v>3967</v>
      </c>
      <c r="EII1" s="65" t="s">
        <v>3968</v>
      </c>
      <c r="EIJ1" s="65" t="s">
        <v>3969</v>
      </c>
      <c r="EIK1" s="65" t="s">
        <v>3970</v>
      </c>
      <c r="EIL1" s="65" t="s">
        <v>3971</v>
      </c>
      <c r="EIM1" s="65" t="s">
        <v>3972</v>
      </c>
      <c r="EIN1" s="65" t="s">
        <v>3973</v>
      </c>
      <c r="EIO1" s="65" t="s">
        <v>3974</v>
      </c>
      <c r="EIP1" s="65" t="s">
        <v>3975</v>
      </c>
      <c r="EIQ1" s="65" t="s">
        <v>3976</v>
      </c>
      <c r="EIR1" s="65" t="s">
        <v>3977</v>
      </c>
      <c r="EIS1" s="65" t="s">
        <v>3978</v>
      </c>
      <c r="EIT1" s="65" t="s">
        <v>3979</v>
      </c>
      <c r="EIU1" s="65" t="s">
        <v>3980</v>
      </c>
      <c r="EIV1" s="65" t="s">
        <v>3981</v>
      </c>
      <c r="EIW1" s="65" t="s">
        <v>3982</v>
      </c>
      <c r="EIX1" s="65" t="s">
        <v>3983</v>
      </c>
      <c r="EIY1" s="65" t="s">
        <v>3984</v>
      </c>
      <c r="EIZ1" s="65" t="s">
        <v>3985</v>
      </c>
      <c r="EJA1" s="65" t="s">
        <v>3986</v>
      </c>
      <c r="EJB1" s="65" t="s">
        <v>3987</v>
      </c>
      <c r="EJC1" s="65" t="s">
        <v>3988</v>
      </c>
      <c r="EJD1" s="65" t="s">
        <v>3989</v>
      </c>
      <c r="EJE1" s="65" t="s">
        <v>3990</v>
      </c>
      <c r="EJF1" s="65" t="s">
        <v>3991</v>
      </c>
      <c r="EJG1" s="65" t="s">
        <v>3992</v>
      </c>
      <c r="EJH1" s="65" t="s">
        <v>3993</v>
      </c>
      <c r="EJI1" s="65" t="s">
        <v>3994</v>
      </c>
      <c r="EJJ1" s="65" t="s">
        <v>3995</v>
      </c>
      <c r="EJK1" s="65" t="s">
        <v>3996</v>
      </c>
      <c r="EJL1" s="65" t="s">
        <v>3997</v>
      </c>
      <c r="EJM1" s="65" t="s">
        <v>3998</v>
      </c>
      <c r="EJN1" s="65" t="s">
        <v>3999</v>
      </c>
      <c r="EJO1" s="65" t="s">
        <v>4000</v>
      </c>
      <c r="EJP1" s="65" t="s">
        <v>4001</v>
      </c>
      <c r="EJQ1" s="65" t="s">
        <v>4002</v>
      </c>
      <c r="EJR1" s="65" t="s">
        <v>4003</v>
      </c>
      <c r="EJS1" s="65" t="s">
        <v>4004</v>
      </c>
      <c r="EJT1" s="65" t="s">
        <v>4005</v>
      </c>
      <c r="EJU1" s="65" t="s">
        <v>4006</v>
      </c>
      <c r="EJV1" s="65" t="s">
        <v>4007</v>
      </c>
      <c r="EJW1" s="65" t="s">
        <v>4008</v>
      </c>
      <c r="EJX1" s="65" t="s">
        <v>4009</v>
      </c>
      <c r="EJY1" s="65" t="s">
        <v>4010</v>
      </c>
      <c r="EJZ1" s="65" t="s">
        <v>4011</v>
      </c>
      <c r="EKA1" s="65" t="s">
        <v>4012</v>
      </c>
      <c r="EKB1" s="65" t="s">
        <v>4013</v>
      </c>
      <c r="EKC1" s="65" t="s">
        <v>4014</v>
      </c>
      <c r="EKD1" s="65" t="s">
        <v>4015</v>
      </c>
      <c r="EKE1" s="65" t="s">
        <v>4016</v>
      </c>
      <c r="EKF1" s="65" t="s">
        <v>4017</v>
      </c>
      <c r="EKG1" s="65" t="s">
        <v>4018</v>
      </c>
      <c r="EKH1" s="65" t="s">
        <v>4019</v>
      </c>
      <c r="EKI1" s="65" t="s">
        <v>4020</v>
      </c>
      <c r="EKJ1" s="65" t="s">
        <v>4021</v>
      </c>
      <c r="EKK1" s="65" t="s">
        <v>4022</v>
      </c>
      <c r="EKL1" s="65" t="s">
        <v>4023</v>
      </c>
      <c r="EKM1" s="65" t="s">
        <v>4024</v>
      </c>
      <c r="EKN1" s="65" t="s">
        <v>4025</v>
      </c>
      <c r="EKO1" s="65" t="s">
        <v>4026</v>
      </c>
      <c r="EKP1" s="65" t="s">
        <v>4027</v>
      </c>
      <c r="EKQ1" s="65" t="s">
        <v>4028</v>
      </c>
      <c r="EKR1" s="65" t="s">
        <v>4029</v>
      </c>
      <c r="EKS1" s="65" t="s">
        <v>4030</v>
      </c>
      <c r="EKT1" s="65" t="s">
        <v>4031</v>
      </c>
      <c r="EKU1" s="65" t="s">
        <v>4032</v>
      </c>
      <c r="EKV1" s="65" t="s">
        <v>4033</v>
      </c>
      <c r="EKW1" s="65" t="s">
        <v>4034</v>
      </c>
      <c r="EKX1" s="65" t="s">
        <v>4035</v>
      </c>
      <c r="EKY1" s="65" t="s">
        <v>4036</v>
      </c>
      <c r="EKZ1" s="65" t="s">
        <v>4037</v>
      </c>
      <c r="ELA1" s="65" t="s">
        <v>4038</v>
      </c>
      <c r="ELB1" s="65" t="s">
        <v>4039</v>
      </c>
      <c r="ELC1" s="65" t="s">
        <v>4040</v>
      </c>
      <c r="ELD1" s="65" t="s">
        <v>4041</v>
      </c>
      <c r="ELE1" s="65" t="s">
        <v>4042</v>
      </c>
      <c r="ELF1" s="65" t="s">
        <v>4043</v>
      </c>
      <c r="ELG1" s="65" t="s">
        <v>4044</v>
      </c>
      <c r="ELH1" s="65" t="s">
        <v>4045</v>
      </c>
      <c r="ELI1" s="65" t="s">
        <v>4046</v>
      </c>
      <c r="ELJ1" s="65" t="s">
        <v>4047</v>
      </c>
      <c r="ELK1" s="65" t="s">
        <v>4048</v>
      </c>
      <c r="ELL1" s="65" t="s">
        <v>4049</v>
      </c>
      <c r="ELM1" s="65" t="s">
        <v>4050</v>
      </c>
      <c r="ELN1" s="65" t="s">
        <v>4051</v>
      </c>
      <c r="ELO1" s="65" t="s">
        <v>4052</v>
      </c>
      <c r="ELP1" s="65" t="s">
        <v>4053</v>
      </c>
      <c r="ELQ1" s="65" t="s">
        <v>4054</v>
      </c>
      <c r="ELR1" s="65" t="s">
        <v>4055</v>
      </c>
      <c r="ELS1" s="65" t="s">
        <v>4056</v>
      </c>
      <c r="ELT1" s="65" t="s">
        <v>4057</v>
      </c>
      <c r="ELU1" s="65" t="s">
        <v>4058</v>
      </c>
      <c r="ELV1" s="65" t="s">
        <v>4059</v>
      </c>
      <c r="ELW1" s="65" t="s">
        <v>4060</v>
      </c>
      <c r="ELX1" s="65" t="s">
        <v>4061</v>
      </c>
      <c r="ELY1" s="65" t="s">
        <v>4062</v>
      </c>
      <c r="ELZ1" s="65" t="s">
        <v>4063</v>
      </c>
      <c r="EMA1" s="65" t="s">
        <v>4064</v>
      </c>
      <c r="EMB1" s="65" t="s">
        <v>4065</v>
      </c>
      <c r="EMC1" s="65" t="s">
        <v>4066</v>
      </c>
      <c r="EMD1" s="65" t="s">
        <v>4067</v>
      </c>
      <c r="EME1" s="65" t="s">
        <v>4068</v>
      </c>
      <c r="EMF1" s="65" t="s">
        <v>4069</v>
      </c>
      <c r="EMG1" s="65" t="s">
        <v>4070</v>
      </c>
      <c r="EMH1" s="65" t="s">
        <v>4071</v>
      </c>
      <c r="EMI1" s="65" t="s">
        <v>4072</v>
      </c>
      <c r="EMJ1" s="65" t="s">
        <v>4073</v>
      </c>
      <c r="EMK1" s="65" t="s">
        <v>4074</v>
      </c>
      <c r="EML1" s="65" t="s">
        <v>4075</v>
      </c>
      <c r="EMM1" s="65" t="s">
        <v>4076</v>
      </c>
      <c r="EMN1" s="65" t="s">
        <v>4077</v>
      </c>
      <c r="EMO1" s="65" t="s">
        <v>4078</v>
      </c>
      <c r="EMP1" s="65" t="s">
        <v>4079</v>
      </c>
      <c r="EMQ1" s="65" t="s">
        <v>4080</v>
      </c>
      <c r="EMR1" s="65" t="s">
        <v>4081</v>
      </c>
      <c r="EMS1" s="65" t="s">
        <v>4082</v>
      </c>
      <c r="EMT1" s="65" t="s">
        <v>4083</v>
      </c>
      <c r="EMU1" s="65" t="s">
        <v>4084</v>
      </c>
      <c r="EMV1" s="65" t="s">
        <v>4085</v>
      </c>
      <c r="EMW1" s="65" t="s">
        <v>4086</v>
      </c>
      <c r="EMX1" s="65" t="s">
        <v>4087</v>
      </c>
      <c r="EMY1" s="65" t="s">
        <v>4088</v>
      </c>
      <c r="EMZ1" s="65" t="s">
        <v>4089</v>
      </c>
      <c r="ENA1" s="65" t="s">
        <v>4090</v>
      </c>
      <c r="ENB1" s="65" t="s">
        <v>4091</v>
      </c>
      <c r="ENC1" s="65" t="s">
        <v>4092</v>
      </c>
      <c r="END1" s="65" t="s">
        <v>4093</v>
      </c>
      <c r="ENE1" s="65" t="s">
        <v>4094</v>
      </c>
      <c r="ENF1" s="65" t="s">
        <v>4095</v>
      </c>
      <c r="ENG1" s="65" t="s">
        <v>4096</v>
      </c>
      <c r="ENH1" s="65" t="s">
        <v>4097</v>
      </c>
      <c r="ENI1" s="65" t="s">
        <v>4098</v>
      </c>
      <c r="ENJ1" s="65" t="s">
        <v>4099</v>
      </c>
      <c r="ENK1" s="65" t="s">
        <v>4100</v>
      </c>
      <c r="ENL1" s="65" t="s">
        <v>4101</v>
      </c>
      <c r="ENM1" s="65" t="s">
        <v>4102</v>
      </c>
      <c r="ENN1" s="65" t="s">
        <v>4103</v>
      </c>
      <c r="ENO1" s="65" t="s">
        <v>4104</v>
      </c>
      <c r="ENP1" s="65" t="s">
        <v>4105</v>
      </c>
      <c r="ENQ1" s="65" t="s">
        <v>4106</v>
      </c>
      <c r="ENR1" s="65" t="s">
        <v>4107</v>
      </c>
      <c r="ENS1" s="65" t="s">
        <v>4108</v>
      </c>
      <c r="ENT1" s="65" t="s">
        <v>4109</v>
      </c>
      <c r="ENU1" s="65" t="s">
        <v>4110</v>
      </c>
      <c r="ENV1" s="65" t="s">
        <v>4111</v>
      </c>
      <c r="ENW1" s="65" t="s">
        <v>4112</v>
      </c>
      <c r="ENX1" s="65" t="s">
        <v>4113</v>
      </c>
      <c r="ENY1" s="65" t="s">
        <v>4114</v>
      </c>
      <c r="ENZ1" s="65" t="s">
        <v>4115</v>
      </c>
      <c r="EOA1" s="65" t="s">
        <v>4116</v>
      </c>
      <c r="EOB1" s="65" t="s">
        <v>4117</v>
      </c>
      <c r="EOC1" s="65" t="s">
        <v>4118</v>
      </c>
      <c r="EOD1" s="65" t="s">
        <v>4119</v>
      </c>
      <c r="EOE1" s="65" t="s">
        <v>4120</v>
      </c>
      <c r="EOF1" s="65" t="s">
        <v>4121</v>
      </c>
      <c r="EOG1" s="65" t="s">
        <v>4122</v>
      </c>
      <c r="EOH1" s="65" t="s">
        <v>4123</v>
      </c>
      <c r="EOI1" s="65" t="s">
        <v>4124</v>
      </c>
      <c r="EOJ1" s="65" t="s">
        <v>4125</v>
      </c>
      <c r="EOK1" s="65" t="s">
        <v>4126</v>
      </c>
      <c r="EOL1" s="65" t="s">
        <v>4127</v>
      </c>
      <c r="EOM1" s="65" t="s">
        <v>4128</v>
      </c>
      <c r="EON1" s="65" t="s">
        <v>4129</v>
      </c>
      <c r="EOO1" s="65" t="s">
        <v>4130</v>
      </c>
      <c r="EOP1" s="65" t="s">
        <v>4131</v>
      </c>
      <c r="EOQ1" s="65" t="s">
        <v>4132</v>
      </c>
      <c r="EOR1" s="65" t="s">
        <v>4133</v>
      </c>
      <c r="EOS1" s="65" t="s">
        <v>4134</v>
      </c>
      <c r="EOT1" s="65" t="s">
        <v>4135</v>
      </c>
      <c r="EOU1" s="65" t="s">
        <v>4136</v>
      </c>
      <c r="EOV1" s="65" t="s">
        <v>4137</v>
      </c>
      <c r="EOW1" s="65" t="s">
        <v>4138</v>
      </c>
      <c r="EOX1" s="65" t="s">
        <v>4139</v>
      </c>
      <c r="EOY1" s="65" t="s">
        <v>4140</v>
      </c>
      <c r="EOZ1" s="65" t="s">
        <v>4141</v>
      </c>
      <c r="EPA1" s="65" t="s">
        <v>4142</v>
      </c>
      <c r="EPB1" s="65" t="s">
        <v>4143</v>
      </c>
      <c r="EPC1" s="65" t="s">
        <v>4144</v>
      </c>
      <c r="EPD1" s="65" t="s">
        <v>4145</v>
      </c>
      <c r="EPE1" s="65" t="s">
        <v>4146</v>
      </c>
      <c r="EPF1" s="65" t="s">
        <v>4147</v>
      </c>
      <c r="EPG1" s="65" t="s">
        <v>4148</v>
      </c>
      <c r="EPH1" s="65" t="s">
        <v>4149</v>
      </c>
      <c r="EPI1" s="65" t="s">
        <v>4150</v>
      </c>
      <c r="EPJ1" s="65" t="s">
        <v>4151</v>
      </c>
      <c r="EPK1" s="65" t="s">
        <v>4152</v>
      </c>
      <c r="EPL1" s="65" t="s">
        <v>4153</v>
      </c>
      <c r="EPM1" s="65" t="s">
        <v>4154</v>
      </c>
      <c r="EPN1" s="65" t="s">
        <v>4155</v>
      </c>
      <c r="EPO1" s="65" t="s">
        <v>4156</v>
      </c>
      <c r="EPP1" s="65" t="s">
        <v>4157</v>
      </c>
      <c r="EPQ1" s="65" t="s">
        <v>4158</v>
      </c>
      <c r="EPR1" s="65" t="s">
        <v>4159</v>
      </c>
      <c r="EPS1" s="65" t="s">
        <v>4160</v>
      </c>
      <c r="EPT1" s="65" t="s">
        <v>4161</v>
      </c>
      <c r="EPU1" s="65" t="s">
        <v>4162</v>
      </c>
      <c r="EPV1" s="65" t="s">
        <v>4163</v>
      </c>
      <c r="EPW1" s="65" t="s">
        <v>4164</v>
      </c>
      <c r="EPX1" s="65" t="s">
        <v>4165</v>
      </c>
      <c r="EPY1" s="65" t="s">
        <v>4166</v>
      </c>
      <c r="EPZ1" s="65" t="s">
        <v>4167</v>
      </c>
      <c r="EQA1" s="65" t="s">
        <v>4168</v>
      </c>
      <c r="EQB1" s="65" t="s">
        <v>4169</v>
      </c>
      <c r="EQC1" s="65" t="s">
        <v>4170</v>
      </c>
      <c r="EQD1" s="65" t="s">
        <v>4171</v>
      </c>
      <c r="EQE1" s="65" t="s">
        <v>4172</v>
      </c>
      <c r="EQF1" s="65" t="s">
        <v>4173</v>
      </c>
      <c r="EQG1" s="65" t="s">
        <v>4174</v>
      </c>
      <c r="EQH1" s="65" t="s">
        <v>4175</v>
      </c>
      <c r="EQI1" s="65" t="s">
        <v>4176</v>
      </c>
      <c r="EQJ1" s="65" t="s">
        <v>4177</v>
      </c>
      <c r="EQK1" s="65" t="s">
        <v>4178</v>
      </c>
      <c r="EQL1" s="65" t="s">
        <v>4179</v>
      </c>
      <c r="EQM1" s="65" t="s">
        <v>4180</v>
      </c>
      <c r="EQN1" s="65" t="s">
        <v>4181</v>
      </c>
      <c r="EQO1" s="65" t="s">
        <v>4182</v>
      </c>
      <c r="EQP1" s="65" t="s">
        <v>4183</v>
      </c>
      <c r="EQQ1" s="65" t="s">
        <v>4184</v>
      </c>
      <c r="EQR1" s="65" t="s">
        <v>4185</v>
      </c>
      <c r="EQS1" s="65" t="s">
        <v>4186</v>
      </c>
      <c r="EQT1" s="65" t="s">
        <v>4187</v>
      </c>
      <c r="EQU1" s="65" t="s">
        <v>4188</v>
      </c>
      <c r="EQV1" s="65" t="s">
        <v>4189</v>
      </c>
      <c r="EQW1" s="65" t="s">
        <v>4190</v>
      </c>
      <c r="EQX1" s="65" t="s">
        <v>4191</v>
      </c>
      <c r="EQY1" s="65" t="s">
        <v>4192</v>
      </c>
      <c r="EQZ1" s="65" t="s">
        <v>4193</v>
      </c>
      <c r="ERA1" s="65" t="s">
        <v>4194</v>
      </c>
      <c r="ERB1" s="65" t="s">
        <v>4195</v>
      </c>
      <c r="ERC1" s="65" t="s">
        <v>4196</v>
      </c>
      <c r="ERD1" s="65" t="s">
        <v>4197</v>
      </c>
      <c r="ERE1" s="65" t="s">
        <v>4198</v>
      </c>
      <c r="ERF1" s="65" t="s">
        <v>4199</v>
      </c>
      <c r="ERG1" s="65" t="s">
        <v>4200</v>
      </c>
      <c r="ERH1" s="65" t="s">
        <v>4201</v>
      </c>
      <c r="ERI1" s="65" t="s">
        <v>4202</v>
      </c>
      <c r="ERJ1" s="65" t="s">
        <v>4203</v>
      </c>
      <c r="ERK1" s="65" t="s">
        <v>4204</v>
      </c>
      <c r="ERL1" s="65" t="s">
        <v>4205</v>
      </c>
      <c r="ERM1" s="65" t="s">
        <v>4206</v>
      </c>
      <c r="ERN1" s="65" t="s">
        <v>4207</v>
      </c>
      <c r="ERO1" s="65" t="s">
        <v>4208</v>
      </c>
      <c r="ERP1" s="65" t="s">
        <v>4209</v>
      </c>
      <c r="ERQ1" s="65" t="s">
        <v>4210</v>
      </c>
      <c r="ERR1" s="65" t="s">
        <v>4211</v>
      </c>
      <c r="ERS1" s="65" t="s">
        <v>4212</v>
      </c>
      <c r="ERT1" s="65" t="s">
        <v>4213</v>
      </c>
      <c r="ERU1" s="65" t="s">
        <v>4214</v>
      </c>
      <c r="ERV1" s="65" t="s">
        <v>4215</v>
      </c>
      <c r="ERW1" s="65" t="s">
        <v>4216</v>
      </c>
      <c r="ERX1" s="65" t="s">
        <v>4217</v>
      </c>
      <c r="ERY1" s="65" t="s">
        <v>4218</v>
      </c>
      <c r="ERZ1" s="65" t="s">
        <v>4219</v>
      </c>
      <c r="ESA1" s="65" t="s">
        <v>4220</v>
      </c>
      <c r="ESB1" s="65" t="s">
        <v>4221</v>
      </c>
      <c r="ESC1" s="65" t="s">
        <v>4222</v>
      </c>
      <c r="ESD1" s="65" t="s">
        <v>4223</v>
      </c>
      <c r="ESE1" s="65" t="s">
        <v>4224</v>
      </c>
      <c r="ESF1" s="65" t="s">
        <v>4225</v>
      </c>
      <c r="ESG1" s="65" t="s">
        <v>4226</v>
      </c>
      <c r="ESH1" s="65" t="s">
        <v>4227</v>
      </c>
      <c r="ESI1" s="65" t="s">
        <v>4228</v>
      </c>
      <c r="ESJ1" s="65" t="s">
        <v>4229</v>
      </c>
      <c r="ESK1" s="65" t="s">
        <v>4230</v>
      </c>
      <c r="ESL1" s="65" t="s">
        <v>4231</v>
      </c>
      <c r="ESM1" s="65" t="s">
        <v>4232</v>
      </c>
      <c r="ESN1" s="65" t="s">
        <v>4233</v>
      </c>
      <c r="ESO1" s="65" t="s">
        <v>4234</v>
      </c>
      <c r="ESP1" s="65" t="s">
        <v>4235</v>
      </c>
      <c r="ESQ1" s="65" t="s">
        <v>4236</v>
      </c>
      <c r="ESR1" s="65" t="s">
        <v>4237</v>
      </c>
      <c r="ESS1" s="65" t="s">
        <v>4238</v>
      </c>
      <c r="EST1" s="65" t="s">
        <v>4239</v>
      </c>
      <c r="ESU1" s="65" t="s">
        <v>4240</v>
      </c>
      <c r="ESV1" s="65" t="s">
        <v>4241</v>
      </c>
      <c r="ESW1" s="65" t="s">
        <v>4242</v>
      </c>
      <c r="ESX1" s="65" t="s">
        <v>4243</v>
      </c>
      <c r="ESY1" s="65" t="s">
        <v>4244</v>
      </c>
      <c r="ESZ1" s="65" t="s">
        <v>4245</v>
      </c>
      <c r="ETA1" s="65" t="s">
        <v>4246</v>
      </c>
      <c r="ETB1" s="65" t="s">
        <v>4247</v>
      </c>
      <c r="ETC1" s="65" t="s">
        <v>4248</v>
      </c>
      <c r="ETD1" s="65" t="s">
        <v>4249</v>
      </c>
      <c r="ETE1" s="65" t="s">
        <v>4250</v>
      </c>
      <c r="ETF1" s="65" t="s">
        <v>4251</v>
      </c>
      <c r="ETG1" s="65" t="s">
        <v>4252</v>
      </c>
      <c r="ETH1" s="65" t="s">
        <v>4253</v>
      </c>
      <c r="ETI1" s="65" t="s">
        <v>4254</v>
      </c>
      <c r="ETJ1" s="65" t="s">
        <v>4255</v>
      </c>
      <c r="ETK1" s="65" t="s">
        <v>4256</v>
      </c>
      <c r="ETL1" s="65" t="s">
        <v>4257</v>
      </c>
      <c r="ETM1" s="65" t="s">
        <v>4258</v>
      </c>
      <c r="ETN1" s="65" t="s">
        <v>4259</v>
      </c>
      <c r="ETO1" s="65" t="s">
        <v>4260</v>
      </c>
      <c r="ETP1" s="65" t="s">
        <v>4261</v>
      </c>
      <c r="ETQ1" s="65" t="s">
        <v>4262</v>
      </c>
      <c r="ETR1" s="65" t="s">
        <v>4263</v>
      </c>
      <c r="ETS1" s="65" t="s">
        <v>4264</v>
      </c>
      <c r="ETT1" s="65" t="s">
        <v>4265</v>
      </c>
      <c r="ETU1" s="65" t="s">
        <v>4266</v>
      </c>
      <c r="ETV1" s="65" t="s">
        <v>4267</v>
      </c>
      <c r="ETW1" s="65" t="s">
        <v>4268</v>
      </c>
      <c r="ETX1" s="65" t="s">
        <v>4269</v>
      </c>
      <c r="ETY1" s="65" t="s">
        <v>4270</v>
      </c>
      <c r="ETZ1" s="65" t="s">
        <v>4271</v>
      </c>
      <c r="EUA1" s="65" t="s">
        <v>4272</v>
      </c>
      <c r="EUB1" s="65" t="s">
        <v>4273</v>
      </c>
      <c r="EUC1" s="65" t="s">
        <v>4274</v>
      </c>
      <c r="EUD1" s="65" t="s">
        <v>4275</v>
      </c>
      <c r="EUE1" s="65" t="s">
        <v>4276</v>
      </c>
      <c r="EUF1" s="65" t="s">
        <v>4277</v>
      </c>
      <c r="EUG1" s="65" t="s">
        <v>4278</v>
      </c>
      <c r="EUH1" s="65" t="s">
        <v>4279</v>
      </c>
      <c r="EUI1" s="65" t="s">
        <v>4280</v>
      </c>
      <c r="EUJ1" s="65" t="s">
        <v>4281</v>
      </c>
      <c r="EUK1" s="65" t="s">
        <v>4282</v>
      </c>
      <c r="EUL1" s="65" t="s">
        <v>4283</v>
      </c>
      <c r="EUM1" s="65" t="s">
        <v>4284</v>
      </c>
      <c r="EUN1" s="65" t="s">
        <v>4285</v>
      </c>
      <c r="EUO1" s="65" t="s">
        <v>4286</v>
      </c>
      <c r="EUP1" s="65" t="s">
        <v>4287</v>
      </c>
      <c r="EUQ1" s="65" t="s">
        <v>4288</v>
      </c>
      <c r="EUR1" s="65" t="s">
        <v>4289</v>
      </c>
      <c r="EUS1" s="65" t="s">
        <v>4290</v>
      </c>
      <c r="EUT1" s="65" t="s">
        <v>4291</v>
      </c>
      <c r="EUU1" s="65" t="s">
        <v>4292</v>
      </c>
      <c r="EUV1" s="65" t="s">
        <v>4293</v>
      </c>
      <c r="EUW1" s="65" t="s">
        <v>4294</v>
      </c>
      <c r="EUX1" s="65" t="s">
        <v>4295</v>
      </c>
      <c r="EUY1" s="65" t="s">
        <v>4296</v>
      </c>
      <c r="EUZ1" s="65" t="s">
        <v>4297</v>
      </c>
      <c r="EVA1" s="65" t="s">
        <v>4298</v>
      </c>
      <c r="EVB1" s="65" t="s">
        <v>4299</v>
      </c>
      <c r="EVC1" s="65" t="s">
        <v>4300</v>
      </c>
      <c r="EVD1" s="65" t="s">
        <v>4301</v>
      </c>
      <c r="EVE1" s="65" t="s">
        <v>4302</v>
      </c>
      <c r="EVF1" s="65" t="s">
        <v>4303</v>
      </c>
      <c r="EVG1" s="65" t="s">
        <v>4304</v>
      </c>
      <c r="EVH1" s="65" t="s">
        <v>4305</v>
      </c>
      <c r="EVI1" s="65" t="s">
        <v>4306</v>
      </c>
      <c r="EVJ1" s="65" t="s">
        <v>4307</v>
      </c>
      <c r="EVK1" s="65" t="s">
        <v>4308</v>
      </c>
      <c r="EVL1" s="65" t="s">
        <v>4309</v>
      </c>
      <c r="EVM1" s="65" t="s">
        <v>4310</v>
      </c>
      <c r="EVN1" s="65" t="s">
        <v>4311</v>
      </c>
      <c r="EVO1" s="65" t="s">
        <v>4312</v>
      </c>
      <c r="EVP1" s="65" t="s">
        <v>4313</v>
      </c>
      <c r="EVQ1" s="65" t="s">
        <v>4314</v>
      </c>
      <c r="EVR1" s="65" t="s">
        <v>4315</v>
      </c>
      <c r="EVS1" s="65" t="s">
        <v>4316</v>
      </c>
      <c r="EVT1" s="65" t="s">
        <v>4317</v>
      </c>
      <c r="EVU1" s="65" t="s">
        <v>4318</v>
      </c>
      <c r="EVV1" s="65" t="s">
        <v>4319</v>
      </c>
      <c r="EVW1" s="65" t="s">
        <v>4320</v>
      </c>
      <c r="EVX1" s="65" t="s">
        <v>4321</v>
      </c>
      <c r="EVY1" s="65" t="s">
        <v>4322</v>
      </c>
      <c r="EVZ1" s="65" t="s">
        <v>4323</v>
      </c>
      <c r="EWA1" s="65" t="s">
        <v>4324</v>
      </c>
      <c r="EWB1" s="65" t="s">
        <v>4325</v>
      </c>
      <c r="EWC1" s="65" t="s">
        <v>4326</v>
      </c>
      <c r="EWD1" s="65" t="s">
        <v>4327</v>
      </c>
      <c r="EWE1" s="65" t="s">
        <v>4328</v>
      </c>
      <c r="EWF1" s="65" t="s">
        <v>4329</v>
      </c>
      <c r="EWG1" s="65" t="s">
        <v>4330</v>
      </c>
      <c r="EWH1" s="65" t="s">
        <v>4331</v>
      </c>
      <c r="EWI1" s="65" t="s">
        <v>4332</v>
      </c>
      <c r="EWJ1" s="65" t="s">
        <v>4333</v>
      </c>
      <c r="EWK1" s="65" t="s">
        <v>4334</v>
      </c>
      <c r="EWL1" s="65" t="s">
        <v>4335</v>
      </c>
      <c r="EWM1" s="65" t="s">
        <v>4336</v>
      </c>
      <c r="EWN1" s="65" t="s">
        <v>4337</v>
      </c>
      <c r="EWO1" s="65" t="s">
        <v>4338</v>
      </c>
      <c r="EWP1" s="65" t="s">
        <v>4339</v>
      </c>
      <c r="EWQ1" s="65" t="s">
        <v>4340</v>
      </c>
      <c r="EWR1" s="65" t="s">
        <v>4341</v>
      </c>
      <c r="EWS1" s="65" t="s">
        <v>4342</v>
      </c>
      <c r="EWT1" s="65" t="s">
        <v>4343</v>
      </c>
      <c r="EWU1" s="65" t="s">
        <v>4344</v>
      </c>
      <c r="EWV1" s="65" t="s">
        <v>4345</v>
      </c>
      <c r="EWW1" s="65" t="s">
        <v>4346</v>
      </c>
      <c r="EWX1" s="65" t="s">
        <v>4347</v>
      </c>
      <c r="EWY1" s="65" t="s">
        <v>4348</v>
      </c>
      <c r="EWZ1" s="65" t="s">
        <v>4349</v>
      </c>
      <c r="EXA1" s="65" t="s">
        <v>4350</v>
      </c>
      <c r="EXB1" s="65" t="s">
        <v>4351</v>
      </c>
      <c r="EXC1" s="65" t="s">
        <v>4352</v>
      </c>
      <c r="EXD1" s="65" t="s">
        <v>4353</v>
      </c>
      <c r="EXE1" s="65" t="s">
        <v>4354</v>
      </c>
      <c r="EXF1" s="65" t="s">
        <v>4355</v>
      </c>
      <c r="EXG1" s="65" t="s">
        <v>4356</v>
      </c>
      <c r="EXH1" s="65" t="s">
        <v>4357</v>
      </c>
      <c r="EXI1" s="65" t="s">
        <v>4358</v>
      </c>
      <c r="EXJ1" s="65" t="s">
        <v>4359</v>
      </c>
      <c r="EXK1" s="65" t="s">
        <v>4360</v>
      </c>
      <c r="EXL1" s="65" t="s">
        <v>4361</v>
      </c>
      <c r="EXM1" s="65" t="s">
        <v>4362</v>
      </c>
      <c r="EXN1" s="65" t="s">
        <v>4363</v>
      </c>
      <c r="EXO1" s="65" t="s">
        <v>4364</v>
      </c>
      <c r="EXP1" s="65" t="s">
        <v>4365</v>
      </c>
      <c r="EXQ1" s="65" t="s">
        <v>4366</v>
      </c>
      <c r="EXR1" s="65" t="s">
        <v>4367</v>
      </c>
      <c r="EXS1" s="65" t="s">
        <v>4368</v>
      </c>
      <c r="EXT1" s="65" t="s">
        <v>4369</v>
      </c>
      <c r="EXU1" s="65" t="s">
        <v>4370</v>
      </c>
      <c r="EXV1" s="65" t="s">
        <v>4371</v>
      </c>
      <c r="EXW1" s="65" t="s">
        <v>4372</v>
      </c>
      <c r="EXX1" s="65" t="s">
        <v>4373</v>
      </c>
      <c r="EXY1" s="65" t="s">
        <v>4374</v>
      </c>
      <c r="EXZ1" s="65" t="s">
        <v>4375</v>
      </c>
      <c r="EYA1" s="65" t="s">
        <v>4376</v>
      </c>
      <c r="EYB1" s="65" t="s">
        <v>4377</v>
      </c>
      <c r="EYC1" s="65" t="s">
        <v>4378</v>
      </c>
      <c r="EYD1" s="65" t="s">
        <v>4379</v>
      </c>
      <c r="EYE1" s="65" t="s">
        <v>4380</v>
      </c>
      <c r="EYF1" s="65" t="s">
        <v>4381</v>
      </c>
      <c r="EYG1" s="65" t="s">
        <v>4382</v>
      </c>
      <c r="EYH1" s="65" t="s">
        <v>4383</v>
      </c>
      <c r="EYI1" s="65" t="s">
        <v>4384</v>
      </c>
      <c r="EYJ1" s="65" t="s">
        <v>4385</v>
      </c>
      <c r="EYK1" s="65" t="s">
        <v>4386</v>
      </c>
      <c r="EYL1" s="65" t="s">
        <v>4387</v>
      </c>
      <c r="EYM1" s="65" t="s">
        <v>4388</v>
      </c>
      <c r="EYN1" s="65" t="s">
        <v>4389</v>
      </c>
      <c r="EYO1" s="65" t="s">
        <v>4390</v>
      </c>
      <c r="EYP1" s="65" t="s">
        <v>4391</v>
      </c>
      <c r="EYQ1" s="65" t="s">
        <v>4392</v>
      </c>
      <c r="EYR1" s="65" t="s">
        <v>4393</v>
      </c>
      <c r="EYS1" s="65" t="s">
        <v>4394</v>
      </c>
      <c r="EYT1" s="65" t="s">
        <v>4395</v>
      </c>
      <c r="EYU1" s="65" t="s">
        <v>4396</v>
      </c>
      <c r="EYV1" s="65" t="s">
        <v>4397</v>
      </c>
      <c r="EYW1" s="65" t="s">
        <v>4398</v>
      </c>
      <c r="EYX1" s="65" t="s">
        <v>4399</v>
      </c>
      <c r="EYY1" s="65" t="s">
        <v>4400</v>
      </c>
      <c r="EYZ1" s="65" t="s">
        <v>4401</v>
      </c>
      <c r="EZA1" s="65" t="s">
        <v>4402</v>
      </c>
      <c r="EZB1" s="65" t="s">
        <v>4403</v>
      </c>
      <c r="EZC1" s="65" t="s">
        <v>4404</v>
      </c>
      <c r="EZD1" s="65" t="s">
        <v>4405</v>
      </c>
      <c r="EZE1" s="65" t="s">
        <v>4406</v>
      </c>
      <c r="EZF1" s="65" t="s">
        <v>4407</v>
      </c>
      <c r="EZG1" s="65" t="s">
        <v>4408</v>
      </c>
      <c r="EZH1" s="65" t="s">
        <v>4409</v>
      </c>
      <c r="EZI1" s="65" t="s">
        <v>4410</v>
      </c>
      <c r="EZJ1" s="65" t="s">
        <v>4411</v>
      </c>
      <c r="EZK1" s="65" t="s">
        <v>4412</v>
      </c>
      <c r="EZL1" s="65" t="s">
        <v>4413</v>
      </c>
      <c r="EZM1" s="65" t="s">
        <v>4414</v>
      </c>
      <c r="EZN1" s="65" t="s">
        <v>4415</v>
      </c>
      <c r="EZO1" s="65" t="s">
        <v>4416</v>
      </c>
      <c r="EZP1" s="65" t="s">
        <v>4417</v>
      </c>
      <c r="EZQ1" s="65" t="s">
        <v>4418</v>
      </c>
      <c r="EZR1" s="65" t="s">
        <v>4419</v>
      </c>
      <c r="EZS1" s="65" t="s">
        <v>4420</v>
      </c>
      <c r="EZT1" s="65" t="s">
        <v>4421</v>
      </c>
      <c r="EZU1" s="65" t="s">
        <v>4422</v>
      </c>
      <c r="EZV1" s="65" t="s">
        <v>4423</v>
      </c>
      <c r="EZW1" s="65" t="s">
        <v>4424</v>
      </c>
      <c r="EZX1" s="65" t="s">
        <v>4425</v>
      </c>
      <c r="EZY1" s="65" t="s">
        <v>4426</v>
      </c>
      <c r="EZZ1" s="65" t="s">
        <v>4427</v>
      </c>
      <c r="FAA1" s="65" t="s">
        <v>4428</v>
      </c>
      <c r="FAB1" s="65" t="s">
        <v>4429</v>
      </c>
      <c r="FAC1" s="65" t="s">
        <v>4430</v>
      </c>
      <c r="FAD1" s="65" t="s">
        <v>4431</v>
      </c>
      <c r="FAE1" s="65" t="s">
        <v>4432</v>
      </c>
      <c r="FAF1" s="65" t="s">
        <v>4433</v>
      </c>
      <c r="FAG1" s="65" t="s">
        <v>4434</v>
      </c>
      <c r="FAH1" s="65" t="s">
        <v>4435</v>
      </c>
      <c r="FAI1" s="65" t="s">
        <v>4436</v>
      </c>
      <c r="FAJ1" s="65" t="s">
        <v>4437</v>
      </c>
      <c r="FAK1" s="65" t="s">
        <v>4438</v>
      </c>
      <c r="FAL1" s="65" t="s">
        <v>4439</v>
      </c>
      <c r="FAM1" s="65" t="s">
        <v>4440</v>
      </c>
      <c r="FAN1" s="65" t="s">
        <v>4441</v>
      </c>
      <c r="FAO1" s="65" t="s">
        <v>4442</v>
      </c>
      <c r="FAP1" s="65" t="s">
        <v>4443</v>
      </c>
      <c r="FAQ1" s="65" t="s">
        <v>4444</v>
      </c>
      <c r="FAR1" s="65" t="s">
        <v>4445</v>
      </c>
      <c r="FAS1" s="65" t="s">
        <v>4446</v>
      </c>
      <c r="FAT1" s="65" t="s">
        <v>4447</v>
      </c>
      <c r="FAU1" s="65" t="s">
        <v>4448</v>
      </c>
      <c r="FAV1" s="65" t="s">
        <v>4449</v>
      </c>
      <c r="FAW1" s="65" t="s">
        <v>4450</v>
      </c>
      <c r="FAX1" s="65" t="s">
        <v>4451</v>
      </c>
      <c r="FAY1" s="65" t="s">
        <v>4452</v>
      </c>
      <c r="FAZ1" s="65" t="s">
        <v>4453</v>
      </c>
      <c r="FBA1" s="65" t="s">
        <v>4454</v>
      </c>
      <c r="FBB1" s="65" t="s">
        <v>4455</v>
      </c>
      <c r="FBC1" s="65" t="s">
        <v>4456</v>
      </c>
      <c r="FBD1" s="65" t="s">
        <v>4457</v>
      </c>
      <c r="FBE1" s="65" t="s">
        <v>4458</v>
      </c>
      <c r="FBF1" s="65" t="s">
        <v>4459</v>
      </c>
      <c r="FBG1" s="65" t="s">
        <v>4460</v>
      </c>
      <c r="FBH1" s="65" t="s">
        <v>4461</v>
      </c>
      <c r="FBI1" s="65" t="s">
        <v>4462</v>
      </c>
      <c r="FBJ1" s="65" t="s">
        <v>4463</v>
      </c>
      <c r="FBK1" s="65" t="s">
        <v>4464</v>
      </c>
      <c r="FBL1" s="65" t="s">
        <v>4465</v>
      </c>
      <c r="FBM1" s="65" t="s">
        <v>4466</v>
      </c>
      <c r="FBN1" s="65" t="s">
        <v>4467</v>
      </c>
      <c r="FBO1" s="65" t="s">
        <v>4468</v>
      </c>
      <c r="FBP1" s="65" t="s">
        <v>4469</v>
      </c>
      <c r="FBQ1" s="65" t="s">
        <v>4470</v>
      </c>
      <c r="FBR1" s="65" t="s">
        <v>4471</v>
      </c>
      <c r="FBS1" s="65" t="s">
        <v>4472</v>
      </c>
      <c r="FBT1" s="65" t="s">
        <v>4473</v>
      </c>
      <c r="FBU1" s="65" t="s">
        <v>4474</v>
      </c>
      <c r="FBV1" s="65" t="s">
        <v>4475</v>
      </c>
      <c r="FBW1" s="65" t="s">
        <v>4476</v>
      </c>
      <c r="FBX1" s="65" t="s">
        <v>4477</v>
      </c>
      <c r="FBY1" s="65" t="s">
        <v>4478</v>
      </c>
      <c r="FBZ1" s="65" t="s">
        <v>4479</v>
      </c>
      <c r="FCA1" s="65" t="s">
        <v>4480</v>
      </c>
      <c r="FCB1" s="65" t="s">
        <v>4481</v>
      </c>
      <c r="FCC1" s="65" t="s">
        <v>4482</v>
      </c>
      <c r="FCD1" s="65" t="s">
        <v>4483</v>
      </c>
      <c r="FCE1" s="65" t="s">
        <v>4484</v>
      </c>
      <c r="FCF1" s="65" t="s">
        <v>4485</v>
      </c>
      <c r="FCG1" s="65" t="s">
        <v>4486</v>
      </c>
      <c r="FCH1" s="65" t="s">
        <v>4487</v>
      </c>
      <c r="FCI1" s="65" t="s">
        <v>4488</v>
      </c>
      <c r="FCJ1" s="65" t="s">
        <v>4489</v>
      </c>
      <c r="FCK1" s="65" t="s">
        <v>4490</v>
      </c>
      <c r="FCL1" s="65" t="s">
        <v>4491</v>
      </c>
      <c r="FCM1" s="65" t="s">
        <v>4492</v>
      </c>
      <c r="FCN1" s="65" t="s">
        <v>4493</v>
      </c>
      <c r="FCO1" s="65" t="s">
        <v>4494</v>
      </c>
      <c r="FCP1" s="65" t="s">
        <v>4495</v>
      </c>
      <c r="FCQ1" s="65" t="s">
        <v>4496</v>
      </c>
      <c r="FCR1" s="65" t="s">
        <v>4497</v>
      </c>
      <c r="FCS1" s="65" t="s">
        <v>4498</v>
      </c>
      <c r="FCT1" s="65" t="s">
        <v>4499</v>
      </c>
      <c r="FCU1" s="65" t="s">
        <v>4500</v>
      </c>
      <c r="FCV1" s="65" t="s">
        <v>4501</v>
      </c>
      <c r="FCW1" s="65" t="s">
        <v>4502</v>
      </c>
      <c r="FCX1" s="65" t="s">
        <v>4503</v>
      </c>
      <c r="FCY1" s="65" t="s">
        <v>4504</v>
      </c>
      <c r="FCZ1" s="65" t="s">
        <v>4505</v>
      </c>
      <c r="FDA1" s="65" t="s">
        <v>4506</v>
      </c>
      <c r="FDB1" s="65" t="s">
        <v>4507</v>
      </c>
      <c r="FDC1" s="65" t="s">
        <v>4508</v>
      </c>
      <c r="FDD1" s="65" t="s">
        <v>4509</v>
      </c>
      <c r="FDE1" s="65" t="s">
        <v>4510</v>
      </c>
      <c r="FDF1" s="65" t="s">
        <v>4511</v>
      </c>
      <c r="FDG1" s="65" t="s">
        <v>4512</v>
      </c>
      <c r="FDH1" s="65" t="s">
        <v>4513</v>
      </c>
      <c r="FDI1" s="65" t="s">
        <v>4514</v>
      </c>
      <c r="FDJ1" s="65" t="s">
        <v>4515</v>
      </c>
      <c r="FDK1" s="65" t="s">
        <v>4516</v>
      </c>
      <c r="FDL1" s="65" t="s">
        <v>4517</v>
      </c>
      <c r="FDM1" s="65" t="s">
        <v>4518</v>
      </c>
      <c r="FDN1" s="65" t="s">
        <v>4519</v>
      </c>
      <c r="FDO1" s="65" t="s">
        <v>4520</v>
      </c>
      <c r="FDP1" s="65" t="s">
        <v>4521</v>
      </c>
      <c r="FDQ1" s="65" t="s">
        <v>4522</v>
      </c>
      <c r="FDR1" s="65" t="s">
        <v>4523</v>
      </c>
      <c r="FDS1" s="65" t="s">
        <v>4524</v>
      </c>
      <c r="FDT1" s="65" t="s">
        <v>4525</v>
      </c>
      <c r="FDU1" s="65" t="s">
        <v>4526</v>
      </c>
      <c r="FDV1" s="65" t="s">
        <v>4527</v>
      </c>
      <c r="FDW1" s="65" t="s">
        <v>4528</v>
      </c>
      <c r="FDX1" s="65" t="s">
        <v>4529</v>
      </c>
      <c r="FDY1" s="65" t="s">
        <v>4530</v>
      </c>
      <c r="FDZ1" s="65" t="s">
        <v>4531</v>
      </c>
      <c r="FEA1" s="65" t="s">
        <v>4532</v>
      </c>
      <c r="FEB1" s="65" t="s">
        <v>4533</v>
      </c>
      <c r="FEC1" s="65" t="s">
        <v>4534</v>
      </c>
      <c r="FED1" s="65" t="s">
        <v>4535</v>
      </c>
      <c r="FEE1" s="65" t="s">
        <v>4536</v>
      </c>
      <c r="FEF1" s="65" t="s">
        <v>4537</v>
      </c>
      <c r="FEG1" s="65" t="s">
        <v>4538</v>
      </c>
      <c r="FEH1" s="65" t="s">
        <v>4539</v>
      </c>
      <c r="FEI1" s="65" t="s">
        <v>4540</v>
      </c>
      <c r="FEJ1" s="65" t="s">
        <v>4541</v>
      </c>
      <c r="FEK1" s="65" t="s">
        <v>4542</v>
      </c>
      <c r="FEL1" s="65" t="s">
        <v>4543</v>
      </c>
      <c r="FEM1" s="65" t="s">
        <v>4544</v>
      </c>
      <c r="FEN1" s="65" t="s">
        <v>4545</v>
      </c>
      <c r="FEO1" s="65" t="s">
        <v>4546</v>
      </c>
      <c r="FEP1" s="65" t="s">
        <v>4547</v>
      </c>
      <c r="FEQ1" s="65" t="s">
        <v>4548</v>
      </c>
      <c r="FER1" s="65" t="s">
        <v>4549</v>
      </c>
      <c r="FES1" s="65" t="s">
        <v>4550</v>
      </c>
      <c r="FET1" s="65" t="s">
        <v>4551</v>
      </c>
      <c r="FEU1" s="65" t="s">
        <v>4552</v>
      </c>
      <c r="FEV1" s="65" t="s">
        <v>4553</v>
      </c>
      <c r="FEW1" s="65" t="s">
        <v>4554</v>
      </c>
      <c r="FEX1" s="65" t="s">
        <v>4555</v>
      </c>
      <c r="FEY1" s="65" t="s">
        <v>4556</v>
      </c>
      <c r="FEZ1" s="65" t="s">
        <v>4557</v>
      </c>
      <c r="FFA1" s="65" t="s">
        <v>4558</v>
      </c>
      <c r="FFB1" s="65" t="s">
        <v>4559</v>
      </c>
      <c r="FFC1" s="65" t="s">
        <v>4560</v>
      </c>
      <c r="FFD1" s="65" t="s">
        <v>4561</v>
      </c>
      <c r="FFE1" s="65" t="s">
        <v>4562</v>
      </c>
      <c r="FFF1" s="65" t="s">
        <v>4563</v>
      </c>
      <c r="FFG1" s="65" t="s">
        <v>4564</v>
      </c>
      <c r="FFH1" s="65" t="s">
        <v>4565</v>
      </c>
      <c r="FFI1" s="65" t="s">
        <v>4566</v>
      </c>
      <c r="FFJ1" s="65" t="s">
        <v>4567</v>
      </c>
      <c r="FFK1" s="65" t="s">
        <v>4568</v>
      </c>
      <c r="FFL1" s="65" t="s">
        <v>4569</v>
      </c>
      <c r="FFM1" s="65" t="s">
        <v>4570</v>
      </c>
      <c r="FFN1" s="65" t="s">
        <v>4571</v>
      </c>
      <c r="FFO1" s="65" t="s">
        <v>4572</v>
      </c>
      <c r="FFP1" s="65" t="s">
        <v>4573</v>
      </c>
      <c r="FFQ1" s="65" t="s">
        <v>4574</v>
      </c>
      <c r="FFR1" s="65" t="s">
        <v>4575</v>
      </c>
      <c r="FFS1" s="65" t="s">
        <v>4576</v>
      </c>
      <c r="FFT1" s="65" t="s">
        <v>4577</v>
      </c>
      <c r="FFU1" s="65" t="s">
        <v>4578</v>
      </c>
      <c r="FFV1" s="65" t="s">
        <v>4579</v>
      </c>
      <c r="FFW1" s="65" t="s">
        <v>4580</v>
      </c>
      <c r="FFX1" s="65" t="s">
        <v>4581</v>
      </c>
      <c r="FFY1" s="65" t="s">
        <v>4582</v>
      </c>
      <c r="FFZ1" s="65" t="s">
        <v>4583</v>
      </c>
      <c r="FGA1" s="65" t="s">
        <v>4584</v>
      </c>
      <c r="FGB1" s="65" t="s">
        <v>4585</v>
      </c>
      <c r="FGC1" s="65" t="s">
        <v>4586</v>
      </c>
      <c r="FGD1" s="65" t="s">
        <v>4587</v>
      </c>
      <c r="FGE1" s="65" t="s">
        <v>4588</v>
      </c>
      <c r="FGF1" s="65" t="s">
        <v>4589</v>
      </c>
      <c r="FGG1" s="65" t="s">
        <v>4590</v>
      </c>
      <c r="FGH1" s="65" t="s">
        <v>4591</v>
      </c>
      <c r="FGI1" s="65" t="s">
        <v>4592</v>
      </c>
      <c r="FGJ1" s="65" t="s">
        <v>4593</v>
      </c>
      <c r="FGK1" s="65" t="s">
        <v>4594</v>
      </c>
      <c r="FGL1" s="65" t="s">
        <v>4595</v>
      </c>
      <c r="FGM1" s="65" t="s">
        <v>4596</v>
      </c>
      <c r="FGN1" s="65" t="s">
        <v>4597</v>
      </c>
      <c r="FGO1" s="65" t="s">
        <v>4598</v>
      </c>
      <c r="FGP1" s="65" t="s">
        <v>4599</v>
      </c>
      <c r="FGQ1" s="65" t="s">
        <v>4600</v>
      </c>
      <c r="FGR1" s="65" t="s">
        <v>4601</v>
      </c>
      <c r="FGS1" s="65" t="s">
        <v>4602</v>
      </c>
      <c r="FGT1" s="65" t="s">
        <v>4603</v>
      </c>
      <c r="FGU1" s="65" t="s">
        <v>4604</v>
      </c>
      <c r="FGV1" s="65" t="s">
        <v>4605</v>
      </c>
      <c r="FGW1" s="65" t="s">
        <v>4606</v>
      </c>
      <c r="FGX1" s="65" t="s">
        <v>4607</v>
      </c>
      <c r="FGY1" s="65" t="s">
        <v>4608</v>
      </c>
      <c r="FGZ1" s="65" t="s">
        <v>4609</v>
      </c>
      <c r="FHA1" s="65" t="s">
        <v>4610</v>
      </c>
      <c r="FHB1" s="65" t="s">
        <v>4611</v>
      </c>
      <c r="FHC1" s="65" t="s">
        <v>4612</v>
      </c>
      <c r="FHD1" s="65" t="s">
        <v>4613</v>
      </c>
      <c r="FHE1" s="65" t="s">
        <v>4614</v>
      </c>
      <c r="FHF1" s="65" t="s">
        <v>4615</v>
      </c>
      <c r="FHG1" s="65" t="s">
        <v>4616</v>
      </c>
      <c r="FHH1" s="65" t="s">
        <v>4617</v>
      </c>
      <c r="FHI1" s="65" t="s">
        <v>4618</v>
      </c>
      <c r="FHJ1" s="65" t="s">
        <v>4619</v>
      </c>
      <c r="FHK1" s="65" t="s">
        <v>4620</v>
      </c>
      <c r="FHL1" s="65" t="s">
        <v>4621</v>
      </c>
      <c r="FHM1" s="65" t="s">
        <v>4622</v>
      </c>
      <c r="FHN1" s="65" t="s">
        <v>4623</v>
      </c>
      <c r="FHO1" s="65" t="s">
        <v>4624</v>
      </c>
      <c r="FHP1" s="65" t="s">
        <v>4625</v>
      </c>
      <c r="FHQ1" s="65" t="s">
        <v>4626</v>
      </c>
      <c r="FHR1" s="65" t="s">
        <v>4627</v>
      </c>
      <c r="FHS1" s="65" t="s">
        <v>4628</v>
      </c>
      <c r="FHT1" s="65" t="s">
        <v>4629</v>
      </c>
      <c r="FHU1" s="65" t="s">
        <v>4630</v>
      </c>
      <c r="FHV1" s="65" t="s">
        <v>4631</v>
      </c>
      <c r="FHW1" s="65" t="s">
        <v>4632</v>
      </c>
      <c r="FHX1" s="65" t="s">
        <v>4633</v>
      </c>
      <c r="FHY1" s="65" t="s">
        <v>4634</v>
      </c>
      <c r="FHZ1" s="65" t="s">
        <v>4635</v>
      </c>
      <c r="FIA1" s="65" t="s">
        <v>4636</v>
      </c>
      <c r="FIB1" s="65" t="s">
        <v>4637</v>
      </c>
      <c r="FIC1" s="65" t="s">
        <v>4638</v>
      </c>
      <c r="FID1" s="65" t="s">
        <v>4639</v>
      </c>
      <c r="FIE1" s="65" t="s">
        <v>4640</v>
      </c>
      <c r="FIF1" s="65" t="s">
        <v>4641</v>
      </c>
      <c r="FIG1" s="65" t="s">
        <v>4642</v>
      </c>
      <c r="FIH1" s="65" t="s">
        <v>4643</v>
      </c>
      <c r="FII1" s="65" t="s">
        <v>4644</v>
      </c>
      <c r="FIJ1" s="65" t="s">
        <v>4645</v>
      </c>
      <c r="FIK1" s="65" t="s">
        <v>4646</v>
      </c>
      <c r="FIL1" s="65" t="s">
        <v>4647</v>
      </c>
      <c r="FIM1" s="65" t="s">
        <v>4648</v>
      </c>
      <c r="FIN1" s="65" t="s">
        <v>4649</v>
      </c>
      <c r="FIO1" s="65" t="s">
        <v>4650</v>
      </c>
      <c r="FIP1" s="65" t="s">
        <v>4651</v>
      </c>
      <c r="FIQ1" s="65" t="s">
        <v>4652</v>
      </c>
      <c r="FIR1" s="65" t="s">
        <v>4653</v>
      </c>
      <c r="FIS1" s="65" t="s">
        <v>4654</v>
      </c>
      <c r="FIT1" s="65" t="s">
        <v>4655</v>
      </c>
      <c r="FIU1" s="65" t="s">
        <v>4656</v>
      </c>
      <c r="FIV1" s="65" t="s">
        <v>4657</v>
      </c>
      <c r="FIW1" s="65" t="s">
        <v>4658</v>
      </c>
      <c r="FIX1" s="65" t="s">
        <v>4659</v>
      </c>
      <c r="FIY1" s="65" t="s">
        <v>4660</v>
      </c>
      <c r="FIZ1" s="65" t="s">
        <v>4661</v>
      </c>
      <c r="FJA1" s="65" t="s">
        <v>4662</v>
      </c>
      <c r="FJB1" s="65" t="s">
        <v>4663</v>
      </c>
      <c r="FJC1" s="65" t="s">
        <v>4664</v>
      </c>
      <c r="FJD1" s="65" t="s">
        <v>4665</v>
      </c>
      <c r="FJE1" s="65" t="s">
        <v>4666</v>
      </c>
      <c r="FJF1" s="65" t="s">
        <v>4667</v>
      </c>
      <c r="FJG1" s="65" t="s">
        <v>4668</v>
      </c>
      <c r="FJH1" s="65" t="s">
        <v>4669</v>
      </c>
      <c r="FJI1" s="65" t="s">
        <v>4670</v>
      </c>
      <c r="FJJ1" s="65" t="s">
        <v>4671</v>
      </c>
      <c r="FJK1" s="65" t="s">
        <v>4672</v>
      </c>
      <c r="FJL1" s="65" t="s">
        <v>4673</v>
      </c>
      <c r="FJM1" s="65" t="s">
        <v>4674</v>
      </c>
      <c r="FJN1" s="65" t="s">
        <v>4675</v>
      </c>
      <c r="FJO1" s="65" t="s">
        <v>4676</v>
      </c>
      <c r="FJP1" s="65" t="s">
        <v>4677</v>
      </c>
      <c r="FJQ1" s="65" t="s">
        <v>4678</v>
      </c>
      <c r="FJR1" s="65" t="s">
        <v>4679</v>
      </c>
      <c r="FJS1" s="65" t="s">
        <v>4680</v>
      </c>
      <c r="FJT1" s="65" t="s">
        <v>4681</v>
      </c>
      <c r="FJU1" s="65" t="s">
        <v>4682</v>
      </c>
      <c r="FJV1" s="65" t="s">
        <v>4683</v>
      </c>
      <c r="FJW1" s="65" t="s">
        <v>4684</v>
      </c>
      <c r="FJX1" s="65" t="s">
        <v>4685</v>
      </c>
      <c r="FJY1" s="65" t="s">
        <v>4686</v>
      </c>
      <c r="FJZ1" s="65" t="s">
        <v>4687</v>
      </c>
      <c r="FKA1" s="65" t="s">
        <v>4688</v>
      </c>
      <c r="FKB1" s="65" t="s">
        <v>4689</v>
      </c>
      <c r="FKC1" s="65" t="s">
        <v>4690</v>
      </c>
      <c r="FKD1" s="65" t="s">
        <v>4691</v>
      </c>
      <c r="FKE1" s="65" t="s">
        <v>4692</v>
      </c>
      <c r="FKF1" s="65" t="s">
        <v>4693</v>
      </c>
      <c r="FKG1" s="65" t="s">
        <v>4694</v>
      </c>
      <c r="FKH1" s="65" t="s">
        <v>4695</v>
      </c>
      <c r="FKI1" s="65" t="s">
        <v>4696</v>
      </c>
      <c r="FKJ1" s="65" t="s">
        <v>4697</v>
      </c>
      <c r="FKK1" s="65" t="s">
        <v>4698</v>
      </c>
      <c r="FKL1" s="65" t="s">
        <v>4699</v>
      </c>
      <c r="FKM1" s="65" t="s">
        <v>4700</v>
      </c>
      <c r="FKN1" s="65" t="s">
        <v>4701</v>
      </c>
      <c r="FKO1" s="65" t="s">
        <v>4702</v>
      </c>
      <c r="FKP1" s="65" t="s">
        <v>4703</v>
      </c>
      <c r="FKQ1" s="65" t="s">
        <v>4704</v>
      </c>
      <c r="FKR1" s="65" t="s">
        <v>4705</v>
      </c>
      <c r="FKS1" s="65" t="s">
        <v>4706</v>
      </c>
      <c r="FKT1" s="65" t="s">
        <v>4707</v>
      </c>
      <c r="FKU1" s="65" t="s">
        <v>4708</v>
      </c>
      <c r="FKV1" s="65" t="s">
        <v>4709</v>
      </c>
      <c r="FKW1" s="65" t="s">
        <v>4710</v>
      </c>
      <c r="FKX1" s="65" t="s">
        <v>4711</v>
      </c>
      <c r="FKY1" s="65" t="s">
        <v>4712</v>
      </c>
      <c r="FKZ1" s="65" t="s">
        <v>4713</v>
      </c>
      <c r="FLA1" s="65" t="s">
        <v>4714</v>
      </c>
      <c r="FLB1" s="65" t="s">
        <v>4715</v>
      </c>
      <c r="FLC1" s="65" t="s">
        <v>4716</v>
      </c>
      <c r="FLD1" s="65" t="s">
        <v>4717</v>
      </c>
      <c r="FLE1" s="65" t="s">
        <v>4718</v>
      </c>
      <c r="FLF1" s="65" t="s">
        <v>4719</v>
      </c>
      <c r="FLG1" s="65" t="s">
        <v>4720</v>
      </c>
      <c r="FLH1" s="65" t="s">
        <v>4721</v>
      </c>
      <c r="FLI1" s="65" t="s">
        <v>4722</v>
      </c>
      <c r="FLJ1" s="65" t="s">
        <v>4723</v>
      </c>
      <c r="FLK1" s="65" t="s">
        <v>4724</v>
      </c>
      <c r="FLL1" s="65" t="s">
        <v>4725</v>
      </c>
      <c r="FLM1" s="65" t="s">
        <v>4726</v>
      </c>
      <c r="FLN1" s="65" t="s">
        <v>4727</v>
      </c>
      <c r="FLO1" s="65" t="s">
        <v>4728</v>
      </c>
      <c r="FLP1" s="65" t="s">
        <v>4729</v>
      </c>
      <c r="FLQ1" s="65" t="s">
        <v>4730</v>
      </c>
      <c r="FLR1" s="65" t="s">
        <v>4731</v>
      </c>
      <c r="FLS1" s="65" t="s">
        <v>4732</v>
      </c>
      <c r="FLT1" s="65" t="s">
        <v>4733</v>
      </c>
      <c r="FLU1" s="65" t="s">
        <v>4734</v>
      </c>
      <c r="FLV1" s="65" t="s">
        <v>4735</v>
      </c>
      <c r="FLW1" s="65" t="s">
        <v>4736</v>
      </c>
      <c r="FLX1" s="65" t="s">
        <v>4737</v>
      </c>
      <c r="FLY1" s="65" t="s">
        <v>4738</v>
      </c>
      <c r="FLZ1" s="65" t="s">
        <v>4739</v>
      </c>
      <c r="FMA1" s="65" t="s">
        <v>4740</v>
      </c>
      <c r="FMB1" s="65" t="s">
        <v>4741</v>
      </c>
      <c r="FMC1" s="65" t="s">
        <v>4742</v>
      </c>
      <c r="FMD1" s="65" t="s">
        <v>4743</v>
      </c>
      <c r="FME1" s="65" t="s">
        <v>4744</v>
      </c>
      <c r="FMF1" s="65" t="s">
        <v>4745</v>
      </c>
      <c r="FMG1" s="65" t="s">
        <v>4746</v>
      </c>
      <c r="FMH1" s="65" t="s">
        <v>4747</v>
      </c>
      <c r="FMI1" s="65" t="s">
        <v>4748</v>
      </c>
      <c r="FMJ1" s="65" t="s">
        <v>4749</v>
      </c>
      <c r="FMK1" s="65" t="s">
        <v>4750</v>
      </c>
      <c r="FML1" s="65" t="s">
        <v>4751</v>
      </c>
      <c r="FMM1" s="65" t="s">
        <v>4752</v>
      </c>
      <c r="FMN1" s="65" t="s">
        <v>4753</v>
      </c>
      <c r="FMO1" s="65" t="s">
        <v>4754</v>
      </c>
      <c r="FMP1" s="65" t="s">
        <v>4755</v>
      </c>
      <c r="FMQ1" s="65" t="s">
        <v>4756</v>
      </c>
      <c r="FMR1" s="65" t="s">
        <v>4757</v>
      </c>
      <c r="FMS1" s="65" t="s">
        <v>4758</v>
      </c>
      <c r="FMT1" s="65" t="s">
        <v>4759</v>
      </c>
      <c r="FMU1" s="65" t="s">
        <v>4760</v>
      </c>
      <c r="FMV1" s="65" t="s">
        <v>4761</v>
      </c>
      <c r="FMW1" s="65" t="s">
        <v>4762</v>
      </c>
      <c r="FMX1" s="65" t="s">
        <v>4763</v>
      </c>
      <c r="FMY1" s="65" t="s">
        <v>4764</v>
      </c>
      <c r="FMZ1" s="65" t="s">
        <v>4765</v>
      </c>
      <c r="FNA1" s="65" t="s">
        <v>4766</v>
      </c>
      <c r="FNB1" s="65" t="s">
        <v>4767</v>
      </c>
      <c r="FNC1" s="65" t="s">
        <v>4768</v>
      </c>
      <c r="FND1" s="65" t="s">
        <v>4769</v>
      </c>
      <c r="FNE1" s="65" t="s">
        <v>4770</v>
      </c>
      <c r="FNF1" s="65" t="s">
        <v>4771</v>
      </c>
      <c r="FNG1" s="65" t="s">
        <v>4772</v>
      </c>
      <c r="FNH1" s="65" t="s">
        <v>4773</v>
      </c>
      <c r="FNI1" s="65" t="s">
        <v>4774</v>
      </c>
      <c r="FNJ1" s="65" t="s">
        <v>4775</v>
      </c>
      <c r="FNK1" s="65" t="s">
        <v>4776</v>
      </c>
      <c r="FNL1" s="65" t="s">
        <v>4777</v>
      </c>
      <c r="FNM1" s="65" t="s">
        <v>4778</v>
      </c>
      <c r="FNN1" s="65" t="s">
        <v>4779</v>
      </c>
      <c r="FNO1" s="65" t="s">
        <v>4780</v>
      </c>
      <c r="FNP1" s="65" t="s">
        <v>4781</v>
      </c>
      <c r="FNQ1" s="65" t="s">
        <v>4782</v>
      </c>
      <c r="FNR1" s="65" t="s">
        <v>4783</v>
      </c>
      <c r="FNS1" s="65" t="s">
        <v>4784</v>
      </c>
      <c r="FNT1" s="65" t="s">
        <v>4785</v>
      </c>
      <c r="FNU1" s="65" t="s">
        <v>4786</v>
      </c>
      <c r="FNV1" s="65" t="s">
        <v>4787</v>
      </c>
      <c r="FNW1" s="65" t="s">
        <v>4788</v>
      </c>
      <c r="FNX1" s="65" t="s">
        <v>4789</v>
      </c>
      <c r="FNY1" s="65" t="s">
        <v>4790</v>
      </c>
      <c r="FNZ1" s="65" t="s">
        <v>4791</v>
      </c>
      <c r="FOA1" s="65" t="s">
        <v>4792</v>
      </c>
      <c r="FOB1" s="65" t="s">
        <v>4793</v>
      </c>
      <c r="FOC1" s="65" t="s">
        <v>4794</v>
      </c>
      <c r="FOD1" s="65" t="s">
        <v>4795</v>
      </c>
      <c r="FOE1" s="65" t="s">
        <v>4796</v>
      </c>
      <c r="FOF1" s="65" t="s">
        <v>4797</v>
      </c>
      <c r="FOG1" s="65" t="s">
        <v>4798</v>
      </c>
      <c r="FOH1" s="65" t="s">
        <v>4799</v>
      </c>
      <c r="FOI1" s="65" t="s">
        <v>4800</v>
      </c>
      <c r="FOJ1" s="65" t="s">
        <v>4801</v>
      </c>
      <c r="FOK1" s="65" t="s">
        <v>4802</v>
      </c>
      <c r="FOL1" s="65" t="s">
        <v>4803</v>
      </c>
      <c r="FOM1" s="65" t="s">
        <v>4804</v>
      </c>
      <c r="FON1" s="65" t="s">
        <v>4805</v>
      </c>
      <c r="FOO1" s="65" t="s">
        <v>4806</v>
      </c>
      <c r="FOP1" s="65" t="s">
        <v>4807</v>
      </c>
      <c r="FOQ1" s="65" t="s">
        <v>4808</v>
      </c>
      <c r="FOR1" s="65" t="s">
        <v>4809</v>
      </c>
      <c r="FOS1" s="65" t="s">
        <v>4810</v>
      </c>
      <c r="FOT1" s="65" t="s">
        <v>4811</v>
      </c>
      <c r="FOU1" s="65" t="s">
        <v>4812</v>
      </c>
      <c r="FOV1" s="65" t="s">
        <v>4813</v>
      </c>
      <c r="FOW1" s="65" t="s">
        <v>4814</v>
      </c>
      <c r="FOX1" s="65" t="s">
        <v>4815</v>
      </c>
      <c r="FOY1" s="65" t="s">
        <v>4816</v>
      </c>
      <c r="FOZ1" s="65" t="s">
        <v>4817</v>
      </c>
      <c r="FPA1" s="65" t="s">
        <v>4818</v>
      </c>
      <c r="FPB1" s="65" t="s">
        <v>4819</v>
      </c>
      <c r="FPC1" s="65" t="s">
        <v>4820</v>
      </c>
      <c r="FPD1" s="65" t="s">
        <v>4821</v>
      </c>
      <c r="FPE1" s="65" t="s">
        <v>4822</v>
      </c>
      <c r="FPF1" s="65" t="s">
        <v>4823</v>
      </c>
      <c r="FPG1" s="65" t="s">
        <v>4824</v>
      </c>
      <c r="FPH1" s="65" t="s">
        <v>4825</v>
      </c>
      <c r="FPI1" s="65" t="s">
        <v>4826</v>
      </c>
      <c r="FPJ1" s="65" t="s">
        <v>4827</v>
      </c>
      <c r="FPK1" s="65" t="s">
        <v>4828</v>
      </c>
      <c r="FPL1" s="65" t="s">
        <v>4829</v>
      </c>
      <c r="FPM1" s="65" t="s">
        <v>4830</v>
      </c>
      <c r="FPN1" s="65" t="s">
        <v>4831</v>
      </c>
      <c r="FPO1" s="65" t="s">
        <v>4832</v>
      </c>
      <c r="FPP1" s="65" t="s">
        <v>4833</v>
      </c>
      <c r="FPQ1" s="65" t="s">
        <v>4834</v>
      </c>
      <c r="FPR1" s="65" t="s">
        <v>4835</v>
      </c>
      <c r="FPS1" s="65" t="s">
        <v>4836</v>
      </c>
      <c r="FPT1" s="65" t="s">
        <v>4837</v>
      </c>
      <c r="FPU1" s="65" t="s">
        <v>4838</v>
      </c>
      <c r="FPV1" s="65" t="s">
        <v>4839</v>
      </c>
      <c r="FPW1" s="65" t="s">
        <v>4840</v>
      </c>
      <c r="FPX1" s="65" t="s">
        <v>4841</v>
      </c>
      <c r="FPY1" s="65" t="s">
        <v>4842</v>
      </c>
      <c r="FPZ1" s="65" t="s">
        <v>4843</v>
      </c>
      <c r="FQA1" s="65" t="s">
        <v>4844</v>
      </c>
      <c r="FQB1" s="65" t="s">
        <v>4845</v>
      </c>
      <c r="FQC1" s="65" t="s">
        <v>4846</v>
      </c>
      <c r="FQD1" s="65" t="s">
        <v>4847</v>
      </c>
      <c r="FQE1" s="65" t="s">
        <v>4848</v>
      </c>
      <c r="FQF1" s="65" t="s">
        <v>4849</v>
      </c>
      <c r="FQG1" s="65" t="s">
        <v>4850</v>
      </c>
      <c r="FQH1" s="65" t="s">
        <v>4851</v>
      </c>
      <c r="FQI1" s="65" t="s">
        <v>4852</v>
      </c>
      <c r="FQJ1" s="65" t="s">
        <v>4853</v>
      </c>
      <c r="FQK1" s="65" t="s">
        <v>4854</v>
      </c>
      <c r="FQL1" s="65" t="s">
        <v>4855</v>
      </c>
      <c r="FQM1" s="65" t="s">
        <v>4856</v>
      </c>
      <c r="FQN1" s="65" t="s">
        <v>4857</v>
      </c>
      <c r="FQO1" s="65" t="s">
        <v>4858</v>
      </c>
      <c r="FQP1" s="65" t="s">
        <v>4859</v>
      </c>
      <c r="FQQ1" s="65" t="s">
        <v>4860</v>
      </c>
      <c r="FQR1" s="65" t="s">
        <v>4861</v>
      </c>
      <c r="FQS1" s="65" t="s">
        <v>4862</v>
      </c>
      <c r="FQT1" s="65" t="s">
        <v>4863</v>
      </c>
      <c r="FQU1" s="65" t="s">
        <v>4864</v>
      </c>
      <c r="FQV1" s="65" t="s">
        <v>4865</v>
      </c>
      <c r="FQW1" s="65" t="s">
        <v>4866</v>
      </c>
      <c r="FQX1" s="65" t="s">
        <v>4867</v>
      </c>
      <c r="FQY1" s="65" t="s">
        <v>4868</v>
      </c>
      <c r="FQZ1" s="65" t="s">
        <v>4869</v>
      </c>
      <c r="FRA1" s="65" t="s">
        <v>4870</v>
      </c>
      <c r="FRB1" s="65" t="s">
        <v>4871</v>
      </c>
      <c r="FRC1" s="65" t="s">
        <v>4872</v>
      </c>
      <c r="FRD1" s="65" t="s">
        <v>4873</v>
      </c>
      <c r="FRE1" s="65" t="s">
        <v>4874</v>
      </c>
      <c r="FRF1" s="65" t="s">
        <v>4875</v>
      </c>
      <c r="FRG1" s="65" t="s">
        <v>4876</v>
      </c>
      <c r="FRH1" s="65" t="s">
        <v>4877</v>
      </c>
      <c r="FRI1" s="65" t="s">
        <v>4878</v>
      </c>
      <c r="FRJ1" s="65" t="s">
        <v>4879</v>
      </c>
      <c r="FRK1" s="65" t="s">
        <v>4880</v>
      </c>
      <c r="FRL1" s="65" t="s">
        <v>4881</v>
      </c>
      <c r="FRM1" s="65" t="s">
        <v>4882</v>
      </c>
      <c r="FRN1" s="65" t="s">
        <v>4883</v>
      </c>
      <c r="FRO1" s="65" t="s">
        <v>4884</v>
      </c>
      <c r="FRP1" s="65" t="s">
        <v>4885</v>
      </c>
      <c r="FRQ1" s="65" t="s">
        <v>4886</v>
      </c>
      <c r="FRR1" s="65" t="s">
        <v>4887</v>
      </c>
      <c r="FRS1" s="65" t="s">
        <v>4888</v>
      </c>
      <c r="FRT1" s="65" t="s">
        <v>4889</v>
      </c>
      <c r="FRU1" s="65" t="s">
        <v>4890</v>
      </c>
      <c r="FRV1" s="65" t="s">
        <v>4891</v>
      </c>
      <c r="FRW1" s="65" t="s">
        <v>4892</v>
      </c>
      <c r="FRX1" s="65" t="s">
        <v>4893</v>
      </c>
      <c r="FRY1" s="65" t="s">
        <v>4894</v>
      </c>
      <c r="FRZ1" s="65" t="s">
        <v>4895</v>
      </c>
      <c r="FSA1" s="65" t="s">
        <v>4896</v>
      </c>
      <c r="FSB1" s="65" t="s">
        <v>4897</v>
      </c>
      <c r="FSC1" s="65" t="s">
        <v>4898</v>
      </c>
      <c r="FSD1" s="65" t="s">
        <v>4899</v>
      </c>
      <c r="FSE1" s="65" t="s">
        <v>4900</v>
      </c>
      <c r="FSF1" s="65" t="s">
        <v>4901</v>
      </c>
      <c r="FSG1" s="65" t="s">
        <v>4902</v>
      </c>
      <c r="FSH1" s="65" t="s">
        <v>4903</v>
      </c>
      <c r="FSI1" s="65" t="s">
        <v>4904</v>
      </c>
      <c r="FSJ1" s="65" t="s">
        <v>4905</v>
      </c>
      <c r="FSK1" s="65" t="s">
        <v>4906</v>
      </c>
      <c r="FSL1" s="65" t="s">
        <v>4907</v>
      </c>
      <c r="FSM1" s="65" t="s">
        <v>4908</v>
      </c>
      <c r="FSN1" s="65" t="s">
        <v>4909</v>
      </c>
      <c r="FSO1" s="65" t="s">
        <v>4910</v>
      </c>
      <c r="FSP1" s="65" t="s">
        <v>4911</v>
      </c>
      <c r="FSQ1" s="65" t="s">
        <v>4912</v>
      </c>
      <c r="FSR1" s="65" t="s">
        <v>4913</v>
      </c>
      <c r="FSS1" s="65" t="s">
        <v>4914</v>
      </c>
      <c r="FST1" s="65" t="s">
        <v>4915</v>
      </c>
      <c r="FSU1" s="65" t="s">
        <v>4916</v>
      </c>
      <c r="FSV1" s="65" t="s">
        <v>4917</v>
      </c>
      <c r="FSW1" s="65" t="s">
        <v>4918</v>
      </c>
      <c r="FSX1" s="65" t="s">
        <v>4919</v>
      </c>
      <c r="FSY1" s="65" t="s">
        <v>4920</v>
      </c>
      <c r="FSZ1" s="65" t="s">
        <v>4921</v>
      </c>
      <c r="FTA1" s="65" t="s">
        <v>4922</v>
      </c>
      <c r="FTB1" s="65" t="s">
        <v>4923</v>
      </c>
      <c r="FTC1" s="65" t="s">
        <v>4924</v>
      </c>
      <c r="FTD1" s="65" t="s">
        <v>4925</v>
      </c>
      <c r="FTE1" s="65" t="s">
        <v>4926</v>
      </c>
      <c r="FTF1" s="65" t="s">
        <v>4927</v>
      </c>
      <c r="FTG1" s="65" t="s">
        <v>4928</v>
      </c>
      <c r="FTH1" s="65" t="s">
        <v>4929</v>
      </c>
      <c r="FTI1" s="65" t="s">
        <v>4930</v>
      </c>
      <c r="FTJ1" s="65" t="s">
        <v>4931</v>
      </c>
      <c r="FTK1" s="65" t="s">
        <v>4932</v>
      </c>
      <c r="FTL1" s="65" t="s">
        <v>4933</v>
      </c>
      <c r="FTM1" s="65" t="s">
        <v>4934</v>
      </c>
      <c r="FTN1" s="65" t="s">
        <v>4935</v>
      </c>
      <c r="FTO1" s="65" t="s">
        <v>4936</v>
      </c>
      <c r="FTP1" s="65" t="s">
        <v>4937</v>
      </c>
      <c r="FTQ1" s="65" t="s">
        <v>4938</v>
      </c>
      <c r="FTR1" s="65" t="s">
        <v>4939</v>
      </c>
      <c r="FTS1" s="65" t="s">
        <v>4940</v>
      </c>
      <c r="FTT1" s="65" t="s">
        <v>4941</v>
      </c>
      <c r="FTU1" s="65" t="s">
        <v>4942</v>
      </c>
      <c r="FTV1" s="65" t="s">
        <v>4943</v>
      </c>
      <c r="FTW1" s="65" t="s">
        <v>4944</v>
      </c>
      <c r="FTX1" s="65" t="s">
        <v>4945</v>
      </c>
      <c r="FTY1" s="65" t="s">
        <v>4946</v>
      </c>
      <c r="FTZ1" s="65" t="s">
        <v>4947</v>
      </c>
      <c r="FUA1" s="65" t="s">
        <v>4948</v>
      </c>
      <c r="FUB1" s="65" t="s">
        <v>4949</v>
      </c>
      <c r="FUC1" s="65" t="s">
        <v>4950</v>
      </c>
      <c r="FUD1" s="65" t="s">
        <v>4951</v>
      </c>
      <c r="FUE1" s="65" t="s">
        <v>4952</v>
      </c>
      <c r="FUF1" s="65" t="s">
        <v>4953</v>
      </c>
      <c r="FUG1" s="65" t="s">
        <v>4954</v>
      </c>
      <c r="FUH1" s="65" t="s">
        <v>4955</v>
      </c>
      <c r="FUI1" s="65" t="s">
        <v>4956</v>
      </c>
      <c r="FUJ1" s="65" t="s">
        <v>4957</v>
      </c>
      <c r="FUK1" s="65" t="s">
        <v>4958</v>
      </c>
      <c r="FUL1" s="65" t="s">
        <v>4959</v>
      </c>
      <c r="FUM1" s="65" t="s">
        <v>4960</v>
      </c>
      <c r="FUN1" s="65" t="s">
        <v>4961</v>
      </c>
      <c r="FUO1" s="65" t="s">
        <v>4962</v>
      </c>
      <c r="FUP1" s="65" t="s">
        <v>4963</v>
      </c>
      <c r="FUQ1" s="65" t="s">
        <v>4964</v>
      </c>
      <c r="FUR1" s="65" t="s">
        <v>4965</v>
      </c>
      <c r="FUS1" s="65" t="s">
        <v>4966</v>
      </c>
      <c r="FUT1" s="65" t="s">
        <v>4967</v>
      </c>
      <c r="FUU1" s="65" t="s">
        <v>4968</v>
      </c>
      <c r="FUV1" s="65" t="s">
        <v>4969</v>
      </c>
      <c r="FUW1" s="65" t="s">
        <v>4970</v>
      </c>
      <c r="FUX1" s="65" t="s">
        <v>4971</v>
      </c>
      <c r="FUY1" s="65" t="s">
        <v>4972</v>
      </c>
      <c r="FUZ1" s="65" t="s">
        <v>4973</v>
      </c>
      <c r="FVA1" s="65" t="s">
        <v>4974</v>
      </c>
      <c r="FVB1" s="65" t="s">
        <v>4975</v>
      </c>
      <c r="FVC1" s="65" t="s">
        <v>4976</v>
      </c>
      <c r="FVD1" s="65" t="s">
        <v>4977</v>
      </c>
      <c r="FVE1" s="65" t="s">
        <v>4978</v>
      </c>
      <c r="FVF1" s="65" t="s">
        <v>4979</v>
      </c>
      <c r="FVG1" s="65" t="s">
        <v>4980</v>
      </c>
      <c r="FVH1" s="65" t="s">
        <v>4981</v>
      </c>
      <c r="FVI1" s="65" t="s">
        <v>4982</v>
      </c>
      <c r="FVJ1" s="65" t="s">
        <v>4983</v>
      </c>
      <c r="FVK1" s="65" t="s">
        <v>4984</v>
      </c>
      <c r="FVL1" s="65" t="s">
        <v>4985</v>
      </c>
      <c r="FVM1" s="65" t="s">
        <v>4986</v>
      </c>
      <c r="FVN1" s="65" t="s">
        <v>4987</v>
      </c>
      <c r="FVO1" s="65" t="s">
        <v>4988</v>
      </c>
      <c r="FVP1" s="65" t="s">
        <v>4989</v>
      </c>
      <c r="FVQ1" s="65" t="s">
        <v>4990</v>
      </c>
      <c r="FVR1" s="65" t="s">
        <v>4991</v>
      </c>
      <c r="FVS1" s="65" t="s">
        <v>4992</v>
      </c>
      <c r="FVT1" s="65" t="s">
        <v>4993</v>
      </c>
      <c r="FVU1" s="65" t="s">
        <v>4994</v>
      </c>
      <c r="FVV1" s="65" t="s">
        <v>4995</v>
      </c>
      <c r="FVW1" s="65" t="s">
        <v>4996</v>
      </c>
      <c r="FVX1" s="65" t="s">
        <v>4997</v>
      </c>
      <c r="FVY1" s="65" t="s">
        <v>4998</v>
      </c>
      <c r="FVZ1" s="65" t="s">
        <v>4999</v>
      </c>
      <c r="FWA1" s="65" t="s">
        <v>5000</v>
      </c>
      <c r="FWB1" s="65" t="s">
        <v>5001</v>
      </c>
      <c r="FWC1" s="65" t="s">
        <v>5002</v>
      </c>
      <c r="FWD1" s="65" t="s">
        <v>5003</v>
      </c>
      <c r="FWE1" s="65" t="s">
        <v>5004</v>
      </c>
      <c r="FWF1" s="65" t="s">
        <v>5005</v>
      </c>
      <c r="FWG1" s="65" t="s">
        <v>5006</v>
      </c>
      <c r="FWH1" s="65" t="s">
        <v>5007</v>
      </c>
      <c r="FWI1" s="65" t="s">
        <v>5008</v>
      </c>
      <c r="FWJ1" s="65" t="s">
        <v>5009</v>
      </c>
      <c r="FWK1" s="65" t="s">
        <v>5010</v>
      </c>
      <c r="FWL1" s="65" t="s">
        <v>5011</v>
      </c>
      <c r="FWM1" s="65" t="s">
        <v>5012</v>
      </c>
      <c r="FWN1" s="65" t="s">
        <v>5013</v>
      </c>
      <c r="FWO1" s="65" t="s">
        <v>5014</v>
      </c>
      <c r="FWP1" s="65" t="s">
        <v>5015</v>
      </c>
      <c r="FWQ1" s="65" t="s">
        <v>5016</v>
      </c>
      <c r="FWR1" s="65" t="s">
        <v>5017</v>
      </c>
      <c r="FWS1" s="65" t="s">
        <v>5018</v>
      </c>
      <c r="FWT1" s="65" t="s">
        <v>5019</v>
      </c>
      <c r="FWU1" s="65" t="s">
        <v>5020</v>
      </c>
      <c r="FWV1" s="65" t="s">
        <v>5021</v>
      </c>
      <c r="FWW1" s="65" t="s">
        <v>5022</v>
      </c>
      <c r="FWX1" s="65" t="s">
        <v>5023</v>
      </c>
      <c r="FWY1" s="65" t="s">
        <v>5024</v>
      </c>
      <c r="FWZ1" s="65" t="s">
        <v>5025</v>
      </c>
      <c r="FXA1" s="65" t="s">
        <v>5026</v>
      </c>
      <c r="FXB1" s="65" t="s">
        <v>5027</v>
      </c>
      <c r="FXC1" s="65" t="s">
        <v>5028</v>
      </c>
      <c r="FXD1" s="65" t="s">
        <v>5029</v>
      </c>
      <c r="FXE1" s="65" t="s">
        <v>5030</v>
      </c>
      <c r="FXF1" s="65" t="s">
        <v>5031</v>
      </c>
      <c r="FXG1" s="65" t="s">
        <v>5032</v>
      </c>
      <c r="FXH1" s="65" t="s">
        <v>5033</v>
      </c>
      <c r="FXI1" s="65" t="s">
        <v>5034</v>
      </c>
      <c r="FXJ1" s="65" t="s">
        <v>5035</v>
      </c>
      <c r="FXK1" s="65" t="s">
        <v>5036</v>
      </c>
      <c r="FXL1" s="65" t="s">
        <v>5037</v>
      </c>
      <c r="FXM1" s="65" t="s">
        <v>5038</v>
      </c>
      <c r="FXN1" s="65" t="s">
        <v>5039</v>
      </c>
      <c r="FXO1" s="65" t="s">
        <v>5040</v>
      </c>
      <c r="FXP1" s="65" t="s">
        <v>5041</v>
      </c>
      <c r="FXQ1" s="65" t="s">
        <v>5042</v>
      </c>
      <c r="FXR1" s="65" t="s">
        <v>5043</v>
      </c>
      <c r="FXS1" s="65" t="s">
        <v>5044</v>
      </c>
      <c r="FXT1" s="65" t="s">
        <v>5045</v>
      </c>
      <c r="FXU1" s="65" t="s">
        <v>5046</v>
      </c>
      <c r="FXV1" s="65" t="s">
        <v>5047</v>
      </c>
      <c r="FXW1" s="65" t="s">
        <v>5048</v>
      </c>
      <c r="FXX1" s="65" t="s">
        <v>5049</v>
      </c>
      <c r="FXY1" s="65" t="s">
        <v>5050</v>
      </c>
      <c r="FXZ1" s="65" t="s">
        <v>5051</v>
      </c>
      <c r="FYA1" s="65" t="s">
        <v>5052</v>
      </c>
      <c r="FYB1" s="65" t="s">
        <v>5053</v>
      </c>
      <c r="FYC1" s="65" t="s">
        <v>5054</v>
      </c>
      <c r="FYD1" s="65" t="s">
        <v>5055</v>
      </c>
      <c r="FYE1" s="65" t="s">
        <v>5056</v>
      </c>
      <c r="FYF1" s="65" t="s">
        <v>5057</v>
      </c>
      <c r="FYG1" s="65" t="s">
        <v>5058</v>
      </c>
      <c r="FYH1" s="65" t="s">
        <v>5059</v>
      </c>
      <c r="FYI1" s="65" t="s">
        <v>5060</v>
      </c>
      <c r="FYJ1" s="65" t="s">
        <v>5061</v>
      </c>
      <c r="FYK1" s="65" t="s">
        <v>5062</v>
      </c>
      <c r="FYL1" s="65" t="s">
        <v>5063</v>
      </c>
      <c r="FYM1" s="65" t="s">
        <v>5064</v>
      </c>
      <c r="FYN1" s="65" t="s">
        <v>5065</v>
      </c>
      <c r="FYO1" s="65" t="s">
        <v>5066</v>
      </c>
      <c r="FYP1" s="65" t="s">
        <v>5067</v>
      </c>
      <c r="FYQ1" s="65" t="s">
        <v>5068</v>
      </c>
      <c r="FYR1" s="65" t="s">
        <v>5069</v>
      </c>
      <c r="FYS1" s="65" t="s">
        <v>5070</v>
      </c>
      <c r="FYT1" s="65" t="s">
        <v>5071</v>
      </c>
      <c r="FYU1" s="65" t="s">
        <v>5072</v>
      </c>
      <c r="FYV1" s="65" t="s">
        <v>5073</v>
      </c>
      <c r="FYW1" s="65" t="s">
        <v>5074</v>
      </c>
      <c r="FYX1" s="65" t="s">
        <v>5075</v>
      </c>
      <c r="FYY1" s="65" t="s">
        <v>5076</v>
      </c>
      <c r="FYZ1" s="65" t="s">
        <v>5077</v>
      </c>
      <c r="FZA1" s="65" t="s">
        <v>5078</v>
      </c>
      <c r="FZB1" s="65" t="s">
        <v>5079</v>
      </c>
      <c r="FZC1" s="65" t="s">
        <v>5080</v>
      </c>
      <c r="FZD1" s="65" t="s">
        <v>5081</v>
      </c>
      <c r="FZE1" s="65" t="s">
        <v>5082</v>
      </c>
      <c r="FZF1" s="65" t="s">
        <v>5083</v>
      </c>
      <c r="FZG1" s="65" t="s">
        <v>5084</v>
      </c>
      <c r="FZH1" s="65" t="s">
        <v>5085</v>
      </c>
      <c r="FZI1" s="65" t="s">
        <v>5086</v>
      </c>
      <c r="FZJ1" s="65" t="s">
        <v>5087</v>
      </c>
      <c r="FZK1" s="65" t="s">
        <v>5088</v>
      </c>
      <c r="FZL1" s="65" t="s">
        <v>5089</v>
      </c>
      <c r="FZM1" s="65" t="s">
        <v>5090</v>
      </c>
      <c r="FZN1" s="65" t="s">
        <v>5091</v>
      </c>
      <c r="FZO1" s="65" t="s">
        <v>5092</v>
      </c>
      <c r="FZP1" s="65" t="s">
        <v>5093</v>
      </c>
      <c r="FZQ1" s="65" t="s">
        <v>5094</v>
      </c>
      <c r="FZR1" s="65" t="s">
        <v>5095</v>
      </c>
      <c r="FZS1" s="65" t="s">
        <v>5096</v>
      </c>
      <c r="FZT1" s="65" t="s">
        <v>5097</v>
      </c>
      <c r="FZU1" s="65" t="s">
        <v>5098</v>
      </c>
      <c r="FZV1" s="65" t="s">
        <v>5099</v>
      </c>
      <c r="FZW1" s="65" t="s">
        <v>5100</v>
      </c>
      <c r="FZX1" s="65" t="s">
        <v>5101</v>
      </c>
      <c r="FZY1" s="65" t="s">
        <v>5102</v>
      </c>
      <c r="FZZ1" s="65" t="s">
        <v>5103</v>
      </c>
      <c r="GAA1" s="65" t="s">
        <v>5104</v>
      </c>
      <c r="GAB1" s="65" t="s">
        <v>5105</v>
      </c>
      <c r="GAC1" s="65" t="s">
        <v>5106</v>
      </c>
      <c r="GAD1" s="65" t="s">
        <v>5107</v>
      </c>
      <c r="GAE1" s="65" t="s">
        <v>5108</v>
      </c>
      <c r="GAF1" s="65" t="s">
        <v>5109</v>
      </c>
      <c r="GAG1" s="65" t="s">
        <v>5110</v>
      </c>
      <c r="GAH1" s="65" t="s">
        <v>5111</v>
      </c>
      <c r="GAI1" s="65" t="s">
        <v>5112</v>
      </c>
      <c r="GAJ1" s="65" t="s">
        <v>5113</v>
      </c>
      <c r="GAK1" s="65" t="s">
        <v>5114</v>
      </c>
      <c r="GAL1" s="65" t="s">
        <v>5115</v>
      </c>
      <c r="GAM1" s="65" t="s">
        <v>5116</v>
      </c>
      <c r="GAN1" s="65" t="s">
        <v>5117</v>
      </c>
      <c r="GAO1" s="65" t="s">
        <v>5118</v>
      </c>
      <c r="GAP1" s="65" t="s">
        <v>5119</v>
      </c>
      <c r="GAQ1" s="65" t="s">
        <v>5120</v>
      </c>
      <c r="GAR1" s="65" t="s">
        <v>5121</v>
      </c>
      <c r="GAS1" s="65" t="s">
        <v>5122</v>
      </c>
      <c r="GAT1" s="65" t="s">
        <v>5123</v>
      </c>
      <c r="GAU1" s="65" t="s">
        <v>5124</v>
      </c>
      <c r="GAV1" s="65" t="s">
        <v>5125</v>
      </c>
      <c r="GAW1" s="65" t="s">
        <v>5126</v>
      </c>
      <c r="GAX1" s="65" t="s">
        <v>5127</v>
      </c>
      <c r="GAY1" s="65" t="s">
        <v>5128</v>
      </c>
      <c r="GAZ1" s="65" t="s">
        <v>5129</v>
      </c>
      <c r="GBA1" s="65" t="s">
        <v>5130</v>
      </c>
      <c r="GBB1" s="65" t="s">
        <v>5131</v>
      </c>
      <c r="GBC1" s="65" t="s">
        <v>5132</v>
      </c>
      <c r="GBD1" s="65" t="s">
        <v>5133</v>
      </c>
      <c r="GBE1" s="65" t="s">
        <v>5134</v>
      </c>
      <c r="GBF1" s="65" t="s">
        <v>5135</v>
      </c>
      <c r="GBG1" s="65" t="s">
        <v>5136</v>
      </c>
      <c r="GBH1" s="65" t="s">
        <v>5137</v>
      </c>
      <c r="GBI1" s="65" t="s">
        <v>5138</v>
      </c>
      <c r="GBJ1" s="65" t="s">
        <v>5139</v>
      </c>
      <c r="GBK1" s="65" t="s">
        <v>5140</v>
      </c>
      <c r="GBL1" s="65" t="s">
        <v>5141</v>
      </c>
      <c r="GBM1" s="65" t="s">
        <v>5142</v>
      </c>
      <c r="GBN1" s="65" t="s">
        <v>5143</v>
      </c>
      <c r="GBO1" s="65" t="s">
        <v>5144</v>
      </c>
      <c r="GBP1" s="65" t="s">
        <v>5145</v>
      </c>
      <c r="GBQ1" s="65" t="s">
        <v>5146</v>
      </c>
      <c r="GBR1" s="65" t="s">
        <v>5147</v>
      </c>
      <c r="GBS1" s="65" t="s">
        <v>5148</v>
      </c>
      <c r="GBT1" s="65" t="s">
        <v>5149</v>
      </c>
      <c r="GBU1" s="65" t="s">
        <v>5150</v>
      </c>
      <c r="GBV1" s="65" t="s">
        <v>5151</v>
      </c>
      <c r="GBW1" s="65" t="s">
        <v>5152</v>
      </c>
      <c r="GBX1" s="65" t="s">
        <v>5153</v>
      </c>
      <c r="GBY1" s="65" t="s">
        <v>5154</v>
      </c>
      <c r="GBZ1" s="65" t="s">
        <v>5155</v>
      </c>
      <c r="GCA1" s="65" t="s">
        <v>5156</v>
      </c>
      <c r="GCB1" s="65" t="s">
        <v>5157</v>
      </c>
      <c r="GCC1" s="65" t="s">
        <v>5158</v>
      </c>
      <c r="GCD1" s="65" t="s">
        <v>5159</v>
      </c>
      <c r="GCE1" s="65" t="s">
        <v>5160</v>
      </c>
      <c r="GCF1" s="65" t="s">
        <v>5161</v>
      </c>
      <c r="GCG1" s="65" t="s">
        <v>5162</v>
      </c>
      <c r="GCH1" s="65" t="s">
        <v>5163</v>
      </c>
      <c r="GCI1" s="65" t="s">
        <v>5164</v>
      </c>
      <c r="GCJ1" s="65" t="s">
        <v>5165</v>
      </c>
      <c r="GCK1" s="65" t="s">
        <v>5166</v>
      </c>
      <c r="GCL1" s="65" t="s">
        <v>5167</v>
      </c>
      <c r="GCM1" s="65" t="s">
        <v>5168</v>
      </c>
      <c r="GCN1" s="65" t="s">
        <v>5169</v>
      </c>
      <c r="GCO1" s="65" t="s">
        <v>5170</v>
      </c>
      <c r="GCP1" s="65" t="s">
        <v>5171</v>
      </c>
      <c r="GCQ1" s="65" t="s">
        <v>5172</v>
      </c>
      <c r="GCR1" s="65" t="s">
        <v>5173</v>
      </c>
      <c r="GCS1" s="65" t="s">
        <v>5174</v>
      </c>
      <c r="GCT1" s="65" t="s">
        <v>5175</v>
      </c>
      <c r="GCU1" s="65" t="s">
        <v>5176</v>
      </c>
      <c r="GCV1" s="65" t="s">
        <v>5177</v>
      </c>
      <c r="GCW1" s="65" t="s">
        <v>5178</v>
      </c>
      <c r="GCX1" s="65" t="s">
        <v>5179</v>
      </c>
      <c r="GCY1" s="65" t="s">
        <v>5180</v>
      </c>
      <c r="GCZ1" s="65" t="s">
        <v>5181</v>
      </c>
      <c r="GDA1" s="65" t="s">
        <v>5182</v>
      </c>
      <c r="GDB1" s="65" t="s">
        <v>5183</v>
      </c>
      <c r="GDC1" s="65" t="s">
        <v>5184</v>
      </c>
      <c r="GDD1" s="65" t="s">
        <v>5185</v>
      </c>
      <c r="GDE1" s="65" t="s">
        <v>5186</v>
      </c>
      <c r="GDF1" s="65" t="s">
        <v>5187</v>
      </c>
      <c r="GDG1" s="65" t="s">
        <v>5188</v>
      </c>
      <c r="GDH1" s="65" t="s">
        <v>5189</v>
      </c>
      <c r="GDI1" s="65" t="s">
        <v>5190</v>
      </c>
      <c r="GDJ1" s="65" t="s">
        <v>5191</v>
      </c>
      <c r="GDK1" s="65" t="s">
        <v>5192</v>
      </c>
      <c r="GDL1" s="65" t="s">
        <v>5193</v>
      </c>
      <c r="GDM1" s="65" t="s">
        <v>5194</v>
      </c>
      <c r="GDN1" s="65" t="s">
        <v>5195</v>
      </c>
      <c r="GDO1" s="65" t="s">
        <v>5196</v>
      </c>
      <c r="GDP1" s="65" t="s">
        <v>5197</v>
      </c>
      <c r="GDQ1" s="65" t="s">
        <v>5198</v>
      </c>
      <c r="GDR1" s="65" t="s">
        <v>5199</v>
      </c>
      <c r="GDS1" s="65" t="s">
        <v>5200</v>
      </c>
      <c r="GDT1" s="65" t="s">
        <v>5201</v>
      </c>
      <c r="GDU1" s="65" t="s">
        <v>5202</v>
      </c>
      <c r="GDV1" s="65" t="s">
        <v>5203</v>
      </c>
      <c r="GDW1" s="65" t="s">
        <v>5204</v>
      </c>
      <c r="GDX1" s="65" t="s">
        <v>5205</v>
      </c>
      <c r="GDY1" s="65" t="s">
        <v>5206</v>
      </c>
      <c r="GDZ1" s="65" t="s">
        <v>5207</v>
      </c>
      <c r="GEA1" s="65" t="s">
        <v>5208</v>
      </c>
      <c r="GEB1" s="65" t="s">
        <v>5209</v>
      </c>
      <c r="GEC1" s="65" t="s">
        <v>5210</v>
      </c>
      <c r="GED1" s="65" t="s">
        <v>5211</v>
      </c>
      <c r="GEE1" s="65" t="s">
        <v>5212</v>
      </c>
      <c r="GEF1" s="65" t="s">
        <v>5213</v>
      </c>
      <c r="GEG1" s="65" t="s">
        <v>5214</v>
      </c>
      <c r="GEH1" s="65" t="s">
        <v>5215</v>
      </c>
      <c r="GEI1" s="65" t="s">
        <v>5216</v>
      </c>
      <c r="GEJ1" s="65" t="s">
        <v>5217</v>
      </c>
      <c r="GEK1" s="65" t="s">
        <v>5218</v>
      </c>
      <c r="GEL1" s="65" t="s">
        <v>5219</v>
      </c>
      <c r="GEM1" s="65" t="s">
        <v>5220</v>
      </c>
      <c r="GEN1" s="65" t="s">
        <v>5221</v>
      </c>
      <c r="GEO1" s="65" t="s">
        <v>5222</v>
      </c>
      <c r="GEP1" s="65" t="s">
        <v>5223</v>
      </c>
      <c r="GEQ1" s="65" t="s">
        <v>5224</v>
      </c>
      <c r="GER1" s="65" t="s">
        <v>5225</v>
      </c>
      <c r="GES1" s="65" t="s">
        <v>5226</v>
      </c>
      <c r="GET1" s="65" t="s">
        <v>5227</v>
      </c>
      <c r="GEU1" s="65" t="s">
        <v>5228</v>
      </c>
      <c r="GEV1" s="65" t="s">
        <v>5229</v>
      </c>
      <c r="GEW1" s="65" t="s">
        <v>5230</v>
      </c>
      <c r="GEX1" s="65" t="s">
        <v>5231</v>
      </c>
      <c r="GEY1" s="65" t="s">
        <v>5232</v>
      </c>
      <c r="GEZ1" s="65" t="s">
        <v>5233</v>
      </c>
      <c r="GFA1" s="65" t="s">
        <v>5234</v>
      </c>
      <c r="GFB1" s="65" t="s">
        <v>5235</v>
      </c>
      <c r="GFC1" s="65" t="s">
        <v>5236</v>
      </c>
      <c r="GFD1" s="65" t="s">
        <v>5237</v>
      </c>
      <c r="GFE1" s="65" t="s">
        <v>5238</v>
      </c>
      <c r="GFF1" s="65" t="s">
        <v>5239</v>
      </c>
      <c r="GFG1" s="65" t="s">
        <v>5240</v>
      </c>
      <c r="GFH1" s="65" t="s">
        <v>5241</v>
      </c>
      <c r="GFI1" s="65" t="s">
        <v>5242</v>
      </c>
      <c r="GFJ1" s="65" t="s">
        <v>5243</v>
      </c>
      <c r="GFK1" s="65" t="s">
        <v>5244</v>
      </c>
      <c r="GFL1" s="65" t="s">
        <v>5245</v>
      </c>
      <c r="GFM1" s="65" t="s">
        <v>5246</v>
      </c>
      <c r="GFN1" s="65" t="s">
        <v>5247</v>
      </c>
      <c r="GFO1" s="65" t="s">
        <v>5248</v>
      </c>
      <c r="GFP1" s="65" t="s">
        <v>5249</v>
      </c>
      <c r="GFQ1" s="65" t="s">
        <v>5250</v>
      </c>
      <c r="GFR1" s="65" t="s">
        <v>5251</v>
      </c>
      <c r="GFS1" s="65" t="s">
        <v>5252</v>
      </c>
      <c r="GFT1" s="65" t="s">
        <v>5253</v>
      </c>
      <c r="GFU1" s="65" t="s">
        <v>5254</v>
      </c>
      <c r="GFV1" s="65" t="s">
        <v>5255</v>
      </c>
      <c r="GFW1" s="65" t="s">
        <v>5256</v>
      </c>
      <c r="GFX1" s="65" t="s">
        <v>5257</v>
      </c>
      <c r="GFY1" s="65" t="s">
        <v>5258</v>
      </c>
      <c r="GFZ1" s="65" t="s">
        <v>5259</v>
      </c>
      <c r="GGA1" s="65" t="s">
        <v>5260</v>
      </c>
      <c r="GGB1" s="65" t="s">
        <v>5261</v>
      </c>
      <c r="GGC1" s="65" t="s">
        <v>5262</v>
      </c>
      <c r="GGD1" s="65" t="s">
        <v>5263</v>
      </c>
      <c r="GGE1" s="65" t="s">
        <v>5264</v>
      </c>
      <c r="GGF1" s="65" t="s">
        <v>5265</v>
      </c>
      <c r="GGG1" s="65" t="s">
        <v>5266</v>
      </c>
      <c r="GGH1" s="65" t="s">
        <v>5267</v>
      </c>
      <c r="GGI1" s="65" t="s">
        <v>5268</v>
      </c>
      <c r="GGJ1" s="65" t="s">
        <v>5269</v>
      </c>
      <c r="GGK1" s="65" t="s">
        <v>5270</v>
      </c>
      <c r="GGL1" s="65" t="s">
        <v>5271</v>
      </c>
      <c r="GGM1" s="65" t="s">
        <v>5272</v>
      </c>
      <c r="GGN1" s="65" t="s">
        <v>5273</v>
      </c>
      <c r="GGO1" s="65" t="s">
        <v>5274</v>
      </c>
      <c r="GGP1" s="65" t="s">
        <v>5275</v>
      </c>
      <c r="GGQ1" s="65" t="s">
        <v>5276</v>
      </c>
      <c r="GGR1" s="65" t="s">
        <v>5277</v>
      </c>
      <c r="GGS1" s="65" t="s">
        <v>5278</v>
      </c>
      <c r="GGT1" s="65" t="s">
        <v>5279</v>
      </c>
      <c r="GGU1" s="65" t="s">
        <v>5280</v>
      </c>
      <c r="GGV1" s="65" t="s">
        <v>5281</v>
      </c>
      <c r="GGW1" s="65" t="s">
        <v>5282</v>
      </c>
      <c r="GGX1" s="65" t="s">
        <v>5283</v>
      </c>
      <c r="GGY1" s="65" t="s">
        <v>5284</v>
      </c>
      <c r="GGZ1" s="65" t="s">
        <v>5285</v>
      </c>
      <c r="GHA1" s="65" t="s">
        <v>5286</v>
      </c>
      <c r="GHB1" s="65" t="s">
        <v>5287</v>
      </c>
      <c r="GHC1" s="65" t="s">
        <v>5288</v>
      </c>
      <c r="GHD1" s="65" t="s">
        <v>5289</v>
      </c>
      <c r="GHE1" s="65" t="s">
        <v>5290</v>
      </c>
      <c r="GHF1" s="65" t="s">
        <v>5291</v>
      </c>
      <c r="GHG1" s="65" t="s">
        <v>5292</v>
      </c>
      <c r="GHH1" s="65" t="s">
        <v>5293</v>
      </c>
      <c r="GHI1" s="65" t="s">
        <v>5294</v>
      </c>
      <c r="GHJ1" s="65" t="s">
        <v>5295</v>
      </c>
      <c r="GHK1" s="65" t="s">
        <v>5296</v>
      </c>
      <c r="GHL1" s="65" t="s">
        <v>5297</v>
      </c>
      <c r="GHM1" s="65" t="s">
        <v>5298</v>
      </c>
      <c r="GHN1" s="65" t="s">
        <v>5299</v>
      </c>
      <c r="GHO1" s="65" t="s">
        <v>5300</v>
      </c>
      <c r="GHP1" s="65" t="s">
        <v>5301</v>
      </c>
      <c r="GHQ1" s="65" t="s">
        <v>5302</v>
      </c>
      <c r="GHR1" s="65" t="s">
        <v>5303</v>
      </c>
      <c r="GHS1" s="65" t="s">
        <v>5304</v>
      </c>
      <c r="GHT1" s="65" t="s">
        <v>5305</v>
      </c>
      <c r="GHU1" s="65" t="s">
        <v>5306</v>
      </c>
      <c r="GHV1" s="65" t="s">
        <v>5307</v>
      </c>
      <c r="GHW1" s="65" t="s">
        <v>5308</v>
      </c>
      <c r="GHX1" s="65" t="s">
        <v>5309</v>
      </c>
      <c r="GHY1" s="65" t="s">
        <v>5310</v>
      </c>
      <c r="GHZ1" s="65" t="s">
        <v>5311</v>
      </c>
      <c r="GIA1" s="65" t="s">
        <v>5312</v>
      </c>
      <c r="GIB1" s="65" t="s">
        <v>5313</v>
      </c>
      <c r="GIC1" s="65" t="s">
        <v>5314</v>
      </c>
      <c r="GID1" s="65" t="s">
        <v>5315</v>
      </c>
      <c r="GIE1" s="65" t="s">
        <v>5316</v>
      </c>
      <c r="GIF1" s="65" t="s">
        <v>5317</v>
      </c>
      <c r="GIG1" s="65" t="s">
        <v>5318</v>
      </c>
      <c r="GIH1" s="65" t="s">
        <v>5319</v>
      </c>
      <c r="GII1" s="65" t="s">
        <v>5320</v>
      </c>
      <c r="GIJ1" s="65" t="s">
        <v>5321</v>
      </c>
      <c r="GIK1" s="65" t="s">
        <v>5322</v>
      </c>
      <c r="GIL1" s="65" t="s">
        <v>5323</v>
      </c>
      <c r="GIM1" s="65" t="s">
        <v>5324</v>
      </c>
      <c r="GIN1" s="65" t="s">
        <v>5325</v>
      </c>
      <c r="GIO1" s="65" t="s">
        <v>5326</v>
      </c>
      <c r="GIP1" s="65" t="s">
        <v>5327</v>
      </c>
      <c r="GIQ1" s="65" t="s">
        <v>5328</v>
      </c>
      <c r="GIR1" s="65" t="s">
        <v>5329</v>
      </c>
      <c r="GIS1" s="65" t="s">
        <v>5330</v>
      </c>
      <c r="GIT1" s="65" t="s">
        <v>5331</v>
      </c>
      <c r="GIU1" s="65" t="s">
        <v>5332</v>
      </c>
      <c r="GIV1" s="65" t="s">
        <v>5333</v>
      </c>
      <c r="GIW1" s="65" t="s">
        <v>5334</v>
      </c>
      <c r="GIX1" s="65" t="s">
        <v>5335</v>
      </c>
      <c r="GIY1" s="65" t="s">
        <v>5336</v>
      </c>
      <c r="GIZ1" s="65" t="s">
        <v>5337</v>
      </c>
      <c r="GJA1" s="65" t="s">
        <v>5338</v>
      </c>
      <c r="GJB1" s="65" t="s">
        <v>5339</v>
      </c>
      <c r="GJC1" s="65" t="s">
        <v>5340</v>
      </c>
      <c r="GJD1" s="65" t="s">
        <v>5341</v>
      </c>
      <c r="GJE1" s="65" t="s">
        <v>5342</v>
      </c>
      <c r="GJF1" s="65" t="s">
        <v>5343</v>
      </c>
      <c r="GJG1" s="65" t="s">
        <v>5344</v>
      </c>
      <c r="GJH1" s="65" t="s">
        <v>5345</v>
      </c>
      <c r="GJI1" s="65" t="s">
        <v>5346</v>
      </c>
      <c r="GJJ1" s="65" t="s">
        <v>5347</v>
      </c>
      <c r="GJK1" s="65" t="s">
        <v>5348</v>
      </c>
      <c r="GJL1" s="65" t="s">
        <v>5349</v>
      </c>
      <c r="GJM1" s="65" t="s">
        <v>5350</v>
      </c>
      <c r="GJN1" s="65" t="s">
        <v>5351</v>
      </c>
      <c r="GJO1" s="65" t="s">
        <v>5352</v>
      </c>
      <c r="GJP1" s="65" t="s">
        <v>5353</v>
      </c>
      <c r="GJQ1" s="65" t="s">
        <v>5354</v>
      </c>
      <c r="GJR1" s="65" t="s">
        <v>5355</v>
      </c>
      <c r="GJS1" s="65" t="s">
        <v>5356</v>
      </c>
      <c r="GJT1" s="65" t="s">
        <v>5357</v>
      </c>
      <c r="GJU1" s="65" t="s">
        <v>5358</v>
      </c>
      <c r="GJV1" s="65" t="s">
        <v>5359</v>
      </c>
      <c r="GJW1" s="65" t="s">
        <v>5360</v>
      </c>
      <c r="GJX1" s="65" t="s">
        <v>5361</v>
      </c>
      <c r="GJY1" s="65" t="s">
        <v>5362</v>
      </c>
      <c r="GJZ1" s="65" t="s">
        <v>5363</v>
      </c>
      <c r="GKA1" s="65" t="s">
        <v>5364</v>
      </c>
      <c r="GKB1" s="65" t="s">
        <v>5365</v>
      </c>
      <c r="GKC1" s="65" t="s">
        <v>5366</v>
      </c>
      <c r="GKD1" s="65" t="s">
        <v>5367</v>
      </c>
      <c r="GKE1" s="65" t="s">
        <v>5368</v>
      </c>
      <c r="GKF1" s="65" t="s">
        <v>5369</v>
      </c>
      <c r="GKG1" s="65" t="s">
        <v>5370</v>
      </c>
      <c r="GKH1" s="65" t="s">
        <v>5371</v>
      </c>
      <c r="GKI1" s="65" t="s">
        <v>5372</v>
      </c>
      <c r="GKJ1" s="65" t="s">
        <v>5373</v>
      </c>
      <c r="GKK1" s="65" t="s">
        <v>5374</v>
      </c>
      <c r="GKL1" s="65" t="s">
        <v>5375</v>
      </c>
      <c r="GKM1" s="65" t="s">
        <v>5376</v>
      </c>
      <c r="GKN1" s="65" t="s">
        <v>5377</v>
      </c>
      <c r="GKO1" s="65" t="s">
        <v>5378</v>
      </c>
      <c r="GKP1" s="65" t="s">
        <v>5379</v>
      </c>
      <c r="GKQ1" s="65" t="s">
        <v>5380</v>
      </c>
      <c r="GKR1" s="65" t="s">
        <v>5381</v>
      </c>
      <c r="GKS1" s="65" t="s">
        <v>5382</v>
      </c>
      <c r="GKT1" s="65" t="s">
        <v>5383</v>
      </c>
      <c r="GKU1" s="65" t="s">
        <v>5384</v>
      </c>
      <c r="GKV1" s="65" t="s">
        <v>5385</v>
      </c>
      <c r="GKW1" s="65" t="s">
        <v>5386</v>
      </c>
      <c r="GKX1" s="65" t="s">
        <v>5387</v>
      </c>
      <c r="GKY1" s="65" t="s">
        <v>5388</v>
      </c>
      <c r="GKZ1" s="65" t="s">
        <v>5389</v>
      </c>
      <c r="GLA1" s="65" t="s">
        <v>5390</v>
      </c>
      <c r="GLB1" s="65" t="s">
        <v>5391</v>
      </c>
      <c r="GLC1" s="65" t="s">
        <v>5392</v>
      </c>
      <c r="GLD1" s="65" t="s">
        <v>5393</v>
      </c>
      <c r="GLE1" s="65" t="s">
        <v>5394</v>
      </c>
      <c r="GLF1" s="65" t="s">
        <v>5395</v>
      </c>
      <c r="GLG1" s="65" t="s">
        <v>5396</v>
      </c>
      <c r="GLH1" s="65" t="s">
        <v>5397</v>
      </c>
      <c r="GLI1" s="65" t="s">
        <v>5398</v>
      </c>
      <c r="GLJ1" s="65" t="s">
        <v>5399</v>
      </c>
      <c r="GLK1" s="65" t="s">
        <v>5400</v>
      </c>
      <c r="GLL1" s="65" t="s">
        <v>5401</v>
      </c>
      <c r="GLM1" s="65" t="s">
        <v>5402</v>
      </c>
      <c r="GLN1" s="65" t="s">
        <v>5403</v>
      </c>
      <c r="GLO1" s="65" t="s">
        <v>5404</v>
      </c>
      <c r="GLP1" s="65" t="s">
        <v>5405</v>
      </c>
      <c r="GLQ1" s="65" t="s">
        <v>5406</v>
      </c>
      <c r="GLR1" s="65" t="s">
        <v>5407</v>
      </c>
      <c r="GLS1" s="65" t="s">
        <v>5408</v>
      </c>
      <c r="GLT1" s="65" t="s">
        <v>5409</v>
      </c>
      <c r="GLU1" s="65" t="s">
        <v>5410</v>
      </c>
      <c r="GLV1" s="65" t="s">
        <v>5411</v>
      </c>
      <c r="GLW1" s="65" t="s">
        <v>5412</v>
      </c>
      <c r="GLX1" s="65" t="s">
        <v>5413</v>
      </c>
      <c r="GLY1" s="65" t="s">
        <v>5414</v>
      </c>
      <c r="GLZ1" s="65" t="s">
        <v>5415</v>
      </c>
      <c r="GMA1" s="65" t="s">
        <v>5416</v>
      </c>
      <c r="GMB1" s="65" t="s">
        <v>5417</v>
      </c>
      <c r="GMC1" s="65" t="s">
        <v>5418</v>
      </c>
      <c r="GMD1" s="65" t="s">
        <v>5419</v>
      </c>
      <c r="GME1" s="65" t="s">
        <v>5420</v>
      </c>
      <c r="GMF1" s="65" t="s">
        <v>5421</v>
      </c>
      <c r="GMG1" s="65" t="s">
        <v>5422</v>
      </c>
      <c r="GMH1" s="65" t="s">
        <v>5423</v>
      </c>
      <c r="GMI1" s="65" t="s">
        <v>5424</v>
      </c>
      <c r="GMJ1" s="65" t="s">
        <v>5425</v>
      </c>
      <c r="GMK1" s="65" t="s">
        <v>5426</v>
      </c>
      <c r="GML1" s="65" t="s">
        <v>5427</v>
      </c>
      <c r="GMM1" s="65" t="s">
        <v>5428</v>
      </c>
      <c r="GMN1" s="65" t="s">
        <v>5429</v>
      </c>
      <c r="GMO1" s="65" t="s">
        <v>5430</v>
      </c>
      <c r="GMP1" s="65" t="s">
        <v>5431</v>
      </c>
      <c r="GMQ1" s="65" t="s">
        <v>5432</v>
      </c>
      <c r="GMR1" s="65" t="s">
        <v>5433</v>
      </c>
      <c r="GMS1" s="65" t="s">
        <v>5434</v>
      </c>
      <c r="GMT1" s="65" t="s">
        <v>5435</v>
      </c>
      <c r="GMU1" s="65" t="s">
        <v>5436</v>
      </c>
      <c r="GMV1" s="65" t="s">
        <v>5437</v>
      </c>
      <c r="GMW1" s="65" t="s">
        <v>5438</v>
      </c>
      <c r="GMX1" s="65" t="s">
        <v>5439</v>
      </c>
      <c r="GMY1" s="65" t="s">
        <v>5440</v>
      </c>
      <c r="GMZ1" s="65" t="s">
        <v>5441</v>
      </c>
      <c r="GNA1" s="65" t="s">
        <v>5442</v>
      </c>
      <c r="GNB1" s="65" t="s">
        <v>5443</v>
      </c>
      <c r="GNC1" s="65" t="s">
        <v>5444</v>
      </c>
      <c r="GND1" s="65" t="s">
        <v>5445</v>
      </c>
      <c r="GNE1" s="65" t="s">
        <v>5446</v>
      </c>
      <c r="GNF1" s="65" t="s">
        <v>5447</v>
      </c>
      <c r="GNG1" s="65" t="s">
        <v>5448</v>
      </c>
      <c r="GNH1" s="65" t="s">
        <v>5449</v>
      </c>
      <c r="GNI1" s="65" t="s">
        <v>5450</v>
      </c>
      <c r="GNJ1" s="65" t="s">
        <v>5451</v>
      </c>
      <c r="GNK1" s="65" t="s">
        <v>5452</v>
      </c>
      <c r="GNL1" s="65" t="s">
        <v>5453</v>
      </c>
      <c r="GNM1" s="65" t="s">
        <v>5454</v>
      </c>
      <c r="GNN1" s="65" t="s">
        <v>5455</v>
      </c>
      <c r="GNO1" s="65" t="s">
        <v>5456</v>
      </c>
      <c r="GNP1" s="65" t="s">
        <v>5457</v>
      </c>
      <c r="GNQ1" s="65" t="s">
        <v>5458</v>
      </c>
      <c r="GNR1" s="65" t="s">
        <v>5459</v>
      </c>
      <c r="GNS1" s="65" t="s">
        <v>5460</v>
      </c>
      <c r="GNT1" s="65" t="s">
        <v>5461</v>
      </c>
      <c r="GNU1" s="65" t="s">
        <v>5462</v>
      </c>
      <c r="GNV1" s="65" t="s">
        <v>5463</v>
      </c>
      <c r="GNW1" s="65" t="s">
        <v>5464</v>
      </c>
      <c r="GNX1" s="65" t="s">
        <v>5465</v>
      </c>
      <c r="GNY1" s="65" t="s">
        <v>5466</v>
      </c>
      <c r="GNZ1" s="65" t="s">
        <v>5467</v>
      </c>
      <c r="GOA1" s="65" t="s">
        <v>5468</v>
      </c>
      <c r="GOB1" s="65" t="s">
        <v>5469</v>
      </c>
      <c r="GOC1" s="65" t="s">
        <v>5470</v>
      </c>
      <c r="GOD1" s="65" t="s">
        <v>5471</v>
      </c>
      <c r="GOE1" s="65" t="s">
        <v>5472</v>
      </c>
      <c r="GOF1" s="65" t="s">
        <v>5473</v>
      </c>
      <c r="GOG1" s="65" t="s">
        <v>5474</v>
      </c>
      <c r="GOH1" s="65" t="s">
        <v>5475</v>
      </c>
      <c r="GOI1" s="65" t="s">
        <v>5476</v>
      </c>
      <c r="GOJ1" s="65" t="s">
        <v>5477</v>
      </c>
      <c r="GOK1" s="65" t="s">
        <v>5478</v>
      </c>
      <c r="GOL1" s="65" t="s">
        <v>5479</v>
      </c>
      <c r="GOM1" s="65" t="s">
        <v>5480</v>
      </c>
      <c r="GON1" s="65" t="s">
        <v>5481</v>
      </c>
      <c r="GOO1" s="65" t="s">
        <v>5482</v>
      </c>
      <c r="GOP1" s="65" t="s">
        <v>5483</v>
      </c>
      <c r="GOQ1" s="65" t="s">
        <v>5484</v>
      </c>
      <c r="GOR1" s="65" t="s">
        <v>5485</v>
      </c>
      <c r="GOS1" s="65" t="s">
        <v>5486</v>
      </c>
      <c r="GOT1" s="65" t="s">
        <v>5487</v>
      </c>
      <c r="GOU1" s="65" t="s">
        <v>5488</v>
      </c>
      <c r="GOV1" s="65" t="s">
        <v>5489</v>
      </c>
      <c r="GOW1" s="65" t="s">
        <v>5490</v>
      </c>
      <c r="GOX1" s="65" t="s">
        <v>5491</v>
      </c>
      <c r="GOY1" s="65" t="s">
        <v>5492</v>
      </c>
      <c r="GOZ1" s="65" t="s">
        <v>5493</v>
      </c>
      <c r="GPA1" s="65" t="s">
        <v>5494</v>
      </c>
      <c r="GPB1" s="65" t="s">
        <v>5495</v>
      </c>
      <c r="GPC1" s="65" t="s">
        <v>5496</v>
      </c>
      <c r="GPD1" s="65" t="s">
        <v>5497</v>
      </c>
      <c r="GPE1" s="65" t="s">
        <v>5498</v>
      </c>
      <c r="GPF1" s="65" t="s">
        <v>5499</v>
      </c>
      <c r="GPG1" s="65" t="s">
        <v>5500</v>
      </c>
      <c r="GPH1" s="65" t="s">
        <v>5501</v>
      </c>
      <c r="GPI1" s="65" t="s">
        <v>5502</v>
      </c>
      <c r="GPJ1" s="65" t="s">
        <v>5503</v>
      </c>
      <c r="GPK1" s="65" t="s">
        <v>5504</v>
      </c>
      <c r="GPL1" s="65" t="s">
        <v>5505</v>
      </c>
      <c r="GPM1" s="65" t="s">
        <v>5506</v>
      </c>
      <c r="GPN1" s="65" t="s">
        <v>5507</v>
      </c>
      <c r="GPO1" s="65" t="s">
        <v>5508</v>
      </c>
      <c r="GPP1" s="65" t="s">
        <v>5509</v>
      </c>
      <c r="GPQ1" s="65" t="s">
        <v>5510</v>
      </c>
      <c r="GPR1" s="65" t="s">
        <v>5511</v>
      </c>
      <c r="GPS1" s="65" t="s">
        <v>5512</v>
      </c>
      <c r="GPT1" s="65" t="s">
        <v>5513</v>
      </c>
      <c r="GPU1" s="65" t="s">
        <v>5514</v>
      </c>
      <c r="GPV1" s="65" t="s">
        <v>5515</v>
      </c>
      <c r="GPW1" s="65" t="s">
        <v>5516</v>
      </c>
      <c r="GPX1" s="65" t="s">
        <v>5517</v>
      </c>
      <c r="GPY1" s="65" t="s">
        <v>5518</v>
      </c>
      <c r="GPZ1" s="65" t="s">
        <v>5519</v>
      </c>
      <c r="GQA1" s="65" t="s">
        <v>5520</v>
      </c>
      <c r="GQB1" s="65" t="s">
        <v>5521</v>
      </c>
      <c r="GQC1" s="65" t="s">
        <v>5522</v>
      </c>
      <c r="GQD1" s="65" t="s">
        <v>5523</v>
      </c>
      <c r="GQE1" s="65" t="s">
        <v>5524</v>
      </c>
      <c r="GQF1" s="65" t="s">
        <v>5525</v>
      </c>
      <c r="GQG1" s="65" t="s">
        <v>5526</v>
      </c>
      <c r="GQH1" s="65" t="s">
        <v>5527</v>
      </c>
      <c r="GQI1" s="65" t="s">
        <v>5528</v>
      </c>
      <c r="GQJ1" s="65" t="s">
        <v>5529</v>
      </c>
      <c r="GQK1" s="65" t="s">
        <v>5530</v>
      </c>
      <c r="GQL1" s="65" t="s">
        <v>5531</v>
      </c>
      <c r="GQM1" s="65" t="s">
        <v>5532</v>
      </c>
      <c r="GQN1" s="65" t="s">
        <v>5533</v>
      </c>
      <c r="GQO1" s="65" t="s">
        <v>5534</v>
      </c>
      <c r="GQP1" s="65" t="s">
        <v>5535</v>
      </c>
      <c r="GQQ1" s="65" t="s">
        <v>5536</v>
      </c>
      <c r="GQR1" s="65" t="s">
        <v>5537</v>
      </c>
      <c r="GQS1" s="65" t="s">
        <v>5538</v>
      </c>
      <c r="GQT1" s="65" t="s">
        <v>5539</v>
      </c>
      <c r="GQU1" s="65" t="s">
        <v>5540</v>
      </c>
      <c r="GQV1" s="65" t="s">
        <v>5541</v>
      </c>
      <c r="GQW1" s="65" t="s">
        <v>5542</v>
      </c>
      <c r="GQX1" s="65" t="s">
        <v>5543</v>
      </c>
      <c r="GQY1" s="65" t="s">
        <v>5544</v>
      </c>
      <c r="GQZ1" s="65" t="s">
        <v>5545</v>
      </c>
      <c r="GRA1" s="65" t="s">
        <v>5546</v>
      </c>
      <c r="GRB1" s="65" t="s">
        <v>5547</v>
      </c>
      <c r="GRC1" s="65" t="s">
        <v>5548</v>
      </c>
      <c r="GRD1" s="65" t="s">
        <v>5549</v>
      </c>
      <c r="GRE1" s="65" t="s">
        <v>5550</v>
      </c>
      <c r="GRF1" s="65" t="s">
        <v>5551</v>
      </c>
      <c r="GRG1" s="65" t="s">
        <v>5552</v>
      </c>
      <c r="GRH1" s="65" t="s">
        <v>5553</v>
      </c>
      <c r="GRI1" s="65" t="s">
        <v>5554</v>
      </c>
      <c r="GRJ1" s="65" t="s">
        <v>5555</v>
      </c>
      <c r="GRK1" s="65" t="s">
        <v>5556</v>
      </c>
      <c r="GRL1" s="65" t="s">
        <v>5557</v>
      </c>
      <c r="GRM1" s="65" t="s">
        <v>5558</v>
      </c>
      <c r="GRN1" s="65" t="s">
        <v>5559</v>
      </c>
      <c r="GRO1" s="65" t="s">
        <v>5560</v>
      </c>
      <c r="GRP1" s="65" t="s">
        <v>5561</v>
      </c>
      <c r="GRQ1" s="65" t="s">
        <v>5562</v>
      </c>
      <c r="GRR1" s="65" t="s">
        <v>5563</v>
      </c>
      <c r="GRS1" s="65" t="s">
        <v>5564</v>
      </c>
      <c r="GRT1" s="65" t="s">
        <v>5565</v>
      </c>
      <c r="GRU1" s="65" t="s">
        <v>5566</v>
      </c>
      <c r="GRV1" s="65" t="s">
        <v>5567</v>
      </c>
      <c r="GRW1" s="65" t="s">
        <v>5568</v>
      </c>
      <c r="GRX1" s="65" t="s">
        <v>5569</v>
      </c>
      <c r="GRY1" s="65" t="s">
        <v>5570</v>
      </c>
      <c r="GRZ1" s="65" t="s">
        <v>5571</v>
      </c>
      <c r="GSA1" s="65" t="s">
        <v>5572</v>
      </c>
      <c r="GSB1" s="65" t="s">
        <v>5573</v>
      </c>
      <c r="GSC1" s="65" t="s">
        <v>5574</v>
      </c>
      <c r="GSD1" s="65" t="s">
        <v>5575</v>
      </c>
      <c r="GSE1" s="65" t="s">
        <v>5576</v>
      </c>
      <c r="GSF1" s="65" t="s">
        <v>5577</v>
      </c>
      <c r="GSG1" s="65" t="s">
        <v>5578</v>
      </c>
      <c r="GSH1" s="65" t="s">
        <v>5579</v>
      </c>
      <c r="GSI1" s="65" t="s">
        <v>5580</v>
      </c>
      <c r="GSJ1" s="65" t="s">
        <v>5581</v>
      </c>
      <c r="GSK1" s="65" t="s">
        <v>5582</v>
      </c>
      <c r="GSL1" s="65" t="s">
        <v>5583</v>
      </c>
      <c r="GSM1" s="65" t="s">
        <v>5584</v>
      </c>
      <c r="GSN1" s="65" t="s">
        <v>5585</v>
      </c>
      <c r="GSO1" s="65" t="s">
        <v>5586</v>
      </c>
      <c r="GSP1" s="65" t="s">
        <v>5587</v>
      </c>
      <c r="GSQ1" s="65" t="s">
        <v>5588</v>
      </c>
      <c r="GSR1" s="65" t="s">
        <v>5589</v>
      </c>
      <c r="GSS1" s="65" t="s">
        <v>5590</v>
      </c>
      <c r="GST1" s="65" t="s">
        <v>5591</v>
      </c>
      <c r="GSU1" s="65" t="s">
        <v>5592</v>
      </c>
      <c r="GSV1" s="65" t="s">
        <v>5593</v>
      </c>
      <c r="GSW1" s="65" t="s">
        <v>5594</v>
      </c>
      <c r="GSX1" s="65" t="s">
        <v>5595</v>
      </c>
      <c r="GSY1" s="65" t="s">
        <v>5596</v>
      </c>
      <c r="GSZ1" s="65" t="s">
        <v>5597</v>
      </c>
      <c r="GTA1" s="65" t="s">
        <v>5598</v>
      </c>
      <c r="GTB1" s="65" t="s">
        <v>5599</v>
      </c>
      <c r="GTC1" s="65" t="s">
        <v>5600</v>
      </c>
      <c r="GTD1" s="65" t="s">
        <v>5601</v>
      </c>
      <c r="GTE1" s="65" t="s">
        <v>5602</v>
      </c>
      <c r="GTF1" s="65" t="s">
        <v>5603</v>
      </c>
      <c r="GTG1" s="65" t="s">
        <v>5604</v>
      </c>
      <c r="GTH1" s="65" t="s">
        <v>5605</v>
      </c>
      <c r="GTI1" s="65" t="s">
        <v>5606</v>
      </c>
      <c r="GTJ1" s="65" t="s">
        <v>5607</v>
      </c>
      <c r="GTK1" s="65" t="s">
        <v>5608</v>
      </c>
      <c r="GTL1" s="65" t="s">
        <v>5609</v>
      </c>
      <c r="GTM1" s="65" t="s">
        <v>5610</v>
      </c>
      <c r="GTN1" s="65" t="s">
        <v>5611</v>
      </c>
      <c r="GTO1" s="65" t="s">
        <v>5612</v>
      </c>
      <c r="GTP1" s="65" t="s">
        <v>5613</v>
      </c>
      <c r="GTQ1" s="65" t="s">
        <v>5614</v>
      </c>
      <c r="GTR1" s="65" t="s">
        <v>5615</v>
      </c>
      <c r="GTS1" s="65" t="s">
        <v>5616</v>
      </c>
      <c r="GTT1" s="65" t="s">
        <v>5617</v>
      </c>
      <c r="GTU1" s="65" t="s">
        <v>5618</v>
      </c>
      <c r="GTV1" s="65" t="s">
        <v>5619</v>
      </c>
      <c r="GTW1" s="65" t="s">
        <v>5620</v>
      </c>
      <c r="GTX1" s="65" t="s">
        <v>5621</v>
      </c>
      <c r="GTY1" s="65" t="s">
        <v>5622</v>
      </c>
      <c r="GTZ1" s="65" t="s">
        <v>5623</v>
      </c>
      <c r="GUA1" s="65" t="s">
        <v>5624</v>
      </c>
      <c r="GUB1" s="65" t="s">
        <v>5625</v>
      </c>
      <c r="GUC1" s="65" t="s">
        <v>5626</v>
      </c>
      <c r="GUD1" s="65" t="s">
        <v>5627</v>
      </c>
      <c r="GUE1" s="65" t="s">
        <v>5628</v>
      </c>
      <c r="GUF1" s="65" t="s">
        <v>5629</v>
      </c>
      <c r="GUG1" s="65" t="s">
        <v>5630</v>
      </c>
      <c r="GUH1" s="65" t="s">
        <v>5631</v>
      </c>
      <c r="GUI1" s="65" t="s">
        <v>5632</v>
      </c>
      <c r="GUJ1" s="65" t="s">
        <v>5633</v>
      </c>
      <c r="GUK1" s="65" t="s">
        <v>5634</v>
      </c>
      <c r="GUL1" s="65" t="s">
        <v>5635</v>
      </c>
      <c r="GUM1" s="65" t="s">
        <v>5636</v>
      </c>
      <c r="GUN1" s="65" t="s">
        <v>5637</v>
      </c>
      <c r="GUO1" s="65" t="s">
        <v>5638</v>
      </c>
      <c r="GUP1" s="65" t="s">
        <v>5639</v>
      </c>
      <c r="GUQ1" s="65" t="s">
        <v>5640</v>
      </c>
      <c r="GUR1" s="65" t="s">
        <v>5641</v>
      </c>
      <c r="GUS1" s="65" t="s">
        <v>5642</v>
      </c>
      <c r="GUT1" s="65" t="s">
        <v>5643</v>
      </c>
      <c r="GUU1" s="65" t="s">
        <v>5644</v>
      </c>
      <c r="GUV1" s="65" t="s">
        <v>5645</v>
      </c>
      <c r="GUW1" s="65" t="s">
        <v>5646</v>
      </c>
      <c r="GUX1" s="65" t="s">
        <v>5647</v>
      </c>
      <c r="GUY1" s="65" t="s">
        <v>5648</v>
      </c>
      <c r="GUZ1" s="65" t="s">
        <v>5649</v>
      </c>
      <c r="GVA1" s="65" t="s">
        <v>5650</v>
      </c>
      <c r="GVB1" s="65" t="s">
        <v>5651</v>
      </c>
      <c r="GVC1" s="65" t="s">
        <v>5652</v>
      </c>
      <c r="GVD1" s="65" t="s">
        <v>5653</v>
      </c>
      <c r="GVE1" s="65" t="s">
        <v>5654</v>
      </c>
      <c r="GVF1" s="65" t="s">
        <v>5655</v>
      </c>
      <c r="GVG1" s="65" t="s">
        <v>5656</v>
      </c>
      <c r="GVH1" s="65" t="s">
        <v>5657</v>
      </c>
      <c r="GVI1" s="65" t="s">
        <v>5658</v>
      </c>
      <c r="GVJ1" s="65" t="s">
        <v>5659</v>
      </c>
      <c r="GVK1" s="65" t="s">
        <v>5660</v>
      </c>
      <c r="GVL1" s="65" t="s">
        <v>5661</v>
      </c>
      <c r="GVM1" s="65" t="s">
        <v>5662</v>
      </c>
      <c r="GVN1" s="65" t="s">
        <v>5663</v>
      </c>
      <c r="GVO1" s="65" t="s">
        <v>5664</v>
      </c>
      <c r="GVP1" s="65" t="s">
        <v>5665</v>
      </c>
      <c r="GVQ1" s="65" t="s">
        <v>5666</v>
      </c>
      <c r="GVR1" s="65" t="s">
        <v>5667</v>
      </c>
      <c r="GVS1" s="65" t="s">
        <v>5668</v>
      </c>
      <c r="GVT1" s="65" t="s">
        <v>5669</v>
      </c>
      <c r="GVU1" s="65" t="s">
        <v>5670</v>
      </c>
      <c r="GVV1" s="65" t="s">
        <v>5671</v>
      </c>
      <c r="GVW1" s="65" t="s">
        <v>5672</v>
      </c>
      <c r="GVX1" s="65" t="s">
        <v>5673</v>
      </c>
      <c r="GVY1" s="65" t="s">
        <v>5674</v>
      </c>
      <c r="GVZ1" s="65" t="s">
        <v>5675</v>
      </c>
      <c r="GWA1" s="65" t="s">
        <v>5676</v>
      </c>
      <c r="GWB1" s="65" t="s">
        <v>5677</v>
      </c>
      <c r="GWC1" s="65" t="s">
        <v>5678</v>
      </c>
      <c r="GWD1" s="65" t="s">
        <v>5679</v>
      </c>
      <c r="GWE1" s="65" t="s">
        <v>5680</v>
      </c>
      <c r="GWF1" s="65" t="s">
        <v>5681</v>
      </c>
      <c r="GWG1" s="65" t="s">
        <v>5682</v>
      </c>
      <c r="GWH1" s="65" t="s">
        <v>5683</v>
      </c>
      <c r="GWI1" s="65" t="s">
        <v>5684</v>
      </c>
      <c r="GWJ1" s="65" t="s">
        <v>5685</v>
      </c>
      <c r="GWK1" s="65" t="s">
        <v>5686</v>
      </c>
      <c r="GWL1" s="65" t="s">
        <v>5687</v>
      </c>
      <c r="GWM1" s="65" t="s">
        <v>5688</v>
      </c>
      <c r="GWN1" s="65" t="s">
        <v>5689</v>
      </c>
      <c r="GWO1" s="65" t="s">
        <v>5690</v>
      </c>
      <c r="GWP1" s="65" t="s">
        <v>5691</v>
      </c>
      <c r="GWQ1" s="65" t="s">
        <v>5692</v>
      </c>
      <c r="GWR1" s="65" t="s">
        <v>5693</v>
      </c>
      <c r="GWS1" s="65" t="s">
        <v>5694</v>
      </c>
      <c r="GWT1" s="65" t="s">
        <v>5695</v>
      </c>
      <c r="GWU1" s="65" t="s">
        <v>5696</v>
      </c>
      <c r="GWV1" s="65" t="s">
        <v>5697</v>
      </c>
      <c r="GWW1" s="65" t="s">
        <v>5698</v>
      </c>
      <c r="GWX1" s="65" t="s">
        <v>5699</v>
      </c>
      <c r="GWY1" s="65" t="s">
        <v>5700</v>
      </c>
      <c r="GWZ1" s="65" t="s">
        <v>5701</v>
      </c>
      <c r="GXA1" s="65" t="s">
        <v>5702</v>
      </c>
      <c r="GXB1" s="65" t="s">
        <v>5703</v>
      </c>
      <c r="GXC1" s="65" t="s">
        <v>5704</v>
      </c>
      <c r="GXD1" s="65" t="s">
        <v>5705</v>
      </c>
      <c r="GXE1" s="65" t="s">
        <v>5706</v>
      </c>
      <c r="GXF1" s="65" t="s">
        <v>5707</v>
      </c>
      <c r="GXG1" s="65" t="s">
        <v>5708</v>
      </c>
      <c r="GXH1" s="65" t="s">
        <v>5709</v>
      </c>
      <c r="GXI1" s="65" t="s">
        <v>5710</v>
      </c>
      <c r="GXJ1" s="65" t="s">
        <v>5711</v>
      </c>
      <c r="GXK1" s="65" t="s">
        <v>5712</v>
      </c>
      <c r="GXL1" s="65" t="s">
        <v>5713</v>
      </c>
      <c r="GXM1" s="65" t="s">
        <v>5714</v>
      </c>
      <c r="GXN1" s="65" t="s">
        <v>5715</v>
      </c>
      <c r="GXO1" s="65" t="s">
        <v>5716</v>
      </c>
      <c r="GXP1" s="65" t="s">
        <v>5717</v>
      </c>
      <c r="GXQ1" s="65" t="s">
        <v>5718</v>
      </c>
      <c r="GXR1" s="65" t="s">
        <v>5719</v>
      </c>
      <c r="GXS1" s="65" t="s">
        <v>5720</v>
      </c>
      <c r="GXT1" s="65" t="s">
        <v>5721</v>
      </c>
      <c r="GXU1" s="65" t="s">
        <v>5722</v>
      </c>
      <c r="GXV1" s="65" t="s">
        <v>5723</v>
      </c>
      <c r="GXW1" s="65" t="s">
        <v>5724</v>
      </c>
      <c r="GXX1" s="65" t="s">
        <v>5725</v>
      </c>
      <c r="GXY1" s="65" t="s">
        <v>5726</v>
      </c>
      <c r="GXZ1" s="65" t="s">
        <v>5727</v>
      </c>
      <c r="GYA1" s="65" t="s">
        <v>5728</v>
      </c>
      <c r="GYB1" s="65" t="s">
        <v>5729</v>
      </c>
      <c r="GYC1" s="65" t="s">
        <v>5730</v>
      </c>
      <c r="GYD1" s="65" t="s">
        <v>5731</v>
      </c>
      <c r="GYE1" s="65" t="s">
        <v>5732</v>
      </c>
      <c r="GYF1" s="65" t="s">
        <v>5733</v>
      </c>
      <c r="GYG1" s="65" t="s">
        <v>5734</v>
      </c>
      <c r="GYH1" s="65" t="s">
        <v>5735</v>
      </c>
      <c r="GYI1" s="65" t="s">
        <v>5736</v>
      </c>
      <c r="GYJ1" s="65" t="s">
        <v>5737</v>
      </c>
      <c r="GYK1" s="65" t="s">
        <v>5738</v>
      </c>
      <c r="GYL1" s="65" t="s">
        <v>5739</v>
      </c>
      <c r="GYM1" s="65" t="s">
        <v>5740</v>
      </c>
      <c r="GYN1" s="65" t="s">
        <v>5741</v>
      </c>
      <c r="GYO1" s="65" t="s">
        <v>5742</v>
      </c>
      <c r="GYP1" s="65" t="s">
        <v>5743</v>
      </c>
      <c r="GYQ1" s="65" t="s">
        <v>5744</v>
      </c>
      <c r="GYR1" s="65" t="s">
        <v>5745</v>
      </c>
      <c r="GYS1" s="65" t="s">
        <v>5746</v>
      </c>
      <c r="GYT1" s="65" t="s">
        <v>5747</v>
      </c>
      <c r="GYU1" s="65" t="s">
        <v>5748</v>
      </c>
      <c r="GYV1" s="65" t="s">
        <v>5749</v>
      </c>
      <c r="GYW1" s="65" t="s">
        <v>5750</v>
      </c>
      <c r="GYX1" s="65" t="s">
        <v>5751</v>
      </c>
      <c r="GYY1" s="65" t="s">
        <v>5752</v>
      </c>
      <c r="GYZ1" s="65" t="s">
        <v>5753</v>
      </c>
      <c r="GZA1" s="65" t="s">
        <v>5754</v>
      </c>
      <c r="GZB1" s="65" t="s">
        <v>5755</v>
      </c>
      <c r="GZC1" s="65" t="s">
        <v>5756</v>
      </c>
      <c r="GZD1" s="65" t="s">
        <v>5757</v>
      </c>
      <c r="GZE1" s="65" t="s">
        <v>5758</v>
      </c>
      <c r="GZF1" s="65" t="s">
        <v>5759</v>
      </c>
      <c r="GZG1" s="65" t="s">
        <v>5760</v>
      </c>
      <c r="GZH1" s="65" t="s">
        <v>5761</v>
      </c>
      <c r="GZI1" s="65" t="s">
        <v>5762</v>
      </c>
      <c r="GZJ1" s="65" t="s">
        <v>5763</v>
      </c>
      <c r="GZK1" s="65" t="s">
        <v>5764</v>
      </c>
      <c r="GZL1" s="65" t="s">
        <v>5765</v>
      </c>
      <c r="GZM1" s="65" t="s">
        <v>5766</v>
      </c>
      <c r="GZN1" s="65" t="s">
        <v>5767</v>
      </c>
      <c r="GZO1" s="65" t="s">
        <v>5768</v>
      </c>
      <c r="GZP1" s="65" t="s">
        <v>5769</v>
      </c>
      <c r="GZQ1" s="65" t="s">
        <v>5770</v>
      </c>
      <c r="GZR1" s="65" t="s">
        <v>5771</v>
      </c>
      <c r="GZS1" s="65" t="s">
        <v>5772</v>
      </c>
      <c r="GZT1" s="65" t="s">
        <v>5773</v>
      </c>
      <c r="GZU1" s="65" t="s">
        <v>5774</v>
      </c>
      <c r="GZV1" s="65" t="s">
        <v>5775</v>
      </c>
      <c r="GZW1" s="65" t="s">
        <v>5776</v>
      </c>
      <c r="GZX1" s="65" t="s">
        <v>5777</v>
      </c>
      <c r="GZY1" s="65" t="s">
        <v>5778</v>
      </c>
      <c r="GZZ1" s="65" t="s">
        <v>5779</v>
      </c>
      <c r="HAA1" s="65" t="s">
        <v>5780</v>
      </c>
      <c r="HAB1" s="65" t="s">
        <v>5781</v>
      </c>
      <c r="HAC1" s="65" t="s">
        <v>5782</v>
      </c>
      <c r="HAD1" s="65" t="s">
        <v>5783</v>
      </c>
      <c r="HAE1" s="65" t="s">
        <v>5784</v>
      </c>
      <c r="HAF1" s="65" t="s">
        <v>5785</v>
      </c>
      <c r="HAG1" s="65" t="s">
        <v>5786</v>
      </c>
      <c r="HAH1" s="65" t="s">
        <v>5787</v>
      </c>
      <c r="HAI1" s="65" t="s">
        <v>5788</v>
      </c>
      <c r="HAJ1" s="65" t="s">
        <v>5789</v>
      </c>
      <c r="HAK1" s="65" t="s">
        <v>5790</v>
      </c>
      <c r="HAL1" s="65" t="s">
        <v>5791</v>
      </c>
      <c r="HAM1" s="65" t="s">
        <v>5792</v>
      </c>
      <c r="HAN1" s="65" t="s">
        <v>5793</v>
      </c>
      <c r="HAO1" s="65" t="s">
        <v>5794</v>
      </c>
      <c r="HAP1" s="65" t="s">
        <v>5795</v>
      </c>
      <c r="HAQ1" s="65" t="s">
        <v>5796</v>
      </c>
      <c r="HAR1" s="65" t="s">
        <v>5797</v>
      </c>
      <c r="HAS1" s="65" t="s">
        <v>5798</v>
      </c>
      <c r="HAT1" s="65" t="s">
        <v>5799</v>
      </c>
      <c r="HAU1" s="65" t="s">
        <v>5800</v>
      </c>
      <c r="HAV1" s="65" t="s">
        <v>5801</v>
      </c>
      <c r="HAW1" s="65" t="s">
        <v>5802</v>
      </c>
      <c r="HAX1" s="65" t="s">
        <v>5803</v>
      </c>
      <c r="HAY1" s="65" t="s">
        <v>5804</v>
      </c>
      <c r="HAZ1" s="65" t="s">
        <v>5805</v>
      </c>
      <c r="HBA1" s="65" t="s">
        <v>5806</v>
      </c>
      <c r="HBB1" s="65" t="s">
        <v>5807</v>
      </c>
      <c r="HBC1" s="65" t="s">
        <v>5808</v>
      </c>
      <c r="HBD1" s="65" t="s">
        <v>5809</v>
      </c>
      <c r="HBE1" s="65" t="s">
        <v>5810</v>
      </c>
      <c r="HBF1" s="65" t="s">
        <v>5811</v>
      </c>
      <c r="HBG1" s="65" t="s">
        <v>5812</v>
      </c>
      <c r="HBH1" s="65" t="s">
        <v>5813</v>
      </c>
      <c r="HBI1" s="65" t="s">
        <v>5814</v>
      </c>
      <c r="HBJ1" s="65" t="s">
        <v>5815</v>
      </c>
      <c r="HBK1" s="65" t="s">
        <v>5816</v>
      </c>
      <c r="HBL1" s="65" t="s">
        <v>5817</v>
      </c>
      <c r="HBM1" s="65" t="s">
        <v>5818</v>
      </c>
      <c r="HBN1" s="65" t="s">
        <v>5819</v>
      </c>
      <c r="HBO1" s="65" t="s">
        <v>5820</v>
      </c>
      <c r="HBP1" s="65" t="s">
        <v>5821</v>
      </c>
      <c r="HBQ1" s="65" t="s">
        <v>5822</v>
      </c>
      <c r="HBR1" s="65" t="s">
        <v>5823</v>
      </c>
      <c r="HBS1" s="65" t="s">
        <v>5824</v>
      </c>
      <c r="HBT1" s="65" t="s">
        <v>5825</v>
      </c>
      <c r="HBU1" s="65" t="s">
        <v>5826</v>
      </c>
      <c r="HBV1" s="65" t="s">
        <v>5827</v>
      </c>
      <c r="HBW1" s="65" t="s">
        <v>5828</v>
      </c>
      <c r="HBX1" s="65" t="s">
        <v>5829</v>
      </c>
      <c r="HBY1" s="65" t="s">
        <v>5830</v>
      </c>
      <c r="HBZ1" s="65" t="s">
        <v>5831</v>
      </c>
      <c r="HCA1" s="65" t="s">
        <v>5832</v>
      </c>
      <c r="HCB1" s="65" t="s">
        <v>5833</v>
      </c>
      <c r="HCC1" s="65" t="s">
        <v>5834</v>
      </c>
      <c r="HCD1" s="65" t="s">
        <v>5835</v>
      </c>
      <c r="HCE1" s="65" t="s">
        <v>5836</v>
      </c>
      <c r="HCF1" s="65" t="s">
        <v>5837</v>
      </c>
      <c r="HCG1" s="65" t="s">
        <v>5838</v>
      </c>
      <c r="HCH1" s="65" t="s">
        <v>5839</v>
      </c>
      <c r="HCI1" s="65" t="s">
        <v>5840</v>
      </c>
      <c r="HCJ1" s="65" t="s">
        <v>5841</v>
      </c>
      <c r="HCK1" s="65" t="s">
        <v>5842</v>
      </c>
      <c r="HCL1" s="65" t="s">
        <v>5843</v>
      </c>
      <c r="HCM1" s="65" t="s">
        <v>5844</v>
      </c>
      <c r="HCN1" s="65" t="s">
        <v>5845</v>
      </c>
      <c r="HCO1" s="65" t="s">
        <v>5846</v>
      </c>
      <c r="HCP1" s="65" t="s">
        <v>5847</v>
      </c>
      <c r="HCQ1" s="65" t="s">
        <v>5848</v>
      </c>
      <c r="HCR1" s="65" t="s">
        <v>5849</v>
      </c>
      <c r="HCS1" s="65" t="s">
        <v>5850</v>
      </c>
      <c r="HCT1" s="65" t="s">
        <v>5851</v>
      </c>
      <c r="HCU1" s="65" t="s">
        <v>5852</v>
      </c>
      <c r="HCV1" s="65" t="s">
        <v>5853</v>
      </c>
      <c r="HCW1" s="65" t="s">
        <v>5854</v>
      </c>
      <c r="HCX1" s="65" t="s">
        <v>5855</v>
      </c>
      <c r="HCY1" s="65" t="s">
        <v>5856</v>
      </c>
      <c r="HCZ1" s="65" t="s">
        <v>5857</v>
      </c>
      <c r="HDA1" s="65" t="s">
        <v>5858</v>
      </c>
      <c r="HDB1" s="65" t="s">
        <v>5859</v>
      </c>
      <c r="HDC1" s="65" t="s">
        <v>5860</v>
      </c>
      <c r="HDD1" s="65" t="s">
        <v>5861</v>
      </c>
      <c r="HDE1" s="65" t="s">
        <v>5862</v>
      </c>
      <c r="HDF1" s="65" t="s">
        <v>5863</v>
      </c>
      <c r="HDG1" s="65" t="s">
        <v>5864</v>
      </c>
      <c r="HDH1" s="65" t="s">
        <v>5865</v>
      </c>
      <c r="HDI1" s="65" t="s">
        <v>5866</v>
      </c>
      <c r="HDJ1" s="65" t="s">
        <v>5867</v>
      </c>
      <c r="HDK1" s="65" t="s">
        <v>5868</v>
      </c>
      <c r="HDL1" s="65" t="s">
        <v>5869</v>
      </c>
      <c r="HDM1" s="65" t="s">
        <v>5870</v>
      </c>
      <c r="HDN1" s="65" t="s">
        <v>5871</v>
      </c>
      <c r="HDO1" s="65" t="s">
        <v>5872</v>
      </c>
      <c r="HDP1" s="65" t="s">
        <v>5873</v>
      </c>
      <c r="HDQ1" s="65" t="s">
        <v>5874</v>
      </c>
      <c r="HDR1" s="65" t="s">
        <v>5875</v>
      </c>
      <c r="HDS1" s="65" t="s">
        <v>5876</v>
      </c>
      <c r="HDT1" s="65" t="s">
        <v>5877</v>
      </c>
      <c r="HDU1" s="65" t="s">
        <v>5878</v>
      </c>
      <c r="HDV1" s="65" t="s">
        <v>5879</v>
      </c>
      <c r="HDW1" s="65" t="s">
        <v>5880</v>
      </c>
      <c r="HDX1" s="65" t="s">
        <v>5881</v>
      </c>
      <c r="HDY1" s="65" t="s">
        <v>5882</v>
      </c>
      <c r="HDZ1" s="65" t="s">
        <v>5883</v>
      </c>
      <c r="HEA1" s="65" t="s">
        <v>5884</v>
      </c>
      <c r="HEB1" s="65" t="s">
        <v>5885</v>
      </c>
      <c r="HEC1" s="65" t="s">
        <v>5886</v>
      </c>
      <c r="HED1" s="65" t="s">
        <v>5887</v>
      </c>
      <c r="HEE1" s="65" t="s">
        <v>5888</v>
      </c>
      <c r="HEF1" s="65" t="s">
        <v>5889</v>
      </c>
      <c r="HEG1" s="65" t="s">
        <v>5890</v>
      </c>
      <c r="HEH1" s="65" t="s">
        <v>5891</v>
      </c>
      <c r="HEI1" s="65" t="s">
        <v>5892</v>
      </c>
      <c r="HEJ1" s="65" t="s">
        <v>5893</v>
      </c>
      <c r="HEK1" s="65" t="s">
        <v>5894</v>
      </c>
      <c r="HEL1" s="65" t="s">
        <v>5895</v>
      </c>
      <c r="HEM1" s="65" t="s">
        <v>5896</v>
      </c>
      <c r="HEN1" s="65" t="s">
        <v>5897</v>
      </c>
      <c r="HEO1" s="65" t="s">
        <v>5898</v>
      </c>
      <c r="HEP1" s="65" t="s">
        <v>5899</v>
      </c>
      <c r="HEQ1" s="65" t="s">
        <v>5900</v>
      </c>
      <c r="HER1" s="65" t="s">
        <v>5901</v>
      </c>
      <c r="HES1" s="65" t="s">
        <v>5902</v>
      </c>
      <c r="HET1" s="65" t="s">
        <v>5903</v>
      </c>
      <c r="HEU1" s="65" t="s">
        <v>5904</v>
      </c>
      <c r="HEV1" s="65" t="s">
        <v>5905</v>
      </c>
      <c r="HEW1" s="65" t="s">
        <v>5906</v>
      </c>
      <c r="HEX1" s="65" t="s">
        <v>5907</v>
      </c>
      <c r="HEY1" s="65" t="s">
        <v>5908</v>
      </c>
      <c r="HEZ1" s="65" t="s">
        <v>5909</v>
      </c>
      <c r="HFA1" s="65" t="s">
        <v>5910</v>
      </c>
      <c r="HFB1" s="65" t="s">
        <v>5911</v>
      </c>
      <c r="HFC1" s="65" t="s">
        <v>5912</v>
      </c>
      <c r="HFD1" s="65" t="s">
        <v>5913</v>
      </c>
      <c r="HFE1" s="65" t="s">
        <v>5914</v>
      </c>
      <c r="HFF1" s="65" t="s">
        <v>5915</v>
      </c>
      <c r="HFG1" s="65" t="s">
        <v>5916</v>
      </c>
      <c r="HFH1" s="65" t="s">
        <v>5917</v>
      </c>
      <c r="HFI1" s="65" t="s">
        <v>5918</v>
      </c>
      <c r="HFJ1" s="65" t="s">
        <v>5919</v>
      </c>
      <c r="HFK1" s="65" t="s">
        <v>5920</v>
      </c>
      <c r="HFL1" s="65" t="s">
        <v>5921</v>
      </c>
      <c r="HFM1" s="65" t="s">
        <v>5922</v>
      </c>
      <c r="HFN1" s="65" t="s">
        <v>5923</v>
      </c>
      <c r="HFO1" s="65" t="s">
        <v>5924</v>
      </c>
      <c r="HFP1" s="65" t="s">
        <v>5925</v>
      </c>
      <c r="HFQ1" s="65" t="s">
        <v>5926</v>
      </c>
      <c r="HFR1" s="65" t="s">
        <v>5927</v>
      </c>
      <c r="HFS1" s="65" t="s">
        <v>5928</v>
      </c>
      <c r="HFT1" s="65" t="s">
        <v>5929</v>
      </c>
      <c r="HFU1" s="65" t="s">
        <v>5930</v>
      </c>
      <c r="HFV1" s="65" t="s">
        <v>5931</v>
      </c>
      <c r="HFW1" s="65" t="s">
        <v>5932</v>
      </c>
      <c r="HFX1" s="65" t="s">
        <v>5933</v>
      </c>
      <c r="HFY1" s="65" t="s">
        <v>5934</v>
      </c>
      <c r="HFZ1" s="65" t="s">
        <v>5935</v>
      </c>
      <c r="HGA1" s="65" t="s">
        <v>5936</v>
      </c>
      <c r="HGB1" s="65" t="s">
        <v>5937</v>
      </c>
      <c r="HGC1" s="65" t="s">
        <v>5938</v>
      </c>
      <c r="HGD1" s="65" t="s">
        <v>5939</v>
      </c>
      <c r="HGE1" s="65" t="s">
        <v>5940</v>
      </c>
      <c r="HGF1" s="65" t="s">
        <v>5941</v>
      </c>
      <c r="HGG1" s="65" t="s">
        <v>5942</v>
      </c>
      <c r="HGH1" s="65" t="s">
        <v>5943</v>
      </c>
      <c r="HGI1" s="65" t="s">
        <v>5944</v>
      </c>
      <c r="HGJ1" s="65" t="s">
        <v>5945</v>
      </c>
      <c r="HGK1" s="65" t="s">
        <v>5946</v>
      </c>
      <c r="HGL1" s="65" t="s">
        <v>5947</v>
      </c>
      <c r="HGM1" s="65" t="s">
        <v>5948</v>
      </c>
      <c r="HGN1" s="65" t="s">
        <v>5949</v>
      </c>
      <c r="HGO1" s="65" t="s">
        <v>5950</v>
      </c>
      <c r="HGP1" s="65" t="s">
        <v>5951</v>
      </c>
      <c r="HGQ1" s="65" t="s">
        <v>5952</v>
      </c>
      <c r="HGR1" s="65" t="s">
        <v>5953</v>
      </c>
      <c r="HGS1" s="65" t="s">
        <v>5954</v>
      </c>
      <c r="HGT1" s="65" t="s">
        <v>5955</v>
      </c>
      <c r="HGU1" s="65" t="s">
        <v>5956</v>
      </c>
      <c r="HGV1" s="65" t="s">
        <v>5957</v>
      </c>
      <c r="HGW1" s="65" t="s">
        <v>5958</v>
      </c>
      <c r="HGX1" s="65" t="s">
        <v>5959</v>
      </c>
      <c r="HGY1" s="65" t="s">
        <v>5960</v>
      </c>
      <c r="HGZ1" s="65" t="s">
        <v>5961</v>
      </c>
      <c r="HHA1" s="65" t="s">
        <v>5962</v>
      </c>
      <c r="HHB1" s="65" t="s">
        <v>5963</v>
      </c>
      <c r="HHC1" s="65" t="s">
        <v>5964</v>
      </c>
      <c r="HHD1" s="65" t="s">
        <v>5965</v>
      </c>
      <c r="HHE1" s="65" t="s">
        <v>5966</v>
      </c>
      <c r="HHF1" s="65" t="s">
        <v>5967</v>
      </c>
      <c r="HHG1" s="65" t="s">
        <v>5968</v>
      </c>
      <c r="HHH1" s="65" t="s">
        <v>5969</v>
      </c>
      <c r="HHI1" s="65" t="s">
        <v>5970</v>
      </c>
      <c r="HHJ1" s="65" t="s">
        <v>5971</v>
      </c>
      <c r="HHK1" s="65" t="s">
        <v>5972</v>
      </c>
      <c r="HHL1" s="65" t="s">
        <v>5973</v>
      </c>
      <c r="HHM1" s="65" t="s">
        <v>5974</v>
      </c>
      <c r="HHN1" s="65" t="s">
        <v>5975</v>
      </c>
      <c r="HHO1" s="65" t="s">
        <v>5976</v>
      </c>
      <c r="HHP1" s="65" t="s">
        <v>5977</v>
      </c>
      <c r="HHQ1" s="65" t="s">
        <v>5978</v>
      </c>
      <c r="HHR1" s="65" t="s">
        <v>5979</v>
      </c>
      <c r="HHS1" s="65" t="s">
        <v>5980</v>
      </c>
      <c r="HHT1" s="65" t="s">
        <v>5981</v>
      </c>
      <c r="HHU1" s="65" t="s">
        <v>5982</v>
      </c>
      <c r="HHV1" s="65" t="s">
        <v>5983</v>
      </c>
      <c r="HHW1" s="65" t="s">
        <v>5984</v>
      </c>
      <c r="HHX1" s="65" t="s">
        <v>5985</v>
      </c>
      <c r="HHY1" s="65" t="s">
        <v>5986</v>
      </c>
      <c r="HHZ1" s="65" t="s">
        <v>5987</v>
      </c>
      <c r="HIA1" s="65" t="s">
        <v>5988</v>
      </c>
      <c r="HIB1" s="65" t="s">
        <v>5989</v>
      </c>
      <c r="HIC1" s="65" t="s">
        <v>5990</v>
      </c>
      <c r="HID1" s="65" t="s">
        <v>5991</v>
      </c>
      <c r="HIE1" s="65" t="s">
        <v>5992</v>
      </c>
      <c r="HIF1" s="65" t="s">
        <v>5993</v>
      </c>
      <c r="HIG1" s="65" t="s">
        <v>5994</v>
      </c>
      <c r="HIH1" s="65" t="s">
        <v>5995</v>
      </c>
      <c r="HII1" s="65" t="s">
        <v>5996</v>
      </c>
      <c r="HIJ1" s="65" t="s">
        <v>5997</v>
      </c>
      <c r="HIK1" s="65" t="s">
        <v>5998</v>
      </c>
      <c r="HIL1" s="65" t="s">
        <v>5999</v>
      </c>
      <c r="HIM1" s="65" t="s">
        <v>6000</v>
      </c>
      <c r="HIN1" s="65" t="s">
        <v>6001</v>
      </c>
      <c r="HIO1" s="65" t="s">
        <v>6002</v>
      </c>
      <c r="HIP1" s="65" t="s">
        <v>6003</v>
      </c>
      <c r="HIQ1" s="65" t="s">
        <v>6004</v>
      </c>
      <c r="HIR1" s="65" t="s">
        <v>6005</v>
      </c>
      <c r="HIS1" s="65" t="s">
        <v>6006</v>
      </c>
      <c r="HIT1" s="65" t="s">
        <v>6007</v>
      </c>
      <c r="HIU1" s="65" t="s">
        <v>6008</v>
      </c>
      <c r="HIV1" s="65" t="s">
        <v>6009</v>
      </c>
      <c r="HIW1" s="65" t="s">
        <v>6010</v>
      </c>
      <c r="HIX1" s="65" t="s">
        <v>6011</v>
      </c>
      <c r="HIY1" s="65" t="s">
        <v>6012</v>
      </c>
      <c r="HIZ1" s="65" t="s">
        <v>6013</v>
      </c>
      <c r="HJA1" s="65" t="s">
        <v>6014</v>
      </c>
      <c r="HJB1" s="65" t="s">
        <v>6015</v>
      </c>
      <c r="HJC1" s="65" t="s">
        <v>6016</v>
      </c>
      <c r="HJD1" s="65" t="s">
        <v>6017</v>
      </c>
      <c r="HJE1" s="65" t="s">
        <v>6018</v>
      </c>
      <c r="HJF1" s="65" t="s">
        <v>6019</v>
      </c>
      <c r="HJG1" s="65" t="s">
        <v>6020</v>
      </c>
      <c r="HJH1" s="65" t="s">
        <v>6021</v>
      </c>
      <c r="HJI1" s="65" t="s">
        <v>6022</v>
      </c>
      <c r="HJJ1" s="65" t="s">
        <v>6023</v>
      </c>
      <c r="HJK1" s="65" t="s">
        <v>6024</v>
      </c>
      <c r="HJL1" s="65" t="s">
        <v>6025</v>
      </c>
      <c r="HJM1" s="65" t="s">
        <v>6026</v>
      </c>
      <c r="HJN1" s="65" t="s">
        <v>6027</v>
      </c>
      <c r="HJO1" s="65" t="s">
        <v>6028</v>
      </c>
      <c r="HJP1" s="65" t="s">
        <v>6029</v>
      </c>
      <c r="HJQ1" s="65" t="s">
        <v>6030</v>
      </c>
      <c r="HJR1" s="65" t="s">
        <v>6031</v>
      </c>
      <c r="HJS1" s="65" t="s">
        <v>6032</v>
      </c>
      <c r="HJT1" s="65" t="s">
        <v>6033</v>
      </c>
      <c r="HJU1" s="65" t="s">
        <v>6034</v>
      </c>
      <c r="HJV1" s="65" t="s">
        <v>6035</v>
      </c>
      <c r="HJW1" s="65" t="s">
        <v>6036</v>
      </c>
      <c r="HJX1" s="65" t="s">
        <v>6037</v>
      </c>
      <c r="HJY1" s="65" t="s">
        <v>6038</v>
      </c>
      <c r="HJZ1" s="65" t="s">
        <v>6039</v>
      </c>
      <c r="HKA1" s="65" t="s">
        <v>6040</v>
      </c>
      <c r="HKB1" s="65" t="s">
        <v>6041</v>
      </c>
      <c r="HKC1" s="65" t="s">
        <v>6042</v>
      </c>
      <c r="HKD1" s="65" t="s">
        <v>6043</v>
      </c>
      <c r="HKE1" s="65" t="s">
        <v>6044</v>
      </c>
      <c r="HKF1" s="65" t="s">
        <v>6045</v>
      </c>
      <c r="HKG1" s="65" t="s">
        <v>6046</v>
      </c>
      <c r="HKH1" s="65" t="s">
        <v>6047</v>
      </c>
      <c r="HKI1" s="65" t="s">
        <v>6048</v>
      </c>
      <c r="HKJ1" s="65" t="s">
        <v>6049</v>
      </c>
      <c r="HKK1" s="65" t="s">
        <v>6050</v>
      </c>
      <c r="HKL1" s="65" t="s">
        <v>6051</v>
      </c>
      <c r="HKM1" s="65" t="s">
        <v>6052</v>
      </c>
      <c r="HKN1" s="65" t="s">
        <v>6053</v>
      </c>
      <c r="HKO1" s="65" t="s">
        <v>6054</v>
      </c>
      <c r="HKP1" s="65" t="s">
        <v>6055</v>
      </c>
      <c r="HKQ1" s="65" t="s">
        <v>6056</v>
      </c>
      <c r="HKR1" s="65" t="s">
        <v>6057</v>
      </c>
      <c r="HKS1" s="65" t="s">
        <v>6058</v>
      </c>
      <c r="HKT1" s="65" t="s">
        <v>6059</v>
      </c>
      <c r="HKU1" s="65" t="s">
        <v>6060</v>
      </c>
      <c r="HKV1" s="65" t="s">
        <v>6061</v>
      </c>
      <c r="HKW1" s="65" t="s">
        <v>6062</v>
      </c>
      <c r="HKX1" s="65" t="s">
        <v>6063</v>
      </c>
      <c r="HKY1" s="65" t="s">
        <v>6064</v>
      </c>
      <c r="HKZ1" s="65" t="s">
        <v>6065</v>
      </c>
      <c r="HLA1" s="65" t="s">
        <v>6066</v>
      </c>
      <c r="HLB1" s="65" t="s">
        <v>6067</v>
      </c>
      <c r="HLC1" s="65" t="s">
        <v>6068</v>
      </c>
      <c r="HLD1" s="65" t="s">
        <v>6069</v>
      </c>
      <c r="HLE1" s="65" t="s">
        <v>6070</v>
      </c>
      <c r="HLF1" s="65" t="s">
        <v>6071</v>
      </c>
      <c r="HLG1" s="65" t="s">
        <v>6072</v>
      </c>
      <c r="HLH1" s="65" t="s">
        <v>6073</v>
      </c>
      <c r="HLI1" s="65" t="s">
        <v>6074</v>
      </c>
      <c r="HLJ1" s="65" t="s">
        <v>6075</v>
      </c>
      <c r="HLK1" s="65" t="s">
        <v>6076</v>
      </c>
      <c r="HLL1" s="65" t="s">
        <v>6077</v>
      </c>
      <c r="HLM1" s="65" t="s">
        <v>6078</v>
      </c>
      <c r="HLN1" s="65" t="s">
        <v>6079</v>
      </c>
      <c r="HLO1" s="65" t="s">
        <v>6080</v>
      </c>
      <c r="HLP1" s="65" t="s">
        <v>6081</v>
      </c>
      <c r="HLQ1" s="65" t="s">
        <v>6082</v>
      </c>
      <c r="HLR1" s="65" t="s">
        <v>6083</v>
      </c>
      <c r="HLS1" s="65" t="s">
        <v>6084</v>
      </c>
      <c r="HLT1" s="65" t="s">
        <v>6085</v>
      </c>
      <c r="HLU1" s="65" t="s">
        <v>6086</v>
      </c>
      <c r="HLV1" s="65" t="s">
        <v>6087</v>
      </c>
      <c r="HLW1" s="65" t="s">
        <v>6088</v>
      </c>
      <c r="HLX1" s="65" t="s">
        <v>6089</v>
      </c>
      <c r="HLY1" s="65" t="s">
        <v>6090</v>
      </c>
      <c r="HLZ1" s="65" t="s">
        <v>6091</v>
      </c>
      <c r="HMA1" s="65" t="s">
        <v>6092</v>
      </c>
      <c r="HMB1" s="65" t="s">
        <v>6093</v>
      </c>
      <c r="HMC1" s="65" t="s">
        <v>6094</v>
      </c>
      <c r="HMD1" s="65" t="s">
        <v>6095</v>
      </c>
      <c r="HME1" s="65" t="s">
        <v>6096</v>
      </c>
      <c r="HMF1" s="65" t="s">
        <v>6097</v>
      </c>
      <c r="HMG1" s="65" t="s">
        <v>6098</v>
      </c>
      <c r="HMH1" s="65" t="s">
        <v>6099</v>
      </c>
      <c r="HMI1" s="65" t="s">
        <v>6100</v>
      </c>
      <c r="HMJ1" s="65" t="s">
        <v>6101</v>
      </c>
      <c r="HMK1" s="65" t="s">
        <v>6102</v>
      </c>
      <c r="HML1" s="65" t="s">
        <v>6103</v>
      </c>
      <c r="HMM1" s="65" t="s">
        <v>6104</v>
      </c>
      <c r="HMN1" s="65" t="s">
        <v>6105</v>
      </c>
      <c r="HMO1" s="65" t="s">
        <v>6106</v>
      </c>
      <c r="HMP1" s="65" t="s">
        <v>6107</v>
      </c>
      <c r="HMQ1" s="65" t="s">
        <v>6108</v>
      </c>
      <c r="HMR1" s="65" t="s">
        <v>6109</v>
      </c>
      <c r="HMS1" s="65" t="s">
        <v>6110</v>
      </c>
      <c r="HMT1" s="65" t="s">
        <v>6111</v>
      </c>
      <c r="HMU1" s="65" t="s">
        <v>6112</v>
      </c>
      <c r="HMV1" s="65" t="s">
        <v>6113</v>
      </c>
      <c r="HMW1" s="65" t="s">
        <v>6114</v>
      </c>
      <c r="HMX1" s="65" t="s">
        <v>6115</v>
      </c>
      <c r="HMY1" s="65" t="s">
        <v>6116</v>
      </c>
      <c r="HMZ1" s="65" t="s">
        <v>6117</v>
      </c>
      <c r="HNA1" s="65" t="s">
        <v>6118</v>
      </c>
      <c r="HNB1" s="65" t="s">
        <v>6119</v>
      </c>
      <c r="HNC1" s="65" t="s">
        <v>6120</v>
      </c>
      <c r="HND1" s="65" t="s">
        <v>6121</v>
      </c>
      <c r="HNE1" s="65" t="s">
        <v>6122</v>
      </c>
      <c r="HNF1" s="65" t="s">
        <v>6123</v>
      </c>
      <c r="HNG1" s="65" t="s">
        <v>6124</v>
      </c>
      <c r="HNH1" s="65" t="s">
        <v>6125</v>
      </c>
      <c r="HNI1" s="65" t="s">
        <v>6126</v>
      </c>
      <c r="HNJ1" s="65" t="s">
        <v>6127</v>
      </c>
      <c r="HNK1" s="65" t="s">
        <v>6128</v>
      </c>
      <c r="HNL1" s="65" t="s">
        <v>6129</v>
      </c>
      <c r="HNM1" s="65" t="s">
        <v>6130</v>
      </c>
      <c r="HNN1" s="65" t="s">
        <v>6131</v>
      </c>
      <c r="HNO1" s="65" t="s">
        <v>6132</v>
      </c>
      <c r="HNP1" s="65" t="s">
        <v>6133</v>
      </c>
      <c r="HNQ1" s="65" t="s">
        <v>6134</v>
      </c>
      <c r="HNR1" s="65" t="s">
        <v>6135</v>
      </c>
      <c r="HNS1" s="65" t="s">
        <v>6136</v>
      </c>
      <c r="HNT1" s="65" t="s">
        <v>6137</v>
      </c>
      <c r="HNU1" s="65" t="s">
        <v>6138</v>
      </c>
      <c r="HNV1" s="65" t="s">
        <v>6139</v>
      </c>
      <c r="HNW1" s="65" t="s">
        <v>6140</v>
      </c>
      <c r="HNX1" s="65" t="s">
        <v>6141</v>
      </c>
      <c r="HNY1" s="65" t="s">
        <v>6142</v>
      </c>
      <c r="HNZ1" s="65" t="s">
        <v>6143</v>
      </c>
      <c r="HOA1" s="65" t="s">
        <v>6144</v>
      </c>
      <c r="HOB1" s="65" t="s">
        <v>6145</v>
      </c>
      <c r="HOC1" s="65" t="s">
        <v>6146</v>
      </c>
      <c r="HOD1" s="65" t="s">
        <v>6147</v>
      </c>
      <c r="HOE1" s="65" t="s">
        <v>6148</v>
      </c>
      <c r="HOF1" s="65" t="s">
        <v>6149</v>
      </c>
      <c r="HOG1" s="65" t="s">
        <v>6150</v>
      </c>
      <c r="HOH1" s="65" t="s">
        <v>6151</v>
      </c>
      <c r="HOI1" s="65" t="s">
        <v>6152</v>
      </c>
      <c r="HOJ1" s="65" t="s">
        <v>6153</v>
      </c>
      <c r="HOK1" s="65" t="s">
        <v>6154</v>
      </c>
      <c r="HOL1" s="65" t="s">
        <v>6155</v>
      </c>
      <c r="HOM1" s="65" t="s">
        <v>6156</v>
      </c>
      <c r="HON1" s="65" t="s">
        <v>6157</v>
      </c>
      <c r="HOO1" s="65" t="s">
        <v>6158</v>
      </c>
      <c r="HOP1" s="65" t="s">
        <v>6159</v>
      </c>
      <c r="HOQ1" s="65" t="s">
        <v>6160</v>
      </c>
      <c r="HOR1" s="65" t="s">
        <v>6161</v>
      </c>
      <c r="HOS1" s="65" t="s">
        <v>6162</v>
      </c>
      <c r="HOT1" s="65" t="s">
        <v>6163</v>
      </c>
      <c r="HOU1" s="65" t="s">
        <v>6164</v>
      </c>
      <c r="HOV1" s="65" t="s">
        <v>6165</v>
      </c>
      <c r="HOW1" s="65" t="s">
        <v>6166</v>
      </c>
      <c r="HOX1" s="65" t="s">
        <v>6167</v>
      </c>
      <c r="HOY1" s="65" t="s">
        <v>6168</v>
      </c>
      <c r="HOZ1" s="65" t="s">
        <v>6169</v>
      </c>
      <c r="HPA1" s="65" t="s">
        <v>6170</v>
      </c>
      <c r="HPB1" s="65" t="s">
        <v>6171</v>
      </c>
      <c r="HPC1" s="65" t="s">
        <v>6172</v>
      </c>
      <c r="HPD1" s="65" t="s">
        <v>6173</v>
      </c>
      <c r="HPE1" s="65" t="s">
        <v>6174</v>
      </c>
      <c r="HPF1" s="65" t="s">
        <v>6175</v>
      </c>
      <c r="HPG1" s="65" t="s">
        <v>6176</v>
      </c>
      <c r="HPH1" s="65" t="s">
        <v>6177</v>
      </c>
      <c r="HPI1" s="65" t="s">
        <v>6178</v>
      </c>
      <c r="HPJ1" s="65" t="s">
        <v>6179</v>
      </c>
      <c r="HPK1" s="65" t="s">
        <v>6180</v>
      </c>
      <c r="HPL1" s="65" t="s">
        <v>6181</v>
      </c>
      <c r="HPM1" s="65" t="s">
        <v>6182</v>
      </c>
      <c r="HPN1" s="65" t="s">
        <v>6183</v>
      </c>
      <c r="HPO1" s="65" t="s">
        <v>6184</v>
      </c>
      <c r="HPP1" s="65" t="s">
        <v>6185</v>
      </c>
      <c r="HPQ1" s="65" t="s">
        <v>6186</v>
      </c>
      <c r="HPR1" s="65" t="s">
        <v>6187</v>
      </c>
      <c r="HPS1" s="65" t="s">
        <v>6188</v>
      </c>
      <c r="HPT1" s="65" t="s">
        <v>6189</v>
      </c>
      <c r="HPU1" s="65" t="s">
        <v>6190</v>
      </c>
      <c r="HPV1" s="65" t="s">
        <v>6191</v>
      </c>
      <c r="HPW1" s="65" t="s">
        <v>6192</v>
      </c>
      <c r="HPX1" s="65" t="s">
        <v>6193</v>
      </c>
      <c r="HPY1" s="65" t="s">
        <v>6194</v>
      </c>
      <c r="HPZ1" s="65" t="s">
        <v>6195</v>
      </c>
      <c r="HQA1" s="65" t="s">
        <v>6196</v>
      </c>
      <c r="HQB1" s="65" t="s">
        <v>6197</v>
      </c>
      <c r="HQC1" s="65" t="s">
        <v>6198</v>
      </c>
      <c r="HQD1" s="65" t="s">
        <v>6199</v>
      </c>
      <c r="HQE1" s="65" t="s">
        <v>6200</v>
      </c>
      <c r="HQF1" s="65" t="s">
        <v>6201</v>
      </c>
      <c r="HQG1" s="65" t="s">
        <v>6202</v>
      </c>
      <c r="HQH1" s="65" t="s">
        <v>6203</v>
      </c>
      <c r="HQI1" s="65" t="s">
        <v>6204</v>
      </c>
      <c r="HQJ1" s="65" t="s">
        <v>6205</v>
      </c>
      <c r="HQK1" s="65" t="s">
        <v>6206</v>
      </c>
      <c r="HQL1" s="65" t="s">
        <v>6207</v>
      </c>
      <c r="HQM1" s="65" t="s">
        <v>6208</v>
      </c>
      <c r="HQN1" s="65" t="s">
        <v>6209</v>
      </c>
      <c r="HQO1" s="65" t="s">
        <v>6210</v>
      </c>
      <c r="HQP1" s="65" t="s">
        <v>6211</v>
      </c>
      <c r="HQQ1" s="65" t="s">
        <v>6212</v>
      </c>
      <c r="HQR1" s="65" t="s">
        <v>6213</v>
      </c>
      <c r="HQS1" s="65" t="s">
        <v>6214</v>
      </c>
      <c r="HQT1" s="65" t="s">
        <v>6215</v>
      </c>
      <c r="HQU1" s="65" t="s">
        <v>6216</v>
      </c>
      <c r="HQV1" s="65" t="s">
        <v>6217</v>
      </c>
      <c r="HQW1" s="65" t="s">
        <v>6218</v>
      </c>
      <c r="HQX1" s="65" t="s">
        <v>6219</v>
      </c>
      <c r="HQY1" s="65" t="s">
        <v>6220</v>
      </c>
      <c r="HQZ1" s="65" t="s">
        <v>6221</v>
      </c>
      <c r="HRA1" s="65" t="s">
        <v>6222</v>
      </c>
      <c r="HRB1" s="65" t="s">
        <v>6223</v>
      </c>
      <c r="HRC1" s="65" t="s">
        <v>6224</v>
      </c>
      <c r="HRD1" s="65" t="s">
        <v>6225</v>
      </c>
      <c r="HRE1" s="65" t="s">
        <v>6226</v>
      </c>
      <c r="HRF1" s="65" t="s">
        <v>6227</v>
      </c>
      <c r="HRG1" s="65" t="s">
        <v>6228</v>
      </c>
      <c r="HRH1" s="65" t="s">
        <v>6229</v>
      </c>
      <c r="HRI1" s="65" t="s">
        <v>6230</v>
      </c>
      <c r="HRJ1" s="65" t="s">
        <v>6231</v>
      </c>
      <c r="HRK1" s="65" t="s">
        <v>6232</v>
      </c>
      <c r="HRL1" s="65" t="s">
        <v>6233</v>
      </c>
      <c r="HRM1" s="65" t="s">
        <v>6234</v>
      </c>
      <c r="HRN1" s="65" t="s">
        <v>6235</v>
      </c>
      <c r="HRO1" s="65" t="s">
        <v>6236</v>
      </c>
      <c r="HRP1" s="65" t="s">
        <v>6237</v>
      </c>
      <c r="HRQ1" s="65" t="s">
        <v>6238</v>
      </c>
      <c r="HRR1" s="65" t="s">
        <v>6239</v>
      </c>
      <c r="HRS1" s="65" t="s">
        <v>6240</v>
      </c>
      <c r="HRT1" s="65" t="s">
        <v>6241</v>
      </c>
      <c r="HRU1" s="65" t="s">
        <v>6242</v>
      </c>
      <c r="HRV1" s="65" t="s">
        <v>6243</v>
      </c>
      <c r="HRW1" s="65" t="s">
        <v>6244</v>
      </c>
      <c r="HRX1" s="65" t="s">
        <v>6245</v>
      </c>
      <c r="HRY1" s="65" t="s">
        <v>6246</v>
      </c>
      <c r="HRZ1" s="65" t="s">
        <v>6247</v>
      </c>
      <c r="HSA1" s="65" t="s">
        <v>6248</v>
      </c>
      <c r="HSB1" s="65" t="s">
        <v>6249</v>
      </c>
      <c r="HSC1" s="65" t="s">
        <v>6250</v>
      </c>
      <c r="HSD1" s="65" t="s">
        <v>6251</v>
      </c>
      <c r="HSE1" s="65" t="s">
        <v>6252</v>
      </c>
      <c r="HSF1" s="65" t="s">
        <v>6253</v>
      </c>
      <c r="HSG1" s="65" t="s">
        <v>6254</v>
      </c>
      <c r="HSH1" s="65" t="s">
        <v>6255</v>
      </c>
      <c r="HSI1" s="65" t="s">
        <v>6256</v>
      </c>
      <c r="HSJ1" s="65" t="s">
        <v>6257</v>
      </c>
      <c r="HSK1" s="65" t="s">
        <v>6258</v>
      </c>
      <c r="HSL1" s="65" t="s">
        <v>6259</v>
      </c>
      <c r="HSM1" s="65" t="s">
        <v>6260</v>
      </c>
      <c r="HSN1" s="65" t="s">
        <v>6261</v>
      </c>
      <c r="HSO1" s="65" t="s">
        <v>6262</v>
      </c>
      <c r="HSP1" s="65" t="s">
        <v>6263</v>
      </c>
      <c r="HSQ1" s="65" t="s">
        <v>6264</v>
      </c>
      <c r="HSR1" s="65" t="s">
        <v>6265</v>
      </c>
      <c r="HSS1" s="65" t="s">
        <v>6266</v>
      </c>
      <c r="HST1" s="65" t="s">
        <v>6267</v>
      </c>
      <c r="HSU1" s="65" t="s">
        <v>6268</v>
      </c>
      <c r="HSV1" s="65" t="s">
        <v>6269</v>
      </c>
      <c r="HSW1" s="65" t="s">
        <v>6270</v>
      </c>
      <c r="HSX1" s="65" t="s">
        <v>6271</v>
      </c>
      <c r="HSY1" s="65" t="s">
        <v>6272</v>
      </c>
      <c r="HSZ1" s="65" t="s">
        <v>6273</v>
      </c>
      <c r="HTA1" s="65" t="s">
        <v>6274</v>
      </c>
      <c r="HTB1" s="65" t="s">
        <v>6275</v>
      </c>
      <c r="HTC1" s="65" t="s">
        <v>6276</v>
      </c>
      <c r="HTD1" s="65" t="s">
        <v>6277</v>
      </c>
      <c r="HTE1" s="65" t="s">
        <v>6278</v>
      </c>
      <c r="HTF1" s="65" t="s">
        <v>6279</v>
      </c>
      <c r="HTG1" s="65" t="s">
        <v>6280</v>
      </c>
      <c r="HTH1" s="65" t="s">
        <v>6281</v>
      </c>
      <c r="HTI1" s="65" t="s">
        <v>6282</v>
      </c>
      <c r="HTJ1" s="65" t="s">
        <v>6283</v>
      </c>
      <c r="HTK1" s="65" t="s">
        <v>6284</v>
      </c>
      <c r="HTL1" s="65" t="s">
        <v>6285</v>
      </c>
      <c r="HTM1" s="65" t="s">
        <v>6286</v>
      </c>
      <c r="HTN1" s="65" t="s">
        <v>6287</v>
      </c>
      <c r="HTO1" s="65" t="s">
        <v>6288</v>
      </c>
      <c r="HTP1" s="65" t="s">
        <v>6289</v>
      </c>
      <c r="HTQ1" s="65" t="s">
        <v>6290</v>
      </c>
      <c r="HTR1" s="65" t="s">
        <v>6291</v>
      </c>
      <c r="HTS1" s="65" t="s">
        <v>6292</v>
      </c>
      <c r="HTT1" s="65" t="s">
        <v>6293</v>
      </c>
      <c r="HTU1" s="65" t="s">
        <v>6294</v>
      </c>
      <c r="HTV1" s="65" t="s">
        <v>6295</v>
      </c>
      <c r="HTW1" s="65" t="s">
        <v>6296</v>
      </c>
      <c r="HTX1" s="65" t="s">
        <v>6297</v>
      </c>
      <c r="HTY1" s="65" t="s">
        <v>6298</v>
      </c>
      <c r="HTZ1" s="65" t="s">
        <v>6299</v>
      </c>
      <c r="HUA1" s="65" t="s">
        <v>6300</v>
      </c>
      <c r="HUB1" s="65" t="s">
        <v>6301</v>
      </c>
      <c r="HUC1" s="65" t="s">
        <v>6302</v>
      </c>
      <c r="HUD1" s="65" t="s">
        <v>6303</v>
      </c>
      <c r="HUE1" s="65" t="s">
        <v>6304</v>
      </c>
      <c r="HUF1" s="65" t="s">
        <v>6305</v>
      </c>
      <c r="HUG1" s="65" t="s">
        <v>6306</v>
      </c>
      <c r="HUH1" s="65" t="s">
        <v>6307</v>
      </c>
      <c r="HUI1" s="65" t="s">
        <v>6308</v>
      </c>
      <c r="HUJ1" s="65" t="s">
        <v>6309</v>
      </c>
      <c r="HUK1" s="65" t="s">
        <v>6310</v>
      </c>
      <c r="HUL1" s="65" t="s">
        <v>6311</v>
      </c>
      <c r="HUM1" s="65" t="s">
        <v>6312</v>
      </c>
      <c r="HUN1" s="65" t="s">
        <v>6313</v>
      </c>
      <c r="HUO1" s="65" t="s">
        <v>6314</v>
      </c>
      <c r="HUP1" s="65" t="s">
        <v>6315</v>
      </c>
      <c r="HUQ1" s="65" t="s">
        <v>6316</v>
      </c>
      <c r="HUR1" s="65" t="s">
        <v>6317</v>
      </c>
      <c r="HUS1" s="65" t="s">
        <v>6318</v>
      </c>
      <c r="HUT1" s="65" t="s">
        <v>6319</v>
      </c>
      <c r="HUU1" s="65" t="s">
        <v>6320</v>
      </c>
      <c r="HUV1" s="65" t="s">
        <v>6321</v>
      </c>
      <c r="HUW1" s="65" t="s">
        <v>6322</v>
      </c>
      <c r="HUX1" s="65" t="s">
        <v>6323</v>
      </c>
      <c r="HUY1" s="65" t="s">
        <v>6324</v>
      </c>
      <c r="HUZ1" s="65" t="s">
        <v>6325</v>
      </c>
      <c r="HVA1" s="65" t="s">
        <v>6326</v>
      </c>
      <c r="HVB1" s="65" t="s">
        <v>6327</v>
      </c>
      <c r="HVC1" s="65" t="s">
        <v>6328</v>
      </c>
      <c r="HVD1" s="65" t="s">
        <v>6329</v>
      </c>
      <c r="HVE1" s="65" t="s">
        <v>6330</v>
      </c>
      <c r="HVF1" s="65" t="s">
        <v>6331</v>
      </c>
      <c r="HVG1" s="65" t="s">
        <v>6332</v>
      </c>
      <c r="HVH1" s="65" t="s">
        <v>6333</v>
      </c>
      <c r="HVI1" s="65" t="s">
        <v>6334</v>
      </c>
      <c r="HVJ1" s="65" t="s">
        <v>6335</v>
      </c>
      <c r="HVK1" s="65" t="s">
        <v>6336</v>
      </c>
      <c r="HVL1" s="65" t="s">
        <v>6337</v>
      </c>
      <c r="HVM1" s="65" t="s">
        <v>6338</v>
      </c>
      <c r="HVN1" s="65" t="s">
        <v>6339</v>
      </c>
      <c r="HVO1" s="65" t="s">
        <v>6340</v>
      </c>
      <c r="HVP1" s="65" t="s">
        <v>6341</v>
      </c>
      <c r="HVQ1" s="65" t="s">
        <v>6342</v>
      </c>
      <c r="HVR1" s="65" t="s">
        <v>6343</v>
      </c>
      <c r="HVS1" s="65" t="s">
        <v>6344</v>
      </c>
      <c r="HVT1" s="65" t="s">
        <v>6345</v>
      </c>
      <c r="HVU1" s="65" t="s">
        <v>6346</v>
      </c>
      <c r="HVV1" s="65" t="s">
        <v>6347</v>
      </c>
      <c r="HVW1" s="65" t="s">
        <v>6348</v>
      </c>
      <c r="HVX1" s="65" t="s">
        <v>6349</v>
      </c>
      <c r="HVY1" s="65" t="s">
        <v>6350</v>
      </c>
      <c r="HVZ1" s="65" t="s">
        <v>6351</v>
      </c>
      <c r="HWA1" s="65" t="s">
        <v>6352</v>
      </c>
      <c r="HWB1" s="65" t="s">
        <v>6353</v>
      </c>
      <c r="HWC1" s="65" t="s">
        <v>6354</v>
      </c>
      <c r="HWD1" s="65" t="s">
        <v>6355</v>
      </c>
      <c r="HWE1" s="65" t="s">
        <v>6356</v>
      </c>
      <c r="HWF1" s="65" t="s">
        <v>6357</v>
      </c>
      <c r="HWG1" s="65" t="s">
        <v>6358</v>
      </c>
      <c r="HWH1" s="65" t="s">
        <v>6359</v>
      </c>
      <c r="HWI1" s="65" t="s">
        <v>6360</v>
      </c>
      <c r="HWJ1" s="65" t="s">
        <v>6361</v>
      </c>
      <c r="HWK1" s="65" t="s">
        <v>6362</v>
      </c>
      <c r="HWL1" s="65" t="s">
        <v>6363</v>
      </c>
      <c r="HWM1" s="65" t="s">
        <v>6364</v>
      </c>
      <c r="HWN1" s="65" t="s">
        <v>6365</v>
      </c>
      <c r="HWO1" s="65" t="s">
        <v>6366</v>
      </c>
      <c r="HWP1" s="65" t="s">
        <v>6367</v>
      </c>
      <c r="HWQ1" s="65" t="s">
        <v>6368</v>
      </c>
      <c r="HWR1" s="65" t="s">
        <v>6369</v>
      </c>
      <c r="HWS1" s="65" t="s">
        <v>6370</v>
      </c>
      <c r="HWT1" s="65" t="s">
        <v>6371</v>
      </c>
      <c r="HWU1" s="65" t="s">
        <v>6372</v>
      </c>
      <c r="HWV1" s="65" t="s">
        <v>6373</v>
      </c>
      <c r="HWW1" s="65" t="s">
        <v>6374</v>
      </c>
      <c r="HWX1" s="65" t="s">
        <v>6375</v>
      </c>
      <c r="HWY1" s="65" t="s">
        <v>6376</v>
      </c>
      <c r="HWZ1" s="65" t="s">
        <v>6377</v>
      </c>
      <c r="HXA1" s="65" t="s">
        <v>6378</v>
      </c>
      <c r="HXB1" s="65" t="s">
        <v>6379</v>
      </c>
      <c r="HXC1" s="65" t="s">
        <v>6380</v>
      </c>
      <c r="HXD1" s="65" t="s">
        <v>6381</v>
      </c>
      <c r="HXE1" s="65" t="s">
        <v>6382</v>
      </c>
      <c r="HXF1" s="65" t="s">
        <v>6383</v>
      </c>
      <c r="HXG1" s="65" t="s">
        <v>6384</v>
      </c>
      <c r="HXH1" s="65" t="s">
        <v>6385</v>
      </c>
      <c r="HXI1" s="65" t="s">
        <v>6386</v>
      </c>
      <c r="HXJ1" s="65" t="s">
        <v>6387</v>
      </c>
      <c r="HXK1" s="65" t="s">
        <v>6388</v>
      </c>
      <c r="HXL1" s="65" t="s">
        <v>6389</v>
      </c>
      <c r="HXM1" s="65" t="s">
        <v>6390</v>
      </c>
      <c r="HXN1" s="65" t="s">
        <v>6391</v>
      </c>
      <c r="HXO1" s="65" t="s">
        <v>6392</v>
      </c>
      <c r="HXP1" s="65" t="s">
        <v>6393</v>
      </c>
      <c r="HXQ1" s="65" t="s">
        <v>6394</v>
      </c>
      <c r="HXR1" s="65" t="s">
        <v>6395</v>
      </c>
      <c r="HXS1" s="65" t="s">
        <v>6396</v>
      </c>
      <c r="HXT1" s="65" t="s">
        <v>6397</v>
      </c>
      <c r="HXU1" s="65" t="s">
        <v>6398</v>
      </c>
      <c r="HXV1" s="65" t="s">
        <v>6399</v>
      </c>
      <c r="HXW1" s="65" t="s">
        <v>6400</v>
      </c>
      <c r="HXX1" s="65" t="s">
        <v>6401</v>
      </c>
      <c r="HXY1" s="65" t="s">
        <v>6402</v>
      </c>
      <c r="HXZ1" s="65" t="s">
        <v>6403</v>
      </c>
      <c r="HYA1" s="65" t="s">
        <v>6404</v>
      </c>
      <c r="HYB1" s="65" t="s">
        <v>6405</v>
      </c>
      <c r="HYC1" s="65" t="s">
        <v>6406</v>
      </c>
      <c r="HYD1" s="65" t="s">
        <v>6407</v>
      </c>
      <c r="HYE1" s="65" t="s">
        <v>6408</v>
      </c>
      <c r="HYF1" s="65" t="s">
        <v>6409</v>
      </c>
      <c r="HYG1" s="65" t="s">
        <v>6410</v>
      </c>
      <c r="HYH1" s="65" t="s">
        <v>6411</v>
      </c>
      <c r="HYI1" s="65" t="s">
        <v>6412</v>
      </c>
      <c r="HYJ1" s="65" t="s">
        <v>6413</v>
      </c>
      <c r="HYK1" s="65" t="s">
        <v>6414</v>
      </c>
      <c r="HYL1" s="65" t="s">
        <v>6415</v>
      </c>
      <c r="HYM1" s="65" t="s">
        <v>6416</v>
      </c>
      <c r="HYN1" s="65" t="s">
        <v>6417</v>
      </c>
      <c r="HYO1" s="65" t="s">
        <v>6418</v>
      </c>
      <c r="HYP1" s="65" t="s">
        <v>6419</v>
      </c>
      <c r="HYQ1" s="65" t="s">
        <v>6420</v>
      </c>
      <c r="HYR1" s="65" t="s">
        <v>6421</v>
      </c>
      <c r="HYS1" s="65" t="s">
        <v>6422</v>
      </c>
      <c r="HYT1" s="65" t="s">
        <v>6423</v>
      </c>
      <c r="HYU1" s="65" t="s">
        <v>6424</v>
      </c>
      <c r="HYV1" s="65" t="s">
        <v>6425</v>
      </c>
      <c r="HYW1" s="65" t="s">
        <v>6426</v>
      </c>
      <c r="HYX1" s="65" t="s">
        <v>6427</v>
      </c>
      <c r="HYY1" s="65" t="s">
        <v>6428</v>
      </c>
      <c r="HYZ1" s="65" t="s">
        <v>6429</v>
      </c>
      <c r="HZA1" s="65" t="s">
        <v>6430</v>
      </c>
      <c r="HZB1" s="65" t="s">
        <v>6431</v>
      </c>
      <c r="HZC1" s="65" t="s">
        <v>6432</v>
      </c>
      <c r="HZD1" s="65" t="s">
        <v>6433</v>
      </c>
      <c r="HZE1" s="65" t="s">
        <v>6434</v>
      </c>
      <c r="HZF1" s="65" t="s">
        <v>6435</v>
      </c>
      <c r="HZG1" s="65" t="s">
        <v>6436</v>
      </c>
      <c r="HZH1" s="65" t="s">
        <v>6437</v>
      </c>
      <c r="HZI1" s="65" t="s">
        <v>6438</v>
      </c>
      <c r="HZJ1" s="65" t="s">
        <v>6439</v>
      </c>
      <c r="HZK1" s="65" t="s">
        <v>6440</v>
      </c>
      <c r="HZL1" s="65" t="s">
        <v>6441</v>
      </c>
      <c r="HZM1" s="65" t="s">
        <v>6442</v>
      </c>
      <c r="HZN1" s="65" t="s">
        <v>6443</v>
      </c>
      <c r="HZO1" s="65" t="s">
        <v>6444</v>
      </c>
      <c r="HZP1" s="65" t="s">
        <v>6445</v>
      </c>
      <c r="HZQ1" s="65" t="s">
        <v>6446</v>
      </c>
      <c r="HZR1" s="65" t="s">
        <v>6447</v>
      </c>
      <c r="HZS1" s="65" t="s">
        <v>6448</v>
      </c>
      <c r="HZT1" s="65" t="s">
        <v>6449</v>
      </c>
      <c r="HZU1" s="65" t="s">
        <v>6450</v>
      </c>
      <c r="HZV1" s="65" t="s">
        <v>6451</v>
      </c>
      <c r="HZW1" s="65" t="s">
        <v>6452</v>
      </c>
      <c r="HZX1" s="65" t="s">
        <v>6453</v>
      </c>
      <c r="HZY1" s="65" t="s">
        <v>6454</v>
      </c>
      <c r="HZZ1" s="65" t="s">
        <v>6455</v>
      </c>
      <c r="IAA1" s="65" t="s">
        <v>6456</v>
      </c>
      <c r="IAB1" s="65" t="s">
        <v>6457</v>
      </c>
      <c r="IAC1" s="65" t="s">
        <v>6458</v>
      </c>
      <c r="IAD1" s="65" t="s">
        <v>6459</v>
      </c>
      <c r="IAE1" s="65" t="s">
        <v>6460</v>
      </c>
      <c r="IAF1" s="65" t="s">
        <v>6461</v>
      </c>
      <c r="IAG1" s="65" t="s">
        <v>6462</v>
      </c>
      <c r="IAH1" s="65" t="s">
        <v>6463</v>
      </c>
      <c r="IAI1" s="65" t="s">
        <v>6464</v>
      </c>
      <c r="IAJ1" s="65" t="s">
        <v>6465</v>
      </c>
      <c r="IAK1" s="65" t="s">
        <v>6466</v>
      </c>
      <c r="IAL1" s="65" t="s">
        <v>6467</v>
      </c>
      <c r="IAM1" s="65" t="s">
        <v>6468</v>
      </c>
      <c r="IAN1" s="65" t="s">
        <v>6469</v>
      </c>
      <c r="IAO1" s="65" t="s">
        <v>6470</v>
      </c>
      <c r="IAP1" s="65" t="s">
        <v>6471</v>
      </c>
      <c r="IAQ1" s="65" t="s">
        <v>6472</v>
      </c>
      <c r="IAR1" s="65" t="s">
        <v>6473</v>
      </c>
      <c r="IAS1" s="65" t="s">
        <v>6474</v>
      </c>
      <c r="IAT1" s="65" t="s">
        <v>6475</v>
      </c>
      <c r="IAU1" s="65" t="s">
        <v>6476</v>
      </c>
      <c r="IAV1" s="65" t="s">
        <v>6477</v>
      </c>
      <c r="IAW1" s="65" t="s">
        <v>6478</v>
      </c>
      <c r="IAX1" s="65" t="s">
        <v>6479</v>
      </c>
      <c r="IAY1" s="65" t="s">
        <v>6480</v>
      </c>
      <c r="IAZ1" s="65" t="s">
        <v>6481</v>
      </c>
      <c r="IBA1" s="65" t="s">
        <v>6482</v>
      </c>
      <c r="IBB1" s="65" t="s">
        <v>6483</v>
      </c>
      <c r="IBC1" s="65" t="s">
        <v>6484</v>
      </c>
      <c r="IBD1" s="65" t="s">
        <v>6485</v>
      </c>
      <c r="IBE1" s="65" t="s">
        <v>6486</v>
      </c>
      <c r="IBF1" s="65" t="s">
        <v>6487</v>
      </c>
      <c r="IBG1" s="65" t="s">
        <v>6488</v>
      </c>
      <c r="IBH1" s="65" t="s">
        <v>6489</v>
      </c>
      <c r="IBI1" s="65" t="s">
        <v>6490</v>
      </c>
      <c r="IBJ1" s="65" t="s">
        <v>6491</v>
      </c>
      <c r="IBK1" s="65" t="s">
        <v>6492</v>
      </c>
      <c r="IBL1" s="65" t="s">
        <v>6493</v>
      </c>
      <c r="IBM1" s="65" t="s">
        <v>6494</v>
      </c>
      <c r="IBN1" s="65" t="s">
        <v>6495</v>
      </c>
      <c r="IBO1" s="65" t="s">
        <v>6496</v>
      </c>
      <c r="IBP1" s="65" t="s">
        <v>6497</v>
      </c>
      <c r="IBQ1" s="65" t="s">
        <v>6498</v>
      </c>
      <c r="IBR1" s="65" t="s">
        <v>6499</v>
      </c>
      <c r="IBS1" s="65" t="s">
        <v>6500</v>
      </c>
      <c r="IBT1" s="65" t="s">
        <v>6501</v>
      </c>
      <c r="IBU1" s="65" t="s">
        <v>6502</v>
      </c>
      <c r="IBV1" s="65" t="s">
        <v>6503</v>
      </c>
      <c r="IBW1" s="65" t="s">
        <v>6504</v>
      </c>
      <c r="IBX1" s="65" t="s">
        <v>6505</v>
      </c>
      <c r="IBY1" s="65" t="s">
        <v>6506</v>
      </c>
      <c r="IBZ1" s="65" t="s">
        <v>6507</v>
      </c>
      <c r="ICA1" s="65" t="s">
        <v>6508</v>
      </c>
      <c r="ICB1" s="65" t="s">
        <v>6509</v>
      </c>
      <c r="ICC1" s="65" t="s">
        <v>6510</v>
      </c>
      <c r="ICD1" s="65" t="s">
        <v>6511</v>
      </c>
      <c r="ICE1" s="65" t="s">
        <v>6512</v>
      </c>
      <c r="ICF1" s="65" t="s">
        <v>6513</v>
      </c>
      <c r="ICG1" s="65" t="s">
        <v>6514</v>
      </c>
      <c r="ICH1" s="65" t="s">
        <v>6515</v>
      </c>
      <c r="ICI1" s="65" t="s">
        <v>6516</v>
      </c>
      <c r="ICJ1" s="65" t="s">
        <v>6517</v>
      </c>
      <c r="ICK1" s="65" t="s">
        <v>6518</v>
      </c>
      <c r="ICL1" s="65" t="s">
        <v>6519</v>
      </c>
      <c r="ICM1" s="65" t="s">
        <v>6520</v>
      </c>
      <c r="ICN1" s="65" t="s">
        <v>6521</v>
      </c>
      <c r="ICO1" s="65" t="s">
        <v>6522</v>
      </c>
      <c r="ICP1" s="65" t="s">
        <v>6523</v>
      </c>
      <c r="ICQ1" s="65" t="s">
        <v>6524</v>
      </c>
      <c r="ICR1" s="65" t="s">
        <v>6525</v>
      </c>
      <c r="ICS1" s="65" t="s">
        <v>6526</v>
      </c>
      <c r="ICT1" s="65" t="s">
        <v>6527</v>
      </c>
      <c r="ICU1" s="65" t="s">
        <v>6528</v>
      </c>
      <c r="ICV1" s="65" t="s">
        <v>6529</v>
      </c>
      <c r="ICW1" s="65" t="s">
        <v>6530</v>
      </c>
      <c r="ICX1" s="65" t="s">
        <v>6531</v>
      </c>
      <c r="ICY1" s="65" t="s">
        <v>6532</v>
      </c>
      <c r="ICZ1" s="65" t="s">
        <v>6533</v>
      </c>
      <c r="IDA1" s="65" t="s">
        <v>6534</v>
      </c>
      <c r="IDB1" s="65" t="s">
        <v>6535</v>
      </c>
      <c r="IDC1" s="65" t="s">
        <v>6536</v>
      </c>
      <c r="IDD1" s="65" t="s">
        <v>6537</v>
      </c>
      <c r="IDE1" s="65" t="s">
        <v>6538</v>
      </c>
      <c r="IDF1" s="65" t="s">
        <v>6539</v>
      </c>
      <c r="IDG1" s="65" t="s">
        <v>6540</v>
      </c>
      <c r="IDH1" s="65" t="s">
        <v>6541</v>
      </c>
      <c r="IDI1" s="65" t="s">
        <v>6542</v>
      </c>
      <c r="IDJ1" s="65" t="s">
        <v>6543</v>
      </c>
      <c r="IDK1" s="65" t="s">
        <v>6544</v>
      </c>
      <c r="IDL1" s="65" t="s">
        <v>6545</v>
      </c>
      <c r="IDM1" s="65" t="s">
        <v>6546</v>
      </c>
      <c r="IDN1" s="65" t="s">
        <v>6547</v>
      </c>
      <c r="IDO1" s="65" t="s">
        <v>6548</v>
      </c>
      <c r="IDP1" s="65" t="s">
        <v>6549</v>
      </c>
      <c r="IDQ1" s="65" t="s">
        <v>6550</v>
      </c>
      <c r="IDR1" s="65" t="s">
        <v>6551</v>
      </c>
      <c r="IDS1" s="65" t="s">
        <v>6552</v>
      </c>
      <c r="IDT1" s="65" t="s">
        <v>6553</v>
      </c>
      <c r="IDU1" s="65" t="s">
        <v>6554</v>
      </c>
      <c r="IDV1" s="65" t="s">
        <v>6555</v>
      </c>
      <c r="IDW1" s="65" t="s">
        <v>6556</v>
      </c>
      <c r="IDX1" s="65" t="s">
        <v>6557</v>
      </c>
      <c r="IDY1" s="65" t="s">
        <v>6558</v>
      </c>
      <c r="IDZ1" s="65" t="s">
        <v>6559</v>
      </c>
      <c r="IEA1" s="65" t="s">
        <v>6560</v>
      </c>
      <c r="IEB1" s="65" t="s">
        <v>6561</v>
      </c>
      <c r="IEC1" s="65" t="s">
        <v>6562</v>
      </c>
      <c r="IED1" s="65" t="s">
        <v>6563</v>
      </c>
      <c r="IEE1" s="65" t="s">
        <v>6564</v>
      </c>
      <c r="IEF1" s="65" t="s">
        <v>6565</v>
      </c>
      <c r="IEG1" s="65" t="s">
        <v>6566</v>
      </c>
      <c r="IEH1" s="65" t="s">
        <v>6567</v>
      </c>
      <c r="IEI1" s="65" t="s">
        <v>6568</v>
      </c>
      <c r="IEJ1" s="65" t="s">
        <v>6569</v>
      </c>
      <c r="IEK1" s="65" t="s">
        <v>6570</v>
      </c>
      <c r="IEL1" s="65" t="s">
        <v>6571</v>
      </c>
      <c r="IEM1" s="65" t="s">
        <v>6572</v>
      </c>
      <c r="IEN1" s="65" t="s">
        <v>6573</v>
      </c>
      <c r="IEO1" s="65" t="s">
        <v>6574</v>
      </c>
      <c r="IEP1" s="65" t="s">
        <v>6575</v>
      </c>
      <c r="IEQ1" s="65" t="s">
        <v>6576</v>
      </c>
      <c r="IER1" s="65" t="s">
        <v>6577</v>
      </c>
      <c r="IES1" s="65" t="s">
        <v>6578</v>
      </c>
      <c r="IET1" s="65" t="s">
        <v>6579</v>
      </c>
      <c r="IEU1" s="65" t="s">
        <v>6580</v>
      </c>
      <c r="IEV1" s="65" t="s">
        <v>6581</v>
      </c>
      <c r="IEW1" s="65" t="s">
        <v>6582</v>
      </c>
      <c r="IEX1" s="65" t="s">
        <v>6583</v>
      </c>
      <c r="IEY1" s="65" t="s">
        <v>6584</v>
      </c>
      <c r="IEZ1" s="65" t="s">
        <v>6585</v>
      </c>
      <c r="IFA1" s="65" t="s">
        <v>6586</v>
      </c>
      <c r="IFB1" s="65" t="s">
        <v>6587</v>
      </c>
      <c r="IFC1" s="65" t="s">
        <v>6588</v>
      </c>
      <c r="IFD1" s="65" t="s">
        <v>6589</v>
      </c>
      <c r="IFE1" s="65" t="s">
        <v>6590</v>
      </c>
      <c r="IFF1" s="65" t="s">
        <v>6591</v>
      </c>
      <c r="IFG1" s="65" t="s">
        <v>6592</v>
      </c>
      <c r="IFH1" s="65" t="s">
        <v>6593</v>
      </c>
      <c r="IFI1" s="65" t="s">
        <v>6594</v>
      </c>
      <c r="IFJ1" s="65" t="s">
        <v>6595</v>
      </c>
      <c r="IFK1" s="65" t="s">
        <v>6596</v>
      </c>
      <c r="IFL1" s="65" t="s">
        <v>6597</v>
      </c>
      <c r="IFM1" s="65" t="s">
        <v>6598</v>
      </c>
      <c r="IFN1" s="65" t="s">
        <v>6599</v>
      </c>
      <c r="IFO1" s="65" t="s">
        <v>6600</v>
      </c>
      <c r="IFP1" s="65" t="s">
        <v>6601</v>
      </c>
      <c r="IFQ1" s="65" t="s">
        <v>6602</v>
      </c>
      <c r="IFR1" s="65" t="s">
        <v>6603</v>
      </c>
      <c r="IFS1" s="65" t="s">
        <v>6604</v>
      </c>
      <c r="IFT1" s="65" t="s">
        <v>6605</v>
      </c>
      <c r="IFU1" s="65" t="s">
        <v>6606</v>
      </c>
      <c r="IFV1" s="65" t="s">
        <v>6607</v>
      </c>
      <c r="IFW1" s="65" t="s">
        <v>6608</v>
      </c>
      <c r="IFX1" s="65" t="s">
        <v>6609</v>
      </c>
      <c r="IFY1" s="65" t="s">
        <v>6610</v>
      </c>
      <c r="IFZ1" s="65" t="s">
        <v>6611</v>
      </c>
      <c r="IGA1" s="65" t="s">
        <v>6612</v>
      </c>
      <c r="IGB1" s="65" t="s">
        <v>6613</v>
      </c>
      <c r="IGC1" s="65" t="s">
        <v>6614</v>
      </c>
      <c r="IGD1" s="65" t="s">
        <v>6615</v>
      </c>
      <c r="IGE1" s="65" t="s">
        <v>6616</v>
      </c>
      <c r="IGF1" s="65" t="s">
        <v>6617</v>
      </c>
      <c r="IGG1" s="65" t="s">
        <v>6618</v>
      </c>
      <c r="IGH1" s="65" t="s">
        <v>6619</v>
      </c>
      <c r="IGI1" s="65" t="s">
        <v>6620</v>
      </c>
      <c r="IGJ1" s="65" t="s">
        <v>6621</v>
      </c>
      <c r="IGK1" s="65" t="s">
        <v>6622</v>
      </c>
      <c r="IGL1" s="65" t="s">
        <v>6623</v>
      </c>
      <c r="IGM1" s="65" t="s">
        <v>6624</v>
      </c>
      <c r="IGN1" s="65" t="s">
        <v>6625</v>
      </c>
      <c r="IGO1" s="65" t="s">
        <v>6626</v>
      </c>
      <c r="IGP1" s="65" t="s">
        <v>6627</v>
      </c>
      <c r="IGQ1" s="65" t="s">
        <v>6628</v>
      </c>
      <c r="IGR1" s="65" t="s">
        <v>6629</v>
      </c>
      <c r="IGS1" s="65" t="s">
        <v>6630</v>
      </c>
      <c r="IGT1" s="65" t="s">
        <v>6631</v>
      </c>
      <c r="IGU1" s="65" t="s">
        <v>6632</v>
      </c>
      <c r="IGV1" s="65" t="s">
        <v>6633</v>
      </c>
      <c r="IGW1" s="65" t="s">
        <v>6634</v>
      </c>
      <c r="IGX1" s="65" t="s">
        <v>6635</v>
      </c>
      <c r="IGY1" s="65" t="s">
        <v>6636</v>
      </c>
      <c r="IGZ1" s="65" t="s">
        <v>6637</v>
      </c>
      <c r="IHA1" s="65" t="s">
        <v>6638</v>
      </c>
      <c r="IHB1" s="65" t="s">
        <v>6639</v>
      </c>
      <c r="IHC1" s="65" t="s">
        <v>6640</v>
      </c>
      <c r="IHD1" s="65" t="s">
        <v>6641</v>
      </c>
      <c r="IHE1" s="65" t="s">
        <v>6642</v>
      </c>
      <c r="IHF1" s="65" t="s">
        <v>6643</v>
      </c>
      <c r="IHG1" s="65" t="s">
        <v>6644</v>
      </c>
      <c r="IHH1" s="65" t="s">
        <v>6645</v>
      </c>
      <c r="IHI1" s="65" t="s">
        <v>6646</v>
      </c>
      <c r="IHJ1" s="65" t="s">
        <v>6647</v>
      </c>
      <c r="IHK1" s="65" t="s">
        <v>6648</v>
      </c>
      <c r="IHL1" s="65" t="s">
        <v>6649</v>
      </c>
      <c r="IHM1" s="65" t="s">
        <v>6650</v>
      </c>
      <c r="IHN1" s="65" t="s">
        <v>6651</v>
      </c>
      <c r="IHO1" s="65" t="s">
        <v>6652</v>
      </c>
      <c r="IHP1" s="65" t="s">
        <v>6653</v>
      </c>
      <c r="IHQ1" s="65" t="s">
        <v>6654</v>
      </c>
      <c r="IHR1" s="65" t="s">
        <v>6655</v>
      </c>
      <c r="IHS1" s="65" t="s">
        <v>6656</v>
      </c>
      <c r="IHT1" s="65" t="s">
        <v>6657</v>
      </c>
      <c r="IHU1" s="65" t="s">
        <v>6658</v>
      </c>
      <c r="IHV1" s="65" t="s">
        <v>6659</v>
      </c>
      <c r="IHW1" s="65" t="s">
        <v>6660</v>
      </c>
      <c r="IHX1" s="65" t="s">
        <v>6661</v>
      </c>
      <c r="IHY1" s="65" t="s">
        <v>6662</v>
      </c>
      <c r="IHZ1" s="65" t="s">
        <v>6663</v>
      </c>
      <c r="IIA1" s="65" t="s">
        <v>6664</v>
      </c>
      <c r="IIB1" s="65" t="s">
        <v>6665</v>
      </c>
      <c r="IIC1" s="65" t="s">
        <v>6666</v>
      </c>
      <c r="IID1" s="65" t="s">
        <v>6667</v>
      </c>
      <c r="IIE1" s="65" t="s">
        <v>6668</v>
      </c>
      <c r="IIF1" s="65" t="s">
        <v>6669</v>
      </c>
      <c r="IIG1" s="65" t="s">
        <v>6670</v>
      </c>
      <c r="IIH1" s="65" t="s">
        <v>6671</v>
      </c>
      <c r="III1" s="65" t="s">
        <v>6672</v>
      </c>
      <c r="IIJ1" s="65" t="s">
        <v>6673</v>
      </c>
      <c r="IIK1" s="65" t="s">
        <v>6674</v>
      </c>
      <c r="IIL1" s="65" t="s">
        <v>6675</v>
      </c>
      <c r="IIM1" s="65" t="s">
        <v>6676</v>
      </c>
      <c r="IIN1" s="65" t="s">
        <v>6677</v>
      </c>
      <c r="IIO1" s="65" t="s">
        <v>6678</v>
      </c>
      <c r="IIP1" s="65" t="s">
        <v>6679</v>
      </c>
      <c r="IIQ1" s="65" t="s">
        <v>6680</v>
      </c>
      <c r="IIR1" s="65" t="s">
        <v>6681</v>
      </c>
      <c r="IIS1" s="65" t="s">
        <v>6682</v>
      </c>
      <c r="IIT1" s="65" t="s">
        <v>6683</v>
      </c>
      <c r="IIU1" s="65" t="s">
        <v>6684</v>
      </c>
      <c r="IIV1" s="65" t="s">
        <v>6685</v>
      </c>
      <c r="IIW1" s="65" t="s">
        <v>6686</v>
      </c>
      <c r="IIX1" s="65" t="s">
        <v>6687</v>
      </c>
      <c r="IIY1" s="65" t="s">
        <v>6688</v>
      </c>
      <c r="IIZ1" s="65" t="s">
        <v>6689</v>
      </c>
      <c r="IJA1" s="65" t="s">
        <v>6690</v>
      </c>
      <c r="IJB1" s="65" t="s">
        <v>6691</v>
      </c>
      <c r="IJC1" s="65" t="s">
        <v>6692</v>
      </c>
      <c r="IJD1" s="65" t="s">
        <v>6693</v>
      </c>
      <c r="IJE1" s="65" t="s">
        <v>6694</v>
      </c>
      <c r="IJF1" s="65" t="s">
        <v>6695</v>
      </c>
      <c r="IJG1" s="65" t="s">
        <v>6696</v>
      </c>
      <c r="IJH1" s="65" t="s">
        <v>6697</v>
      </c>
      <c r="IJI1" s="65" t="s">
        <v>6698</v>
      </c>
      <c r="IJJ1" s="65" t="s">
        <v>6699</v>
      </c>
      <c r="IJK1" s="65" t="s">
        <v>6700</v>
      </c>
      <c r="IJL1" s="65" t="s">
        <v>6701</v>
      </c>
      <c r="IJM1" s="65" t="s">
        <v>6702</v>
      </c>
      <c r="IJN1" s="65" t="s">
        <v>6703</v>
      </c>
      <c r="IJO1" s="65" t="s">
        <v>6704</v>
      </c>
      <c r="IJP1" s="65" t="s">
        <v>6705</v>
      </c>
      <c r="IJQ1" s="65" t="s">
        <v>6706</v>
      </c>
      <c r="IJR1" s="65" t="s">
        <v>6707</v>
      </c>
      <c r="IJS1" s="65" t="s">
        <v>6708</v>
      </c>
      <c r="IJT1" s="65" t="s">
        <v>6709</v>
      </c>
      <c r="IJU1" s="65" t="s">
        <v>6710</v>
      </c>
      <c r="IJV1" s="65" t="s">
        <v>6711</v>
      </c>
      <c r="IJW1" s="65" t="s">
        <v>6712</v>
      </c>
      <c r="IJX1" s="65" t="s">
        <v>6713</v>
      </c>
      <c r="IJY1" s="65" t="s">
        <v>6714</v>
      </c>
      <c r="IJZ1" s="65" t="s">
        <v>6715</v>
      </c>
      <c r="IKA1" s="65" t="s">
        <v>6716</v>
      </c>
      <c r="IKB1" s="65" t="s">
        <v>6717</v>
      </c>
      <c r="IKC1" s="65" t="s">
        <v>6718</v>
      </c>
      <c r="IKD1" s="65" t="s">
        <v>6719</v>
      </c>
      <c r="IKE1" s="65" t="s">
        <v>6720</v>
      </c>
      <c r="IKF1" s="65" t="s">
        <v>6721</v>
      </c>
      <c r="IKG1" s="65" t="s">
        <v>6722</v>
      </c>
      <c r="IKH1" s="65" t="s">
        <v>6723</v>
      </c>
      <c r="IKI1" s="65" t="s">
        <v>6724</v>
      </c>
      <c r="IKJ1" s="65" t="s">
        <v>6725</v>
      </c>
      <c r="IKK1" s="65" t="s">
        <v>6726</v>
      </c>
      <c r="IKL1" s="65" t="s">
        <v>6727</v>
      </c>
      <c r="IKM1" s="65" t="s">
        <v>6728</v>
      </c>
      <c r="IKN1" s="65" t="s">
        <v>6729</v>
      </c>
      <c r="IKO1" s="65" t="s">
        <v>6730</v>
      </c>
      <c r="IKP1" s="65" t="s">
        <v>6731</v>
      </c>
      <c r="IKQ1" s="65" t="s">
        <v>6732</v>
      </c>
      <c r="IKR1" s="65" t="s">
        <v>6733</v>
      </c>
      <c r="IKS1" s="65" t="s">
        <v>6734</v>
      </c>
      <c r="IKT1" s="65" t="s">
        <v>6735</v>
      </c>
      <c r="IKU1" s="65" t="s">
        <v>6736</v>
      </c>
      <c r="IKV1" s="65" t="s">
        <v>6737</v>
      </c>
      <c r="IKW1" s="65" t="s">
        <v>6738</v>
      </c>
      <c r="IKX1" s="65" t="s">
        <v>6739</v>
      </c>
      <c r="IKY1" s="65" t="s">
        <v>6740</v>
      </c>
      <c r="IKZ1" s="65" t="s">
        <v>6741</v>
      </c>
      <c r="ILA1" s="65" t="s">
        <v>6742</v>
      </c>
      <c r="ILB1" s="65" t="s">
        <v>6743</v>
      </c>
      <c r="ILC1" s="65" t="s">
        <v>6744</v>
      </c>
      <c r="ILD1" s="65" t="s">
        <v>6745</v>
      </c>
      <c r="ILE1" s="65" t="s">
        <v>6746</v>
      </c>
      <c r="ILF1" s="65" t="s">
        <v>6747</v>
      </c>
      <c r="ILG1" s="65" t="s">
        <v>6748</v>
      </c>
      <c r="ILH1" s="65" t="s">
        <v>6749</v>
      </c>
      <c r="ILI1" s="65" t="s">
        <v>6750</v>
      </c>
      <c r="ILJ1" s="65" t="s">
        <v>6751</v>
      </c>
      <c r="ILK1" s="65" t="s">
        <v>6752</v>
      </c>
      <c r="ILL1" s="65" t="s">
        <v>6753</v>
      </c>
      <c r="ILM1" s="65" t="s">
        <v>6754</v>
      </c>
      <c r="ILN1" s="65" t="s">
        <v>6755</v>
      </c>
      <c r="ILO1" s="65" t="s">
        <v>6756</v>
      </c>
      <c r="ILP1" s="65" t="s">
        <v>6757</v>
      </c>
      <c r="ILQ1" s="65" t="s">
        <v>6758</v>
      </c>
      <c r="ILR1" s="65" t="s">
        <v>6759</v>
      </c>
      <c r="ILS1" s="65" t="s">
        <v>6760</v>
      </c>
      <c r="ILT1" s="65" t="s">
        <v>6761</v>
      </c>
      <c r="ILU1" s="65" t="s">
        <v>6762</v>
      </c>
      <c r="ILV1" s="65" t="s">
        <v>6763</v>
      </c>
      <c r="ILW1" s="65" t="s">
        <v>6764</v>
      </c>
      <c r="ILX1" s="65" t="s">
        <v>6765</v>
      </c>
      <c r="ILY1" s="65" t="s">
        <v>6766</v>
      </c>
      <c r="ILZ1" s="65" t="s">
        <v>6767</v>
      </c>
      <c r="IMA1" s="65" t="s">
        <v>6768</v>
      </c>
      <c r="IMB1" s="65" t="s">
        <v>6769</v>
      </c>
      <c r="IMC1" s="65" t="s">
        <v>6770</v>
      </c>
      <c r="IMD1" s="65" t="s">
        <v>6771</v>
      </c>
      <c r="IME1" s="65" t="s">
        <v>6772</v>
      </c>
      <c r="IMF1" s="65" t="s">
        <v>6773</v>
      </c>
      <c r="IMG1" s="65" t="s">
        <v>6774</v>
      </c>
      <c r="IMH1" s="65" t="s">
        <v>6775</v>
      </c>
      <c r="IMI1" s="65" t="s">
        <v>6776</v>
      </c>
      <c r="IMJ1" s="65" t="s">
        <v>6777</v>
      </c>
      <c r="IMK1" s="65" t="s">
        <v>6778</v>
      </c>
      <c r="IML1" s="65" t="s">
        <v>6779</v>
      </c>
      <c r="IMM1" s="65" t="s">
        <v>6780</v>
      </c>
      <c r="IMN1" s="65" t="s">
        <v>6781</v>
      </c>
      <c r="IMO1" s="65" t="s">
        <v>6782</v>
      </c>
      <c r="IMP1" s="65" t="s">
        <v>6783</v>
      </c>
      <c r="IMQ1" s="65" t="s">
        <v>6784</v>
      </c>
      <c r="IMR1" s="65" t="s">
        <v>6785</v>
      </c>
      <c r="IMS1" s="65" t="s">
        <v>6786</v>
      </c>
      <c r="IMT1" s="65" t="s">
        <v>6787</v>
      </c>
      <c r="IMU1" s="65" t="s">
        <v>6788</v>
      </c>
      <c r="IMV1" s="65" t="s">
        <v>6789</v>
      </c>
      <c r="IMW1" s="65" t="s">
        <v>6790</v>
      </c>
      <c r="IMX1" s="65" t="s">
        <v>6791</v>
      </c>
      <c r="IMY1" s="65" t="s">
        <v>6792</v>
      </c>
      <c r="IMZ1" s="65" t="s">
        <v>6793</v>
      </c>
      <c r="INA1" s="65" t="s">
        <v>6794</v>
      </c>
      <c r="INB1" s="65" t="s">
        <v>6795</v>
      </c>
      <c r="INC1" s="65" t="s">
        <v>6796</v>
      </c>
      <c r="IND1" s="65" t="s">
        <v>6797</v>
      </c>
      <c r="INE1" s="65" t="s">
        <v>6798</v>
      </c>
      <c r="INF1" s="65" t="s">
        <v>6799</v>
      </c>
      <c r="ING1" s="65" t="s">
        <v>6800</v>
      </c>
      <c r="INH1" s="65" t="s">
        <v>6801</v>
      </c>
      <c r="INI1" s="65" t="s">
        <v>6802</v>
      </c>
      <c r="INJ1" s="65" t="s">
        <v>6803</v>
      </c>
      <c r="INK1" s="65" t="s">
        <v>6804</v>
      </c>
      <c r="INL1" s="65" t="s">
        <v>6805</v>
      </c>
      <c r="INM1" s="65" t="s">
        <v>6806</v>
      </c>
      <c r="INN1" s="65" t="s">
        <v>6807</v>
      </c>
      <c r="INO1" s="65" t="s">
        <v>6808</v>
      </c>
      <c r="INP1" s="65" t="s">
        <v>6809</v>
      </c>
      <c r="INQ1" s="65" t="s">
        <v>6810</v>
      </c>
      <c r="INR1" s="65" t="s">
        <v>6811</v>
      </c>
      <c r="INS1" s="65" t="s">
        <v>6812</v>
      </c>
      <c r="INT1" s="65" t="s">
        <v>6813</v>
      </c>
      <c r="INU1" s="65" t="s">
        <v>6814</v>
      </c>
      <c r="INV1" s="65" t="s">
        <v>6815</v>
      </c>
      <c r="INW1" s="65" t="s">
        <v>6816</v>
      </c>
      <c r="INX1" s="65" t="s">
        <v>6817</v>
      </c>
      <c r="INY1" s="65" t="s">
        <v>6818</v>
      </c>
      <c r="INZ1" s="65" t="s">
        <v>6819</v>
      </c>
      <c r="IOA1" s="65" t="s">
        <v>6820</v>
      </c>
      <c r="IOB1" s="65" t="s">
        <v>6821</v>
      </c>
      <c r="IOC1" s="65" t="s">
        <v>6822</v>
      </c>
      <c r="IOD1" s="65" t="s">
        <v>6823</v>
      </c>
      <c r="IOE1" s="65" t="s">
        <v>6824</v>
      </c>
      <c r="IOF1" s="65" t="s">
        <v>6825</v>
      </c>
      <c r="IOG1" s="65" t="s">
        <v>6826</v>
      </c>
      <c r="IOH1" s="65" t="s">
        <v>6827</v>
      </c>
      <c r="IOI1" s="65" t="s">
        <v>6828</v>
      </c>
      <c r="IOJ1" s="65" t="s">
        <v>6829</v>
      </c>
      <c r="IOK1" s="65" t="s">
        <v>6830</v>
      </c>
      <c r="IOL1" s="65" t="s">
        <v>6831</v>
      </c>
      <c r="IOM1" s="65" t="s">
        <v>6832</v>
      </c>
      <c r="ION1" s="65" t="s">
        <v>6833</v>
      </c>
      <c r="IOO1" s="65" t="s">
        <v>6834</v>
      </c>
      <c r="IOP1" s="65" t="s">
        <v>6835</v>
      </c>
      <c r="IOQ1" s="65" t="s">
        <v>6836</v>
      </c>
      <c r="IOR1" s="65" t="s">
        <v>6837</v>
      </c>
      <c r="IOS1" s="65" t="s">
        <v>6838</v>
      </c>
      <c r="IOT1" s="65" t="s">
        <v>6839</v>
      </c>
      <c r="IOU1" s="65" t="s">
        <v>6840</v>
      </c>
      <c r="IOV1" s="65" t="s">
        <v>6841</v>
      </c>
      <c r="IOW1" s="65" t="s">
        <v>6842</v>
      </c>
      <c r="IOX1" s="65" t="s">
        <v>6843</v>
      </c>
      <c r="IOY1" s="65" t="s">
        <v>6844</v>
      </c>
      <c r="IOZ1" s="65" t="s">
        <v>6845</v>
      </c>
      <c r="IPA1" s="65" t="s">
        <v>6846</v>
      </c>
      <c r="IPB1" s="65" t="s">
        <v>6847</v>
      </c>
      <c r="IPC1" s="65" t="s">
        <v>6848</v>
      </c>
      <c r="IPD1" s="65" t="s">
        <v>6849</v>
      </c>
      <c r="IPE1" s="65" t="s">
        <v>6850</v>
      </c>
      <c r="IPF1" s="65" t="s">
        <v>6851</v>
      </c>
      <c r="IPG1" s="65" t="s">
        <v>6852</v>
      </c>
      <c r="IPH1" s="65" t="s">
        <v>6853</v>
      </c>
      <c r="IPI1" s="65" t="s">
        <v>6854</v>
      </c>
      <c r="IPJ1" s="65" t="s">
        <v>6855</v>
      </c>
      <c r="IPK1" s="65" t="s">
        <v>6856</v>
      </c>
      <c r="IPL1" s="65" t="s">
        <v>6857</v>
      </c>
      <c r="IPM1" s="65" t="s">
        <v>6858</v>
      </c>
      <c r="IPN1" s="65" t="s">
        <v>6859</v>
      </c>
      <c r="IPO1" s="65" t="s">
        <v>6860</v>
      </c>
      <c r="IPP1" s="65" t="s">
        <v>6861</v>
      </c>
      <c r="IPQ1" s="65" t="s">
        <v>6862</v>
      </c>
      <c r="IPR1" s="65" t="s">
        <v>6863</v>
      </c>
      <c r="IPS1" s="65" t="s">
        <v>6864</v>
      </c>
      <c r="IPT1" s="65" t="s">
        <v>6865</v>
      </c>
      <c r="IPU1" s="65" t="s">
        <v>6866</v>
      </c>
      <c r="IPV1" s="65" t="s">
        <v>6867</v>
      </c>
      <c r="IPW1" s="65" t="s">
        <v>6868</v>
      </c>
      <c r="IPX1" s="65" t="s">
        <v>6869</v>
      </c>
      <c r="IPY1" s="65" t="s">
        <v>6870</v>
      </c>
      <c r="IPZ1" s="65" t="s">
        <v>6871</v>
      </c>
      <c r="IQA1" s="65" t="s">
        <v>6872</v>
      </c>
      <c r="IQB1" s="65" t="s">
        <v>6873</v>
      </c>
      <c r="IQC1" s="65" t="s">
        <v>6874</v>
      </c>
      <c r="IQD1" s="65" t="s">
        <v>6875</v>
      </c>
      <c r="IQE1" s="65" t="s">
        <v>6876</v>
      </c>
      <c r="IQF1" s="65" t="s">
        <v>6877</v>
      </c>
      <c r="IQG1" s="65" t="s">
        <v>6878</v>
      </c>
      <c r="IQH1" s="65" t="s">
        <v>6879</v>
      </c>
      <c r="IQI1" s="65" t="s">
        <v>6880</v>
      </c>
      <c r="IQJ1" s="65" t="s">
        <v>6881</v>
      </c>
      <c r="IQK1" s="65" t="s">
        <v>6882</v>
      </c>
      <c r="IQL1" s="65" t="s">
        <v>6883</v>
      </c>
      <c r="IQM1" s="65" t="s">
        <v>6884</v>
      </c>
      <c r="IQN1" s="65" t="s">
        <v>6885</v>
      </c>
      <c r="IQO1" s="65" t="s">
        <v>6886</v>
      </c>
      <c r="IQP1" s="65" t="s">
        <v>6887</v>
      </c>
      <c r="IQQ1" s="65" t="s">
        <v>6888</v>
      </c>
      <c r="IQR1" s="65" t="s">
        <v>6889</v>
      </c>
      <c r="IQS1" s="65" t="s">
        <v>6890</v>
      </c>
      <c r="IQT1" s="65" t="s">
        <v>6891</v>
      </c>
      <c r="IQU1" s="65" t="s">
        <v>6892</v>
      </c>
      <c r="IQV1" s="65" t="s">
        <v>6893</v>
      </c>
      <c r="IQW1" s="65" t="s">
        <v>6894</v>
      </c>
      <c r="IQX1" s="65" t="s">
        <v>6895</v>
      </c>
      <c r="IQY1" s="65" t="s">
        <v>6896</v>
      </c>
      <c r="IQZ1" s="65" t="s">
        <v>6897</v>
      </c>
      <c r="IRA1" s="65" t="s">
        <v>6898</v>
      </c>
      <c r="IRB1" s="65" t="s">
        <v>6899</v>
      </c>
      <c r="IRC1" s="65" t="s">
        <v>6900</v>
      </c>
      <c r="IRD1" s="65" t="s">
        <v>6901</v>
      </c>
      <c r="IRE1" s="65" t="s">
        <v>6902</v>
      </c>
      <c r="IRF1" s="65" t="s">
        <v>6903</v>
      </c>
      <c r="IRG1" s="65" t="s">
        <v>6904</v>
      </c>
      <c r="IRH1" s="65" t="s">
        <v>6905</v>
      </c>
      <c r="IRI1" s="65" t="s">
        <v>6906</v>
      </c>
      <c r="IRJ1" s="65" t="s">
        <v>6907</v>
      </c>
      <c r="IRK1" s="65" t="s">
        <v>6908</v>
      </c>
      <c r="IRL1" s="65" t="s">
        <v>6909</v>
      </c>
      <c r="IRM1" s="65" t="s">
        <v>6910</v>
      </c>
      <c r="IRN1" s="65" t="s">
        <v>6911</v>
      </c>
      <c r="IRO1" s="65" t="s">
        <v>6912</v>
      </c>
      <c r="IRP1" s="65" t="s">
        <v>6913</v>
      </c>
      <c r="IRQ1" s="65" t="s">
        <v>6914</v>
      </c>
      <c r="IRR1" s="65" t="s">
        <v>6915</v>
      </c>
      <c r="IRS1" s="65" t="s">
        <v>6916</v>
      </c>
      <c r="IRT1" s="65" t="s">
        <v>6917</v>
      </c>
      <c r="IRU1" s="65" t="s">
        <v>6918</v>
      </c>
      <c r="IRV1" s="65" t="s">
        <v>6919</v>
      </c>
      <c r="IRW1" s="65" t="s">
        <v>6920</v>
      </c>
      <c r="IRX1" s="65" t="s">
        <v>6921</v>
      </c>
      <c r="IRY1" s="65" t="s">
        <v>6922</v>
      </c>
      <c r="IRZ1" s="65" t="s">
        <v>6923</v>
      </c>
      <c r="ISA1" s="65" t="s">
        <v>6924</v>
      </c>
      <c r="ISB1" s="65" t="s">
        <v>6925</v>
      </c>
      <c r="ISC1" s="65" t="s">
        <v>6926</v>
      </c>
      <c r="ISD1" s="65" t="s">
        <v>6927</v>
      </c>
      <c r="ISE1" s="65" t="s">
        <v>6928</v>
      </c>
      <c r="ISF1" s="65" t="s">
        <v>6929</v>
      </c>
      <c r="ISG1" s="65" t="s">
        <v>6930</v>
      </c>
      <c r="ISH1" s="65" t="s">
        <v>6931</v>
      </c>
      <c r="ISI1" s="65" t="s">
        <v>6932</v>
      </c>
      <c r="ISJ1" s="65" t="s">
        <v>6933</v>
      </c>
      <c r="ISK1" s="65" t="s">
        <v>6934</v>
      </c>
      <c r="ISL1" s="65" t="s">
        <v>6935</v>
      </c>
      <c r="ISM1" s="65" t="s">
        <v>6936</v>
      </c>
      <c r="ISN1" s="65" t="s">
        <v>6937</v>
      </c>
      <c r="ISO1" s="65" t="s">
        <v>6938</v>
      </c>
      <c r="ISP1" s="65" t="s">
        <v>6939</v>
      </c>
      <c r="ISQ1" s="65" t="s">
        <v>6940</v>
      </c>
      <c r="ISR1" s="65" t="s">
        <v>6941</v>
      </c>
      <c r="ISS1" s="65" t="s">
        <v>6942</v>
      </c>
      <c r="IST1" s="65" t="s">
        <v>6943</v>
      </c>
      <c r="ISU1" s="65" t="s">
        <v>6944</v>
      </c>
      <c r="ISV1" s="65" t="s">
        <v>6945</v>
      </c>
      <c r="ISW1" s="65" t="s">
        <v>6946</v>
      </c>
      <c r="ISX1" s="65" t="s">
        <v>6947</v>
      </c>
      <c r="ISY1" s="65" t="s">
        <v>6948</v>
      </c>
      <c r="ISZ1" s="65" t="s">
        <v>6949</v>
      </c>
      <c r="ITA1" s="65" t="s">
        <v>6950</v>
      </c>
      <c r="ITB1" s="65" t="s">
        <v>6951</v>
      </c>
      <c r="ITC1" s="65" t="s">
        <v>6952</v>
      </c>
      <c r="ITD1" s="65" t="s">
        <v>6953</v>
      </c>
      <c r="ITE1" s="65" t="s">
        <v>6954</v>
      </c>
      <c r="ITF1" s="65" t="s">
        <v>6955</v>
      </c>
      <c r="ITG1" s="65" t="s">
        <v>6956</v>
      </c>
      <c r="ITH1" s="65" t="s">
        <v>6957</v>
      </c>
      <c r="ITI1" s="65" t="s">
        <v>6958</v>
      </c>
      <c r="ITJ1" s="65" t="s">
        <v>6959</v>
      </c>
      <c r="ITK1" s="65" t="s">
        <v>6960</v>
      </c>
      <c r="ITL1" s="65" t="s">
        <v>6961</v>
      </c>
      <c r="ITM1" s="65" t="s">
        <v>6962</v>
      </c>
      <c r="ITN1" s="65" t="s">
        <v>6963</v>
      </c>
      <c r="ITO1" s="65" t="s">
        <v>6964</v>
      </c>
      <c r="ITP1" s="65" t="s">
        <v>6965</v>
      </c>
      <c r="ITQ1" s="65" t="s">
        <v>6966</v>
      </c>
      <c r="ITR1" s="65" t="s">
        <v>6967</v>
      </c>
      <c r="ITS1" s="65" t="s">
        <v>6968</v>
      </c>
      <c r="ITT1" s="65" t="s">
        <v>6969</v>
      </c>
      <c r="ITU1" s="65" t="s">
        <v>6970</v>
      </c>
      <c r="ITV1" s="65" t="s">
        <v>6971</v>
      </c>
      <c r="ITW1" s="65" t="s">
        <v>6972</v>
      </c>
      <c r="ITX1" s="65" t="s">
        <v>6973</v>
      </c>
      <c r="ITY1" s="65" t="s">
        <v>6974</v>
      </c>
      <c r="ITZ1" s="65" t="s">
        <v>6975</v>
      </c>
      <c r="IUA1" s="65" t="s">
        <v>6976</v>
      </c>
      <c r="IUB1" s="65" t="s">
        <v>6977</v>
      </c>
      <c r="IUC1" s="65" t="s">
        <v>6978</v>
      </c>
      <c r="IUD1" s="65" t="s">
        <v>6979</v>
      </c>
      <c r="IUE1" s="65" t="s">
        <v>6980</v>
      </c>
      <c r="IUF1" s="65" t="s">
        <v>6981</v>
      </c>
      <c r="IUG1" s="65" t="s">
        <v>6982</v>
      </c>
      <c r="IUH1" s="65" t="s">
        <v>6983</v>
      </c>
      <c r="IUI1" s="65" t="s">
        <v>6984</v>
      </c>
      <c r="IUJ1" s="65" t="s">
        <v>6985</v>
      </c>
      <c r="IUK1" s="65" t="s">
        <v>6986</v>
      </c>
      <c r="IUL1" s="65" t="s">
        <v>6987</v>
      </c>
      <c r="IUM1" s="65" t="s">
        <v>6988</v>
      </c>
      <c r="IUN1" s="65" t="s">
        <v>6989</v>
      </c>
      <c r="IUO1" s="65" t="s">
        <v>6990</v>
      </c>
      <c r="IUP1" s="65" t="s">
        <v>6991</v>
      </c>
      <c r="IUQ1" s="65" t="s">
        <v>6992</v>
      </c>
      <c r="IUR1" s="65" t="s">
        <v>6993</v>
      </c>
      <c r="IUS1" s="65" t="s">
        <v>6994</v>
      </c>
      <c r="IUT1" s="65" t="s">
        <v>6995</v>
      </c>
      <c r="IUU1" s="65" t="s">
        <v>6996</v>
      </c>
      <c r="IUV1" s="65" t="s">
        <v>6997</v>
      </c>
      <c r="IUW1" s="65" t="s">
        <v>6998</v>
      </c>
      <c r="IUX1" s="65" t="s">
        <v>6999</v>
      </c>
      <c r="IUY1" s="65" t="s">
        <v>7000</v>
      </c>
      <c r="IUZ1" s="65" t="s">
        <v>7001</v>
      </c>
      <c r="IVA1" s="65" t="s">
        <v>7002</v>
      </c>
      <c r="IVB1" s="65" t="s">
        <v>7003</v>
      </c>
      <c r="IVC1" s="65" t="s">
        <v>7004</v>
      </c>
      <c r="IVD1" s="65" t="s">
        <v>7005</v>
      </c>
      <c r="IVE1" s="65" t="s">
        <v>7006</v>
      </c>
      <c r="IVF1" s="65" t="s">
        <v>7007</v>
      </c>
      <c r="IVG1" s="65" t="s">
        <v>7008</v>
      </c>
      <c r="IVH1" s="65" t="s">
        <v>7009</v>
      </c>
      <c r="IVI1" s="65" t="s">
        <v>7010</v>
      </c>
      <c r="IVJ1" s="65" t="s">
        <v>7011</v>
      </c>
      <c r="IVK1" s="65" t="s">
        <v>7012</v>
      </c>
      <c r="IVL1" s="65" t="s">
        <v>7013</v>
      </c>
      <c r="IVM1" s="65" t="s">
        <v>7014</v>
      </c>
      <c r="IVN1" s="65" t="s">
        <v>7015</v>
      </c>
      <c r="IVO1" s="65" t="s">
        <v>7016</v>
      </c>
      <c r="IVP1" s="65" t="s">
        <v>7017</v>
      </c>
      <c r="IVQ1" s="65" t="s">
        <v>7018</v>
      </c>
      <c r="IVR1" s="65" t="s">
        <v>7019</v>
      </c>
      <c r="IVS1" s="65" t="s">
        <v>7020</v>
      </c>
      <c r="IVT1" s="65" t="s">
        <v>7021</v>
      </c>
      <c r="IVU1" s="65" t="s">
        <v>7022</v>
      </c>
      <c r="IVV1" s="65" t="s">
        <v>7023</v>
      </c>
      <c r="IVW1" s="65" t="s">
        <v>7024</v>
      </c>
      <c r="IVX1" s="65" t="s">
        <v>7025</v>
      </c>
      <c r="IVY1" s="65" t="s">
        <v>7026</v>
      </c>
      <c r="IVZ1" s="65" t="s">
        <v>7027</v>
      </c>
      <c r="IWA1" s="65" t="s">
        <v>7028</v>
      </c>
      <c r="IWB1" s="65" t="s">
        <v>7029</v>
      </c>
      <c r="IWC1" s="65" t="s">
        <v>7030</v>
      </c>
      <c r="IWD1" s="65" t="s">
        <v>7031</v>
      </c>
      <c r="IWE1" s="65" t="s">
        <v>7032</v>
      </c>
      <c r="IWF1" s="65" t="s">
        <v>7033</v>
      </c>
      <c r="IWG1" s="65" t="s">
        <v>7034</v>
      </c>
      <c r="IWH1" s="65" t="s">
        <v>7035</v>
      </c>
      <c r="IWI1" s="65" t="s">
        <v>7036</v>
      </c>
      <c r="IWJ1" s="65" t="s">
        <v>7037</v>
      </c>
      <c r="IWK1" s="65" t="s">
        <v>7038</v>
      </c>
      <c r="IWL1" s="65" t="s">
        <v>7039</v>
      </c>
      <c r="IWM1" s="65" t="s">
        <v>7040</v>
      </c>
      <c r="IWN1" s="65" t="s">
        <v>7041</v>
      </c>
      <c r="IWO1" s="65" t="s">
        <v>7042</v>
      </c>
      <c r="IWP1" s="65" t="s">
        <v>7043</v>
      </c>
      <c r="IWQ1" s="65" t="s">
        <v>7044</v>
      </c>
      <c r="IWR1" s="65" t="s">
        <v>7045</v>
      </c>
      <c r="IWS1" s="65" t="s">
        <v>7046</v>
      </c>
      <c r="IWT1" s="65" t="s">
        <v>7047</v>
      </c>
      <c r="IWU1" s="65" t="s">
        <v>7048</v>
      </c>
      <c r="IWV1" s="65" t="s">
        <v>7049</v>
      </c>
      <c r="IWW1" s="65" t="s">
        <v>7050</v>
      </c>
      <c r="IWX1" s="65" t="s">
        <v>7051</v>
      </c>
      <c r="IWY1" s="65" t="s">
        <v>7052</v>
      </c>
      <c r="IWZ1" s="65" t="s">
        <v>7053</v>
      </c>
      <c r="IXA1" s="65" t="s">
        <v>7054</v>
      </c>
      <c r="IXB1" s="65" t="s">
        <v>7055</v>
      </c>
      <c r="IXC1" s="65" t="s">
        <v>7056</v>
      </c>
      <c r="IXD1" s="65" t="s">
        <v>7057</v>
      </c>
      <c r="IXE1" s="65" t="s">
        <v>7058</v>
      </c>
      <c r="IXF1" s="65" t="s">
        <v>7059</v>
      </c>
      <c r="IXG1" s="65" t="s">
        <v>7060</v>
      </c>
      <c r="IXH1" s="65" t="s">
        <v>7061</v>
      </c>
      <c r="IXI1" s="65" t="s">
        <v>7062</v>
      </c>
      <c r="IXJ1" s="65" t="s">
        <v>7063</v>
      </c>
      <c r="IXK1" s="65" t="s">
        <v>7064</v>
      </c>
      <c r="IXL1" s="65" t="s">
        <v>7065</v>
      </c>
      <c r="IXM1" s="65" t="s">
        <v>7066</v>
      </c>
      <c r="IXN1" s="65" t="s">
        <v>7067</v>
      </c>
      <c r="IXO1" s="65" t="s">
        <v>7068</v>
      </c>
      <c r="IXP1" s="65" t="s">
        <v>7069</v>
      </c>
      <c r="IXQ1" s="65" t="s">
        <v>7070</v>
      </c>
      <c r="IXR1" s="65" t="s">
        <v>7071</v>
      </c>
      <c r="IXS1" s="65" t="s">
        <v>7072</v>
      </c>
      <c r="IXT1" s="65" t="s">
        <v>7073</v>
      </c>
      <c r="IXU1" s="65" t="s">
        <v>7074</v>
      </c>
      <c r="IXV1" s="65" t="s">
        <v>7075</v>
      </c>
      <c r="IXW1" s="65" t="s">
        <v>7076</v>
      </c>
      <c r="IXX1" s="65" t="s">
        <v>7077</v>
      </c>
      <c r="IXY1" s="65" t="s">
        <v>7078</v>
      </c>
      <c r="IXZ1" s="65" t="s">
        <v>7079</v>
      </c>
      <c r="IYA1" s="65" t="s">
        <v>7080</v>
      </c>
      <c r="IYB1" s="65" t="s">
        <v>7081</v>
      </c>
      <c r="IYC1" s="65" t="s">
        <v>7082</v>
      </c>
      <c r="IYD1" s="65" t="s">
        <v>7083</v>
      </c>
      <c r="IYE1" s="65" t="s">
        <v>7084</v>
      </c>
      <c r="IYF1" s="65" t="s">
        <v>7085</v>
      </c>
      <c r="IYG1" s="65" t="s">
        <v>7086</v>
      </c>
      <c r="IYH1" s="65" t="s">
        <v>7087</v>
      </c>
      <c r="IYI1" s="65" t="s">
        <v>7088</v>
      </c>
      <c r="IYJ1" s="65" t="s">
        <v>7089</v>
      </c>
      <c r="IYK1" s="65" t="s">
        <v>7090</v>
      </c>
      <c r="IYL1" s="65" t="s">
        <v>7091</v>
      </c>
      <c r="IYM1" s="65" t="s">
        <v>7092</v>
      </c>
      <c r="IYN1" s="65" t="s">
        <v>7093</v>
      </c>
      <c r="IYO1" s="65" t="s">
        <v>7094</v>
      </c>
      <c r="IYP1" s="65" t="s">
        <v>7095</v>
      </c>
      <c r="IYQ1" s="65" t="s">
        <v>7096</v>
      </c>
      <c r="IYR1" s="65" t="s">
        <v>7097</v>
      </c>
      <c r="IYS1" s="65" t="s">
        <v>7098</v>
      </c>
      <c r="IYT1" s="65" t="s">
        <v>7099</v>
      </c>
      <c r="IYU1" s="65" t="s">
        <v>7100</v>
      </c>
      <c r="IYV1" s="65" t="s">
        <v>7101</v>
      </c>
      <c r="IYW1" s="65" t="s">
        <v>7102</v>
      </c>
      <c r="IYX1" s="65" t="s">
        <v>7103</v>
      </c>
      <c r="IYY1" s="65" t="s">
        <v>7104</v>
      </c>
      <c r="IYZ1" s="65" t="s">
        <v>7105</v>
      </c>
      <c r="IZA1" s="65" t="s">
        <v>7106</v>
      </c>
      <c r="IZB1" s="65" t="s">
        <v>7107</v>
      </c>
      <c r="IZC1" s="65" t="s">
        <v>7108</v>
      </c>
      <c r="IZD1" s="65" t="s">
        <v>7109</v>
      </c>
      <c r="IZE1" s="65" t="s">
        <v>7110</v>
      </c>
      <c r="IZF1" s="65" t="s">
        <v>7111</v>
      </c>
      <c r="IZG1" s="65" t="s">
        <v>7112</v>
      </c>
      <c r="IZH1" s="65" t="s">
        <v>7113</v>
      </c>
      <c r="IZI1" s="65" t="s">
        <v>7114</v>
      </c>
      <c r="IZJ1" s="65" t="s">
        <v>7115</v>
      </c>
      <c r="IZK1" s="65" t="s">
        <v>7116</v>
      </c>
      <c r="IZL1" s="65" t="s">
        <v>7117</v>
      </c>
      <c r="IZM1" s="65" t="s">
        <v>7118</v>
      </c>
      <c r="IZN1" s="65" t="s">
        <v>7119</v>
      </c>
      <c r="IZO1" s="65" t="s">
        <v>7120</v>
      </c>
      <c r="IZP1" s="65" t="s">
        <v>7121</v>
      </c>
      <c r="IZQ1" s="65" t="s">
        <v>7122</v>
      </c>
      <c r="IZR1" s="65" t="s">
        <v>7123</v>
      </c>
      <c r="IZS1" s="65" t="s">
        <v>7124</v>
      </c>
      <c r="IZT1" s="65" t="s">
        <v>7125</v>
      </c>
      <c r="IZU1" s="65" t="s">
        <v>7126</v>
      </c>
      <c r="IZV1" s="65" t="s">
        <v>7127</v>
      </c>
      <c r="IZW1" s="65" t="s">
        <v>7128</v>
      </c>
      <c r="IZX1" s="65" t="s">
        <v>7129</v>
      </c>
      <c r="IZY1" s="65" t="s">
        <v>7130</v>
      </c>
      <c r="IZZ1" s="65" t="s">
        <v>7131</v>
      </c>
      <c r="JAA1" s="65" t="s">
        <v>7132</v>
      </c>
      <c r="JAB1" s="65" t="s">
        <v>7133</v>
      </c>
      <c r="JAC1" s="65" t="s">
        <v>7134</v>
      </c>
      <c r="JAD1" s="65" t="s">
        <v>7135</v>
      </c>
      <c r="JAE1" s="65" t="s">
        <v>7136</v>
      </c>
      <c r="JAF1" s="65" t="s">
        <v>7137</v>
      </c>
      <c r="JAG1" s="65" t="s">
        <v>7138</v>
      </c>
      <c r="JAH1" s="65" t="s">
        <v>7139</v>
      </c>
      <c r="JAI1" s="65" t="s">
        <v>7140</v>
      </c>
      <c r="JAJ1" s="65" t="s">
        <v>7141</v>
      </c>
      <c r="JAK1" s="65" t="s">
        <v>7142</v>
      </c>
      <c r="JAL1" s="65" t="s">
        <v>7143</v>
      </c>
      <c r="JAM1" s="65" t="s">
        <v>7144</v>
      </c>
      <c r="JAN1" s="65" t="s">
        <v>7145</v>
      </c>
      <c r="JAO1" s="65" t="s">
        <v>7146</v>
      </c>
      <c r="JAP1" s="65" t="s">
        <v>7147</v>
      </c>
      <c r="JAQ1" s="65" t="s">
        <v>7148</v>
      </c>
      <c r="JAR1" s="65" t="s">
        <v>7149</v>
      </c>
      <c r="JAS1" s="65" t="s">
        <v>7150</v>
      </c>
      <c r="JAT1" s="65" t="s">
        <v>7151</v>
      </c>
      <c r="JAU1" s="65" t="s">
        <v>7152</v>
      </c>
      <c r="JAV1" s="65" t="s">
        <v>7153</v>
      </c>
      <c r="JAW1" s="65" t="s">
        <v>7154</v>
      </c>
      <c r="JAX1" s="65" t="s">
        <v>7155</v>
      </c>
      <c r="JAY1" s="65" t="s">
        <v>7156</v>
      </c>
      <c r="JAZ1" s="65" t="s">
        <v>7157</v>
      </c>
      <c r="JBA1" s="65" t="s">
        <v>7158</v>
      </c>
      <c r="JBB1" s="65" t="s">
        <v>7159</v>
      </c>
      <c r="JBC1" s="65" t="s">
        <v>7160</v>
      </c>
      <c r="JBD1" s="65" t="s">
        <v>7161</v>
      </c>
      <c r="JBE1" s="65" t="s">
        <v>7162</v>
      </c>
      <c r="JBF1" s="65" t="s">
        <v>7163</v>
      </c>
      <c r="JBG1" s="65" t="s">
        <v>7164</v>
      </c>
      <c r="JBH1" s="65" t="s">
        <v>7165</v>
      </c>
      <c r="JBI1" s="65" t="s">
        <v>7166</v>
      </c>
      <c r="JBJ1" s="65" t="s">
        <v>7167</v>
      </c>
      <c r="JBK1" s="65" t="s">
        <v>7168</v>
      </c>
      <c r="JBL1" s="65" t="s">
        <v>7169</v>
      </c>
      <c r="JBM1" s="65" t="s">
        <v>7170</v>
      </c>
      <c r="JBN1" s="65" t="s">
        <v>7171</v>
      </c>
      <c r="JBO1" s="65" t="s">
        <v>7172</v>
      </c>
      <c r="JBP1" s="65" t="s">
        <v>7173</v>
      </c>
      <c r="JBQ1" s="65" t="s">
        <v>7174</v>
      </c>
      <c r="JBR1" s="65" t="s">
        <v>7175</v>
      </c>
      <c r="JBS1" s="65" t="s">
        <v>7176</v>
      </c>
      <c r="JBT1" s="65" t="s">
        <v>7177</v>
      </c>
      <c r="JBU1" s="65" t="s">
        <v>7178</v>
      </c>
      <c r="JBV1" s="65" t="s">
        <v>7179</v>
      </c>
      <c r="JBW1" s="65" t="s">
        <v>7180</v>
      </c>
      <c r="JBX1" s="65" t="s">
        <v>7181</v>
      </c>
      <c r="JBY1" s="65" t="s">
        <v>7182</v>
      </c>
      <c r="JBZ1" s="65" t="s">
        <v>7183</v>
      </c>
      <c r="JCA1" s="65" t="s">
        <v>7184</v>
      </c>
      <c r="JCB1" s="65" t="s">
        <v>7185</v>
      </c>
      <c r="JCC1" s="65" t="s">
        <v>7186</v>
      </c>
      <c r="JCD1" s="65" t="s">
        <v>7187</v>
      </c>
      <c r="JCE1" s="65" t="s">
        <v>7188</v>
      </c>
      <c r="JCF1" s="65" t="s">
        <v>7189</v>
      </c>
      <c r="JCG1" s="65" t="s">
        <v>7190</v>
      </c>
      <c r="JCH1" s="65" t="s">
        <v>7191</v>
      </c>
      <c r="JCI1" s="65" t="s">
        <v>7192</v>
      </c>
      <c r="JCJ1" s="65" t="s">
        <v>7193</v>
      </c>
      <c r="JCK1" s="65" t="s">
        <v>7194</v>
      </c>
      <c r="JCL1" s="65" t="s">
        <v>7195</v>
      </c>
      <c r="JCM1" s="65" t="s">
        <v>7196</v>
      </c>
      <c r="JCN1" s="65" t="s">
        <v>7197</v>
      </c>
      <c r="JCO1" s="65" t="s">
        <v>7198</v>
      </c>
      <c r="JCP1" s="65" t="s">
        <v>7199</v>
      </c>
      <c r="JCQ1" s="65" t="s">
        <v>7200</v>
      </c>
      <c r="JCR1" s="65" t="s">
        <v>7201</v>
      </c>
      <c r="JCS1" s="65" t="s">
        <v>7202</v>
      </c>
      <c r="JCT1" s="65" t="s">
        <v>7203</v>
      </c>
      <c r="JCU1" s="65" t="s">
        <v>7204</v>
      </c>
      <c r="JCV1" s="65" t="s">
        <v>7205</v>
      </c>
      <c r="JCW1" s="65" t="s">
        <v>7206</v>
      </c>
      <c r="JCX1" s="65" t="s">
        <v>7207</v>
      </c>
      <c r="JCY1" s="65" t="s">
        <v>7208</v>
      </c>
      <c r="JCZ1" s="65" t="s">
        <v>7209</v>
      </c>
      <c r="JDA1" s="65" t="s">
        <v>7210</v>
      </c>
      <c r="JDB1" s="65" t="s">
        <v>7211</v>
      </c>
      <c r="JDC1" s="65" t="s">
        <v>7212</v>
      </c>
      <c r="JDD1" s="65" t="s">
        <v>7213</v>
      </c>
      <c r="JDE1" s="65" t="s">
        <v>7214</v>
      </c>
      <c r="JDF1" s="65" t="s">
        <v>7215</v>
      </c>
      <c r="JDG1" s="65" t="s">
        <v>7216</v>
      </c>
      <c r="JDH1" s="65" t="s">
        <v>7217</v>
      </c>
      <c r="JDI1" s="65" t="s">
        <v>7218</v>
      </c>
      <c r="JDJ1" s="65" t="s">
        <v>7219</v>
      </c>
      <c r="JDK1" s="65" t="s">
        <v>7220</v>
      </c>
      <c r="JDL1" s="65" t="s">
        <v>7221</v>
      </c>
      <c r="JDM1" s="65" t="s">
        <v>7222</v>
      </c>
      <c r="JDN1" s="65" t="s">
        <v>7223</v>
      </c>
      <c r="JDO1" s="65" t="s">
        <v>7224</v>
      </c>
      <c r="JDP1" s="65" t="s">
        <v>7225</v>
      </c>
      <c r="JDQ1" s="65" t="s">
        <v>7226</v>
      </c>
      <c r="JDR1" s="65" t="s">
        <v>7227</v>
      </c>
      <c r="JDS1" s="65" t="s">
        <v>7228</v>
      </c>
      <c r="JDT1" s="65" t="s">
        <v>7229</v>
      </c>
      <c r="JDU1" s="65" t="s">
        <v>7230</v>
      </c>
      <c r="JDV1" s="65" t="s">
        <v>7231</v>
      </c>
      <c r="JDW1" s="65" t="s">
        <v>7232</v>
      </c>
      <c r="JDX1" s="65" t="s">
        <v>7233</v>
      </c>
      <c r="JDY1" s="65" t="s">
        <v>7234</v>
      </c>
      <c r="JDZ1" s="65" t="s">
        <v>7235</v>
      </c>
      <c r="JEA1" s="65" t="s">
        <v>7236</v>
      </c>
      <c r="JEB1" s="65" t="s">
        <v>7237</v>
      </c>
      <c r="JEC1" s="65" t="s">
        <v>7238</v>
      </c>
      <c r="JED1" s="65" t="s">
        <v>7239</v>
      </c>
      <c r="JEE1" s="65" t="s">
        <v>7240</v>
      </c>
      <c r="JEF1" s="65" t="s">
        <v>7241</v>
      </c>
      <c r="JEG1" s="65" t="s">
        <v>7242</v>
      </c>
      <c r="JEH1" s="65" t="s">
        <v>7243</v>
      </c>
      <c r="JEI1" s="65" t="s">
        <v>7244</v>
      </c>
      <c r="JEJ1" s="65" t="s">
        <v>7245</v>
      </c>
      <c r="JEK1" s="65" t="s">
        <v>7246</v>
      </c>
      <c r="JEL1" s="65" t="s">
        <v>7247</v>
      </c>
      <c r="JEM1" s="65" t="s">
        <v>7248</v>
      </c>
      <c r="JEN1" s="65" t="s">
        <v>7249</v>
      </c>
      <c r="JEO1" s="65" t="s">
        <v>7250</v>
      </c>
      <c r="JEP1" s="65" t="s">
        <v>7251</v>
      </c>
      <c r="JEQ1" s="65" t="s">
        <v>7252</v>
      </c>
      <c r="JER1" s="65" t="s">
        <v>7253</v>
      </c>
      <c r="JES1" s="65" t="s">
        <v>7254</v>
      </c>
      <c r="JET1" s="65" t="s">
        <v>7255</v>
      </c>
      <c r="JEU1" s="65" t="s">
        <v>7256</v>
      </c>
      <c r="JEV1" s="65" t="s">
        <v>7257</v>
      </c>
      <c r="JEW1" s="65" t="s">
        <v>7258</v>
      </c>
      <c r="JEX1" s="65" t="s">
        <v>7259</v>
      </c>
      <c r="JEY1" s="65" t="s">
        <v>7260</v>
      </c>
      <c r="JEZ1" s="65" t="s">
        <v>7261</v>
      </c>
      <c r="JFA1" s="65" t="s">
        <v>7262</v>
      </c>
      <c r="JFB1" s="65" t="s">
        <v>7263</v>
      </c>
      <c r="JFC1" s="65" t="s">
        <v>7264</v>
      </c>
      <c r="JFD1" s="65" t="s">
        <v>7265</v>
      </c>
      <c r="JFE1" s="65" t="s">
        <v>7266</v>
      </c>
      <c r="JFF1" s="65" t="s">
        <v>7267</v>
      </c>
      <c r="JFG1" s="65" t="s">
        <v>7268</v>
      </c>
      <c r="JFH1" s="65" t="s">
        <v>7269</v>
      </c>
      <c r="JFI1" s="65" t="s">
        <v>7270</v>
      </c>
      <c r="JFJ1" s="65" t="s">
        <v>7271</v>
      </c>
      <c r="JFK1" s="65" t="s">
        <v>7272</v>
      </c>
      <c r="JFL1" s="65" t="s">
        <v>7273</v>
      </c>
      <c r="JFM1" s="65" t="s">
        <v>7274</v>
      </c>
      <c r="JFN1" s="65" t="s">
        <v>7275</v>
      </c>
      <c r="JFO1" s="65" t="s">
        <v>7276</v>
      </c>
      <c r="JFP1" s="65" t="s">
        <v>7277</v>
      </c>
      <c r="JFQ1" s="65" t="s">
        <v>7278</v>
      </c>
      <c r="JFR1" s="65" t="s">
        <v>7279</v>
      </c>
      <c r="JFS1" s="65" t="s">
        <v>7280</v>
      </c>
      <c r="JFT1" s="65" t="s">
        <v>7281</v>
      </c>
      <c r="JFU1" s="65" t="s">
        <v>7282</v>
      </c>
      <c r="JFV1" s="65" t="s">
        <v>7283</v>
      </c>
      <c r="JFW1" s="65" t="s">
        <v>7284</v>
      </c>
      <c r="JFX1" s="65" t="s">
        <v>7285</v>
      </c>
      <c r="JFY1" s="65" t="s">
        <v>7286</v>
      </c>
      <c r="JFZ1" s="65" t="s">
        <v>7287</v>
      </c>
      <c r="JGA1" s="65" t="s">
        <v>7288</v>
      </c>
      <c r="JGB1" s="65" t="s">
        <v>7289</v>
      </c>
      <c r="JGC1" s="65" t="s">
        <v>7290</v>
      </c>
      <c r="JGD1" s="65" t="s">
        <v>7291</v>
      </c>
      <c r="JGE1" s="65" t="s">
        <v>7292</v>
      </c>
      <c r="JGF1" s="65" t="s">
        <v>7293</v>
      </c>
      <c r="JGG1" s="65" t="s">
        <v>7294</v>
      </c>
      <c r="JGH1" s="65" t="s">
        <v>7295</v>
      </c>
      <c r="JGI1" s="65" t="s">
        <v>7296</v>
      </c>
      <c r="JGJ1" s="65" t="s">
        <v>7297</v>
      </c>
      <c r="JGK1" s="65" t="s">
        <v>7298</v>
      </c>
      <c r="JGL1" s="65" t="s">
        <v>7299</v>
      </c>
      <c r="JGM1" s="65" t="s">
        <v>7300</v>
      </c>
      <c r="JGN1" s="65" t="s">
        <v>7301</v>
      </c>
      <c r="JGO1" s="65" t="s">
        <v>7302</v>
      </c>
      <c r="JGP1" s="65" t="s">
        <v>7303</v>
      </c>
      <c r="JGQ1" s="65" t="s">
        <v>7304</v>
      </c>
      <c r="JGR1" s="65" t="s">
        <v>7305</v>
      </c>
      <c r="JGS1" s="65" t="s">
        <v>7306</v>
      </c>
      <c r="JGT1" s="65" t="s">
        <v>7307</v>
      </c>
      <c r="JGU1" s="65" t="s">
        <v>7308</v>
      </c>
      <c r="JGV1" s="65" t="s">
        <v>7309</v>
      </c>
      <c r="JGW1" s="65" t="s">
        <v>7310</v>
      </c>
      <c r="JGX1" s="65" t="s">
        <v>7311</v>
      </c>
      <c r="JGY1" s="65" t="s">
        <v>7312</v>
      </c>
      <c r="JGZ1" s="65" t="s">
        <v>7313</v>
      </c>
      <c r="JHA1" s="65" t="s">
        <v>7314</v>
      </c>
      <c r="JHB1" s="65" t="s">
        <v>7315</v>
      </c>
      <c r="JHC1" s="65" t="s">
        <v>7316</v>
      </c>
      <c r="JHD1" s="65" t="s">
        <v>7317</v>
      </c>
      <c r="JHE1" s="65" t="s">
        <v>7318</v>
      </c>
      <c r="JHF1" s="65" t="s">
        <v>7319</v>
      </c>
      <c r="JHG1" s="65" t="s">
        <v>7320</v>
      </c>
      <c r="JHH1" s="65" t="s">
        <v>7321</v>
      </c>
      <c r="JHI1" s="65" t="s">
        <v>7322</v>
      </c>
      <c r="JHJ1" s="65" t="s">
        <v>7323</v>
      </c>
      <c r="JHK1" s="65" t="s">
        <v>7324</v>
      </c>
      <c r="JHL1" s="65" t="s">
        <v>7325</v>
      </c>
      <c r="JHM1" s="65" t="s">
        <v>7326</v>
      </c>
      <c r="JHN1" s="65" t="s">
        <v>7327</v>
      </c>
      <c r="JHO1" s="65" t="s">
        <v>7328</v>
      </c>
      <c r="JHP1" s="65" t="s">
        <v>7329</v>
      </c>
      <c r="JHQ1" s="65" t="s">
        <v>7330</v>
      </c>
      <c r="JHR1" s="65" t="s">
        <v>7331</v>
      </c>
      <c r="JHS1" s="65" t="s">
        <v>7332</v>
      </c>
      <c r="JHT1" s="65" t="s">
        <v>7333</v>
      </c>
      <c r="JHU1" s="65" t="s">
        <v>7334</v>
      </c>
      <c r="JHV1" s="65" t="s">
        <v>7335</v>
      </c>
      <c r="JHW1" s="65" t="s">
        <v>7336</v>
      </c>
      <c r="JHX1" s="65" t="s">
        <v>7337</v>
      </c>
      <c r="JHY1" s="65" t="s">
        <v>7338</v>
      </c>
      <c r="JHZ1" s="65" t="s">
        <v>7339</v>
      </c>
      <c r="JIA1" s="65" t="s">
        <v>7340</v>
      </c>
      <c r="JIB1" s="65" t="s">
        <v>7341</v>
      </c>
      <c r="JIC1" s="65" t="s">
        <v>7342</v>
      </c>
      <c r="JID1" s="65" t="s">
        <v>7343</v>
      </c>
      <c r="JIE1" s="65" t="s">
        <v>7344</v>
      </c>
      <c r="JIF1" s="65" t="s">
        <v>7345</v>
      </c>
      <c r="JIG1" s="65" t="s">
        <v>7346</v>
      </c>
      <c r="JIH1" s="65" t="s">
        <v>7347</v>
      </c>
      <c r="JII1" s="65" t="s">
        <v>7348</v>
      </c>
      <c r="JIJ1" s="65" t="s">
        <v>7349</v>
      </c>
      <c r="JIK1" s="65" t="s">
        <v>7350</v>
      </c>
      <c r="JIL1" s="65" t="s">
        <v>7351</v>
      </c>
      <c r="JIM1" s="65" t="s">
        <v>7352</v>
      </c>
      <c r="JIN1" s="65" t="s">
        <v>7353</v>
      </c>
      <c r="JIO1" s="65" t="s">
        <v>7354</v>
      </c>
      <c r="JIP1" s="65" t="s">
        <v>7355</v>
      </c>
      <c r="JIQ1" s="65" t="s">
        <v>7356</v>
      </c>
      <c r="JIR1" s="65" t="s">
        <v>7357</v>
      </c>
      <c r="JIS1" s="65" t="s">
        <v>7358</v>
      </c>
      <c r="JIT1" s="65" t="s">
        <v>7359</v>
      </c>
      <c r="JIU1" s="65" t="s">
        <v>7360</v>
      </c>
      <c r="JIV1" s="65" t="s">
        <v>7361</v>
      </c>
      <c r="JIW1" s="65" t="s">
        <v>7362</v>
      </c>
      <c r="JIX1" s="65" t="s">
        <v>7363</v>
      </c>
      <c r="JIY1" s="65" t="s">
        <v>7364</v>
      </c>
      <c r="JIZ1" s="65" t="s">
        <v>7365</v>
      </c>
      <c r="JJA1" s="65" t="s">
        <v>7366</v>
      </c>
      <c r="JJB1" s="65" t="s">
        <v>7367</v>
      </c>
      <c r="JJC1" s="65" t="s">
        <v>7368</v>
      </c>
      <c r="JJD1" s="65" t="s">
        <v>7369</v>
      </c>
      <c r="JJE1" s="65" t="s">
        <v>7370</v>
      </c>
      <c r="JJF1" s="65" t="s">
        <v>7371</v>
      </c>
      <c r="JJG1" s="65" t="s">
        <v>7372</v>
      </c>
      <c r="JJH1" s="65" t="s">
        <v>7373</v>
      </c>
      <c r="JJI1" s="65" t="s">
        <v>7374</v>
      </c>
      <c r="JJJ1" s="65" t="s">
        <v>7375</v>
      </c>
      <c r="JJK1" s="65" t="s">
        <v>7376</v>
      </c>
      <c r="JJL1" s="65" t="s">
        <v>7377</v>
      </c>
      <c r="JJM1" s="65" t="s">
        <v>7378</v>
      </c>
      <c r="JJN1" s="65" t="s">
        <v>7379</v>
      </c>
      <c r="JJO1" s="65" t="s">
        <v>7380</v>
      </c>
      <c r="JJP1" s="65" t="s">
        <v>7381</v>
      </c>
      <c r="JJQ1" s="65" t="s">
        <v>7382</v>
      </c>
      <c r="JJR1" s="65" t="s">
        <v>7383</v>
      </c>
      <c r="JJS1" s="65" t="s">
        <v>7384</v>
      </c>
      <c r="JJT1" s="65" t="s">
        <v>7385</v>
      </c>
      <c r="JJU1" s="65" t="s">
        <v>7386</v>
      </c>
      <c r="JJV1" s="65" t="s">
        <v>7387</v>
      </c>
      <c r="JJW1" s="65" t="s">
        <v>7388</v>
      </c>
      <c r="JJX1" s="65" t="s">
        <v>7389</v>
      </c>
      <c r="JJY1" s="65" t="s">
        <v>7390</v>
      </c>
      <c r="JJZ1" s="65" t="s">
        <v>7391</v>
      </c>
      <c r="JKA1" s="65" t="s">
        <v>7392</v>
      </c>
      <c r="JKB1" s="65" t="s">
        <v>7393</v>
      </c>
      <c r="JKC1" s="65" t="s">
        <v>7394</v>
      </c>
      <c r="JKD1" s="65" t="s">
        <v>7395</v>
      </c>
      <c r="JKE1" s="65" t="s">
        <v>7396</v>
      </c>
      <c r="JKF1" s="65" t="s">
        <v>7397</v>
      </c>
      <c r="JKG1" s="65" t="s">
        <v>7398</v>
      </c>
      <c r="JKH1" s="65" t="s">
        <v>7399</v>
      </c>
      <c r="JKI1" s="65" t="s">
        <v>7400</v>
      </c>
      <c r="JKJ1" s="65" t="s">
        <v>7401</v>
      </c>
      <c r="JKK1" s="65" t="s">
        <v>7402</v>
      </c>
      <c r="JKL1" s="65" t="s">
        <v>7403</v>
      </c>
      <c r="JKM1" s="65" t="s">
        <v>7404</v>
      </c>
      <c r="JKN1" s="65" t="s">
        <v>7405</v>
      </c>
      <c r="JKO1" s="65" t="s">
        <v>7406</v>
      </c>
      <c r="JKP1" s="65" t="s">
        <v>7407</v>
      </c>
      <c r="JKQ1" s="65" t="s">
        <v>7408</v>
      </c>
      <c r="JKR1" s="65" t="s">
        <v>7409</v>
      </c>
      <c r="JKS1" s="65" t="s">
        <v>7410</v>
      </c>
      <c r="JKT1" s="65" t="s">
        <v>7411</v>
      </c>
      <c r="JKU1" s="65" t="s">
        <v>7412</v>
      </c>
      <c r="JKV1" s="65" t="s">
        <v>7413</v>
      </c>
      <c r="JKW1" s="65" t="s">
        <v>7414</v>
      </c>
      <c r="JKX1" s="65" t="s">
        <v>7415</v>
      </c>
      <c r="JKY1" s="65" t="s">
        <v>7416</v>
      </c>
      <c r="JKZ1" s="65" t="s">
        <v>7417</v>
      </c>
      <c r="JLA1" s="65" t="s">
        <v>7418</v>
      </c>
      <c r="JLB1" s="65" t="s">
        <v>7419</v>
      </c>
      <c r="JLC1" s="65" t="s">
        <v>7420</v>
      </c>
      <c r="JLD1" s="65" t="s">
        <v>7421</v>
      </c>
      <c r="JLE1" s="65" t="s">
        <v>7422</v>
      </c>
      <c r="JLF1" s="65" t="s">
        <v>7423</v>
      </c>
      <c r="JLG1" s="65" t="s">
        <v>7424</v>
      </c>
      <c r="JLH1" s="65" t="s">
        <v>7425</v>
      </c>
      <c r="JLI1" s="65" t="s">
        <v>7426</v>
      </c>
      <c r="JLJ1" s="65" t="s">
        <v>7427</v>
      </c>
      <c r="JLK1" s="65" t="s">
        <v>7428</v>
      </c>
      <c r="JLL1" s="65" t="s">
        <v>7429</v>
      </c>
      <c r="JLM1" s="65" t="s">
        <v>7430</v>
      </c>
      <c r="JLN1" s="65" t="s">
        <v>7431</v>
      </c>
      <c r="JLO1" s="65" t="s">
        <v>7432</v>
      </c>
      <c r="JLP1" s="65" t="s">
        <v>7433</v>
      </c>
      <c r="JLQ1" s="65" t="s">
        <v>7434</v>
      </c>
      <c r="JLR1" s="65" t="s">
        <v>7435</v>
      </c>
      <c r="JLS1" s="65" t="s">
        <v>7436</v>
      </c>
      <c r="JLT1" s="65" t="s">
        <v>7437</v>
      </c>
      <c r="JLU1" s="65" t="s">
        <v>7438</v>
      </c>
      <c r="JLV1" s="65" t="s">
        <v>7439</v>
      </c>
      <c r="JLW1" s="65" t="s">
        <v>7440</v>
      </c>
      <c r="JLX1" s="65" t="s">
        <v>7441</v>
      </c>
      <c r="JLY1" s="65" t="s">
        <v>7442</v>
      </c>
      <c r="JLZ1" s="65" t="s">
        <v>7443</v>
      </c>
      <c r="JMA1" s="65" t="s">
        <v>7444</v>
      </c>
      <c r="JMB1" s="65" t="s">
        <v>7445</v>
      </c>
      <c r="JMC1" s="65" t="s">
        <v>7446</v>
      </c>
      <c r="JMD1" s="65" t="s">
        <v>7447</v>
      </c>
      <c r="JME1" s="65" t="s">
        <v>7448</v>
      </c>
      <c r="JMF1" s="65" t="s">
        <v>7449</v>
      </c>
      <c r="JMG1" s="65" t="s">
        <v>7450</v>
      </c>
      <c r="JMH1" s="65" t="s">
        <v>7451</v>
      </c>
      <c r="JMI1" s="65" t="s">
        <v>7452</v>
      </c>
      <c r="JMJ1" s="65" t="s">
        <v>7453</v>
      </c>
      <c r="JMK1" s="65" t="s">
        <v>7454</v>
      </c>
      <c r="JML1" s="65" t="s">
        <v>7455</v>
      </c>
      <c r="JMM1" s="65" t="s">
        <v>7456</v>
      </c>
      <c r="JMN1" s="65" t="s">
        <v>7457</v>
      </c>
      <c r="JMO1" s="65" t="s">
        <v>7458</v>
      </c>
      <c r="JMP1" s="65" t="s">
        <v>7459</v>
      </c>
      <c r="JMQ1" s="65" t="s">
        <v>7460</v>
      </c>
      <c r="JMR1" s="65" t="s">
        <v>7461</v>
      </c>
      <c r="JMS1" s="65" t="s">
        <v>7462</v>
      </c>
      <c r="JMT1" s="65" t="s">
        <v>7463</v>
      </c>
      <c r="JMU1" s="65" t="s">
        <v>7464</v>
      </c>
      <c r="JMV1" s="65" t="s">
        <v>7465</v>
      </c>
      <c r="JMW1" s="65" t="s">
        <v>7466</v>
      </c>
      <c r="JMX1" s="65" t="s">
        <v>7467</v>
      </c>
      <c r="JMY1" s="65" t="s">
        <v>7468</v>
      </c>
      <c r="JMZ1" s="65" t="s">
        <v>7469</v>
      </c>
      <c r="JNA1" s="65" t="s">
        <v>7470</v>
      </c>
      <c r="JNB1" s="65" t="s">
        <v>7471</v>
      </c>
      <c r="JNC1" s="65" t="s">
        <v>7472</v>
      </c>
      <c r="JND1" s="65" t="s">
        <v>7473</v>
      </c>
      <c r="JNE1" s="65" t="s">
        <v>7474</v>
      </c>
      <c r="JNF1" s="65" t="s">
        <v>7475</v>
      </c>
      <c r="JNG1" s="65" t="s">
        <v>7476</v>
      </c>
      <c r="JNH1" s="65" t="s">
        <v>7477</v>
      </c>
      <c r="JNI1" s="65" t="s">
        <v>7478</v>
      </c>
      <c r="JNJ1" s="65" t="s">
        <v>7479</v>
      </c>
      <c r="JNK1" s="65" t="s">
        <v>7480</v>
      </c>
      <c r="JNL1" s="65" t="s">
        <v>7481</v>
      </c>
      <c r="JNM1" s="65" t="s">
        <v>7482</v>
      </c>
      <c r="JNN1" s="65" t="s">
        <v>7483</v>
      </c>
      <c r="JNO1" s="65" t="s">
        <v>7484</v>
      </c>
      <c r="JNP1" s="65" t="s">
        <v>7485</v>
      </c>
      <c r="JNQ1" s="65" t="s">
        <v>7486</v>
      </c>
      <c r="JNR1" s="65" t="s">
        <v>7487</v>
      </c>
      <c r="JNS1" s="65" t="s">
        <v>7488</v>
      </c>
      <c r="JNT1" s="65" t="s">
        <v>7489</v>
      </c>
      <c r="JNU1" s="65" t="s">
        <v>7490</v>
      </c>
      <c r="JNV1" s="65" t="s">
        <v>7491</v>
      </c>
      <c r="JNW1" s="65" t="s">
        <v>7492</v>
      </c>
      <c r="JNX1" s="65" t="s">
        <v>7493</v>
      </c>
      <c r="JNY1" s="65" t="s">
        <v>7494</v>
      </c>
      <c r="JNZ1" s="65" t="s">
        <v>7495</v>
      </c>
      <c r="JOA1" s="65" t="s">
        <v>7496</v>
      </c>
      <c r="JOB1" s="65" t="s">
        <v>7497</v>
      </c>
      <c r="JOC1" s="65" t="s">
        <v>7498</v>
      </c>
      <c r="JOD1" s="65" t="s">
        <v>7499</v>
      </c>
      <c r="JOE1" s="65" t="s">
        <v>7500</v>
      </c>
      <c r="JOF1" s="65" t="s">
        <v>7501</v>
      </c>
      <c r="JOG1" s="65" t="s">
        <v>7502</v>
      </c>
      <c r="JOH1" s="65" t="s">
        <v>7503</v>
      </c>
      <c r="JOI1" s="65" t="s">
        <v>7504</v>
      </c>
      <c r="JOJ1" s="65" t="s">
        <v>7505</v>
      </c>
      <c r="JOK1" s="65" t="s">
        <v>7506</v>
      </c>
      <c r="JOL1" s="65" t="s">
        <v>7507</v>
      </c>
      <c r="JOM1" s="65" t="s">
        <v>7508</v>
      </c>
      <c r="JON1" s="65" t="s">
        <v>7509</v>
      </c>
      <c r="JOO1" s="65" t="s">
        <v>7510</v>
      </c>
      <c r="JOP1" s="65" t="s">
        <v>7511</v>
      </c>
      <c r="JOQ1" s="65" t="s">
        <v>7512</v>
      </c>
      <c r="JOR1" s="65" t="s">
        <v>7513</v>
      </c>
      <c r="JOS1" s="65" t="s">
        <v>7514</v>
      </c>
      <c r="JOT1" s="65" t="s">
        <v>7515</v>
      </c>
      <c r="JOU1" s="65" t="s">
        <v>7516</v>
      </c>
      <c r="JOV1" s="65" t="s">
        <v>7517</v>
      </c>
      <c r="JOW1" s="65" t="s">
        <v>7518</v>
      </c>
      <c r="JOX1" s="65" t="s">
        <v>7519</v>
      </c>
      <c r="JOY1" s="65" t="s">
        <v>7520</v>
      </c>
      <c r="JOZ1" s="65" t="s">
        <v>7521</v>
      </c>
      <c r="JPA1" s="65" t="s">
        <v>7522</v>
      </c>
      <c r="JPB1" s="65" t="s">
        <v>7523</v>
      </c>
      <c r="JPC1" s="65" t="s">
        <v>7524</v>
      </c>
      <c r="JPD1" s="65" t="s">
        <v>7525</v>
      </c>
      <c r="JPE1" s="65" t="s">
        <v>7526</v>
      </c>
      <c r="JPF1" s="65" t="s">
        <v>7527</v>
      </c>
      <c r="JPG1" s="65" t="s">
        <v>7528</v>
      </c>
      <c r="JPH1" s="65" t="s">
        <v>7529</v>
      </c>
      <c r="JPI1" s="65" t="s">
        <v>7530</v>
      </c>
      <c r="JPJ1" s="65" t="s">
        <v>7531</v>
      </c>
      <c r="JPK1" s="65" t="s">
        <v>7532</v>
      </c>
      <c r="JPL1" s="65" t="s">
        <v>7533</v>
      </c>
      <c r="JPM1" s="65" t="s">
        <v>7534</v>
      </c>
      <c r="JPN1" s="65" t="s">
        <v>7535</v>
      </c>
      <c r="JPO1" s="65" t="s">
        <v>7536</v>
      </c>
      <c r="JPP1" s="65" t="s">
        <v>7537</v>
      </c>
      <c r="JPQ1" s="65" t="s">
        <v>7538</v>
      </c>
      <c r="JPR1" s="65" t="s">
        <v>7539</v>
      </c>
      <c r="JPS1" s="65" t="s">
        <v>7540</v>
      </c>
      <c r="JPT1" s="65" t="s">
        <v>7541</v>
      </c>
      <c r="JPU1" s="65" t="s">
        <v>7542</v>
      </c>
      <c r="JPV1" s="65" t="s">
        <v>7543</v>
      </c>
      <c r="JPW1" s="65" t="s">
        <v>7544</v>
      </c>
      <c r="JPX1" s="65" t="s">
        <v>7545</v>
      </c>
      <c r="JPY1" s="65" t="s">
        <v>7546</v>
      </c>
      <c r="JPZ1" s="65" t="s">
        <v>7547</v>
      </c>
      <c r="JQA1" s="65" t="s">
        <v>7548</v>
      </c>
      <c r="JQB1" s="65" t="s">
        <v>7549</v>
      </c>
      <c r="JQC1" s="65" t="s">
        <v>7550</v>
      </c>
      <c r="JQD1" s="65" t="s">
        <v>7551</v>
      </c>
      <c r="JQE1" s="65" t="s">
        <v>7552</v>
      </c>
      <c r="JQF1" s="65" t="s">
        <v>7553</v>
      </c>
      <c r="JQG1" s="65" t="s">
        <v>7554</v>
      </c>
      <c r="JQH1" s="65" t="s">
        <v>7555</v>
      </c>
      <c r="JQI1" s="65" t="s">
        <v>7556</v>
      </c>
      <c r="JQJ1" s="65" t="s">
        <v>7557</v>
      </c>
      <c r="JQK1" s="65" t="s">
        <v>7558</v>
      </c>
      <c r="JQL1" s="65" t="s">
        <v>7559</v>
      </c>
      <c r="JQM1" s="65" t="s">
        <v>7560</v>
      </c>
      <c r="JQN1" s="65" t="s">
        <v>7561</v>
      </c>
      <c r="JQO1" s="65" t="s">
        <v>7562</v>
      </c>
      <c r="JQP1" s="65" t="s">
        <v>7563</v>
      </c>
      <c r="JQQ1" s="65" t="s">
        <v>7564</v>
      </c>
      <c r="JQR1" s="65" t="s">
        <v>7565</v>
      </c>
      <c r="JQS1" s="65" t="s">
        <v>7566</v>
      </c>
      <c r="JQT1" s="65" t="s">
        <v>7567</v>
      </c>
      <c r="JQU1" s="65" t="s">
        <v>7568</v>
      </c>
      <c r="JQV1" s="65" t="s">
        <v>7569</v>
      </c>
      <c r="JQW1" s="65" t="s">
        <v>7570</v>
      </c>
      <c r="JQX1" s="65" t="s">
        <v>7571</v>
      </c>
      <c r="JQY1" s="65" t="s">
        <v>7572</v>
      </c>
      <c r="JQZ1" s="65" t="s">
        <v>7573</v>
      </c>
      <c r="JRA1" s="65" t="s">
        <v>7574</v>
      </c>
      <c r="JRB1" s="65" t="s">
        <v>7575</v>
      </c>
      <c r="JRC1" s="65" t="s">
        <v>7576</v>
      </c>
      <c r="JRD1" s="65" t="s">
        <v>7577</v>
      </c>
      <c r="JRE1" s="65" t="s">
        <v>7578</v>
      </c>
      <c r="JRF1" s="65" t="s">
        <v>7579</v>
      </c>
      <c r="JRG1" s="65" t="s">
        <v>7580</v>
      </c>
      <c r="JRH1" s="65" t="s">
        <v>7581</v>
      </c>
      <c r="JRI1" s="65" t="s">
        <v>7582</v>
      </c>
      <c r="JRJ1" s="65" t="s">
        <v>7583</v>
      </c>
      <c r="JRK1" s="65" t="s">
        <v>7584</v>
      </c>
      <c r="JRL1" s="65" t="s">
        <v>7585</v>
      </c>
      <c r="JRM1" s="65" t="s">
        <v>7586</v>
      </c>
      <c r="JRN1" s="65" t="s">
        <v>7587</v>
      </c>
      <c r="JRO1" s="65" t="s">
        <v>7588</v>
      </c>
      <c r="JRP1" s="65" t="s">
        <v>7589</v>
      </c>
      <c r="JRQ1" s="65" t="s">
        <v>7590</v>
      </c>
      <c r="JRR1" s="65" t="s">
        <v>7591</v>
      </c>
      <c r="JRS1" s="65" t="s">
        <v>7592</v>
      </c>
      <c r="JRT1" s="65" t="s">
        <v>7593</v>
      </c>
      <c r="JRU1" s="65" t="s">
        <v>7594</v>
      </c>
      <c r="JRV1" s="65" t="s">
        <v>7595</v>
      </c>
      <c r="JRW1" s="65" t="s">
        <v>7596</v>
      </c>
      <c r="JRX1" s="65" t="s">
        <v>7597</v>
      </c>
      <c r="JRY1" s="65" t="s">
        <v>7598</v>
      </c>
      <c r="JRZ1" s="65" t="s">
        <v>7599</v>
      </c>
      <c r="JSA1" s="65" t="s">
        <v>7600</v>
      </c>
      <c r="JSB1" s="65" t="s">
        <v>7601</v>
      </c>
      <c r="JSC1" s="65" t="s">
        <v>7602</v>
      </c>
      <c r="JSD1" s="65" t="s">
        <v>7603</v>
      </c>
      <c r="JSE1" s="65" t="s">
        <v>7604</v>
      </c>
      <c r="JSF1" s="65" t="s">
        <v>7605</v>
      </c>
      <c r="JSG1" s="65" t="s">
        <v>7606</v>
      </c>
      <c r="JSH1" s="65" t="s">
        <v>7607</v>
      </c>
      <c r="JSI1" s="65" t="s">
        <v>7608</v>
      </c>
      <c r="JSJ1" s="65" t="s">
        <v>7609</v>
      </c>
      <c r="JSK1" s="65" t="s">
        <v>7610</v>
      </c>
      <c r="JSL1" s="65" t="s">
        <v>7611</v>
      </c>
      <c r="JSM1" s="65" t="s">
        <v>7612</v>
      </c>
      <c r="JSN1" s="65" t="s">
        <v>7613</v>
      </c>
      <c r="JSO1" s="65" t="s">
        <v>7614</v>
      </c>
      <c r="JSP1" s="65" t="s">
        <v>7615</v>
      </c>
      <c r="JSQ1" s="65" t="s">
        <v>7616</v>
      </c>
      <c r="JSR1" s="65" t="s">
        <v>7617</v>
      </c>
      <c r="JSS1" s="65" t="s">
        <v>7618</v>
      </c>
      <c r="JST1" s="65" t="s">
        <v>7619</v>
      </c>
      <c r="JSU1" s="65" t="s">
        <v>7620</v>
      </c>
      <c r="JSV1" s="65" t="s">
        <v>7621</v>
      </c>
      <c r="JSW1" s="65" t="s">
        <v>7622</v>
      </c>
      <c r="JSX1" s="65" t="s">
        <v>7623</v>
      </c>
      <c r="JSY1" s="65" t="s">
        <v>7624</v>
      </c>
      <c r="JSZ1" s="65" t="s">
        <v>7625</v>
      </c>
      <c r="JTA1" s="65" t="s">
        <v>7626</v>
      </c>
      <c r="JTB1" s="65" t="s">
        <v>7627</v>
      </c>
      <c r="JTC1" s="65" t="s">
        <v>7628</v>
      </c>
      <c r="JTD1" s="65" t="s">
        <v>7629</v>
      </c>
      <c r="JTE1" s="65" t="s">
        <v>7630</v>
      </c>
      <c r="JTF1" s="65" t="s">
        <v>7631</v>
      </c>
      <c r="JTG1" s="65" t="s">
        <v>7632</v>
      </c>
      <c r="JTH1" s="65" t="s">
        <v>7633</v>
      </c>
      <c r="JTI1" s="65" t="s">
        <v>7634</v>
      </c>
      <c r="JTJ1" s="65" t="s">
        <v>7635</v>
      </c>
      <c r="JTK1" s="65" t="s">
        <v>7636</v>
      </c>
      <c r="JTL1" s="65" t="s">
        <v>7637</v>
      </c>
      <c r="JTM1" s="65" t="s">
        <v>7638</v>
      </c>
      <c r="JTN1" s="65" t="s">
        <v>7639</v>
      </c>
      <c r="JTO1" s="65" t="s">
        <v>7640</v>
      </c>
      <c r="JTP1" s="65" t="s">
        <v>7641</v>
      </c>
      <c r="JTQ1" s="65" t="s">
        <v>7642</v>
      </c>
      <c r="JTR1" s="65" t="s">
        <v>7643</v>
      </c>
      <c r="JTS1" s="65" t="s">
        <v>7644</v>
      </c>
      <c r="JTT1" s="65" t="s">
        <v>7645</v>
      </c>
      <c r="JTU1" s="65" t="s">
        <v>7646</v>
      </c>
      <c r="JTV1" s="65" t="s">
        <v>7647</v>
      </c>
      <c r="JTW1" s="65" t="s">
        <v>7648</v>
      </c>
      <c r="JTX1" s="65" t="s">
        <v>7649</v>
      </c>
      <c r="JTY1" s="65" t="s">
        <v>7650</v>
      </c>
      <c r="JTZ1" s="65" t="s">
        <v>7651</v>
      </c>
      <c r="JUA1" s="65" t="s">
        <v>7652</v>
      </c>
      <c r="JUB1" s="65" t="s">
        <v>7653</v>
      </c>
      <c r="JUC1" s="65" t="s">
        <v>7654</v>
      </c>
      <c r="JUD1" s="65" t="s">
        <v>7655</v>
      </c>
      <c r="JUE1" s="65" t="s">
        <v>7656</v>
      </c>
      <c r="JUF1" s="65" t="s">
        <v>7657</v>
      </c>
      <c r="JUG1" s="65" t="s">
        <v>7658</v>
      </c>
      <c r="JUH1" s="65" t="s">
        <v>7659</v>
      </c>
      <c r="JUI1" s="65" t="s">
        <v>7660</v>
      </c>
      <c r="JUJ1" s="65" t="s">
        <v>7661</v>
      </c>
      <c r="JUK1" s="65" t="s">
        <v>7662</v>
      </c>
      <c r="JUL1" s="65" t="s">
        <v>7663</v>
      </c>
      <c r="JUM1" s="65" t="s">
        <v>7664</v>
      </c>
      <c r="JUN1" s="65" t="s">
        <v>7665</v>
      </c>
      <c r="JUO1" s="65" t="s">
        <v>7666</v>
      </c>
      <c r="JUP1" s="65" t="s">
        <v>7667</v>
      </c>
      <c r="JUQ1" s="65" t="s">
        <v>7668</v>
      </c>
      <c r="JUR1" s="65" t="s">
        <v>7669</v>
      </c>
      <c r="JUS1" s="65" t="s">
        <v>7670</v>
      </c>
      <c r="JUT1" s="65" t="s">
        <v>7671</v>
      </c>
      <c r="JUU1" s="65" t="s">
        <v>7672</v>
      </c>
      <c r="JUV1" s="65" t="s">
        <v>7673</v>
      </c>
      <c r="JUW1" s="65" t="s">
        <v>7674</v>
      </c>
      <c r="JUX1" s="65" t="s">
        <v>7675</v>
      </c>
      <c r="JUY1" s="65" t="s">
        <v>7676</v>
      </c>
      <c r="JUZ1" s="65" t="s">
        <v>7677</v>
      </c>
      <c r="JVA1" s="65" t="s">
        <v>7678</v>
      </c>
      <c r="JVB1" s="65" t="s">
        <v>7679</v>
      </c>
      <c r="JVC1" s="65" t="s">
        <v>7680</v>
      </c>
      <c r="JVD1" s="65" t="s">
        <v>7681</v>
      </c>
      <c r="JVE1" s="65" t="s">
        <v>7682</v>
      </c>
      <c r="JVF1" s="65" t="s">
        <v>7683</v>
      </c>
      <c r="JVG1" s="65" t="s">
        <v>7684</v>
      </c>
      <c r="JVH1" s="65" t="s">
        <v>7685</v>
      </c>
      <c r="JVI1" s="65" t="s">
        <v>7686</v>
      </c>
      <c r="JVJ1" s="65" t="s">
        <v>7687</v>
      </c>
      <c r="JVK1" s="65" t="s">
        <v>7688</v>
      </c>
      <c r="JVL1" s="65" t="s">
        <v>7689</v>
      </c>
      <c r="JVM1" s="65" t="s">
        <v>7690</v>
      </c>
      <c r="JVN1" s="65" t="s">
        <v>7691</v>
      </c>
      <c r="JVO1" s="65" t="s">
        <v>7692</v>
      </c>
      <c r="JVP1" s="65" t="s">
        <v>7693</v>
      </c>
      <c r="JVQ1" s="65" t="s">
        <v>7694</v>
      </c>
      <c r="JVR1" s="65" t="s">
        <v>7695</v>
      </c>
      <c r="JVS1" s="65" t="s">
        <v>7696</v>
      </c>
      <c r="JVT1" s="65" t="s">
        <v>7697</v>
      </c>
      <c r="JVU1" s="65" t="s">
        <v>7698</v>
      </c>
      <c r="JVV1" s="65" t="s">
        <v>7699</v>
      </c>
      <c r="JVW1" s="65" t="s">
        <v>7700</v>
      </c>
      <c r="JVX1" s="65" t="s">
        <v>7701</v>
      </c>
      <c r="JVY1" s="65" t="s">
        <v>7702</v>
      </c>
      <c r="JVZ1" s="65" t="s">
        <v>7703</v>
      </c>
      <c r="JWA1" s="65" t="s">
        <v>7704</v>
      </c>
      <c r="JWB1" s="65" t="s">
        <v>7705</v>
      </c>
      <c r="JWC1" s="65" t="s">
        <v>7706</v>
      </c>
      <c r="JWD1" s="65" t="s">
        <v>7707</v>
      </c>
      <c r="JWE1" s="65" t="s">
        <v>7708</v>
      </c>
      <c r="JWF1" s="65" t="s">
        <v>7709</v>
      </c>
      <c r="JWG1" s="65" t="s">
        <v>7710</v>
      </c>
      <c r="JWH1" s="65" t="s">
        <v>7711</v>
      </c>
      <c r="JWI1" s="65" t="s">
        <v>7712</v>
      </c>
      <c r="JWJ1" s="65" t="s">
        <v>7713</v>
      </c>
      <c r="JWK1" s="65" t="s">
        <v>7714</v>
      </c>
      <c r="JWL1" s="65" t="s">
        <v>7715</v>
      </c>
      <c r="JWM1" s="65" t="s">
        <v>7716</v>
      </c>
      <c r="JWN1" s="65" t="s">
        <v>7717</v>
      </c>
      <c r="JWO1" s="65" t="s">
        <v>7718</v>
      </c>
      <c r="JWP1" s="65" t="s">
        <v>7719</v>
      </c>
      <c r="JWQ1" s="65" t="s">
        <v>7720</v>
      </c>
      <c r="JWR1" s="65" t="s">
        <v>7721</v>
      </c>
      <c r="JWS1" s="65" t="s">
        <v>7722</v>
      </c>
      <c r="JWT1" s="65" t="s">
        <v>7723</v>
      </c>
      <c r="JWU1" s="65" t="s">
        <v>7724</v>
      </c>
      <c r="JWV1" s="65" t="s">
        <v>7725</v>
      </c>
      <c r="JWW1" s="65" t="s">
        <v>7726</v>
      </c>
      <c r="JWX1" s="65" t="s">
        <v>7727</v>
      </c>
      <c r="JWY1" s="65" t="s">
        <v>7728</v>
      </c>
      <c r="JWZ1" s="65" t="s">
        <v>7729</v>
      </c>
      <c r="JXA1" s="65" t="s">
        <v>7730</v>
      </c>
      <c r="JXB1" s="65" t="s">
        <v>7731</v>
      </c>
      <c r="JXC1" s="65" t="s">
        <v>7732</v>
      </c>
      <c r="JXD1" s="65" t="s">
        <v>7733</v>
      </c>
      <c r="JXE1" s="65" t="s">
        <v>7734</v>
      </c>
      <c r="JXF1" s="65" t="s">
        <v>7735</v>
      </c>
      <c r="JXG1" s="65" t="s">
        <v>7736</v>
      </c>
      <c r="JXH1" s="65" t="s">
        <v>7737</v>
      </c>
      <c r="JXI1" s="65" t="s">
        <v>7738</v>
      </c>
      <c r="JXJ1" s="65" t="s">
        <v>7739</v>
      </c>
      <c r="JXK1" s="65" t="s">
        <v>7740</v>
      </c>
      <c r="JXL1" s="65" t="s">
        <v>7741</v>
      </c>
      <c r="JXM1" s="65" t="s">
        <v>7742</v>
      </c>
      <c r="JXN1" s="65" t="s">
        <v>7743</v>
      </c>
      <c r="JXO1" s="65" t="s">
        <v>7744</v>
      </c>
      <c r="JXP1" s="65" t="s">
        <v>7745</v>
      </c>
      <c r="JXQ1" s="65" t="s">
        <v>7746</v>
      </c>
      <c r="JXR1" s="65" t="s">
        <v>7747</v>
      </c>
      <c r="JXS1" s="65" t="s">
        <v>7748</v>
      </c>
      <c r="JXT1" s="65" t="s">
        <v>7749</v>
      </c>
      <c r="JXU1" s="65" t="s">
        <v>7750</v>
      </c>
      <c r="JXV1" s="65" t="s">
        <v>7751</v>
      </c>
      <c r="JXW1" s="65" t="s">
        <v>7752</v>
      </c>
      <c r="JXX1" s="65" t="s">
        <v>7753</v>
      </c>
      <c r="JXY1" s="65" t="s">
        <v>7754</v>
      </c>
      <c r="JXZ1" s="65" t="s">
        <v>7755</v>
      </c>
      <c r="JYA1" s="65" t="s">
        <v>7756</v>
      </c>
      <c r="JYB1" s="65" t="s">
        <v>7757</v>
      </c>
      <c r="JYC1" s="65" t="s">
        <v>7758</v>
      </c>
      <c r="JYD1" s="65" t="s">
        <v>7759</v>
      </c>
      <c r="JYE1" s="65" t="s">
        <v>7760</v>
      </c>
      <c r="JYF1" s="65" t="s">
        <v>7761</v>
      </c>
      <c r="JYG1" s="65" t="s">
        <v>7762</v>
      </c>
      <c r="JYH1" s="65" t="s">
        <v>7763</v>
      </c>
      <c r="JYI1" s="65" t="s">
        <v>7764</v>
      </c>
      <c r="JYJ1" s="65" t="s">
        <v>7765</v>
      </c>
      <c r="JYK1" s="65" t="s">
        <v>7766</v>
      </c>
      <c r="JYL1" s="65" t="s">
        <v>7767</v>
      </c>
      <c r="JYM1" s="65" t="s">
        <v>7768</v>
      </c>
      <c r="JYN1" s="65" t="s">
        <v>7769</v>
      </c>
      <c r="JYO1" s="65" t="s">
        <v>7770</v>
      </c>
      <c r="JYP1" s="65" t="s">
        <v>7771</v>
      </c>
      <c r="JYQ1" s="65" t="s">
        <v>7772</v>
      </c>
      <c r="JYR1" s="65" t="s">
        <v>7773</v>
      </c>
      <c r="JYS1" s="65" t="s">
        <v>7774</v>
      </c>
      <c r="JYT1" s="65" t="s">
        <v>7775</v>
      </c>
      <c r="JYU1" s="65" t="s">
        <v>7776</v>
      </c>
      <c r="JYV1" s="65" t="s">
        <v>7777</v>
      </c>
      <c r="JYW1" s="65" t="s">
        <v>7778</v>
      </c>
      <c r="JYX1" s="65" t="s">
        <v>7779</v>
      </c>
      <c r="JYY1" s="65" t="s">
        <v>7780</v>
      </c>
      <c r="JYZ1" s="65" t="s">
        <v>7781</v>
      </c>
      <c r="JZA1" s="65" t="s">
        <v>7782</v>
      </c>
      <c r="JZB1" s="65" t="s">
        <v>7783</v>
      </c>
      <c r="JZC1" s="65" t="s">
        <v>7784</v>
      </c>
      <c r="JZD1" s="65" t="s">
        <v>7785</v>
      </c>
      <c r="JZE1" s="65" t="s">
        <v>7786</v>
      </c>
      <c r="JZF1" s="65" t="s">
        <v>7787</v>
      </c>
      <c r="JZG1" s="65" t="s">
        <v>7788</v>
      </c>
      <c r="JZH1" s="65" t="s">
        <v>7789</v>
      </c>
      <c r="JZI1" s="65" t="s">
        <v>7790</v>
      </c>
      <c r="JZJ1" s="65" t="s">
        <v>7791</v>
      </c>
      <c r="JZK1" s="65" t="s">
        <v>7792</v>
      </c>
      <c r="JZL1" s="65" t="s">
        <v>7793</v>
      </c>
      <c r="JZM1" s="65" t="s">
        <v>7794</v>
      </c>
      <c r="JZN1" s="65" t="s">
        <v>7795</v>
      </c>
      <c r="JZO1" s="65" t="s">
        <v>7796</v>
      </c>
      <c r="JZP1" s="65" t="s">
        <v>7797</v>
      </c>
      <c r="JZQ1" s="65" t="s">
        <v>7798</v>
      </c>
      <c r="JZR1" s="65" t="s">
        <v>7799</v>
      </c>
      <c r="JZS1" s="65" t="s">
        <v>7800</v>
      </c>
      <c r="JZT1" s="65" t="s">
        <v>7801</v>
      </c>
      <c r="JZU1" s="65" t="s">
        <v>7802</v>
      </c>
      <c r="JZV1" s="65" t="s">
        <v>7803</v>
      </c>
      <c r="JZW1" s="65" t="s">
        <v>7804</v>
      </c>
      <c r="JZX1" s="65" t="s">
        <v>7805</v>
      </c>
      <c r="JZY1" s="65" t="s">
        <v>7806</v>
      </c>
      <c r="JZZ1" s="65" t="s">
        <v>7807</v>
      </c>
      <c r="KAA1" s="65" t="s">
        <v>7808</v>
      </c>
      <c r="KAB1" s="65" t="s">
        <v>7809</v>
      </c>
      <c r="KAC1" s="65" t="s">
        <v>7810</v>
      </c>
      <c r="KAD1" s="65" t="s">
        <v>7811</v>
      </c>
      <c r="KAE1" s="65" t="s">
        <v>7812</v>
      </c>
      <c r="KAF1" s="65" t="s">
        <v>7813</v>
      </c>
      <c r="KAG1" s="65" t="s">
        <v>7814</v>
      </c>
      <c r="KAH1" s="65" t="s">
        <v>7815</v>
      </c>
      <c r="KAI1" s="65" t="s">
        <v>7816</v>
      </c>
      <c r="KAJ1" s="65" t="s">
        <v>7817</v>
      </c>
      <c r="KAK1" s="65" t="s">
        <v>7818</v>
      </c>
      <c r="KAL1" s="65" t="s">
        <v>7819</v>
      </c>
      <c r="KAM1" s="65" t="s">
        <v>7820</v>
      </c>
      <c r="KAN1" s="65" t="s">
        <v>7821</v>
      </c>
      <c r="KAO1" s="65" t="s">
        <v>7822</v>
      </c>
      <c r="KAP1" s="65" t="s">
        <v>7823</v>
      </c>
      <c r="KAQ1" s="65" t="s">
        <v>7824</v>
      </c>
      <c r="KAR1" s="65" t="s">
        <v>7825</v>
      </c>
      <c r="KAS1" s="65" t="s">
        <v>7826</v>
      </c>
      <c r="KAT1" s="65" t="s">
        <v>7827</v>
      </c>
      <c r="KAU1" s="65" t="s">
        <v>7828</v>
      </c>
      <c r="KAV1" s="65" t="s">
        <v>7829</v>
      </c>
      <c r="KAW1" s="65" t="s">
        <v>7830</v>
      </c>
      <c r="KAX1" s="65" t="s">
        <v>7831</v>
      </c>
      <c r="KAY1" s="65" t="s">
        <v>7832</v>
      </c>
      <c r="KAZ1" s="65" t="s">
        <v>7833</v>
      </c>
      <c r="KBA1" s="65" t="s">
        <v>7834</v>
      </c>
      <c r="KBB1" s="65" t="s">
        <v>7835</v>
      </c>
      <c r="KBC1" s="65" t="s">
        <v>7836</v>
      </c>
      <c r="KBD1" s="65" t="s">
        <v>7837</v>
      </c>
      <c r="KBE1" s="65" t="s">
        <v>7838</v>
      </c>
      <c r="KBF1" s="65" t="s">
        <v>7839</v>
      </c>
      <c r="KBG1" s="65" t="s">
        <v>7840</v>
      </c>
      <c r="KBH1" s="65" t="s">
        <v>7841</v>
      </c>
      <c r="KBI1" s="65" t="s">
        <v>7842</v>
      </c>
      <c r="KBJ1" s="65" t="s">
        <v>7843</v>
      </c>
      <c r="KBK1" s="65" t="s">
        <v>7844</v>
      </c>
      <c r="KBL1" s="65" t="s">
        <v>7845</v>
      </c>
      <c r="KBM1" s="65" t="s">
        <v>7846</v>
      </c>
      <c r="KBN1" s="65" t="s">
        <v>7847</v>
      </c>
      <c r="KBO1" s="65" t="s">
        <v>7848</v>
      </c>
      <c r="KBP1" s="65" t="s">
        <v>7849</v>
      </c>
      <c r="KBQ1" s="65" t="s">
        <v>7850</v>
      </c>
      <c r="KBR1" s="65" t="s">
        <v>7851</v>
      </c>
      <c r="KBS1" s="65" t="s">
        <v>7852</v>
      </c>
      <c r="KBT1" s="65" t="s">
        <v>7853</v>
      </c>
      <c r="KBU1" s="65" t="s">
        <v>7854</v>
      </c>
      <c r="KBV1" s="65" t="s">
        <v>7855</v>
      </c>
      <c r="KBW1" s="65" t="s">
        <v>7856</v>
      </c>
      <c r="KBX1" s="65" t="s">
        <v>7857</v>
      </c>
      <c r="KBY1" s="65" t="s">
        <v>7858</v>
      </c>
      <c r="KBZ1" s="65" t="s">
        <v>7859</v>
      </c>
      <c r="KCA1" s="65" t="s">
        <v>7860</v>
      </c>
      <c r="KCB1" s="65" t="s">
        <v>7861</v>
      </c>
      <c r="KCC1" s="65" t="s">
        <v>7862</v>
      </c>
      <c r="KCD1" s="65" t="s">
        <v>7863</v>
      </c>
      <c r="KCE1" s="65" t="s">
        <v>7864</v>
      </c>
      <c r="KCF1" s="65" t="s">
        <v>7865</v>
      </c>
      <c r="KCG1" s="65" t="s">
        <v>7866</v>
      </c>
      <c r="KCH1" s="65" t="s">
        <v>7867</v>
      </c>
      <c r="KCI1" s="65" t="s">
        <v>7868</v>
      </c>
      <c r="KCJ1" s="65" t="s">
        <v>7869</v>
      </c>
      <c r="KCK1" s="65" t="s">
        <v>7870</v>
      </c>
      <c r="KCL1" s="65" t="s">
        <v>7871</v>
      </c>
      <c r="KCM1" s="65" t="s">
        <v>7872</v>
      </c>
      <c r="KCN1" s="65" t="s">
        <v>7873</v>
      </c>
      <c r="KCO1" s="65" t="s">
        <v>7874</v>
      </c>
      <c r="KCP1" s="65" t="s">
        <v>7875</v>
      </c>
      <c r="KCQ1" s="65" t="s">
        <v>7876</v>
      </c>
      <c r="KCR1" s="65" t="s">
        <v>7877</v>
      </c>
      <c r="KCS1" s="65" t="s">
        <v>7878</v>
      </c>
      <c r="KCT1" s="65" t="s">
        <v>7879</v>
      </c>
      <c r="KCU1" s="65" t="s">
        <v>7880</v>
      </c>
      <c r="KCV1" s="65" t="s">
        <v>7881</v>
      </c>
      <c r="KCW1" s="65" t="s">
        <v>7882</v>
      </c>
      <c r="KCX1" s="65" t="s">
        <v>7883</v>
      </c>
      <c r="KCY1" s="65" t="s">
        <v>7884</v>
      </c>
      <c r="KCZ1" s="65" t="s">
        <v>7885</v>
      </c>
      <c r="KDA1" s="65" t="s">
        <v>7886</v>
      </c>
      <c r="KDB1" s="65" t="s">
        <v>7887</v>
      </c>
      <c r="KDC1" s="65" t="s">
        <v>7888</v>
      </c>
      <c r="KDD1" s="65" t="s">
        <v>7889</v>
      </c>
      <c r="KDE1" s="65" t="s">
        <v>7890</v>
      </c>
      <c r="KDF1" s="65" t="s">
        <v>7891</v>
      </c>
      <c r="KDG1" s="65" t="s">
        <v>7892</v>
      </c>
      <c r="KDH1" s="65" t="s">
        <v>7893</v>
      </c>
      <c r="KDI1" s="65" t="s">
        <v>7894</v>
      </c>
      <c r="KDJ1" s="65" t="s">
        <v>7895</v>
      </c>
      <c r="KDK1" s="65" t="s">
        <v>7896</v>
      </c>
      <c r="KDL1" s="65" t="s">
        <v>7897</v>
      </c>
      <c r="KDM1" s="65" t="s">
        <v>7898</v>
      </c>
      <c r="KDN1" s="65" t="s">
        <v>7899</v>
      </c>
      <c r="KDO1" s="65" t="s">
        <v>7900</v>
      </c>
      <c r="KDP1" s="65" t="s">
        <v>7901</v>
      </c>
      <c r="KDQ1" s="65" t="s">
        <v>7902</v>
      </c>
      <c r="KDR1" s="65" t="s">
        <v>7903</v>
      </c>
      <c r="KDS1" s="65" t="s">
        <v>7904</v>
      </c>
      <c r="KDT1" s="65" t="s">
        <v>7905</v>
      </c>
      <c r="KDU1" s="65" t="s">
        <v>7906</v>
      </c>
      <c r="KDV1" s="65" t="s">
        <v>7907</v>
      </c>
      <c r="KDW1" s="65" t="s">
        <v>7908</v>
      </c>
      <c r="KDX1" s="65" t="s">
        <v>7909</v>
      </c>
      <c r="KDY1" s="65" t="s">
        <v>7910</v>
      </c>
      <c r="KDZ1" s="65" t="s">
        <v>7911</v>
      </c>
      <c r="KEA1" s="65" t="s">
        <v>7912</v>
      </c>
      <c r="KEB1" s="65" t="s">
        <v>7913</v>
      </c>
      <c r="KEC1" s="65" t="s">
        <v>7914</v>
      </c>
      <c r="KED1" s="65" t="s">
        <v>7915</v>
      </c>
      <c r="KEE1" s="65" t="s">
        <v>7916</v>
      </c>
      <c r="KEF1" s="65" t="s">
        <v>7917</v>
      </c>
      <c r="KEG1" s="65" t="s">
        <v>7918</v>
      </c>
      <c r="KEH1" s="65" t="s">
        <v>7919</v>
      </c>
      <c r="KEI1" s="65" t="s">
        <v>7920</v>
      </c>
      <c r="KEJ1" s="65" t="s">
        <v>7921</v>
      </c>
      <c r="KEK1" s="65" t="s">
        <v>7922</v>
      </c>
      <c r="KEL1" s="65" t="s">
        <v>7923</v>
      </c>
      <c r="KEM1" s="65" t="s">
        <v>7924</v>
      </c>
      <c r="KEN1" s="65" t="s">
        <v>7925</v>
      </c>
      <c r="KEO1" s="65" t="s">
        <v>7926</v>
      </c>
      <c r="KEP1" s="65" t="s">
        <v>7927</v>
      </c>
      <c r="KEQ1" s="65" t="s">
        <v>7928</v>
      </c>
      <c r="KER1" s="65" t="s">
        <v>7929</v>
      </c>
      <c r="KES1" s="65" t="s">
        <v>7930</v>
      </c>
      <c r="KET1" s="65" t="s">
        <v>7931</v>
      </c>
      <c r="KEU1" s="65" t="s">
        <v>7932</v>
      </c>
      <c r="KEV1" s="65" t="s">
        <v>7933</v>
      </c>
      <c r="KEW1" s="65" t="s">
        <v>7934</v>
      </c>
      <c r="KEX1" s="65" t="s">
        <v>7935</v>
      </c>
      <c r="KEY1" s="65" t="s">
        <v>7936</v>
      </c>
      <c r="KEZ1" s="65" t="s">
        <v>7937</v>
      </c>
      <c r="KFA1" s="65" t="s">
        <v>7938</v>
      </c>
      <c r="KFB1" s="65" t="s">
        <v>7939</v>
      </c>
      <c r="KFC1" s="65" t="s">
        <v>7940</v>
      </c>
      <c r="KFD1" s="65" t="s">
        <v>7941</v>
      </c>
      <c r="KFE1" s="65" t="s">
        <v>7942</v>
      </c>
      <c r="KFF1" s="65" t="s">
        <v>7943</v>
      </c>
      <c r="KFG1" s="65" t="s">
        <v>7944</v>
      </c>
      <c r="KFH1" s="65" t="s">
        <v>7945</v>
      </c>
      <c r="KFI1" s="65" t="s">
        <v>7946</v>
      </c>
      <c r="KFJ1" s="65" t="s">
        <v>7947</v>
      </c>
      <c r="KFK1" s="65" t="s">
        <v>7948</v>
      </c>
      <c r="KFL1" s="65" t="s">
        <v>7949</v>
      </c>
      <c r="KFM1" s="65" t="s">
        <v>7950</v>
      </c>
      <c r="KFN1" s="65" t="s">
        <v>7951</v>
      </c>
      <c r="KFO1" s="65" t="s">
        <v>7952</v>
      </c>
      <c r="KFP1" s="65" t="s">
        <v>7953</v>
      </c>
      <c r="KFQ1" s="65" t="s">
        <v>7954</v>
      </c>
      <c r="KFR1" s="65" t="s">
        <v>7955</v>
      </c>
      <c r="KFS1" s="65" t="s">
        <v>7956</v>
      </c>
      <c r="KFT1" s="65" t="s">
        <v>7957</v>
      </c>
      <c r="KFU1" s="65" t="s">
        <v>7958</v>
      </c>
      <c r="KFV1" s="65" t="s">
        <v>7959</v>
      </c>
      <c r="KFW1" s="65" t="s">
        <v>7960</v>
      </c>
      <c r="KFX1" s="65" t="s">
        <v>7961</v>
      </c>
      <c r="KFY1" s="65" t="s">
        <v>7962</v>
      </c>
      <c r="KFZ1" s="65" t="s">
        <v>7963</v>
      </c>
      <c r="KGA1" s="65" t="s">
        <v>7964</v>
      </c>
      <c r="KGB1" s="65" t="s">
        <v>7965</v>
      </c>
      <c r="KGC1" s="65" t="s">
        <v>7966</v>
      </c>
      <c r="KGD1" s="65" t="s">
        <v>7967</v>
      </c>
      <c r="KGE1" s="65" t="s">
        <v>7968</v>
      </c>
      <c r="KGF1" s="65" t="s">
        <v>7969</v>
      </c>
      <c r="KGG1" s="65" t="s">
        <v>7970</v>
      </c>
      <c r="KGH1" s="65" t="s">
        <v>7971</v>
      </c>
      <c r="KGI1" s="65" t="s">
        <v>7972</v>
      </c>
      <c r="KGJ1" s="65" t="s">
        <v>7973</v>
      </c>
      <c r="KGK1" s="65" t="s">
        <v>7974</v>
      </c>
      <c r="KGL1" s="65" t="s">
        <v>7975</v>
      </c>
      <c r="KGM1" s="65" t="s">
        <v>7976</v>
      </c>
      <c r="KGN1" s="65" t="s">
        <v>7977</v>
      </c>
      <c r="KGO1" s="65" t="s">
        <v>7978</v>
      </c>
      <c r="KGP1" s="65" t="s">
        <v>7979</v>
      </c>
      <c r="KGQ1" s="65" t="s">
        <v>7980</v>
      </c>
      <c r="KGR1" s="65" t="s">
        <v>7981</v>
      </c>
      <c r="KGS1" s="65" t="s">
        <v>7982</v>
      </c>
      <c r="KGT1" s="65" t="s">
        <v>7983</v>
      </c>
      <c r="KGU1" s="65" t="s">
        <v>7984</v>
      </c>
      <c r="KGV1" s="65" t="s">
        <v>7985</v>
      </c>
      <c r="KGW1" s="65" t="s">
        <v>7986</v>
      </c>
      <c r="KGX1" s="65" t="s">
        <v>7987</v>
      </c>
      <c r="KGY1" s="65" t="s">
        <v>7988</v>
      </c>
      <c r="KGZ1" s="65" t="s">
        <v>7989</v>
      </c>
      <c r="KHA1" s="65" t="s">
        <v>7990</v>
      </c>
      <c r="KHB1" s="65" t="s">
        <v>7991</v>
      </c>
      <c r="KHC1" s="65" t="s">
        <v>7992</v>
      </c>
      <c r="KHD1" s="65" t="s">
        <v>7993</v>
      </c>
      <c r="KHE1" s="65" t="s">
        <v>7994</v>
      </c>
      <c r="KHF1" s="65" t="s">
        <v>7995</v>
      </c>
      <c r="KHG1" s="65" t="s">
        <v>7996</v>
      </c>
      <c r="KHH1" s="65" t="s">
        <v>7997</v>
      </c>
      <c r="KHI1" s="65" t="s">
        <v>7998</v>
      </c>
      <c r="KHJ1" s="65" t="s">
        <v>7999</v>
      </c>
      <c r="KHK1" s="65" t="s">
        <v>8000</v>
      </c>
      <c r="KHL1" s="65" t="s">
        <v>8001</v>
      </c>
      <c r="KHM1" s="65" t="s">
        <v>8002</v>
      </c>
      <c r="KHN1" s="65" t="s">
        <v>8003</v>
      </c>
      <c r="KHO1" s="65" t="s">
        <v>8004</v>
      </c>
      <c r="KHP1" s="65" t="s">
        <v>8005</v>
      </c>
      <c r="KHQ1" s="65" t="s">
        <v>8006</v>
      </c>
      <c r="KHR1" s="65" t="s">
        <v>8007</v>
      </c>
      <c r="KHS1" s="65" t="s">
        <v>8008</v>
      </c>
      <c r="KHT1" s="65" t="s">
        <v>8009</v>
      </c>
      <c r="KHU1" s="65" t="s">
        <v>8010</v>
      </c>
      <c r="KHV1" s="65" t="s">
        <v>8011</v>
      </c>
      <c r="KHW1" s="65" t="s">
        <v>8012</v>
      </c>
      <c r="KHX1" s="65" t="s">
        <v>8013</v>
      </c>
      <c r="KHY1" s="65" t="s">
        <v>8014</v>
      </c>
      <c r="KHZ1" s="65" t="s">
        <v>8015</v>
      </c>
      <c r="KIA1" s="65" t="s">
        <v>8016</v>
      </c>
      <c r="KIB1" s="65" t="s">
        <v>8017</v>
      </c>
      <c r="KIC1" s="65" t="s">
        <v>8018</v>
      </c>
      <c r="KID1" s="65" t="s">
        <v>8019</v>
      </c>
      <c r="KIE1" s="65" t="s">
        <v>8020</v>
      </c>
      <c r="KIF1" s="65" t="s">
        <v>8021</v>
      </c>
      <c r="KIG1" s="65" t="s">
        <v>8022</v>
      </c>
      <c r="KIH1" s="65" t="s">
        <v>8023</v>
      </c>
      <c r="KII1" s="65" t="s">
        <v>8024</v>
      </c>
      <c r="KIJ1" s="65" t="s">
        <v>8025</v>
      </c>
      <c r="KIK1" s="65" t="s">
        <v>8026</v>
      </c>
      <c r="KIL1" s="65" t="s">
        <v>8027</v>
      </c>
      <c r="KIM1" s="65" t="s">
        <v>8028</v>
      </c>
      <c r="KIN1" s="65" t="s">
        <v>8029</v>
      </c>
      <c r="KIO1" s="65" t="s">
        <v>8030</v>
      </c>
      <c r="KIP1" s="65" t="s">
        <v>8031</v>
      </c>
      <c r="KIQ1" s="65" t="s">
        <v>8032</v>
      </c>
      <c r="KIR1" s="65" t="s">
        <v>8033</v>
      </c>
      <c r="KIS1" s="65" t="s">
        <v>8034</v>
      </c>
      <c r="KIT1" s="65" t="s">
        <v>8035</v>
      </c>
      <c r="KIU1" s="65" t="s">
        <v>8036</v>
      </c>
      <c r="KIV1" s="65" t="s">
        <v>8037</v>
      </c>
      <c r="KIW1" s="65" t="s">
        <v>8038</v>
      </c>
      <c r="KIX1" s="65" t="s">
        <v>8039</v>
      </c>
      <c r="KIY1" s="65" t="s">
        <v>8040</v>
      </c>
      <c r="KIZ1" s="65" t="s">
        <v>8041</v>
      </c>
      <c r="KJA1" s="65" t="s">
        <v>8042</v>
      </c>
      <c r="KJB1" s="65" t="s">
        <v>8043</v>
      </c>
      <c r="KJC1" s="65" t="s">
        <v>8044</v>
      </c>
      <c r="KJD1" s="65" t="s">
        <v>8045</v>
      </c>
      <c r="KJE1" s="65" t="s">
        <v>8046</v>
      </c>
      <c r="KJF1" s="65" t="s">
        <v>8047</v>
      </c>
      <c r="KJG1" s="65" t="s">
        <v>8048</v>
      </c>
      <c r="KJH1" s="65" t="s">
        <v>8049</v>
      </c>
      <c r="KJI1" s="65" t="s">
        <v>8050</v>
      </c>
      <c r="KJJ1" s="65" t="s">
        <v>8051</v>
      </c>
      <c r="KJK1" s="65" t="s">
        <v>8052</v>
      </c>
      <c r="KJL1" s="65" t="s">
        <v>8053</v>
      </c>
      <c r="KJM1" s="65" t="s">
        <v>8054</v>
      </c>
      <c r="KJN1" s="65" t="s">
        <v>8055</v>
      </c>
      <c r="KJO1" s="65" t="s">
        <v>8056</v>
      </c>
      <c r="KJP1" s="65" t="s">
        <v>8057</v>
      </c>
      <c r="KJQ1" s="65" t="s">
        <v>8058</v>
      </c>
      <c r="KJR1" s="65" t="s">
        <v>8059</v>
      </c>
      <c r="KJS1" s="65" t="s">
        <v>8060</v>
      </c>
      <c r="KJT1" s="65" t="s">
        <v>8061</v>
      </c>
      <c r="KJU1" s="65" t="s">
        <v>8062</v>
      </c>
      <c r="KJV1" s="65" t="s">
        <v>8063</v>
      </c>
      <c r="KJW1" s="65" t="s">
        <v>8064</v>
      </c>
      <c r="KJX1" s="65" t="s">
        <v>8065</v>
      </c>
      <c r="KJY1" s="65" t="s">
        <v>8066</v>
      </c>
      <c r="KJZ1" s="65" t="s">
        <v>8067</v>
      </c>
      <c r="KKA1" s="65" t="s">
        <v>8068</v>
      </c>
      <c r="KKB1" s="65" t="s">
        <v>8069</v>
      </c>
      <c r="KKC1" s="65" t="s">
        <v>8070</v>
      </c>
      <c r="KKD1" s="65" t="s">
        <v>8071</v>
      </c>
      <c r="KKE1" s="65" t="s">
        <v>8072</v>
      </c>
      <c r="KKF1" s="65" t="s">
        <v>8073</v>
      </c>
      <c r="KKG1" s="65" t="s">
        <v>8074</v>
      </c>
      <c r="KKH1" s="65" t="s">
        <v>8075</v>
      </c>
      <c r="KKI1" s="65" t="s">
        <v>8076</v>
      </c>
      <c r="KKJ1" s="65" t="s">
        <v>8077</v>
      </c>
      <c r="KKK1" s="65" t="s">
        <v>8078</v>
      </c>
      <c r="KKL1" s="65" t="s">
        <v>8079</v>
      </c>
      <c r="KKM1" s="65" t="s">
        <v>8080</v>
      </c>
      <c r="KKN1" s="65" t="s">
        <v>8081</v>
      </c>
      <c r="KKO1" s="65" t="s">
        <v>8082</v>
      </c>
      <c r="KKP1" s="65" t="s">
        <v>8083</v>
      </c>
      <c r="KKQ1" s="65" t="s">
        <v>8084</v>
      </c>
      <c r="KKR1" s="65" t="s">
        <v>8085</v>
      </c>
      <c r="KKS1" s="65" t="s">
        <v>8086</v>
      </c>
      <c r="KKT1" s="65" t="s">
        <v>8087</v>
      </c>
      <c r="KKU1" s="65" t="s">
        <v>8088</v>
      </c>
      <c r="KKV1" s="65" t="s">
        <v>8089</v>
      </c>
      <c r="KKW1" s="65" t="s">
        <v>8090</v>
      </c>
      <c r="KKX1" s="65" t="s">
        <v>8091</v>
      </c>
      <c r="KKY1" s="65" t="s">
        <v>8092</v>
      </c>
      <c r="KKZ1" s="65" t="s">
        <v>8093</v>
      </c>
      <c r="KLA1" s="65" t="s">
        <v>8094</v>
      </c>
      <c r="KLB1" s="65" t="s">
        <v>8095</v>
      </c>
      <c r="KLC1" s="65" t="s">
        <v>8096</v>
      </c>
      <c r="KLD1" s="65" t="s">
        <v>8097</v>
      </c>
      <c r="KLE1" s="65" t="s">
        <v>8098</v>
      </c>
      <c r="KLF1" s="65" t="s">
        <v>8099</v>
      </c>
      <c r="KLG1" s="65" t="s">
        <v>8100</v>
      </c>
      <c r="KLH1" s="65" t="s">
        <v>8101</v>
      </c>
      <c r="KLI1" s="65" t="s">
        <v>8102</v>
      </c>
      <c r="KLJ1" s="65" t="s">
        <v>8103</v>
      </c>
      <c r="KLK1" s="65" t="s">
        <v>8104</v>
      </c>
      <c r="KLL1" s="65" t="s">
        <v>8105</v>
      </c>
      <c r="KLM1" s="65" t="s">
        <v>8106</v>
      </c>
      <c r="KLN1" s="65" t="s">
        <v>8107</v>
      </c>
      <c r="KLO1" s="65" t="s">
        <v>8108</v>
      </c>
      <c r="KLP1" s="65" t="s">
        <v>8109</v>
      </c>
      <c r="KLQ1" s="65" t="s">
        <v>8110</v>
      </c>
      <c r="KLR1" s="65" t="s">
        <v>8111</v>
      </c>
      <c r="KLS1" s="65" t="s">
        <v>8112</v>
      </c>
      <c r="KLT1" s="65" t="s">
        <v>8113</v>
      </c>
      <c r="KLU1" s="65" t="s">
        <v>8114</v>
      </c>
      <c r="KLV1" s="65" t="s">
        <v>8115</v>
      </c>
      <c r="KLW1" s="65" t="s">
        <v>8116</v>
      </c>
      <c r="KLX1" s="65" t="s">
        <v>8117</v>
      </c>
      <c r="KLY1" s="65" t="s">
        <v>8118</v>
      </c>
      <c r="KLZ1" s="65" t="s">
        <v>8119</v>
      </c>
      <c r="KMA1" s="65" t="s">
        <v>8120</v>
      </c>
      <c r="KMB1" s="65" t="s">
        <v>8121</v>
      </c>
      <c r="KMC1" s="65" t="s">
        <v>8122</v>
      </c>
      <c r="KMD1" s="65" t="s">
        <v>8123</v>
      </c>
      <c r="KME1" s="65" t="s">
        <v>8124</v>
      </c>
      <c r="KMF1" s="65" t="s">
        <v>8125</v>
      </c>
      <c r="KMG1" s="65" t="s">
        <v>8126</v>
      </c>
      <c r="KMH1" s="65" t="s">
        <v>8127</v>
      </c>
      <c r="KMI1" s="65" t="s">
        <v>8128</v>
      </c>
      <c r="KMJ1" s="65" t="s">
        <v>8129</v>
      </c>
      <c r="KMK1" s="65" t="s">
        <v>8130</v>
      </c>
      <c r="KML1" s="65" t="s">
        <v>8131</v>
      </c>
      <c r="KMM1" s="65" t="s">
        <v>8132</v>
      </c>
      <c r="KMN1" s="65" t="s">
        <v>8133</v>
      </c>
      <c r="KMO1" s="65" t="s">
        <v>8134</v>
      </c>
      <c r="KMP1" s="65" t="s">
        <v>8135</v>
      </c>
      <c r="KMQ1" s="65" t="s">
        <v>8136</v>
      </c>
      <c r="KMR1" s="65" t="s">
        <v>8137</v>
      </c>
      <c r="KMS1" s="65" t="s">
        <v>8138</v>
      </c>
      <c r="KMT1" s="65" t="s">
        <v>8139</v>
      </c>
      <c r="KMU1" s="65" t="s">
        <v>8140</v>
      </c>
      <c r="KMV1" s="65" t="s">
        <v>8141</v>
      </c>
      <c r="KMW1" s="65" t="s">
        <v>8142</v>
      </c>
      <c r="KMX1" s="65" t="s">
        <v>8143</v>
      </c>
      <c r="KMY1" s="65" t="s">
        <v>8144</v>
      </c>
      <c r="KMZ1" s="65" t="s">
        <v>8145</v>
      </c>
      <c r="KNA1" s="65" t="s">
        <v>8146</v>
      </c>
      <c r="KNB1" s="65" t="s">
        <v>8147</v>
      </c>
      <c r="KNC1" s="65" t="s">
        <v>8148</v>
      </c>
      <c r="KND1" s="65" t="s">
        <v>8149</v>
      </c>
      <c r="KNE1" s="65" t="s">
        <v>8150</v>
      </c>
      <c r="KNF1" s="65" t="s">
        <v>8151</v>
      </c>
      <c r="KNG1" s="65" t="s">
        <v>8152</v>
      </c>
      <c r="KNH1" s="65" t="s">
        <v>8153</v>
      </c>
      <c r="KNI1" s="65" t="s">
        <v>8154</v>
      </c>
      <c r="KNJ1" s="65" t="s">
        <v>8155</v>
      </c>
      <c r="KNK1" s="65" t="s">
        <v>8156</v>
      </c>
      <c r="KNL1" s="65" t="s">
        <v>8157</v>
      </c>
      <c r="KNM1" s="65" t="s">
        <v>8158</v>
      </c>
      <c r="KNN1" s="65" t="s">
        <v>8159</v>
      </c>
      <c r="KNO1" s="65" t="s">
        <v>8160</v>
      </c>
      <c r="KNP1" s="65" t="s">
        <v>8161</v>
      </c>
      <c r="KNQ1" s="65" t="s">
        <v>8162</v>
      </c>
      <c r="KNR1" s="65" t="s">
        <v>8163</v>
      </c>
      <c r="KNS1" s="65" t="s">
        <v>8164</v>
      </c>
      <c r="KNT1" s="65" t="s">
        <v>8165</v>
      </c>
      <c r="KNU1" s="65" t="s">
        <v>8166</v>
      </c>
      <c r="KNV1" s="65" t="s">
        <v>8167</v>
      </c>
      <c r="KNW1" s="65" t="s">
        <v>8168</v>
      </c>
      <c r="KNX1" s="65" t="s">
        <v>8169</v>
      </c>
      <c r="KNY1" s="65" t="s">
        <v>8170</v>
      </c>
      <c r="KNZ1" s="65" t="s">
        <v>8171</v>
      </c>
      <c r="KOA1" s="65" t="s">
        <v>8172</v>
      </c>
      <c r="KOB1" s="65" t="s">
        <v>8173</v>
      </c>
      <c r="KOC1" s="65" t="s">
        <v>8174</v>
      </c>
      <c r="KOD1" s="65" t="s">
        <v>8175</v>
      </c>
      <c r="KOE1" s="65" t="s">
        <v>8176</v>
      </c>
      <c r="KOF1" s="65" t="s">
        <v>8177</v>
      </c>
      <c r="KOG1" s="65" t="s">
        <v>8178</v>
      </c>
      <c r="KOH1" s="65" t="s">
        <v>8179</v>
      </c>
      <c r="KOI1" s="65" t="s">
        <v>8180</v>
      </c>
      <c r="KOJ1" s="65" t="s">
        <v>8181</v>
      </c>
      <c r="KOK1" s="65" t="s">
        <v>8182</v>
      </c>
      <c r="KOL1" s="65" t="s">
        <v>8183</v>
      </c>
      <c r="KOM1" s="65" t="s">
        <v>8184</v>
      </c>
      <c r="KON1" s="65" t="s">
        <v>8185</v>
      </c>
      <c r="KOO1" s="65" t="s">
        <v>8186</v>
      </c>
      <c r="KOP1" s="65" t="s">
        <v>8187</v>
      </c>
      <c r="KOQ1" s="65" t="s">
        <v>8188</v>
      </c>
      <c r="KOR1" s="65" t="s">
        <v>8189</v>
      </c>
      <c r="KOS1" s="65" t="s">
        <v>8190</v>
      </c>
      <c r="KOT1" s="65" t="s">
        <v>8191</v>
      </c>
      <c r="KOU1" s="65" t="s">
        <v>8192</v>
      </c>
      <c r="KOV1" s="65" t="s">
        <v>8193</v>
      </c>
      <c r="KOW1" s="65" t="s">
        <v>8194</v>
      </c>
      <c r="KOX1" s="65" t="s">
        <v>8195</v>
      </c>
      <c r="KOY1" s="65" t="s">
        <v>8196</v>
      </c>
      <c r="KOZ1" s="65" t="s">
        <v>8197</v>
      </c>
      <c r="KPA1" s="65" t="s">
        <v>8198</v>
      </c>
      <c r="KPB1" s="65" t="s">
        <v>8199</v>
      </c>
      <c r="KPC1" s="65" t="s">
        <v>8200</v>
      </c>
      <c r="KPD1" s="65" t="s">
        <v>8201</v>
      </c>
      <c r="KPE1" s="65" t="s">
        <v>8202</v>
      </c>
      <c r="KPF1" s="65" t="s">
        <v>8203</v>
      </c>
      <c r="KPG1" s="65" t="s">
        <v>8204</v>
      </c>
      <c r="KPH1" s="65" t="s">
        <v>8205</v>
      </c>
      <c r="KPI1" s="65" t="s">
        <v>8206</v>
      </c>
      <c r="KPJ1" s="65" t="s">
        <v>8207</v>
      </c>
      <c r="KPK1" s="65" t="s">
        <v>8208</v>
      </c>
      <c r="KPL1" s="65" t="s">
        <v>8209</v>
      </c>
      <c r="KPM1" s="65" t="s">
        <v>8210</v>
      </c>
      <c r="KPN1" s="65" t="s">
        <v>8211</v>
      </c>
      <c r="KPO1" s="65" t="s">
        <v>8212</v>
      </c>
      <c r="KPP1" s="65" t="s">
        <v>8213</v>
      </c>
      <c r="KPQ1" s="65" t="s">
        <v>8214</v>
      </c>
      <c r="KPR1" s="65" t="s">
        <v>8215</v>
      </c>
      <c r="KPS1" s="65" t="s">
        <v>8216</v>
      </c>
      <c r="KPT1" s="65" t="s">
        <v>8217</v>
      </c>
      <c r="KPU1" s="65" t="s">
        <v>8218</v>
      </c>
      <c r="KPV1" s="65" t="s">
        <v>8219</v>
      </c>
      <c r="KPW1" s="65" t="s">
        <v>8220</v>
      </c>
      <c r="KPX1" s="65" t="s">
        <v>8221</v>
      </c>
      <c r="KPY1" s="65" t="s">
        <v>8222</v>
      </c>
      <c r="KPZ1" s="65" t="s">
        <v>8223</v>
      </c>
      <c r="KQA1" s="65" t="s">
        <v>8224</v>
      </c>
      <c r="KQB1" s="65" t="s">
        <v>8225</v>
      </c>
      <c r="KQC1" s="65" t="s">
        <v>8226</v>
      </c>
      <c r="KQD1" s="65" t="s">
        <v>8227</v>
      </c>
      <c r="KQE1" s="65" t="s">
        <v>8228</v>
      </c>
      <c r="KQF1" s="65" t="s">
        <v>8229</v>
      </c>
      <c r="KQG1" s="65" t="s">
        <v>8230</v>
      </c>
      <c r="KQH1" s="65" t="s">
        <v>8231</v>
      </c>
      <c r="KQI1" s="65" t="s">
        <v>8232</v>
      </c>
      <c r="KQJ1" s="65" t="s">
        <v>8233</v>
      </c>
      <c r="KQK1" s="65" t="s">
        <v>8234</v>
      </c>
      <c r="KQL1" s="65" t="s">
        <v>8235</v>
      </c>
      <c r="KQM1" s="65" t="s">
        <v>8236</v>
      </c>
      <c r="KQN1" s="65" t="s">
        <v>8237</v>
      </c>
      <c r="KQO1" s="65" t="s">
        <v>8238</v>
      </c>
      <c r="KQP1" s="65" t="s">
        <v>8239</v>
      </c>
      <c r="KQQ1" s="65" t="s">
        <v>8240</v>
      </c>
      <c r="KQR1" s="65" t="s">
        <v>8241</v>
      </c>
      <c r="KQS1" s="65" t="s">
        <v>8242</v>
      </c>
      <c r="KQT1" s="65" t="s">
        <v>8243</v>
      </c>
      <c r="KQU1" s="65" t="s">
        <v>8244</v>
      </c>
      <c r="KQV1" s="65" t="s">
        <v>8245</v>
      </c>
      <c r="KQW1" s="65" t="s">
        <v>8246</v>
      </c>
      <c r="KQX1" s="65" t="s">
        <v>8247</v>
      </c>
      <c r="KQY1" s="65" t="s">
        <v>8248</v>
      </c>
      <c r="KQZ1" s="65" t="s">
        <v>8249</v>
      </c>
      <c r="KRA1" s="65" t="s">
        <v>8250</v>
      </c>
      <c r="KRB1" s="65" t="s">
        <v>8251</v>
      </c>
      <c r="KRC1" s="65" t="s">
        <v>8252</v>
      </c>
      <c r="KRD1" s="65" t="s">
        <v>8253</v>
      </c>
      <c r="KRE1" s="65" t="s">
        <v>8254</v>
      </c>
      <c r="KRF1" s="65" t="s">
        <v>8255</v>
      </c>
      <c r="KRG1" s="65" t="s">
        <v>8256</v>
      </c>
      <c r="KRH1" s="65" t="s">
        <v>8257</v>
      </c>
      <c r="KRI1" s="65" t="s">
        <v>8258</v>
      </c>
      <c r="KRJ1" s="65" t="s">
        <v>8259</v>
      </c>
      <c r="KRK1" s="65" t="s">
        <v>8260</v>
      </c>
      <c r="KRL1" s="65" t="s">
        <v>8261</v>
      </c>
      <c r="KRM1" s="65" t="s">
        <v>8262</v>
      </c>
      <c r="KRN1" s="65" t="s">
        <v>8263</v>
      </c>
      <c r="KRO1" s="65" t="s">
        <v>8264</v>
      </c>
      <c r="KRP1" s="65" t="s">
        <v>8265</v>
      </c>
      <c r="KRQ1" s="65" t="s">
        <v>8266</v>
      </c>
      <c r="KRR1" s="65" t="s">
        <v>8267</v>
      </c>
      <c r="KRS1" s="65" t="s">
        <v>8268</v>
      </c>
      <c r="KRT1" s="65" t="s">
        <v>8269</v>
      </c>
      <c r="KRU1" s="65" t="s">
        <v>8270</v>
      </c>
      <c r="KRV1" s="65" t="s">
        <v>8271</v>
      </c>
      <c r="KRW1" s="65" t="s">
        <v>8272</v>
      </c>
      <c r="KRX1" s="65" t="s">
        <v>8273</v>
      </c>
      <c r="KRY1" s="65" t="s">
        <v>8274</v>
      </c>
      <c r="KRZ1" s="65" t="s">
        <v>8275</v>
      </c>
      <c r="KSA1" s="65" t="s">
        <v>8276</v>
      </c>
      <c r="KSB1" s="65" t="s">
        <v>8277</v>
      </c>
      <c r="KSC1" s="65" t="s">
        <v>8278</v>
      </c>
      <c r="KSD1" s="65" t="s">
        <v>8279</v>
      </c>
      <c r="KSE1" s="65" t="s">
        <v>8280</v>
      </c>
      <c r="KSF1" s="65" t="s">
        <v>8281</v>
      </c>
      <c r="KSG1" s="65" t="s">
        <v>8282</v>
      </c>
      <c r="KSH1" s="65" t="s">
        <v>8283</v>
      </c>
      <c r="KSI1" s="65" t="s">
        <v>8284</v>
      </c>
      <c r="KSJ1" s="65" t="s">
        <v>8285</v>
      </c>
      <c r="KSK1" s="65" t="s">
        <v>8286</v>
      </c>
      <c r="KSL1" s="65" t="s">
        <v>8287</v>
      </c>
      <c r="KSM1" s="65" t="s">
        <v>8288</v>
      </c>
      <c r="KSN1" s="65" t="s">
        <v>8289</v>
      </c>
      <c r="KSO1" s="65" t="s">
        <v>8290</v>
      </c>
      <c r="KSP1" s="65" t="s">
        <v>8291</v>
      </c>
      <c r="KSQ1" s="65" t="s">
        <v>8292</v>
      </c>
      <c r="KSR1" s="65" t="s">
        <v>8293</v>
      </c>
      <c r="KSS1" s="65" t="s">
        <v>8294</v>
      </c>
      <c r="KST1" s="65" t="s">
        <v>8295</v>
      </c>
      <c r="KSU1" s="65" t="s">
        <v>8296</v>
      </c>
      <c r="KSV1" s="65" t="s">
        <v>8297</v>
      </c>
      <c r="KSW1" s="65" t="s">
        <v>8298</v>
      </c>
      <c r="KSX1" s="65" t="s">
        <v>8299</v>
      </c>
      <c r="KSY1" s="65" t="s">
        <v>8300</v>
      </c>
      <c r="KSZ1" s="65" t="s">
        <v>8301</v>
      </c>
      <c r="KTA1" s="65" t="s">
        <v>8302</v>
      </c>
      <c r="KTB1" s="65" t="s">
        <v>8303</v>
      </c>
      <c r="KTC1" s="65" t="s">
        <v>8304</v>
      </c>
      <c r="KTD1" s="65" t="s">
        <v>8305</v>
      </c>
      <c r="KTE1" s="65" t="s">
        <v>8306</v>
      </c>
      <c r="KTF1" s="65" t="s">
        <v>8307</v>
      </c>
      <c r="KTG1" s="65" t="s">
        <v>8308</v>
      </c>
      <c r="KTH1" s="65" t="s">
        <v>8309</v>
      </c>
      <c r="KTI1" s="65" t="s">
        <v>8310</v>
      </c>
      <c r="KTJ1" s="65" t="s">
        <v>8311</v>
      </c>
      <c r="KTK1" s="65" t="s">
        <v>8312</v>
      </c>
      <c r="KTL1" s="65" t="s">
        <v>8313</v>
      </c>
      <c r="KTM1" s="65" t="s">
        <v>8314</v>
      </c>
      <c r="KTN1" s="65" t="s">
        <v>8315</v>
      </c>
      <c r="KTO1" s="65" t="s">
        <v>8316</v>
      </c>
      <c r="KTP1" s="65" t="s">
        <v>8317</v>
      </c>
      <c r="KTQ1" s="65" t="s">
        <v>8318</v>
      </c>
      <c r="KTR1" s="65" t="s">
        <v>8319</v>
      </c>
      <c r="KTS1" s="65" t="s">
        <v>8320</v>
      </c>
      <c r="KTT1" s="65" t="s">
        <v>8321</v>
      </c>
      <c r="KTU1" s="65" t="s">
        <v>8322</v>
      </c>
      <c r="KTV1" s="65" t="s">
        <v>8323</v>
      </c>
      <c r="KTW1" s="65" t="s">
        <v>8324</v>
      </c>
      <c r="KTX1" s="65" t="s">
        <v>8325</v>
      </c>
      <c r="KTY1" s="65" t="s">
        <v>8326</v>
      </c>
      <c r="KTZ1" s="65" t="s">
        <v>8327</v>
      </c>
      <c r="KUA1" s="65" t="s">
        <v>8328</v>
      </c>
      <c r="KUB1" s="65" t="s">
        <v>8329</v>
      </c>
      <c r="KUC1" s="65" t="s">
        <v>8330</v>
      </c>
      <c r="KUD1" s="65" t="s">
        <v>8331</v>
      </c>
      <c r="KUE1" s="65" t="s">
        <v>8332</v>
      </c>
      <c r="KUF1" s="65" t="s">
        <v>8333</v>
      </c>
      <c r="KUG1" s="65" t="s">
        <v>8334</v>
      </c>
      <c r="KUH1" s="65" t="s">
        <v>8335</v>
      </c>
      <c r="KUI1" s="65" t="s">
        <v>8336</v>
      </c>
      <c r="KUJ1" s="65" t="s">
        <v>8337</v>
      </c>
      <c r="KUK1" s="65" t="s">
        <v>8338</v>
      </c>
      <c r="KUL1" s="65" t="s">
        <v>8339</v>
      </c>
      <c r="KUM1" s="65" t="s">
        <v>8340</v>
      </c>
      <c r="KUN1" s="65" t="s">
        <v>8341</v>
      </c>
      <c r="KUO1" s="65" t="s">
        <v>8342</v>
      </c>
      <c r="KUP1" s="65" t="s">
        <v>8343</v>
      </c>
      <c r="KUQ1" s="65" t="s">
        <v>8344</v>
      </c>
      <c r="KUR1" s="65" t="s">
        <v>8345</v>
      </c>
      <c r="KUS1" s="65" t="s">
        <v>8346</v>
      </c>
      <c r="KUT1" s="65" t="s">
        <v>8347</v>
      </c>
      <c r="KUU1" s="65" t="s">
        <v>8348</v>
      </c>
      <c r="KUV1" s="65" t="s">
        <v>8349</v>
      </c>
      <c r="KUW1" s="65" t="s">
        <v>8350</v>
      </c>
      <c r="KUX1" s="65" t="s">
        <v>8351</v>
      </c>
      <c r="KUY1" s="65" t="s">
        <v>8352</v>
      </c>
      <c r="KUZ1" s="65" t="s">
        <v>8353</v>
      </c>
      <c r="KVA1" s="65" t="s">
        <v>8354</v>
      </c>
      <c r="KVB1" s="65" t="s">
        <v>8355</v>
      </c>
      <c r="KVC1" s="65" t="s">
        <v>8356</v>
      </c>
      <c r="KVD1" s="65" t="s">
        <v>8357</v>
      </c>
      <c r="KVE1" s="65" t="s">
        <v>8358</v>
      </c>
      <c r="KVF1" s="65" t="s">
        <v>8359</v>
      </c>
      <c r="KVG1" s="65" t="s">
        <v>8360</v>
      </c>
      <c r="KVH1" s="65" t="s">
        <v>8361</v>
      </c>
      <c r="KVI1" s="65" t="s">
        <v>8362</v>
      </c>
      <c r="KVJ1" s="65" t="s">
        <v>8363</v>
      </c>
      <c r="KVK1" s="65" t="s">
        <v>8364</v>
      </c>
      <c r="KVL1" s="65" t="s">
        <v>8365</v>
      </c>
      <c r="KVM1" s="65" t="s">
        <v>8366</v>
      </c>
      <c r="KVN1" s="65" t="s">
        <v>8367</v>
      </c>
      <c r="KVO1" s="65" t="s">
        <v>8368</v>
      </c>
      <c r="KVP1" s="65" t="s">
        <v>8369</v>
      </c>
      <c r="KVQ1" s="65" t="s">
        <v>8370</v>
      </c>
      <c r="KVR1" s="65" t="s">
        <v>8371</v>
      </c>
      <c r="KVS1" s="65" t="s">
        <v>8372</v>
      </c>
      <c r="KVT1" s="65" t="s">
        <v>8373</v>
      </c>
      <c r="KVU1" s="65" t="s">
        <v>8374</v>
      </c>
      <c r="KVV1" s="65" t="s">
        <v>8375</v>
      </c>
      <c r="KVW1" s="65" t="s">
        <v>8376</v>
      </c>
      <c r="KVX1" s="65" t="s">
        <v>8377</v>
      </c>
      <c r="KVY1" s="65" t="s">
        <v>8378</v>
      </c>
      <c r="KVZ1" s="65" t="s">
        <v>8379</v>
      </c>
      <c r="KWA1" s="65" t="s">
        <v>8380</v>
      </c>
      <c r="KWB1" s="65" t="s">
        <v>8381</v>
      </c>
      <c r="KWC1" s="65" t="s">
        <v>8382</v>
      </c>
      <c r="KWD1" s="65" t="s">
        <v>8383</v>
      </c>
      <c r="KWE1" s="65" t="s">
        <v>8384</v>
      </c>
      <c r="KWF1" s="65" t="s">
        <v>8385</v>
      </c>
      <c r="KWG1" s="65" t="s">
        <v>8386</v>
      </c>
      <c r="KWH1" s="65" t="s">
        <v>8387</v>
      </c>
      <c r="KWI1" s="65" t="s">
        <v>8388</v>
      </c>
      <c r="KWJ1" s="65" t="s">
        <v>8389</v>
      </c>
      <c r="KWK1" s="65" t="s">
        <v>8390</v>
      </c>
      <c r="KWL1" s="65" t="s">
        <v>8391</v>
      </c>
      <c r="KWM1" s="65" t="s">
        <v>8392</v>
      </c>
      <c r="KWN1" s="65" t="s">
        <v>8393</v>
      </c>
      <c r="KWO1" s="65" t="s">
        <v>8394</v>
      </c>
      <c r="KWP1" s="65" t="s">
        <v>8395</v>
      </c>
      <c r="KWQ1" s="65" t="s">
        <v>8396</v>
      </c>
      <c r="KWR1" s="65" t="s">
        <v>8397</v>
      </c>
      <c r="KWS1" s="65" t="s">
        <v>8398</v>
      </c>
      <c r="KWT1" s="65" t="s">
        <v>8399</v>
      </c>
      <c r="KWU1" s="65" t="s">
        <v>8400</v>
      </c>
      <c r="KWV1" s="65" t="s">
        <v>8401</v>
      </c>
      <c r="KWW1" s="65" t="s">
        <v>8402</v>
      </c>
      <c r="KWX1" s="65" t="s">
        <v>8403</v>
      </c>
      <c r="KWY1" s="65" t="s">
        <v>8404</v>
      </c>
      <c r="KWZ1" s="65" t="s">
        <v>8405</v>
      </c>
      <c r="KXA1" s="65" t="s">
        <v>8406</v>
      </c>
      <c r="KXB1" s="65" t="s">
        <v>8407</v>
      </c>
      <c r="KXC1" s="65" t="s">
        <v>8408</v>
      </c>
      <c r="KXD1" s="65" t="s">
        <v>8409</v>
      </c>
      <c r="KXE1" s="65" t="s">
        <v>8410</v>
      </c>
      <c r="KXF1" s="65" t="s">
        <v>8411</v>
      </c>
      <c r="KXG1" s="65" t="s">
        <v>8412</v>
      </c>
      <c r="KXH1" s="65" t="s">
        <v>8413</v>
      </c>
      <c r="KXI1" s="65" t="s">
        <v>8414</v>
      </c>
      <c r="KXJ1" s="65" t="s">
        <v>8415</v>
      </c>
      <c r="KXK1" s="65" t="s">
        <v>8416</v>
      </c>
      <c r="KXL1" s="65" t="s">
        <v>8417</v>
      </c>
      <c r="KXM1" s="65" t="s">
        <v>8418</v>
      </c>
      <c r="KXN1" s="65" t="s">
        <v>8419</v>
      </c>
      <c r="KXO1" s="65" t="s">
        <v>8420</v>
      </c>
      <c r="KXP1" s="65" t="s">
        <v>8421</v>
      </c>
      <c r="KXQ1" s="65" t="s">
        <v>8422</v>
      </c>
      <c r="KXR1" s="65" t="s">
        <v>8423</v>
      </c>
      <c r="KXS1" s="65" t="s">
        <v>8424</v>
      </c>
      <c r="KXT1" s="65" t="s">
        <v>8425</v>
      </c>
      <c r="KXU1" s="65" t="s">
        <v>8426</v>
      </c>
      <c r="KXV1" s="65" t="s">
        <v>8427</v>
      </c>
      <c r="KXW1" s="65" t="s">
        <v>8428</v>
      </c>
      <c r="KXX1" s="65" t="s">
        <v>8429</v>
      </c>
      <c r="KXY1" s="65" t="s">
        <v>8430</v>
      </c>
      <c r="KXZ1" s="65" t="s">
        <v>8431</v>
      </c>
      <c r="KYA1" s="65" t="s">
        <v>8432</v>
      </c>
      <c r="KYB1" s="65" t="s">
        <v>8433</v>
      </c>
      <c r="KYC1" s="65" t="s">
        <v>8434</v>
      </c>
      <c r="KYD1" s="65" t="s">
        <v>8435</v>
      </c>
      <c r="KYE1" s="65" t="s">
        <v>8436</v>
      </c>
      <c r="KYF1" s="65" t="s">
        <v>8437</v>
      </c>
      <c r="KYG1" s="65" t="s">
        <v>8438</v>
      </c>
      <c r="KYH1" s="65" t="s">
        <v>8439</v>
      </c>
      <c r="KYI1" s="65" t="s">
        <v>8440</v>
      </c>
      <c r="KYJ1" s="65" t="s">
        <v>8441</v>
      </c>
      <c r="KYK1" s="65" t="s">
        <v>8442</v>
      </c>
      <c r="KYL1" s="65" t="s">
        <v>8443</v>
      </c>
      <c r="KYM1" s="65" t="s">
        <v>8444</v>
      </c>
      <c r="KYN1" s="65" t="s">
        <v>8445</v>
      </c>
      <c r="KYO1" s="65" t="s">
        <v>8446</v>
      </c>
      <c r="KYP1" s="65" t="s">
        <v>8447</v>
      </c>
      <c r="KYQ1" s="65" t="s">
        <v>8448</v>
      </c>
      <c r="KYR1" s="65" t="s">
        <v>8449</v>
      </c>
      <c r="KYS1" s="65" t="s">
        <v>8450</v>
      </c>
      <c r="KYT1" s="65" t="s">
        <v>8451</v>
      </c>
      <c r="KYU1" s="65" t="s">
        <v>8452</v>
      </c>
      <c r="KYV1" s="65" t="s">
        <v>8453</v>
      </c>
      <c r="KYW1" s="65" t="s">
        <v>8454</v>
      </c>
      <c r="KYX1" s="65" t="s">
        <v>8455</v>
      </c>
      <c r="KYY1" s="65" t="s">
        <v>8456</v>
      </c>
      <c r="KYZ1" s="65" t="s">
        <v>8457</v>
      </c>
      <c r="KZA1" s="65" t="s">
        <v>8458</v>
      </c>
      <c r="KZB1" s="65" t="s">
        <v>8459</v>
      </c>
      <c r="KZC1" s="65" t="s">
        <v>8460</v>
      </c>
      <c r="KZD1" s="65" t="s">
        <v>8461</v>
      </c>
      <c r="KZE1" s="65" t="s">
        <v>8462</v>
      </c>
      <c r="KZF1" s="65" t="s">
        <v>8463</v>
      </c>
      <c r="KZG1" s="65" t="s">
        <v>8464</v>
      </c>
      <c r="KZH1" s="65" t="s">
        <v>8465</v>
      </c>
      <c r="KZI1" s="65" t="s">
        <v>8466</v>
      </c>
      <c r="KZJ1" s="65" t="s">
        <v>8467</v>
      </c>
      <c r="KZK1" s="65" t="s">
        <v>8468</v>
      </c>
      <c r="KZL1" s="65" t="s">
        <v>8469</v>
      </c>
      <c r="KZM1" s="65" t="s">
        <v>8470</v>
      </c>
      <c r="KZN1" s="65" t="s">
        <v>8471</v>
      </c>
      <c r="KZO1" s="65" t="s">
        <v>8472</v>
      </c>
      <c r="KZP1" s="65" t="s">
        <v>8473</v>
      </c>
      <c r="KZQ1" s="65" t="s">
        <v>8474</v>
      </c>
      <c r="KZR1" s="65" t="s">
        <v>8475</v>
      </c>
      <c r="KZS1" s="65" t="s">
        <v>8476</v>
      </c>
      <c r="KZT1" s="65" t="s">
        <v>8477</v>
      </c>
      <c r="KZU1" s="65" t="s">
        <v>8478</v>
      </c>
      <c r="KZV1" s="65" t="s">
        <v>8479</v>
      </c>
      <c r="KZW1" s="65" t="s">
        <v>8480</v>
      </c>
      <c r="KZX1" s="65" t="s">
        <v>8481</v>
      </c>
      <c r="KZY1" s="65" t="s">
        <v>8482</v>
      </c>
      <c r="KZZ1" s="65" t="s">
        <v>8483</v>
      </c>
      <c r="LAA1" s="65" t="s">
        <v>8484</v>
      </c>
      <c r="LAB1" s="65" t="s">
        <v>8485</v>
      </c>
      <c r="LAC1" s="65" t="s">
        <v>8486</v>
      </c>
      <c r="LAD1" s="65" t="s">
        <v>8487</v>
      </c>
      <c r="LAE1" s="65" t="s">
        <v>8488</v>
      </c>
      <c r="LAF1" s="65" t="s">
        <v>8489</v>
      </c>
      <c r="LAG1" s="65" t="s">
        <v>8490</v>
      </c>
      <c r="LAH1" s="65" t="s">
        <v>8491</v>
      </c>
      <c r="LAI1" s="65" t="s">
        <v>8492</v>
      </c>
      <c r="LAJ1" s="65" t="s">
        <v>8493</v>
      </c>
      <c r="LAK1" s="65" t="s">
        <v>8494</v>
      </c>
      <c r="LAL1" s="65" t="s">
        <v>8495</v>
      </c>
      <c r="LAM1" s="65" t="s">
        <v>8496</v>
      </c>
      <c r="LAN1" s="65" t="s">
        <v>8497</v>
      </c>
      <c r="LAO1" s="65" t="s">
        <v>8498</v>
      </c>
      <c r="LAP1" s="65" t="s">
        <v>8499</v>
      </c>
      <c r="LAQ1" s="65" t="s">
        <v>8500</v>
      </c>
      <c r="LAR1" s="65" t="s">
        <v>8501</v>
      </c>
      <c r="LAS1" s="65" t="s">
        <v>8502</v>
      </c>
      <c r="LAT1" s="65" t="s">
        <v>8503</v>
      </c>
      <c r="LAU1" s="65" t="s">
        <v>8504</v>
      </c>
      <c r="LAV1" s="65" t="s">
        <v>8505</v>
      </c>
      <c r="LAW1" s="65" t="s">
        <v>8506</v>
      </c>
      <c r="LAX1" s="65" t="s">
        <v>8507</v>
      </c>
      <c r="LAY1" s="65" t="s">
        <v>8508</v>
      </c>
      <c r="LAZ1" s="65" t="s">
        <v>8509</v>
      </c>
      <c r="LBA1" s="65" t="s">
        <v>8510</v>
      </c>
      <c r="LBB1" s="65" t="s">
        <v>8511</v>
      </c>
      <c r="LBC1" s="65" t="s">
        <v>8512</v>
      </c>
      <c r="LBD1" s="65" t="s">
        <v>8513</v>
      </c>
      <c r="LBE1" s="65" t="s">
        <v>8514</v>
      </c>
      <c r="LBF1" s="65" t="s">
        <v>8515</v>
      </c>
      <c r="LBG1" s="65" t="s">
        <v>8516</v>
      </c>
      <c r="LBH1" s="65" t="s">
        <v>8517</v>
      </c>
      <c r="LBI1" s="65" t="s">
        <v>8518</v>
      </c>
      <c r="LBJ1" s="65" t="s">
        <v>8519</v>
      </c>
      <c r="LBK1" s="65" t="s">
        <v>8520</v>
      </c>
      <c r="LBL1" s="65" t="s">
        <v>8521</v>
      </c>
      <c r="LBM1" s="65" t="s">
        <v>8522</v>
      </c>
      <c r="LBN1" s="65" t="s">
        <v>8523</v>
      </c>
      <c r="LBO1" s="65" t="s">
        <v>8524</v>
      </c>
      <c r="LBP1" s="65" t="s">
        <v>8525</v>
      </c>
      <c r="LBQ1" s="65" t="s">
        <v>8526</v>
      </c>
      <c r="LBR1" s="65" t="s">
        <v>8527</v>
      </c>
      <c r="LBS1" s="65" t="s">
        <v>8528</v>
      </c>
      <c r="LBT1" s="65" t="s">
        <v>8529</v>
      </c>
      <c r="LBU1" s="65" t="s">
        <v>8530</v>
      </c>
      <c r="LBV1" s="65" t="s">
        <v>8531</v>
      </c>
      <c r="LBW1" s="65" t="s">
        <v>8532</v>
      </c>
      <c r="LBX1" s="65" t="s">
        <v>8533</v>
      </c>
      <c r="LBY1" s="65" t="s">
        <v>8534</v>
      </c>
      <c r="LBZ1" s="65" t="s">
        <v>8535</v>
      </c>
      <c r="LCA1" s="65" t="s">
        <v>8536</v>
      </c>
      <c r="LCB1" s="65" t="s">
        <v>8537</v>
      </c>
      <c r="LCC1" s="65" t="s">
        <v>8538</v>
      </c>
      <c r="LCD1" s="65" t="s">
        <v>8539</v>
      </c>
      <c r="LCE1" s="65" t="s">
        <v>8540</v>
      </c>
      <c r="LCF1" s="65" t="s">
        <v>8541</v>
      </c>
      <c r="LCG1" s="65" t="s">
        <v>8542</v>
      </c>
      <c r="LCH1" s="65" t="s">
        <v>8543</v>
      </c>
      <c r="LCI1" s="65" t="s">
        <v>8544</v>
      </c>
      <c r="LCJ1" s="65" t="s">
        <v>8545</v>
      </c>
      <c r="LCK1" s="65" t="s">
        <v>8546</v>
      </c>
      <c r="LCL1" s="65" t="s">
        <v>8547</v>
      </c>
      <c r="LCM1" s="65" t="s">
        <v>8548</v>
      </c>
      <c r="LCN1" s="65" t="s">
        <v>8549</v>
      </c>
      <c r="LCO1" s="65" t="s">
        <v>8550</v>
      </c>
      <c r="LCP1" s="65" t="s">
        <v>8551</v>
      </c>
      <c r="LCQ1" s="65" t="s">
        <v>8552</v>
      </c>
      <c r="LCR1" s="65" t="s">
        <v>8553</v>
      </c>
      <c r="LCS1" s="65" t="s">
        <v>8554</v>
      </c>
      <c r="LCT1" s="65" t="s">
        <v>8555</v>
      </c>
      <c r="LCU1" s="65" t="s">
        <v>8556</v>
      </c>
      <c r="LCV1" s="65" t="s">
        <v>8557</v>
      </c>
      <c r="LCW1" s="65" t="s">
        <v>8558</v>
      </c>
      <c r="LCX1" s="65" t="s">
        <v>8559</v>
      </c>
      <c r="LCY1" s="65" t="s">
        <v>8560</v>
      </c>
      <c r="LCZ1" s="65" t="s">
        <v>8561</v>
      </c>
      <c r="LDA1" s="65" t="s">
        <v>8562</v>
      </c>
      <c r="LDB1" s="65" t="s">
        <v>8563</v>
      </c>
      <c r="LDC1" s="65" t="s">
        <v>8564</v>
      </c>
      <c r="LDD1" s="65" t="s">
        <v>8565</v>
      </c>
      <c r="LDE1" s="65" t="s">
        <v>8566</v>
      </c>
      <c r="LDF1" s="65" t="s">
        <v>8567</v>
      </c>
      <c r="LDG1" s="65" t="s">
        <v>8568</v>
      </c>
      <c r="LDH1" s="65" t="s">
        <v>8569</v>
      </c>
      <c r="LDI1" s="65" t="s">
        <v>8570</v>
      </c>
      <c r="LDJ1" s="65" t="s">
        <v>8571</v>
      </c>
      <c r="LDK1" s="65" t="s">
        <v>8572</v>
      </c>
      <c r="LDL1" s="65" t="s">
        <v>8573</v>
      </c>
      <c r="LDM1" s="65" t="s">
        <v>8574</v>
      </c>
      <c r="LDN1" s="65" t="s">
        <v>8575</v>
      </c>
      <c r="LDO1" s="65" t="s">
        <v>8576</v>
      </c>
      <c r="LDP1" s="65" t="s">
        <v>8577</v>
      </c>
      <c r="LDQ1" s="65" t="s">
        <v>8578</v>
      </c>
      <c r="LDR1" s="65" t="s">
        <v>8579</v>
      </c>
      <c r="LDS1" s="65" t="s">
        <v>8580</v>
      </c>
      <c r="LDT1" s="65" t="s">
        <v>8581</v>
      </c>
      <c r="LDU1" s="65" t="s">
        <v>8582</v>
      </c>
      <c r="LDV1" s="65" t="s">
        <v>8583</v>
      </c>
      <c r="LDW1" s="65" t="s">
        <v>8584</v>
      </c>
      <c r="LDX1" s="65" t="s">
        <v>8585</v>
      </c>
      <c r="LDY1" s="65" t="s">
        <v>8586</v>
      </c>
      <c r="LDZ1" s="65" t="s">
        <v>8587</v>
      </c>
      <c r="LEA1" s="65" t="s">
        <v>8588</v>
      </c>
      <c r="LEB1" s="65" t="s">
        <v>8589</v>
      </c>
      <c r="LEC1" s="65" t="s">
        <v>8590</v>
      </c>
      <c r="LED1" s="65" t="s">
        <v>8591</v>
      </c>
      <c r="LEE1" s="65" t="s">
        <v>8592</v>
      </c>
      <c r="LEF1" s="65" t="s">
        <v>8593</v>
      </c>
      <c r="LEG1" s="65" t="s">
        <v>8594</v>
      </c>
      <c r="LEH1" s="65" t="s">
        <v>8595</v>
      </c>
      <c r="LEI1" s="65" t="s">
        <v>8596</v>
      </c>
      <c r="LEJ1" s="65" t="s">
        <v>8597</v>
      </c>
      <c r="LEK1" s="65" t="s">
        <v>8598</v>
      </c>
      <c r="LEL1" s="65" t="s">
        <v>8599</v>
      </c>
      <c r="LEM1" s="65" t="s">
        <v>8600</v>
      </c>
      <c r="LEN1" s="65" t="s">
        <v>8601</v>
      </c>
      <c r="LEO1" s="65" t="s">
        <v>8602</v>
      </c>
      <c r="LEP1" s="65" t="s">
        <v>8603</v>
      </c>
      <c r="LEQ1" s="65" t="s">
        <v>8604</v>
      </c>
      <c r="LER1" s="65" t="s">
        <v>8605</v>
      </c>
      <c r="LES1" s="65" t="s">
        <v>8606</v>
      </c>
      <c r="LET1" s="65" t="s">
        <v>8607</v>
      </c>
      <c r="LEU1" s="65" t="s">
        <v>8608</v>
      </c>
      <c r="LEV1" s="65" t="s">
        <v>8609</v>
      </c>
      <c r="LEW1" s="65" t="s">
        <v>8610</v>
      </c>
      <c r="LEX1" s="65" t="s">
        <v>8611</v>
      </c>
      <c r="LEY1" s="65" t="s">
        <v>8612</v>
      </c>
      <c r="LEZ1" s="65" t="s">
        <v>8613</v>
      </c>
      <c r="LFA1" s="65" t="s">
        <v>8614</v>
      </c>
      <c r="LFB1" s="65" t="s">
        <v>8615</v>
      </c>
      <c r="LFC1" s="65" t="s">
        <v>8616</v>
      </c>
      <c r="LFD1" s="65" t="s">
        <v>8617</v>
      </c>
      <c r="LFE1" s="65" t="s">
        <v>8618</v>
      </c>
      <c r="LFF1" s="65" t="s">
        <v>8619</v>
      </c>
      <c r="LFG1" s="65" t="s">
        <v>8620</v>
      </c>
      <c r="LFH1" s="65" t="s">
        <v>8621</v>
      </c>
      <c r="LFI1" s="65" t="s">
        <v>8622</v>
      </c>
      <c r="LFJ1" s="65" t="s">
        <v>8623</v>
      </c>
      <c r="LFK1" s="65" t="s">
        <v>8624</v>
      </c>
      <c r="LFL1" s="65" t="s">
        <v>8625</v>
      </c>
      <c r="LFM1" s="65" t="s">
        <v>8626</v>
      </c>
      <c r="LFN1" s="65" t="s">
        <v>8627</v>
      </c>
      <c r="LFO1" s="65" t="s">
        <v>8628</v>
      </c>
      <c r="LFP1" s="65" t="s">
        <v>8629</v>
      </c>
      <c r="LFQ1" s="65" t="s">
        <v>8630</v>
      </c>
      <c r="LFR1" s="65" t="s">
        <v>8631</v>
      </c>
      <c r="LFS1" s="65" t="s">
        <v>8632</v>
      </c>
      <c r="LFT1" s="65" t="s">
        <v>8633</v>
      </c>
      <c r="LFU1" s="65" t="s">
        <v>8634</v>
      </c>
      <c r="LFV1" s="65" t="s">
        <v>8635</v>
      </c>
      <c r="LFW1" s="65" t="s">
        <v>8636</v>
      </c>
      <c r="LFX1" s="65" t="s">
        <v>8637</v>
      </c>
      <c r="LFY1" s="65" t="s">
        <v>8638</v>
      </c>
      <c r="LFZ1" s="65" t="s">
        <v>8639</v>
      </c>
      <c r="LGA1" s="65" t="s">
        <v>8640</v>
      </c>
      <c r="LGB1" s="65" t="s">
        <v>8641</v>
      </c>
      <c r="LGC1" s="65" t="s">
        <v>8642</v>
      </c>
      <c r="LGD1" s="65" t="s">
        <v>8643</v>
      </c>
      <c r="LGE1" s="65" t="s">
        <v>8644</v>
      </c>
      <c r="LGF1" s="65" t="s">
        <v>8645</v>
      </c>
      <c r="LGG1" s="65" t="s">
        <v>8646</v>
      </c>
      <c r="LGH1" s="65" t="s">
        <v>8647</v>
      </c>
      <c r="LGI1" s="65" t="s">
        <v>8648</v>
      </c>
      <c r="LGJ1" s="65" t="s">
        <v>8649</v>
      </c>
      <c r="LGK1" s="65" t="s">
        <v>8650</v>
      </c>
      <c r="LGL1" s="65" t="s">
        <v>8651</v>
      </c>
      <c r="LGM1" s="65" t="s">
        <v>8652</v>
      </c>
      <c r="LGN1" s="65" t="s">
        <v>8653</v>
      </c>
      <c r="LGO1" s="65" t="s">
        <v>8654</v>
      </c>
      <c r="LGP1" s="65" t="s">
        <v>8655</v>
      </c>
      <c r="LGQ1" s="65" t="s">
        <v>8656</v>
      </c>
      <c r="LGR1" s="65" t="s">
        <v>8657</v>
      </c>
      <c r="LGS1" s="65" t="s">
        <v>8658</v>
      </c>
      <c r="LGT1" s="65" t="s">
        <v>8659</v>
      </c>
      <c r="LGU1" s="65" t="s">
        <v>8660</v>
      </c>
      <c r="LGV1" s="65" t="s">
        <v>8661</v>
      </c>
      <c r="LGW1" s="65" t="s">
        <v>8662</v>
      </c>
      <c r="LGX1" s="65" t="s">
        <v>8663</v>
      </c>
      <c r="LGY1" s="65" t="s">
        <v>8664</v>
      </c>
      <c r="LGZ1" s="65" t="s">
        <v>8665</v>
      </c>
      <c r="LHA1" s="65" t="s">
        <v>8666</v>
      </c>
      <c r="LHB1" s="65" t="s">
        <v>8667</v>
      </c>
      <c r="LHC1" s="65" t="s">
        <v>8668</v>
      </c>
      <c r="LHD1" s="65" t="s">
        <v>8669</v>
      </c>
      <c r="LHE1" s="65" t="s">
        <v>8670</v>
      </c>
      <c r="LHF1" s="65" t="s">
        <v>8671</v>
      </c>
      <c r="LHG1" s="65" t="s">
        <v>8672</v>
      </c>
      <c r="LHH1" s="65" t="s">
        <v>8673</v>
      </c>
      <c r="LHI1" s="65" t="s">
        <v>8674</v>
      </c>
      <c r="LHJ1" s="65" t="s">
        <v>8675</v>
      </c>
      <c r="LHK1" s="65" t="s">
        <v>8676</v>
      </c>
      <c r="LHL1" s="65" t="s">
        <v>8677</v>
      </c>
      <c r="LHM1" s="65" t="s">
        <v>8678</v>
      </c>
      <c r="LHN1" s="65" t="s">
        <v>8679</v>
      </c>
      <c r="LHO1" s="65" t="s">
        <v>8680</v>
      </c>
      <c r="LHP1" s="65" t="s">
        <v>8681</v>
      </c>
      <c r="LHQ1" s="65" t="s">
        <v>8682</v>
      </c>
      <c r="LHR1" s="65" t="s">
        <v>8683</v>
      </c>
      <c r="LHS1" s="65" t="s">
        <v>8684</v>
      </c>
      <c r="LHT1" s="65" t="s">
        <v>8685</v>
      </c>
      <c r="LHU1" s="65" t="s">
        <v>8686</v>
      </c>
      <c r="LHV1" s="65" t="s">
        <v>8687</v>
      </c>
      <c r="LHW1" s="65" t="s">
        <v>8688</v>
      </c>
      <c r="LHX1" s="65" t="s">
        <v>8689</v>
      </c>
      <c r="LHY1" s="65" t="s">
        <v>8690</v>
      </c>
      <c r="LHZ1" s="65" t="s">
        <v>8691</v>
      </c>
      <c r="LIA1" s="65" t="s">
        <v>8692</v>
      </c>
      <c r="LIB1" s="65" t="s">
        <v>8693</v>
      </c>
      <c r="LIC1" s="65" t="s">
        <v>8694</v>
      </c>
      <c r="LID1" s="65" t="s">
        <v>8695</v>
      </c>
      <c r="LIE1" s="65" t="s">
        <v>8696</v>
      </c>
      <c r="LIF1" s="65" t="s">
        <v>8697</v>
      </c>
      <c r="LIG1" s="65" t="s">
        <v>8698</v>
      </c>
      <c r="LIH1" s="65" t="s">
        <v>8699</v>
      </c>
      <c r="LII1" s="65" t="s">
        <v>8700</v>
      </c>
      <c r="LIJ1" s="65" t="s">
        <v>8701</v>
      </c>
      <c r="LIK1" s="65" t="s">
        <v>8702</v>
      </c>
      <c r="LIL1" s="65" t="s">
        <v>8703</v>
      </c>
      <c r="LIM1" s="65" t="s">
        <v>8704</v>
      </c>
      <c r="LIN1" s="65" t="s">
        <v>8705</v>
      </c>
      <c r="LIO1" s="65" t="s">
        <v>8706</v>
      </c>
      <c r="LIP1" s="65" t="s">
        <v>8707</v>
      </c>
      <c r="LIQ1" s="65" t="s">
        <v>8708</v>
      </c>
      <c r="LIR1" s="65" t="s">
        <v>8709</v>
      </c>
      <c r="LIS1" s="65" t="s">
        <v>8710</v>
      </c>
      <c r="LIT1" s="65" t="s">
        <v>8711</v>
      </c>
      <c r="LIU1" s="65" t="s">
        <v>8712</v>
      </c>
      <c r="LIV1" s="65" t="s">
        <v>8713</v>
      </c>
      <c r="LIW1" s="65" t="s">
        <v>8714</v>
      </c>
      <c r="LIX1" s="65" t="s">
        <v>8715</v>
      </c>
      <c r="LIY1" s="65" t="s">
        <v>8716</v>
      </c>
      <c r="LIZ1" s="65" t="s">
        <v>8717</v>
      </c>
      <c r="LJA1" s="65" t="s">
        <v>8718</v>
      </c>
      <c r="LJB1" s="65" t="s">
        <v>8719</v>
      </c>
      <c r="LJC1" s="65" t="s">
        <v>8720</v>
      </c>
      <c r="LJD1" s="65" t="s">
        <v>8721</v>
      </c>
      <c r="LJE1" s="65" t="s">
        <v>8722</v>
      </c>
      <c r="LJF1" s="65" t="s">
        <v>8723</v>
      </c>
      <c r="LJG1" s="65" t="s">
        <v>8724</v>
      </c>
      <c r="LJH1" s="65" t="s">
        <v>8725</v>
      </c>
      <c r="LJI1" s="65" t="s">
        <v>8726</v>
      </c>
      <c r="LJJ1" s="65" t="s">
        <v>8727</v>
      </c>
      <c r="LJK1" s="65" t="s">
        <v>8728</v>
      </c>
      <c r="LJL1" s="65" t="s">
        <v>8729</v>
      </c>
      <c r="LJM1" s="65" t="s">
        <v>8730</v>
      </c>
      <c r="LJN1" s="65" t="s">
        <v>8731</v>
      </c>
      <c r="LJO1" s="65" t="s">
        <v>8732</v>
      </c>
      <c r="LJP1" s="65" t="s">
        <v>8733</v>
      </c>
      <c r="LJQ1" s="65" t="s">
        <v>8734</v>
      </c>
      <c r="LJR1" s="65" t="s">
        <v>8735</v>
      </c>
      <c r="LJS1" s="65" t="s">
        <v>8736</v>
      </c>
      <c r="LJT1" s="65" t="s">
        <v>8737</v>
      </c>
      <c r="LJU1" s="65" t="s">
        <v>8738</v>
      </c>
      <c r="LJV1" s="65" t="s">
        <v>8739</v>
      </c>
      <c r="LJW1" s="65" t="s">
        <v>8740</v>
      </c>
      <c r="LJX1" s="65" t="s">
        <v>8741</v>
      </c>
      <c r="LJY1" s="65" t="s">
        <v>8742</v>
      </c>
      <c r="LJZ1" s="65" t="s">
        <v>8743</v>
      </c>
      <c r="LKA1" s="65" t="s">
        <v>8744</v>
      </c>
      <c r="LKB1" s="65" t="s">
        <v>8745</v>
      </c>
      <c r="LKC1" s="65" t="s">
        <v>8746</v>
      </c>
      <c r="LKD1" s="65" t="s">
        <v>8747</v>
      </c>
      <c r="LKE1" s="65" t="s">
        <v>8748</v>
      </c>
      <c r="LKF1" s="65" t="s">
        <v>8749</v>
      </c>
      <c r="LKG1" s="65" t="s">
        <v>8750</v>
      </c>
      <c r="LKH1" s="65" t="s">
        <v>8751</v>
      </c>
      <c r="LKI1" s="65" t="s">
        <v>8752</v>
      </c>
      <c r="LKJ1" s="65" t="s">
        <v>8753</v>
      </c>
      <c r="LKK1" s="65" t="s">
        <v>8754</v>
      </c>
      <c r="LKL1" s="65" t="s">
        <v>8755</v>
      </c>
      <c r="LKM1" s="65" t="s">
        <v>8756</v>
      </c>
      <c r="LKN1" s="65" t="s">
        <v>8757</v>
      </c>
      <c r="LKO1" s="65" t="s">
        <v>8758</v>
      </c>
      <c r="LKP1" s="65" t="s">
        <v>8759</v>
      </c>
      <c r="LKQ1" s="65" t="s">
        <v>8760</v>
      </c>
      <c r="LKR1" s="65" t="s">
        <v>8761</v>
      </c>
      <c r="LKS1" s="65" t="s">
        <v>8762</v>
      </c>
      <c r="LKT1" s="65" t="s">
        <v>8763</v>
      </c>
      <c r="LKU1" s="65" t="s">
        <v>8764</v>
      </c>
      <c r="LKV1" s="65" t="s">
        <v>8765</v>
      </c>
      <c r="LKW1" s="65" t="s">
        <v>8766</v>
      </c>
      <c r="LKX1" s="65" t="s">
        <v>8767</v>
      </c>
      <c r="LKY1" s="65" t="s">
        <v>8768</v>
      </c>
      <c r="LKZ1" s="65" t="s">
        <v>8769</v>
      </c>
      <c r="LLA1" s="65" t="s">
        <v>8770</v>
      </c>
      <c r="LLB1" s="65" t="s">
        <v>8771</v>
      </c>
      <c r="LLC1" s="65" t="s">
        <v>8772</v>
      </c>
      <c r="LLD1" s="65" t="s">
        <v>8773</v>
      </c>
      <c r="LLE1" s="65" t="s">
        <v>8774</v>
      </c>
      <c r="LLF1" s="65" t="s">
        <v>8775</v>
      </c>
      <c r="LLG1" s="65" t="s">
        <v>8776</v>
      </c>
      <c r="LLH1" s="65" t="s">
        <v>8777</v>
      </c>
      <c r="LLI1" s="65" t="s">
        <v>8778</v>
      </c>
      <c r="LLJ1" s="65" t="s">
        <v>8779</v>
      </c>
      <c r="LLK1" s="65" t="s">
        <v>8780</v>
      </c>
      <c r="LLL1" s="65" t="s">
        <v>8781</v>
      </c>
      <c r="LLM1" s="65" t="s">
        <v>8782</v>
      </c>
      <c r="LLN1" s="65" t="s">
        <v>8783</v>
      </c>
      <c r="LLO1" s="65" t="s">
        <v>8784</v>
      </c>
      <c r="LLP1" s="65" t="s">
        <v>8785</v>
      </c>
      <c r="LLQ1" s="65" t="s">
        <v>8786</v>
      </c>
      <c r="LLR1" s="65" t="s">
        <v>8787</v>
      </c>
      <c r="LLS1" s="65" t="s">
        <v>8788</v>
      </c>
      <c r="LLT1" s="65" t="s">
        <v>8789</v>
      </c>
      <c r="LLU1" s="65" t="s">
        <v>8790</v>
      </c>
      <c r="LLV1" s="65" t="s">
        <v>8791</v>
      </c>
      <c r="LLW1" s="65" t="s">
        <v>8792</v>
      </c>
      <c r="LLX1" s="65" t="s">
        <v>8793</v>
      </c>
      <c r="LLY1" s="65" t="s">
        <v>8794</v>
      </c>
      <c r="LLZ1" s="65" t="s">
        <v>8795</v>
      </c>
      <c r="LMA1" s="65" t="s">
        <v>8796</v>
      </c>
      <c r="LMB1" s="65" t="s">
        <v>8797</v>
      </c>
      <c r="LMC1" s="65" t="s">
        <v>8798</v>
      </c>
      <c r="LMD1" s="65" t="s">
        <v>8799</v>
      </c>
      <c r="LME1" s="65" t="s">
        <v>8800</v>
      </c>
      <c r="LMF1" s="65" t="s">
        <v>8801</v>
      </c>
      <c r="LMG1" s="65" t="s">
        <v>8802</v>
      </c>
      <c r="LMH1" s="65" t="s">
        <v>8803</v>
      </c>
      <c r="LMI1" s="65" t="s">
        <v>8804</v>
      </c>
      <c r="LMJ1" s="65" t="s">
        <v>8805</v>
      </c>
      <c r="LMK1" s="65" t="s">
        <v>8806</v>
      </c>
      <c r="LML1" s="65" t="s">
        <v>8807</v>
      </c>
      <c r="LMM1" s="65" t="s">
        <v>8808</v>
      </c>
      <c r="LMN1" s="65" t="s">
        <v>8809</v>
      </c>
      <c r="LMO1" s="65" t="s">
        <v>8810</v>
      </c>
      <c r="LMP1" s="65" t="s">
        <v>8811</v>
      </c>
      <c r="LMQ1" s="65" t="s">
        <v>8812</v>
      </c>
      <c r="LMR1" s="65" t="s">
        <v>8813</v>
      </c>
      <c r="LMS1" s="65" t="s">
        <v>8814</v>
      </c>
      <c r="LMT1" s="65" t="s">
        <v>8815</v>
      </c>
      <c r="LMU1" s="65" t="s">
        <v>8816</v>
      </c>
      <c r="LMV1" s="65" t="s">
        <v>8817</v>
      </c>
      <c r="LMW1" s="65" t="s">
        <v>8818</v>
      </c>
      <c r="LMX1" s="65" t="s">
        <v>8819</v>
      </c>
      <c r="LMY1" s="65" t="s">
        <v>8820</v>
      </c>
      <c r="LMZ1" s="65" t="s">
        <v>8821</v>
      </c>
      <c r="LNA1" s="65" t="s">
        <v>8822</v>
      </c>
      <c r="LNB1" s="65" t="s">
        <v>8823</v>
      </c>
      <c r="LNC1" s="65" t="s">
        <v>8824</v>
      </c>
      <c r="LND1" s="65" t="s">
        <v>8825</v>
      </c>
      <c r="LNE1" s="65" t="s">
        <v>8826</v>
      </c>
      <c r="LNF1" s="65" t="s">
        <v>8827</v>
      </c>
      <c r="LNG1" s="65" t="s">
        <v>8828</v>
      </c>
      <c r="LNH1" s="65" t="s">
        <v>8829</v>
      </c>
      <c r="LNI1" s="65" t="s">
        <v>8830</v>
      </c>
      <c r="LNJ1" s="65" t="s">
        <v>8831</v>
      </c>
      <c r="LNK1" s="65" t="s">
        <v>8832</v>
      </c>
      <c r="LNL1" s="65" t="s">
        <v>8833</v>
      </c>
      <c r="LNM1" s="65" t="s">
        <v>8834</v>
      </c>
      <c r="LNN1" s="65" t="s">
        <v>8835</v>
      </c>
      <c r="LNO1" s="65" t="s">
        <v>8836</v>
      </c>
      <c r="LNP1" s="65" t="s">
        <v>8837</v>
      </c>
      <c r="LNQ1" s="65" t="s">
        <v>8838</v>
      </c>
      <c r="LNR1" s="65" t="s">
        <v>8839</v>
      </c>
      <c r="LNS1" s="65" t="s">
        <v>8840</v>
      </c>
      <c r="LNT1" s="65" t="s">
        <v>8841</v>
      </c>
      <c r="LNU1" s="65" t="s">
        <v>8842</v>
      </c>
      <c r="LNV1" s="65" t="s">
        <v>8843</v>
      </c>
      <c r="LNW1" s="65" t="s">
        <v>8844</v>
      </c>
      <c r="LNX1" s="65" t="s">
        <v>8845</v>
      </c>
      <c r="LNY1" s="65" t="s">
        <v>8846</v>
      </c>
      <c r="LNZ1" s="65" t="s">
        <v>8847</v>
      </c>
      <c r="LOA1" s="65" t="s">
        <v>8848</v>
      </c>
      <c r="LOB1" s="65" t="s">
        <v>8849</v>
      </c>
      <c r="LOC1" s="65" t="s">
        <v>8850</v>
      </c>
      <c r="LOD1" s="65" t="s">
        <v>8851</v>
      </c>
      <c r="LOE1" s="65" t="s">
        <v>8852</v>
      </c>
      <c r="LOF1" s="65" t="s">
        <v>8853</v>
      </c>
      <c r="LOG1" s="65" t="s">
        <v>8854</v>
      </c>
      <c r="LOH1" s="65" t="s">
        <v>8855</v>
      </c>
      <c r="LOI1" s="65" t="s">
        <v>8856</v>
      </c>
      <c r="LOJ1" s="65" t="s">
        <v>8857</v>
      </c>
      <c r="LOK1" s="65" t="s">
        <v>8858</v>
      </c>
      <c r="LOL1" s="65" t="s">
        <v>8859</v>
      </c>
      <c r="LOM1" s="65" t="s">
        <v>8860</v>
      </c>
      <c r="LON1" s="65" t="s">
        <v>8861</v>
      </c>
      <c r="LOO1" s="65" t="s">
        <v>8862</v>
      </c>
      <c r="LOP1" s="65" t="s">
        <v>8863</v>
      </c>
      <c r="LOQ1" s="65" t="s">
        <v>8864</v>
      </c>
      <c r="LOR1" s="65" t="s">
        <v>8865</v>
      </c>
      <c r="LOS1" s="65" t="s">
        <v>8866</v>
      </c>
      <c r="LOT1" s="65" t="s">
        <v>8867</v>
      </c>
      <c r="LOU1" s="65" t="s">
        <v>8868</v>
      </c>
      <c r="LOV1" s="65" t="s">
        <v>8869</v>
      </c>
      <c r="LOW1" s="65" t="s">
        <v>8870</v>
      </c>
      <c r="LOX1" s="65" t="s">
        <v>8871</v>
      </c>
      <c r="LOY1" s="65" t="s">
        <v>8872</v>
      </c>
      <c r="LOZ1" s="65" t="s">
        <v>8873</v>
      </c>
      <c r="LPA1" s="65" t="s">
        <v>8874</v>
      </c>
      <c r="LPB1" s="65" t="s">
        <v>8875</v>
      </c>
      <c r="LPC1" s="65" t="s">
        <v>8876</v>
      </c>
      <c r="LPD1" s="65" t="s">
        <v>8877</v>
      </c>
      <c r="LPE1" s="65" t="s">
        <v>8878</v>
      </c>
      <c r="LPF1" s="65" t="s">
        <v>8879</v>
      </c>
      <c r="LPG1" s="65" t="s">
        <v>8880</v>
      </c>
      <c r="LPH1" s="65" t="s">
        <v>8881</v>
      </c>
      <c r="LPI1" s="65" t="s">
        <v>8882</v>
      </c>
      <c r="LPJ1" s="65" t="s">
        <v>8883</v>
      </c>
      <c r="LPK1" s="65" t="s">
        <v>8884</v>
      </c>
      <c r="LPL1" s="65" t="s">
        <v>8885</v>
      </c>
      <c r="LPM1" s="65" t="s">
        <v>8886</v>
      </c>
      <c r="LPN1" s="65" t="s">
        <v>8887</v>
      </c>
      <c r="LPO1" s="65" t="s">
        <v>8888</v>
      </c>
      <c r="LPP1" s="65" t="s">
        <v>8889</v>
      </c>
      <c r="LPQ1" s="65" t="s">
        <v>8890</v>
      </c>
      <c r="LPR1" s="65" t="s">
        <v>8891</v>
      </c>
      <c r="LPS1" s="65" t="s">
        <v>8892</v>
      </c>
      <c r="LPT1" s="65" t="s">
        <v>8893</v>
      </c>
      <c r="LPU1" s="65" t="s">
        <v>8894</v>
      </c>
      <c r="LPV1" s="65" t="s">
        <v>8895</v>
      </c>
      <c r="LPW1" s="65" t="s">
        <v>8896</v>
      </c>
      <c r="LPX1" s="65" t="s">
        <v>8897</v>
      </c>
      <c r="LPY1" s="65" t="s">
        <v>8898</v>
      </c>
      <c r="LPZ1" s="65" t="s">
        <v>8899</v>
      </c>
      <c r="LQA1" s="65" t="s">
        <v>8900</v>
      </c>
      <c r="LQB1" s="65" t="s">
        <v>8901</v>
      </c>
      <c r="LQC1" s="65" t="s">
        <v>8902</v>
      </c>
      <c r="LQD1" s="65" t="s">
        <v>8903</v>
      </c>
      <c r="LQE1" s="65" t="s">
        <v>8904</v>
      </c>
      <c r="LQF1" s="65" t="s">
        <v>8905</v>
      </c>
      <c r="LQG1" s="65" t="s">
        <v>8906</v>
      </c>
      <c r="LQH1" s="65" t="s">
        <v>8907</v>
      </c>
      <c r="LQI1" s="65" t="s">
        <v>8908</v>
      </c>
      <c r="LQJ1" s="65" t="s">
        <v>8909</v>
      </c>
      <c r="LQK1" s="65" t="s">
        <v>8910</v>
      </c>
      <c r="LQL1" s="65" t="s">
        <v>8911</v>
      </c>
      <c r="LQM1" s="65" t="s">
        <v>8912</v>
      </c>
      <c r="LQN1" s="65" t="s">
        <v>8913</v>
      </c>
      <c r="LQO1" s="65" t="s">
        <v>8914</v>
      </c>
      <c r="LQP1" s="65" t="s">
        <v>8915</v>
      </c>
      <c r="LQQ1" s="65" t="s">
        <v>8916</v>
      </c>
      <c r="LQR1" s="65" t="s">
        <v>8917</v>
      </c>
      <c r="LQS1" s="65" t="s">
        <v>8918</v>
      </c>
      <c r="LQT1" s="65" t="s">
        <v>8919</v>
      </c>
      <c r="LQU1" s="65" t="s">
        <v>8920</v>
      </c>
      <c r="LQV1" s="65" t="s">
        <v>8921</v>
      </c>
      <c r="LQW1" s="65" t="s">
        <v>8922</v>
      </c>
      <c r="LQX1" s="65" t="s">
        <v>8923</v>
      </c>
      <c r="LQY1" s="65" t="s">
        <v>8924</v>
      </c>
      <c r="LQZ1" s="65" t="s">
        <v>8925</v>
      </c>
      <c r="LRA1" s="65" t="s">
        <v>8926</v>
      </c>
      <c r="LRB1" s="65" t="s">
        <v>8927</v>
      </c>
      <c r="LRC1" s="65" t="s">
        <v>8928</v>
      </c>
      <c r="LRD1" s="65" t="s">
        <v>8929</v>
      </c>
      <c r="LRE1" s="65" t="s">
        <v>8930</v>
      </c>
      <c r="LRF1" s="65" t="s">
        <v>8931</v>
      </c>
      <c r="LRG1" s="65" t="s">
        <v>8932</v>
      </c>
      <c r="LRH1" s="65" t="s">
        <v>8933</v>
      </c>
      <c r="LRI1" s="65" t="s">
        <v>8934</v>
      </c>
      <c r="LRJ1" s="65" t="s">
        <v>8935</v>
      </c>
      <c r="LRK1" s="65" t="s">
        <v>8936</v>
      </c>
      <c r="LRL1" s="65" t="s">
        <v>8937</v>
      </c>
      <c r="LRM1" s="65" t="s">
        <v>8938</v>
      </c>
      <c r="LRN1" s="65" t="s">
        <v>8939</v>
      </c>
      <c r="LRO1" s="65" t="s">
        <v>8940</v>
      </c>
      <c r="LRP1" s="65" t="s">
        <v>8941</v>
      </c>
      <c r="LRQ1" s="65" t="s">
        <v>8942</v>
      </c>
      <c r="LRR1" s="65" t="s">
        <v>8943</v>
      </c>
      <c r="LRS1" s="65" t="s">
        <v>8944</v>
      </c>
      <c r="LRT1" s="65" t="s">
        <v>8945</v>
      </c>
      <c r="LRU1" s="65" t="s">
        <v>8946</v>
      </c>
      <c r="LRV1" s="65" t="s">
        <v>8947</v>
      </c>
      <c r="LRW1" s="65" t="s">
        <v>8948</v>
      </c>
      <c r="LRX1" s="65" t="s">
        <v>8949</v>
      </c>
      <c r="LRY1" s="65" t="s">
        <v>8950</v>
      </c>
      <c r="LRZ1" s="65" t="s">
        <v>8951</v>
      </c>
      <c r="LSA1" s="65" t="s">
        <v>8952</v>
      </c>
      <c r="LSB1" s="65" t="s">
        <v>8953</v>
      </c>
      <c r="LSC1" s="65" t="s">
        <v>8954</v>
      </c>
      <c r="LSD1" s="65" t="s">
        <v>8955</v>
      </c>
      <c r="LSE1" s="65" t="s">
        <v>8956</v>
      </c>
      <c r="LSF1" s="65" t="s">
        <v>8957</v>
      </c>
      <c r="LSG1" s="65" t="s">
        <v>8958</v>
      </c>
      <c r="LSH1" s="65" t="s">
        <v>8959</v>
      </c>
      <c r="LSI1" s="65" t="s">
        <v>8960</v>
      </c>
      <c r="LSJ1" s="65" t="s">
        <v>8961</v>
      </c>
      <c r="LSK1" s="65" t="s">
        <v>8962</v>
      </c>
      <c r="LSL1" s="65" t="s">
        <v>8963</v>
      </c>
      <c r="LSM1" s="65" t="s">
        <v>8964</v>
      </c>
      <c r="LSN1" s="65" t="s">
        <v>8965</v>
      </c>
      <c r="LSO1" s="65" t="s">
        <v>8966</v>
      </c>
      <c r="LSP1" s="65" t="s">
        <v>8967</v>
      </c>
      <c r="LSQ1" s="65" t="s">
        <v>8968</v>
      </c>
      <c r="LSR1" s="65" t="s">
        <v>8969</v>
      </c>
      <c r="LSS1" s="65" t="s">
        <v>8970</v>
      </c>
      <c r="LST1" s="65" t="s">
        <v>8971</v>
      </c>
      <c r="LSU1" s="65" t="s">
        <v>8972</v>
      </c>
      <c r="LSV1" s="65" t="s">
        <v>8973</v>
      </c>
      <c r="LSW1" s="65" t="s">
        <v>8974</v>
      </c>
      <c r="LSX1" s="65" t="s">
        <v>8975</v>
      </c>
      <c r="LSY1" s="65" t="s">
        <v>8976</v>
      </c>
      <c r="LSZ1" s="65" t="s">
        <v>8977</v>
      </c>
      <c r="LTA1" s="65" t="s">
        <v>8978</v>
      </c>
      <c r="LTB1" s="65" t="s">
        <v>8979</v>
      </c>
      <c r="LTC1" s="65" t="s">
        <v>8980</v>
      </c>
      <c r="LTD1" s="65" t="s">
        <v>8981</v>
      </c>
      <c r="LTE1" s="65" t="s">
        <v>8982</v>
      </c>
      <c r="LTF1" s="65" t="s">
        <v>8983</v>
      </c>
      <c r="LTG1" s="65" t="s">
        <v>8984</v>
      </c>
      <c r="LTH1" s="65" t="s">
        <v>8985</v>
      </c>
      <c r="LTI1" s="65" t="s">
        <v>8986</v>
      </c>
      <c r="LTJ1" s="65" t="s">
        <v>8987</v>
      </c>
      <c r="LTK1" s="65" t="s">
        <v>8988</v>
      </c>
      <c r="LTL1" s="65" t="s">
        <v>8989</v>
      </c>
      <c r="LTM1" s="65" t="s">
        <v>8990</v>
      </c>
      <c r="LTN1" s="65" t="s">
        <v>8991</v>
      </c>
      <c r="LTO1" s="65" t="s">
        <v>8992</v>
      </c>
      <c r="LTP1" s="65" t="s">
        <v>8993</v>
      </c>
      <c r="LTQ1" s="65" t="s">
        <v>8994</v>
      </c>
      <c r="LTR1" s="65" t="s">
        <v>8995</v>
      </c>
      <c r="LTS1" s="65" t="s">
        <v>8996</v>
      </c>
      <c r="LTT1" s="65" t="s">
        <v>8997</v>
      </c>
      <c r="LTU1" s="65" t="s">
        <v>8998</v>
      </c>
      <c r="LTV1" s="65" t="s">
        <v>8999</v>
      </c>
      <c r="LTW1" s="65" t="s">
        <v>9000</v>
      </c>
      <c r="LTX1" s="65" t="s">
        <v>9001</v>
      </c>
      <c r="LTY1" s="65" t="s">
        <v>9002</v>
      </c>
      <c r="LTZ1" s="65" t="s">
        <v>9003</v>
      </c>
      <c r="LUA1" s="65" t="s">
        <v>9004</v>
      </c>
      <c r="LUB1" s="65" t="s">
        <v>9005</v>
      </c>
      <c r="LUC1" s="65" t="s">
        <v>9006</v>
      </c>
      <c r="LUD1" s="65" t="s">
        <v>9007</v>
      </c>
      <c r="LUE1" s="65" t="s">
        <v>9008</v>
      </c>
      <c r="LUF1" s="65" t="s">
        <v>9009</v>
      </c>
      <c r="LUG1" s="65" t="s">
        <v>9010</v>
      </c>
      <c r="LUH1" s="65" t="s">
        <v>9011</v>
      </c>
      <c r="LUI1" s="65" t="s">
        <v>9012</v>
      </c>
      <c r="LUJ1" s="65" t="s">
        <v>9013</v>
      </c>
      <c r="LUK1" s="65" t="s">
        <v>9014</v>
      </c>
      <c r="LUL1" s="65" t="s">
        <v>9015</v>
      </c>
      <c r="LUM1" s="65" t="s">
        <v>9016</v>
      </c>
      <c r="LUN1" s="65" t="s">
        <v>9017</v>
      </c>
      <c r="LUO1" s="65" t="s">
        <v>9018</v>
      </c>
      <c r="LUP1" s="65" t="s">
        <v>9019</v>
      </c>
      <c r="LUQ1" s="65" t="s">
        <v>9020</v>
      </c>
      <c r="LUR1" s="65" t="s">
        <v>9021</v>
      </c>
      <c r="LUS1" s="65" t="s">
        <v>9022</v>
      </c>
      <c r="LUT1" s="65" t="s">
        <v>9023</v>
      </c>
      <c r="LUU1" s="65" t="s">
        <v>9024</v>
      </c>
      <c r="LUV1" s="65" t="s">
        <v>9025</v>
      </c>
      <c r="LUW1" s="65" t="s">
        <v>9026</v>
      </c>
      <c r="LUX1" s="65" t="s">
        <v>9027</v>
      </c>
      <c r="LUY1" s="65" t="s">
        <v>9028</v>
      </c>
      <c r="LUZ1" s="65" t="s">
        <v>9029</v>
      </c>
      <c r="LVA1" s="65" t="s">
        <v>9030</v>
      </c>
      <c r="LVB1" s="65" t="s">
        <v>9031</v>
      </c>
      <c r="LVC1" s="65" t="s">
        <v>9032</v>
      </c>
      <c r="LVD1" s="65" t="s">
        <v>9033</v>
      </c>
      <c r="LVE1" s="65" t="s">
        <v>9034</v>
      </c>
      <c r="LVF1" s="65" t="s">
        <v>9035</v>
      </c>
      <c r="LVG1" s="65" t="s">
        <v>9036</v>
      </c>
      <c r="LVH1" s="65" t="s">
        <v>9037</v>
      </c>
      <c r="LVI1" s="65" t="s">
        <v>9038</v>
      </c>
      <c r="LVJ1" s="65" t="s">
        <v>9039</v>
      </c>
      <c r="LVK1" s="65" t="s">
        <v>9040</v>
      </c>
      <c r="LVL1" s="65" t="s">
        <v>9041</v>
      </c>
      <c r="LVM1" s="65" t="s">
        <v>9042</v>
      </c>
      <c r="LVN1" s="65" t="s">
        <v>9043</v>
      </c>
      <c r="LVO1" s="65" t="s">
        <v>9044</v>
      </c>
      <c r="LVP1" s="65" t="s">
        <v>9045</v>
      </c>
      <c r="LVQ1" s="65" t="s">
        <v>9046</v>
      </c>
      <c r="LVR1" s="65" t="s">
        <v>9047</v>
      </c>
      <c r="LVS1" s="65" t="s">
        <v>9048</v>
      </c>
      <c r="LVT1" s="65" t="s">
        <v>9049</v>
      </c>
      <c r="LVU1" s="65" t="s">
        <v>9050</v>
      </c>
      <c r="LVV1" s="65" t="s">
        <v>9051</v>
      </c>
      <c r="LVW1" s="65" t="s">
        <v>9052</v>
      </c>
      <c r="LVX1" s="65" t="s">
        <v>9053</v>
      </c>
      <c r="LVY1" s="65" t="s">
        <v>9054</v>
      </c>
      <c r="LVZ1" s="65" t="s">
        <v>9055</v>
      </c>
      <c r="LWA1" s="65" t="s">
        <v>9056</v>
      </c>
      <c r="LWB1" s="65" t="s">
        <v>9057</v>
      </c>
      <c r="LWC1" s="65" t="s">
        <v>9058</v>
      </c>
      <c r="LWD1" s="65" t="s">
        <v>9059</v>
      </c>
      <c r="LWE1" s="65" t="s">
        <v>9060</v>
      </c>
      <c r="LWF1" s="65" t="s">
        <v>9061</v>
      </c>
      <c r="LWG1" s="65" t="s">
        <v>9062</v>
      </c>
      <c r="LWH1" s="65" t="s">
        <v>9063</v>
      </c>
      <c r="LWI1" s="65" t="s">
        <v>9064</v>
      </c>
      <c r="LWJ1" s="65" t="s">
        <v>9065</v>
      </c>
      <c r="LWK1" s="65" t="s">
        <v>9066</v>
      </c>
      <c r="LWL1" s="65" t="s">
        <v>9067</v>
      </c>
      <c r="LWM1" s="65" t="s">
        <v>9068</v>
      </c>
      <c r="LWN1" s="65" t="s">
        <v>9069</v>
      </c>
      <c r="LWO1" s="65" t="s">
        <v>9070</v>
      </c>
      <c r="LWP1" s="65" t="s">
        <v>9071</v>
      </c>
      <c r="LWQ1" s="65" t="s">
        <v>9072</v>
      </c>
      <c r="LWR1" s="65" t="s">
        <v>9073</v>
      </c>
      <c r="LWS1" s="65" t="s">
        <v>9074</v>
      </c>
      <c r="LWT1" s="65" t="s">
        <v>9075</v>
      </c>
      <c r="LWU1" s="65" t="s">
        <v>9076</v>
      </c>
      <c r="LWV1" s="65" t="s">
        <v>9077</v>
      </c>
      <c r="LWW1" s="65" t="s">
        <v>9078</v>
      </c>
      <c r="LWX1" s="65" t="s">
        <v>9079</v>
      </c>
      <c r="LWY1" s="65" t="s">
        <v>9080</v>
      </c>
      <c r="LWZ1" s="65" t="s">
        <v>9081</v>
      </c>
      <c r="LXA1" s="65" t="s">
        <v>9082</v>
      </c>
      <c r="LXB1" s="65" t="s">
        <v>9083</v>
      </c>
      <c r="LXC1" s="65" t="s">
        <v>9084</v>
      </c>
      <c r="LXD1" s="65" t="s">
        <v>9085</v>
      </c>
      <c r="LXE1" s="65" t="s">
        <v>9086</v>
      </c>
      <c r="LXF1" s="65" t="s">
        <v>9087</v>
      </c>
      <c r="LXG1" s="65" t="s">
        <v>9088</v>
      </c>
      <c r="LXH1" s="65" t="s">
        <v>9089</v>
      </c>
      <c r="LXI1" s="65" t="s">
        <v>9090</v>
      </c>
      <c r="LXJ1" s="65" t="s">
        <v>9091</v>
      </c>
      <c r="LXK1" s="65" t="s">
        <v>9092</v>
      </c>
      <c r="LXL1" s="65" t="s">
        <v>9093</v>
      </c>
      <c r="LXM1" s="65" t="s">
        <v>9094</v>
      </c>
      <c r="LXN1" s="65" t="s">
        <v>9095</v>
      </c>
      <c r="LXO1" s="65" t="s">
        <v>9096</v>
      </c>
      <c r="LXP1" s="65" t="s">
        <v>9097</v>
      </c>
      <c r="LXQ1" s="65" t="s">
        <v>9098</v>
      </c>
      <c r="LXR1" s="65" t="s">
        <v>9099</v>
      </c>
      <c r="LXS1" s="65" t="s">
        <v>9100</v>
      </c>
      <c r="LXT1" s="65" t="s">
        <v>9101</v>
      </c>
      <c r="LXU1" s="65" t="s">
        <v>9102</v>
      </c>
      <c r="LXV1" s="65" t="s">
        <v>9103</v>
      </c>
      <c r="LXW1" s="65" t="s">
        <v>9104</v>
      </c>
      <c r="LXX1" s="65" t="s">
        <v>9105</v>
      </c>
      <c r="LXY1" s="65" t="s">
        <v>9106</v>
      </c>
      <c r="LXZ1" s="65" t="s">
        <v>9107</v>
      </c>
      <c r="LYA1" s="65" t="s">
        <v>9108</v>
      </c>
      <c r="LYB1" s="65" t="s">
        <v>9109</v>
      </c>
      <c r="LYC1" s="65" t="s">
        <v>9110</v>
      </c>
      <c r="LYD1" s="65" t="s">
        <v>9111</v>
      </c>
      <c r="LYE1" s="65" t="s">
        <v>9112</v>
      </c>
      <c r="LYF1" s="65" t="s">
        <v>9113</v>
      </c>
      <c r="LYG1" s="65" t="s">
        <v>9114</v>
      </c>
      <c r="LYH1" s="65" t="s">
        <v>9115</v>
      </c>
      <c r="LYI1" s="65" t="s">
        <v>9116</v>
      </c>
      <c r="LYJ1" s="65" t="s">
        <v>9117</v>
      </c>
      <c r="LYK1" s="65" t="s">
        <v>9118</v>
      </c>
      <c r="LYL1" s="65" t="s">
        <v>9119</v>
      </c>
      <c r="LYM1" s="65" t="s">
        <v>9120</v>
      </c>
      <c r="LYN1" s="65" t="s">
        <v>9121</v>
      </c>
      <c r="LYO1" s="65" t="s">
        <v>9122</v>
      </c>
      <c r="LYP1" s="65" t="s">
        <v>9123</v>
      </c>
      <c r="LYQ1" s="65" t="s">
        <v>9124</v>
      </c>
      <c r="LYR1" s="65" t="s">
        <v>9125</v>
      </c>
      <c r="LYS1" s="65" t="s">
        <v>9126</v>
      </c>
      <c r="LYT1" s="65" t="s">
        <v>9127</v>
      </c>
      <c r="LYU1" s="65" t="s">
        <v>9128</v>
      </c>
      <c r="LYV1" s="65" t="s">
        <v>9129</v>
      </c>
      <c r="LYW1" s="65" t="s">
        <v>9130</v>
      </c>
      <c r="LYX1" s="65" t="s">
        <v>9131</v>
      </c>
      <c r="LYY1" s="65" t="s">
        <v>9132</v>
      </c>
      <c r="LYZ1" s="65" t="s">
        <v>9133</v>
      </c>
      <c r="LZA1" s="65" t="s">
        <v>9134</v>
      </c>
      <c r="LZB1" s="65" t="s">
        <v>9135</v>
      </c>
      <c r="LZC1" s="65" t="s">
        <v>9136</v>
      </c>
      <c r="LZD1" s="65" t="s">
        <v>9137</v>
      </c>
      <c r="LZE1" s="65" t="s">
        <v>9138</v>
      </c>
      <c r="LZF1" s="65" t="s">
        <v>9139</v>
      </c>
      <c r="LZG1" s="65" t="s">
        <v>9140</v>
      </c>
      <c r="LZH1" s="65" t="s">
        <v>9141</v>
      </c>
      <c r="LZI1" s="65" t="s">
        <v>9142</v>
      </c>
      <c r="LZJ1" s="65" t="s">
        <v>9143</v>
      </c>
      <c r="LZK1" s="65" t="s">
        <v>9144</v>
      </c>
      <c r="LZL1" s="65" t="s">
        <v>9145</v>
      </c>
      <c r="LZM1" s="65" t="s">
        <v>9146</v>
      </c>
      <c r="LZN1" s="65" t="s">
        <v>9147</v>
      </c>
      <c r="LZO1" s="65" t="s">
        <v>9148</v>
      </c>
      <c r="LZP1" s="65" t="s">
        <v>9149</v>
      </c>
      <c r="LZQ1" s="65" t="s">
        <v>9150</v>
      </c>
      <c r="LZR1" s="65" t="s">
        <v>9151</v>
      </c>
      <c r="LZS1" s="65" t="s">
        <v>9152</v>
      </c>
      <c r="LZT1" s="65" t="s">
        <v>9153</v>
      </c>
      <c r="LZU1" s="65" t="s">
        <v>9154</v>
      </c>
      <c r="LZV1" s="65" t="s">
        <v>9155</v>
      </c>
      <c r="LZW1" s="65" t="s">
        <v>9156</v>
      </c>
      <c r="LZX1" s="65" t="s">
        <v>9157</v>
      </c>
      <c r="LZY1" s="65" t="s">
        <v>9158</v>
      </c>
      <c r="LZZ1" s="65" t="s">
        <v>9159</v>
      </c>
      <c r="MAA1" s="65" t="s">
        <v>9160</v>
      </c>
      <c r="MAB1" s="65" t="s">
        <v>9161</v>
      </c>
      <c r="MAC1" s="65" t="s">
        <v>9162</v>
      </c>
      <c r="MAD1" s="65" t="s">
        <v>9163</v>
      </c>
      <c r="MAE1" s="65" t="s">
        <v>9164</v>
      </c>
      <c r="MAF1" s="65" t="s">
        <v>9165</v>
      </c>
      <c r="MAG1" s="65" t="s">
        <v>9166</v>
      </c>
      <c r="MAH1" s="65" t="s">
        <v>9167</v>
      </c>
      <c r="MAI1" s="65" t="s">
        <v>9168</v>
      </c>
      <c r="MAJ1" s="65" t="s">
        <v>9169</v>
      </c>
      <c r="MAK1" s="65" t="s">
        <v>9170</v>
      </c>
      <c r="MAL1" s="65" t="s">
        <v>9171</v>
      </c>
      <c r="MAM1" s="65" t="s">
        <v>9172</v>
      </c>
      <c r="MAN1" s="65" t="s">
        <v>9173</v>
      </c>
      <c r="MAO1" s="65" t="s">
        <v>9174</v>
      </c>
      <c r="MAP1" s="65" t="s">
        <v>9175</v>
      </c>
      <c r="MAQ1" s="65" t="s">
        <v>9176</v>
      </c>
      <c r="MAR1" s="65" t="s">
        <v>9177</v>
      </c>
      <c r="MAS1" s="65" t="s">
        <v>9178</v>
      </c>
      <c r="MAT1" s="65" t="s">
        <v>9179</v>
      </c>
      <c r="MAU1" s="65" t="s">
        <v>9180</v>
      </c>
      <c r="MAV1" s="65" t="s">
        <v>9181</v>
      </c>
      <c r="MAW1" s="65" t="s">
        <v>9182</v>
      </c>
      <c r="MAX1" s="65" t="s">
        <v>9183</v>
      </c>
      <c r="MAY1" s="65" t="s">
        <v>9184</v>
      </c>
      <c r="MAZ1" s="65" t="s">
        <v>9185</v>
      </c>
      <c r="MBA1" s="65" t="s">
        <v>9186</v>
      </c>
      <c r="MBB1" s="65" t="s">
        <v>9187</v>
      </c>
      <c r="MBC1" s="65" t="s">
        <v>9188</v>
      </c>
      <c r="MBD1" s="65" t="s">
        <v>9189</v>
      </c>
      <c r="MBE1" s="65" t="s">
        <v>9190</v>
      </c>
      <c r="MBF1" s="65" t="s">
        <v>9191</v>
      </c>
      <c r="MBG1" s="65" t="s">
        <v>9192</v>
      </c>
      <c r="MBH1" s="65" t="s">
        <v>9193</v>
      </c>
      <c r="MBI1" s="65" t="s">
        <v>9194</v>
      </c>
      <c r="MBJ1" s="65" t="s">
        <v>9195</v>
      </c>
      <c r="MBK1" s="65" t="s">
        <v>9196</v>
      </c>
      <c r="MBL1" s="65" t="s">
        <v>9197</v>
      </c>
      <c r="MBM1" s="65" t="s">
        <v>9198</v>
      </c>
      <c r="MBN1" s="65" t="s">
        <v>9199</v>
      </c>
      <c r="MBO1" s="65" t="s">
        <v>9200</v>
      </c>
      <c r="MBP1" s="65" t="s">
        <v>9201</v>
      </c>
      <c r="MBQ1" s="65" t="s">
        <v>9202</v>
      </c>
      <c r="MBR1" s="65" t="s">
        <v>9203</v>
      </c>
      <c r="MBS1" s="65" t="s">
        <v>9204</v>
      </c>
      <c r="MBT1" s="65" t="s">
        <v>9205</v>
      </c>
      <c r="MBU1" s="65" t="s">
        <v>9206</v>
      </c>
      <c r="MBV1" s="65" t="s">
        <v>9207</v>
      </c>
      <c r="MBW1" s="65" t="s">
        <v>9208</v>
      </c>
      <c r="MBX1" s="65" t="s">
        <v>9209</v>
      </c>
      <c r="MBY1" s="65" t="s">
        <v>9210</v>
      </c>
      <c r="MBZ1" s="65" t="s">
        <v>9211</v>
      </c>
      <c r="MCA1" s="65" t="s">
        <v>9212</v>
      </c>
      <c r="MCB1" s="65" t="s">
        <v>9213</v>
      </c>
      <c r="MCC1" s="65" t="s">
        <v>9214</v>
      </c>
      <c r="MCD1" s="65" t="s">
        <v>9215</v>
      </c>
      <c r="MCE1" s="65" t="s">
        <v>9216</v>
      </c>
      <c r="MCF1" s="65" t="s">
        <v>9217</v>
      </c>
      <c r="MCG1" s="65" t="s">
        <v>9218</v>
      </c>
      <c r="MCH1" s="65" t="s">
        <v>9219</v>
      </c>
      <c r="MCI1" s="65" t="s">
        <v>9220</v>
      </c>
      <c r="MCJ1" s="65" t="s">
        <v>9221</v>
      </c>
      <c r="MCK1" s="65" t="s">
        <v>9222</v>
      </c>
      <c r="MCL1" s="65" t="s">
        <v>9223</v>
      </c>
      <c r="MCM1" s="65" t="s">
        <v>9224</v>
      </c>
      <c r="MCN1" s="65" t="s">
        <v>9225</v>
      </c>
      <c r="MCO1" s="65" t="s">
        <v>9226</v>
      </c>
      <c r="MCP1" s="65" t="s">
        <v>9227</v>
      </c>
      <c r="MCQ1" s="65" t="s">
        <v>9228</v>
      </c>
      <c r="MCR1" s="65" t="s">
        <v>9229</v>
      </c>
      <c r="MCS1" s="65" t="s">
        <v>9230</v>
      </c>
      <c r="MCT1" s="65" t="s">
        <v>9231</v>
      </c>
      <c r="MCU1" s="65" t="s">
        <v>9232</v>
      </c>
      <c r="MCV1" s="65" t="s">
        <v>9233</v>
      </c>
      <c r="MCW1" s="65" t="s">
        <v>9234</v>
      </c>
      <c r="MCX1" s="65" t="s">
        <v>9235</v>
      </c>
      <c r="MCY1" s="65" t="s">
        <v>9236</v>
      </c>
      <c r="MCZ1" s="65" t="s">
        <v>9237</v>
      </c>
      <c r="MDA1" s="65" t="s">
        <v>9238</v>
      </c>
      <c r="MDB1" s="65" t="s">
        <v>9239</v>
      </c>
      <c r="MDC1" s="65" t="s">
        <v>9240</v>
      </c>
      <c r="MDD1" s="65" t="s">
        <v>9241</v>
      </c>
      <c r="MDE1" s="65" t="s">
        <v>9242</v>
      </c>
      <c r="MDF1" s="65" t="s">
        <v>9243</v>
      </c>
      <c r="MDG1" s="65" t="s">
        <v>9244</v>
      </c>
      <c r="MDH1" s="65" t="s">
        <v>9245</v>
      </c>
      <c r="MDI1" s="65" t="s">
        <v>9246</v>
      </c>
      <c r="MDJ1" s="65" t="s">
        <v>9247</v>
      </c>
      <c r="MDK1" s="65" t="s">
        <v>9248</v>
      </c>
      <c r="MDL1" s="65" t="s">
        <v>9249</v>
      </c>
      <c r="MDM1" s="65" t="s">
        <v>9250</v>
      </c>
      <c r="MDN1" s="65" t="s">
        <v>9251</v>
      </c>
      <c r="MDO1" s="65" t="s">
        <v>9252</v>
      </c>
      <c r="MDP1" s="65" t="s">
        <v>9253</v>
      </c>
      <c r="MDQ1" s="65" t="s">
        <v>9254</v>
      </c>
      <c r="MDR1" s="65" t="s">
        <v>9255</v>
      </c>
      <c r="MDS1" s="65" t="s">
        <v>9256</v>
      </c>
      <c r="MDT1" s="65" t="s">
        <v>9257</v>
      </c>
      <c r="MDU1" s="65" t="s">
        <v>9258</v>
      </c>
      <c r="MDV1" s="65" t="s">
        <v>9259</v>
      </c>
      <c r="MDW1" s="65" t="s">
        <v>9260</v>
      </c>
      <c r="MDX1" s="65" t="s">
        <v>9261</v>
      </c>
      <c r="MDY1" s="65" t="s">
        <v>9262</v>
      </c>
      <c r="MDZ1" s="65" t="s">
        <v>9263</v>
      </c>
      <c r="MEA1" s="65" t="s">
        <v>9264</v>
      </c>
      <c r="MEB1" s="65" t="s">
        <v>9265</v>
      </c>
      <c r="MEC1" s="65" t="s">
        <v>9266</v>
      </c>
      <c r="MED1" s="65" t="s">
        <v>9267</v>
      </c>
      <c r="MEE1" s="65" t="s">
        <v>9268</v>
      </c>
      <c r="MEF1" s="65" t="s">
        <v>9269</v>
      </c>
      <c r="MEG1" s="65" t="s">
        <v>9270</v>
      </c>
      <c r="MEH1" s="65" t="s">
        <v>9271</v>
      </c>
      <c r="MEI1" s="65" t="s">
        <v>9272</v>
      </c>
      <c r="MEJ1" s="65" t="s">
        <v>9273</v>
      </c>
      <c r="MEK1" s="65" t="s">
        <v>9274</v>
      </c>
      <c r="MEL1" s="65" t="s">
        <v>9275</v>
      </c>
      <c r="MEM1" s="65" t="s">
        <v>9276</v>
      </c>
      <c r="MEN1" s="65" t="s">
        <v>9277</v>
      </c>
      <c r="MEO1" s="65" t="s">
        <v>9278</v>
      </c>
      <c r="MEP1" s="65" t="s">
        <v>9279</v>
      </c>
      <c r="MEQ1" s="65" t="s">
        <v>9280</v>
      </c>
      <c r="MER1" s="65" t="s">
        <v>9281</v>
      </c>
      <c r="MES1" s="65" t="s">
        <v>9282</v>
      </c>
      <c r="MET1" s="65" t="s">
        <v>9283</v>
      </c>
      <c r="MEU1" s="65" t="s">
        <v>9284</v>
      </c>
      <c r="MEV1" s="65" t="s">
        <v>9285</v>
      </c>
      <c r="MEW1" s="65" t="s">
        <v>9286</v>
      </c>
      <c r="MEX1" s="65" t="s">
        <v>9287</v>
      </c>
      <c r="MEY1" s="65" t="s">
        <v>9288</v>
      </c>
      <c r="MEZ1" s="65" t="s">
        <v>9289</v>
      </c>
      <c r="MFA1" s="65" t="s">
        <v>9290</v>
      </c>
      <c r="MFB1" s="65" t="s">
        <v>9291</v>
      </c>
      <c r="MFC1" s="65" t="s">
        <v>9292</v>
      </c>
      <c r="MFD1" s="65" t="s">
        <v>9293</v>
      </c>
      <c r="MFE1" s="65" t="s">
        <v>9294</v>
      </c>
      <c r="MFF1" s="65" t="s">
        <v>9295</v>
      </c>
      <c r="MFG1" s="65" t="s">
        <v>9296</v>
      </c>
      <c r="MFH1" s="65" t="s">
        <v>9297</v>
      </c>
      <c r="MFI1" s="65" t="s">
        <v>9298</v>
      </c>
      <c r="MFJ1" s="65" t="s">
        <v>9299</v>
      </c>
      <c r="MFK1" s="65" t="s">
        <v>9300</v>
      </c>
      <c r="MFL1" s="65" t="s">
        <v>9301</v>
      </c>
      <c r="MFM1" s="65" t="s">
        <v>9302</v>
      </c>
      <c r="MFN1" s="65" t="s">
        <v>9303</v>
      </c>
      <c r="MFO1" s="65" t="s">
        <v>9304</v>
      </c>
      <c r="MFP1" s="65" t="s">
        <v>9305</v>
      </c>
      <c r="MFQ1" s="65" t="s">
        <v>9306</v>
      </c>
      <c r="MFR1" s="65" t="s">
        <v>9307</v>
      </c>
      <c r="MFS1" s="65" t="s">
        <v>9308</v>
      </c>
      <c r="MFT1" s="65" t="s">
        <v>9309</v>
      </c>
      <c r="MFU1" s="65" t="s">
        <v>9310</v>
      </c>
      <c r="MFV1" s="65" t="s">
        <v>9311</v>
      </c>
      <c r="MFW1" s="65" t="s">
        <v>9312</v>
      </c>
      <c r="MFX1" s="65" t="s">
        <v>9313</v>
      </c>
      <c r="MFY1" s="65" t="s">
        <v>9314</v>
      </c>
      <c r="MFZ1" s="65" t="s">
        <v>9315</v>
      </c>
      <c r="MGA1" s="65" t="s">
        <v>9316</v>
      </c>
      <c r="MGB1" s="65" t="s">
        <v>9317</v>
      </c>
      <c r="MGC1" s="65" t="s">
        <v>9318</v>
      </c>
      <c r="MGD1" s="65" t="s">
        <v>9319</v>
      </c>
      <c r="MGE1" s="65" t="s">
        <v>9320</v>
      </c>
      <c r="MGF1" s="65" t="s">
        <v>9321</v>
      </c>
      <c r="MGG1" s="65" t="s">
        <v>9322</v>
      </c>
      <c r="MGH1" s="65" t="s">
        <v>9323</v>
      </c>
      <c r="MGI1" s="65" t="s">
        <v>9324</v>
      </c>
      <c r="MGJ1" s="65" t="s">
        <v>9325</v>
      </c>
      <c r="MGK1" s="65" t="s">
        <v>9326</v>
      </c>
      <c r="MGL1" s="65" t="s">
        <v>9327</v>
      </c>
      <c r="MGM1" s="65" t="s">
        <v>9328</v>
      </c>
      <c r="MGN1" s="65" t="s">
        <v>9329</v>
      </c>
      <c r="MGO1" s="65" t="s">
        <v>9330</v>
      </c>
      <c r="MGP1" s="65" t="s">
        <v>9331</v>
      </c>
      <c r="MGQ1" s="65" t="s">
        <v>9332</v>
      </c>
      <c r="MGR1" s="65" t="s">
        <v>9333</v>
      </c>
      <c r="MGS1" s="65" t="s">
        <v>9334</v>
      </c>
      <c r="MGT1" s="65" t="s">
        <v>9335</v>
      </c>
      <c r="MGU1" s="65" t="s">
        <v>9336</v>
      </c>
      <c r="MGV1" s="65" t="s">
        <v>9337</v>
      </c>
      <c r="MGW1" s="65" t="s">
        <v>9338</v>
      </c>
      <c r="MGX1" s="65" t="s">
        <v>9339</v>
      </c>
      <c r="MGY1" s="65" t="s">
        <v>9340</v>
      </c>
      <c r="MGZ1" s="65" t="s">
        <v>9341</v>
      </c>
      <c r="MHA1" s="65" t="s">
        <v>9342</v>
      </c>
      <c r="MHB1" s="65" t="s">
        <v>9343</v>
      </c>
      <c r="MHC1" s="65" t="s">
        <v>9344</v>
      </c>
      <c r="MHD1" s="65" t="s">
        <v>9345</v>
      </c>
      <c r="MHE1" s="65" t="s">
        <v>9346</v>
      </c>
      <c r="MHF1" s="65" t="s">
        <v>9347</v>
      </c>
      <c r="MHG1" s="65" t="s">
        <v>9348</v>
      </c>
      <c r="MHH1" s="65" t="s">
        <v>9349</v>
      </c>
      <c r="MHI1" s="65" t="s">
        <v>9350</v>
      </c>
      <c r="MHJ1" s="65" t="s">
        <v>9351</v>
      </c>
      <c r="MHK1" s="65" t="s">
        <v>9352</v>
      </c>
      <c r="MHL1" s="65" t="s">
        <v>9353</v>
      </c>
      <c r="MHM1" s="65" t="s">
        <v>9354</v>
      </c>
      <c r="MHN1" s="65" t="s">
        <v>9355</v>
      </c>
      <c r="MHO1" s="65" t="s">
        <v>9356</v>
      </c>
      <c r="MHP1" s="65" t="s">
        <v>9357</v>
      </c>
      <c r="MHQ1" s="65" t="s">
        <v>9358</v>
      </c>
      <c r="MHR1" s="65" t="s">
        <v>9359</v>
      </c>
      <c r="MHS1" s="65" t="s">
        <v>9360</v>
      </c>
      <c r="MHT1" s="65" t="s">
        <v>9361</v>
      </c>
      <c r="MHU1" s="65" t="s">
        <v>9362</v>
      </c>
      <c r="MHV1" s="65" t="s">
        <v>9363</v>
      </c>
      <c r="MHW1" s="65" t="s">
        <v>9364</v>
      </c>
      <c r="MHX1" s="65" t="s">
        <v>9365</v>
      </c>
      <c r="MHY1" s="65" t="s">
        <v>9366</v>
      </c>
      <c r="MHZ1" s="65" t="s">
        <v>9367</v>
      </c>
      <c r="MIA1" s="65" t="s">
        <v>9368</v>
      </c>
      <c r="MIB1" s="65" t="s">
        <v>9369</v>
      </c>
      <c r="MIC1" s="65" t="s">
        <v>9370</v>
      </c>
      <c r="MID1" s="65" t="s">
        <v>9371</v>
      </c>
      <c r="MIE1" s="65" t="s">
        <v>9372</v>
      </c>
      <c r="MIF1" s="65" t="s">
        <v>9373</v>
      </c>
      <c r="MIG1" s="65" t="s">
        <v>9374</v>
      </c>
      <c r="MIH1" s="65" t="s">
        <v>9375</v>
      </c>
      <c r="MII1" s="65" t="s">
        <v>9376</v>
      </c>
      <c r="MIJ1" s="65" t="s">
        <v>9377</v>
      </c>
      <c r="MIK1" s="65" t="s">
        <v>9378</v>
      </c>
      <c r="MIL1" s="65" t="s">
        <v>9379</v>
      </c>
      <c r="MIM1" s="65" t="s">
        <v>9380</v>
      </c>
      <c r="MIN1" s="65" t="s">
        <v>9381</v>
      </c>
      <c r="MIO1" s="65" t="s">
        <v>9382</v>
      </c>
      <c r="MIP1" s="65" t="s">
        <v>9383</v>
      </c>
      <c r="MIQ1" s="65" t="s">
        <v>9384</v>
      </c>
      <c r="MIR1" s="65" t="s">
        <v>9385</v>
      </c>
      <c r="MIS1" s="65" t="s">
        <v>9386</v>
      </c>
      <c r="MIT1" s="65" t="s">
        <v>9387</v>
      </c>
      <c r="MIU1" s="65" t="s">
        <v>9388</v>
      </c>
      <c r="MIV1" s="65" t="s">
        <v>9389</v>
      </c>
      <c r="MIW1" s="65" t="s">
        <v>9390</v>
      </c>
      <c r="MIX1" s="65" t="s">
        <v>9391</v>
      </c>
      <c r="MIY1" s="65" t="s">
        <v>9392</v>
      </c>
      <c r="MIZ1" s="65" t="s">
        <v>9393</v>
      </c>
      <c r="MJA1" s="65" t="s">
        <v>9394</v>
      </c>
      <c r="MJB1" s="65" t="s">
        <v>9395</v>
      </c>
      <c r="MJC1" s="65" t="s">
        <v>9396</v>
      </c>
      <c r="MJD1" s="65" t="s">
        <v>9397</v>
      </c>
      <c r="MJE1" s="65" t="s">
        <v>9398</v>
      </c>
      <c r="MJF1" s="65" t="s">
        <v>9399</v>
      </c>
      <c r="MJG1" s="65" t="s">
        <v>9400</v>
      </c>
      <c r="MJH1" s="65" t="s">
        <v>9401</v>
      </c>
      <c r="MJI1" s="65" t="s">
        <v>9402</v>
      </c>
      <c r="MJJ1" s="65" t="s">
        <v>9403</v>
      </c>
      <c r="MJK1" s="65" t="s">
        <v>9404</v>
      </c>
      <c r="MJL1" s="65" t="s">
        <v>9405</v>
      </c>
      <c r="MJM1" s="65" t="s">
        <v>9406</v>
      </c>
      <c r="MJN1" s="65" t="s">
        <v>9407</v>
      </c>
      <c r="MJO1" s="65" t="s">
        <v>9408</v>
      </c>
      <c r="MJP1" s="65" t="s">
        <v>9409</v>
      </c>
      <c r="MJQ1" s="65" t="s">
        <v>9410</v>
      </c>
      <c r="MJR1" s="65" t="s">
        <v>9411</v>
      </c>
      <c r="MJS1" s="65" t="s">
        <v>9412</v>
      </c>
      <c r="MJT1" s="65" t="s">
        <v>9413</v>
      </c>
      <c r="MJU1" s="65" t="s">
        <v>9414</v>
      </c>
      <c r="MJV1" s="65" t="s">
        <v>9415</v>
      </c>
      <c r="MJW1" s="65" t="s">
        <v>9416</v>
      </c>
      <c r="MJX1" s="65" t="s">
        <v>9417</v>
      </c>
      <c r="MJY1" s="65" t="s">
        <v>9418</v>
      </c>
      <c r="MJZ1" s="65" t="s">
        <v>9419</v>
      </c>
      <c r="MKA1" s="65" t="s">
        <v>9420</v>
      </c>
      <c r="MKB1" s="65" t="s">
        <v>9421</v>
      </c>
      <c r="MKC1" s="65" t="s">
        <v>9422</v>
      </c>
      <c r="MKD1" s="65" t="s">
        <v>9423</v>
      </c>
      <c r="MKE1" s="65" t="s">
        <v>9424</v>
      </c>
      <c r="MKF1" s="65" t="s">
        <v>9425</v>
      </c>
      <c r="MKG1" s="65" t="s">
        <v>9426</v>
      </c>
      <c r="MKH1" s="65" t="s">
        <v>9427</v>
      </c>
      <c r="MKI1" s="65" t="s">
        <v>9428</v>
      </c>
      <c r="MKJ1" s="65" t="s">
        <v>9429</v>
      </c>
      <c r="MKK1" s="65" t="s">
        <v>9430</v>
      </c>
      <c r="MKL1" s="65" t="s">
        <v>9431</v>
      </c>
      <c r="MKM1" s="65" t="s">
        <v>9432</v>
      </c>
      <c r="MKN1" s="65" t="s">
        <v>9433</v>
      </c>
      <c r="MKO1" s="65" t="s">
        <v>9434</v>
      </c>
      <c r="MKP1" s="65" t="s">
        <v>9435</v>
      </c>
      <c r="MKQ1" s="65" t="s">
        <v>9436</v>
      </c>
      <c r="MKR1" s="65" t="s">
        <v>9437</v>
      </c>
      <c r="MKS1" s="65" t="s">
        <v>9438</v>
      </c>
      <c r="MKT1" s="65" t="s">
        <v>9439</v>
      </c>
      <c r="MKU1" s="65" t="s">
        <v>9440</v>
      </c>
      <c r="MKV1" s="65" t="s">
        <v>9441</v>
      </c>
      <c r="MKW1" s="65" t="s">
        <v>9442</v>
      </c>
      <c r="MKX1" s="65" t="s">
        <v>9443</v>
      </c>
      <c r="MKY1" s="65" t="s">
        <v>9444</v>
      </c>
      <c r="MKZ1" s="65" t="s">
        <v>9445</v>
      </c>
      <c r="MLA1" s="65" t="s">
        <v>9446</v>
      </c>
      <c r="MLB1" s="65" t="s">
        <v>9447</v>
      </c>
      <c r="MLC1" s="65" t="s">
        <v>9448</v>
      </c>
      <c r="MLD1" s="65" t="s">
        <v>9449</v>
      </c>
      <c r="MLE1" s="65" t="s">
        <v>9450</v>
      </c>
      <c r="MLF1" s="65" t="s">
        <v>9451</v>
      </c>
      <c r="MLG1" s="65" t="s">
        <v>9452</v>
      </c>
      <c r="MLH1" s="65" t="s">
        <v>9453</v>
      </c>
      <c r="MLI1" s="65" t="s">
        <v>9454</v>
      </c>
      <c r="MLJ1" s="65" t="s">
        <v>9455</v>
      </c>
      <c r="MLK1" s="65" t="s">
        <v>9456</v>
      </c>
      <c r="MLL1" s="65" t="s">
        <v>9457</v>
      </c>
      <c r="MLM1" s="65" t="s">
        <v>9458</v>
      </c>
      <c r="MLN1" s="65" t="s">
        <v>9459</v>
      </c>
      <c r="MLO1" s="65" t="s">
        <v>9460</v>
      </c>
      <c r="MLP1" s="65" t="s">
        <v>9461</v>
      </c>
      <c r="MLQ1" s="65" t="s">
        <v>9462</v>
      </c>
      <c r="MLR1" s="65" t="s">
        <v>9463</v>
      </c>
      <c r="MLS1" s="65" t="s">
        <v>9464</v>
      </c>
      <c r="MLT1" s="65" t="s">
        <v>9465</v>
      </c>
      <c r="MLU1" s="65" t="s">
        <v>9466</v>
      </c>
      <c r="MLV1" s="65" t="s">
        <v>9467</v>
      </c>
      <c r="MLW1" s="65" t="s">
        <v>9468</v>
      </c>
      <c r="MLX1" s="65" t="s">
        <v>9469</v>
      </c>
      <c r="MLY1" s="65" t="s">
        <v>9470</v>
      </c>
      <c r="MLZ1" s="65" t="s">
        <v>9471</v>
      </c>
      <c r="MMA1" s="65" t="s">
        <v>9472</v>
      </c>
      <c r="MMB1" s="65" t="s">
        <v>9473</v>
      </c>
      <c r="MMC1" s="65" t="s">
        <v>9474</v>
      </c>
      <c r="MMD1" s="65" t="s">
        <v>9475</v>
      </c>
      <c r="MME1" s="65" t="s">
        <v>9476</v>
      </c>
      <c r="MMF1" s="65" t="s">
        <v>9477</v>
      </c>
      <c r="MMG1" s="65" t="s">
        <v>9478</v>
      </c>
      <c r="MMH1" s="65" t="s">
        <v>9479</v>
      </c>
      <c r="MMI1" s="65" t="s">
        <v>9480</v>
      </c>
      <c r="MMJ1" s="65" t="s">
        <v>9481</v>
      </c>
      <c r="MMK1" s="65" t="s">
        <v>9482</v>
      </c>
      <c r="MML1" s="65" t="s">
        <v>9483</v>
      </c>
      <c r="MMM1" s="65" t="s">
        <v>9484</v>
      </c>
      <c r="MMN1" s="65" t="s">
        <v>9485</v>
      </c>
      <c r="MMO1" s="65" t="s">
        <v>9486</v>
      </c>
      <c r="MMP1" s="65" t="s">
        <v>9487</v>
      </c>
      <c r="MMQ1" s="65" t="s">
        <v>9488</v>
      </c>
      <c r="MMR1" s="65" t="s">
        <v>9489</v>
      </c>
      <c r="MMS1" s="65" t="s">
        <v>9490</v>
      </c>
      <c r="MMT1" s="65" t="s">
        <v>9491</v>
      </c>
      <c r="MMU1" s="65" t="s">
        <v>9492</v>
      </c>
      <c r="MMV1" s="65" t="s">
        <v>9493</v>
      </c>
      <c r="MMW1" s="65" t="s">
        <v>9494</v>
      </c>
      <c r="MMX1" s="65" t="s">
        <v>9495</v>
      </c>
      <c r="MMY1" s="65" t="s">
        <v>9496</v>
      </c>
      <c r="MMZ1" s="65" t="s">
        <v>9497</v>
      </c>
      <c r="MNA1" s="65" t="s">
        <v>9498</v>
      </c>
      <c r="MNB1" s="65" t="s">
        <v>9499</v>
      </c>
      <c r="MNC1" s="65" t="s">
        <v>9500</v>
      </c>
      <c r="MND1" s="65" t="s">
        <v>9501</v>
      </c>
      <c r="MNE1" s="65" t="s">
        <v>9502</v>
      </c>
      <c r="MNF1" s="65" t="s">
        <v>9503</v>
      </c>
      <c r="MNG1" s="65" t="s">
        <v>9504</v>
      </c>
      <c r="MNH1" s="65" t="s">
        <v>9505</v>
      </c>
      <c r="MNI1" s="65" t="s">
        <v>9506</v>
      </c>
      <c r="MNJ1" s="65" t="s">
        <v>9507</v>
      </c>
      <c r="MNK1" s="65" t="s">
        <v>9508</v>
      </c>
      <c r="MNL1" s="65" t="s">
        <v>9509</v>
      </c>
      <c r="MNM1" s="65" t="s">
        <v>9510</v>
      </c>
      <c r="MNN1" s="65" t="s">
        <v>9511</v>
      </c>
      <c r="MNO1" s="65" t="s">
        <v>9512</v>
      </c>
      <c r="MNP1" s="65" t="s">
        <v>9513</v>
      </c>
      <c r="MNQ1" s="65" t="s">
        <v>9514</v>
      </c>
      <c r="MNR1" s="65" t="s">
        <v>9515</v>
      </c>
      <c r="MNS1" s="65" t="s">
        <v>9516</v>
      </c>
      <c r="MNT1" s="65" t="s">
        <v>9517</v>
      </c>
      <c r="MNU1" s="65" t="s">
        <v>9518</v>
      </c>
      <c r="MNV1" s="65" t="s">
        <v>9519</v>
      </c>
      <c r="MNW1" s="65" t="s">
        <v>9520</v>
      </c>
      <c r="MNX1" s="65" t="s">
        <v>9521</v>
      </c>
      <c r="MNY1" s="65" t="s">
        <v>9522</v>
      </c>
      <c r="MNZ1" s="65" t="s">
        <v>9523</v>
      </c>
      <c r="MOA1" s="65" t="s">
        <v>9524</v>
      </c>
      <c r="MOB1" s="65" t="s">
        <v>9525</v>
      </c>
      <c r="MOC1" s="65" t="s">
        <v>9526</v>
      </c>
      <c r="MOD1" s="65" t="s">
        <v>9527</v>
      </c>
      <c r="MOE1" s="65" t="s">
        <v>9528</v>
      </c>
      <c r="MOF1" s="65" t="s">
        <v>9529</v>
      </c>
      <c r="MOG1" s="65" t="s">
        <v>9530</v>
      </c>
      <c r="MOH1" s="65" t="s">
        <v>9531</v>
      </c>
      <c r="MOI1" s="65" t="s">
        <v>9532</v>
      </c>
      <c r="MOJ1" s="65" t="s">
        <v>9533</v>
      </c>
      <c r="MOK1" s="65" t="s">
        <v>9534</v>
      </c>
      <c r="MOL1" s="65" t="s">
        <v>9535</v>
      </c>
      <c r="MOM1" s="65" t="s">
        <v>9536</v>
      </c>
      <c r="MON1" s="65" t="s">
        <v>9537</v>
      </c>
      <c r="MOO1" s="65" t="s">
        <v>9538</v>
      </c>
      <c r="MOP1" s="65" t="s">
        <v>9539</v>
      </c>
      <c r="MOQ1" s="65" t="s">
        <v>9540</v>
      </c>
      <c r="MOR1" s="65" t="s">
        <v>9541</v>
      </c>
      <c r="MOS1" s="65" t="s">
        <v>9542</v>
      </c>
      <c r="MOT1" s="65" t="s">
        <v>9543</v>
      </c>
      <c r="MOU1" s="65" t="s">
        <v>9544</v>
      </c>
      <c r="MOV1" s="65" t="s">
        <v>9545</v>
      </c>
      <c r="MOW1" s="65" t="s">
        <v>9546</v>
      </c>
      <c r="MOX1" s="65" t="s">
        <v>9547</v>
      </c>
      <c r="MOY1" s="65" t="s">
        <v>9548</v>
      </c>
      <c r="MOZ1" s="65" t="s">
        <v>9549</v>
      </c>
      <c r="MPA1" s="65" t="s">
        <v>9550</v>
      </c>
      <c r="MPB1" s="65" t="s">
        <v>9551</v>
      </c>
      <c r="MPC1" s="65" t="s">
        <v>9552</v>
      </c>
      <c r="MPD1" s="65" t="s">
        <v>9553</v>
      </c>
      <c r="MPE1" s="65" t="s">
        <v>9554</v>
      </c>
      <c r="MPF1" s="65" t="s">
        <v>9555</v>
      </c>
      <c r="MPG1" s="65" t="s">
        <v>9556</v>
      </c>
      <c r="MPH1" s="65" t="s">
        <v>9557</v>
      </c>
      <c r="MPI1" s="65" t="s">
        <v>9558</v>
      </c>
      <c r="MPJ1" s="65" t="s">
        <v>9559</v>
      </c>
      <c r="MPK1" s="65" t="s">
        <v>9560</v>
      </c>
      <c r="MPL1" s="65" t="s">
        <v>9561</v>
      </c>
      <c r="MPM1" s="65" t="s">
        <v>9562</v>
      </c>
      <c r="MPN1" s="65" t="s">
        <v>9563</v>
      </c>
      <c r="MPO1" s="65" t="s">
        <v>9564</v>
      </c>
      <c r="MPP1" s="65" t="s">
        <v>9565</v>
      </c>
      <c r="MPQ1" s="65" t="s">
        <v>9566</v>
      </c>
      <c r="MPR1" s="65" t="s">
        <v>9567</v>
      </c>
      <c r="MPS1" s="65" t="s">
        <v>9568</v>
      </c>
      <c r="MPT1" s="65" t="s">
        <v>9569</v>
      </c>
      <c r="MPU1" s="65" t="s">
        <v>9570</v>
      </c>
      <c r="MPV1" s="65" t="s">
        <v>9571</v>
      </c>
      <c r="MPW1" s="65" t="s">
        <v>9572</v>
      </c>
      <c r="MPX1" s="65" t="s">
        <v>9573</v>
      </c>
      <c r="MPY1" s="65" t="s">
        <v>9574</v>
      </c>
      <c r="MPZ1" s="65" t="s">
        <v>9575</v>
      </c>
      <c r="MQA1" s="65" t="s">
        <v>9576</v>
      </c>
      <c r="MQB1" s="65" t="s">
        <v>9577</v>
      </c>
      <c r="MQC1" s="65" t="s">
        <v>9578</v>
      </c>
      <c r="MQD1" s="65" t="s">
        <v>9579</v>
      </c>
      <c r="MQE1" s="65" t="s">
        <v>9580</v>
      </c>
      <c r="MQF1" s="65" t="s">
        <v>9581</v>
      </c>
      <c r="MQG1" s="65" t="s">
        <v>9582</v>
      </c>
      <c r="MQH1" s="65" t="s">
        <v>9583</v>
      </c>
      <c r="MQI1" s="65" t="s">
        <v>9584</v>
      </c>
      <c r="MQJ1" s="65" t="s">
        <v>9585</v>
      </c>
      <c r="MQK1" s="65" t="s">
        <v>9586</v>
      </c>
      <c r="MQL1" s="65" t="s">
        <v>9587</v>
      </c>
      <c r="MQM1" s="65" t="s">
        <v>9588</v>
      </c>
      <c r="MQN1" s="65" t="s">
        <v>9589</v>
      </c>
      <c r="MQO1" s="65" t="s">
        <v>9590</v>
      </c>
      <c r="MQP1" s="65" t="s">
        <v>9591</v>
      </c>
      <c r="MQQ1" s="65" t="s">
        <v>9592</v>
      </c>
      <c r="MQR1" s="65" t="s">
        <v>9593</v>
      </c>
      <c r="MQS1" s="65" t="s">
        <v>9594</v>
      </c>
      <c r="MQT1" s="65" t="s">
        <v>9595</v>
      </c>
      <c r="MQU1" s="65" t="s">
        <v>9596</v>
      </c>
      <c r="MQV1" s="65" t="s">
        <v>9597</v>
      </c>
      <c r="MQW1" s="65" t="s">
        <v>9598</v>
      </c>
      <c r="MQX1" s="65" t="s">
        <v>9599</v>
      </c>
      <c r="MQY1" s="65" t="s">
        <v>9600</v>
      </c>
      <c r="MQZ1" s="65" t="s">
        <v>9601</v>
      </c>
      <c r="MRA1" s="65" t="s">
        <v>9602</v>
      </c>
      <c r="MRB1" s="65" t="s">
        <v>9603</v>
      </c>
      <c r="MRC1" s="65" t="s">
        <v>9604</v>
      </c>
      <c r="MRD1" s="65" t="s">
        <v>9605</v>
      </c>
      <c r="MRE1" s="65" t="s">
        <v>9606</v>
      </c>
      <c r="MRF1" s="65" t="s">
        <v>9607</v>
      </c>
      <c r="MRG1" s="65" t="s">
        <v>9608</v>
      </c>
      <c r="MRH1" s="65" t="s">
        <v>9609</v>
      </c>
      <c r="MRI1" s="65" t="s">
        <v>9610</v>
      </c>
      <c r="MRJ1" s="65" t="s">
        <v>9611</v>
      </c>
      <c r="MRK1" s="65" t="s">
        <v>9612</v>
      </c>
      <c r="MRL1" s="65" t="s">
        <v>9613</v>
      </c>
      <c r="MRM1" s="65" t="s">
        <v>9614</v>
      </c>
      <c r="MRN1" s="65" t="s">
        <v>9615</v>
      </c>
      <c r="MRO1" s="65" t="s">
        <v>9616</v>
      </c>
      <c r="MRP1" s="65" t="s">
        <v>9617</v>
      </c>
      <c r="MRQ1" s="65" t="s">
        <v>9618</v>
      </c>
      <c r="MRR1" s="65" t="s">
        <v>9619</v>
      </c>
      <c r="MRS1" s="65" t="s">
        <v>9620</v>
      </c>
      <c r="MRT1" s="65" t="s">
        <v>9621</v>
      </c>
      <c r="MRU1" s="65" t="s">
        <v>9622</v>
      </c>
      <c r="MRV1" s="65" t="s">
        <v>9623</v>
      </c>
      <c r="MRW1" s="65" t="s">
        <v>9624</v>
      </c>
      <c r="MRX1" s="65" t="s">
        <v>9625</v>
      </c>
      <c r="MRY1" s="65" t="s">
        <v>9626</v>
      </c>
      <c r="MRZ1" s="65" t="s">
        <v>9627</v>
      </c>
      <c r="MSA1" s="65" t="s">
        <v>9628</v>
      </c>
      <c r="MSB1" s="65" t="s">
        <v>9629</v>
      </c>
      <c r="MSC1" s="65" t="s">
        <v>9630</v>
      </c>
      <c r="MSD1" s="65" t="s">
        <v>9631</v>
      </c>
      <c r="MSE1" s="65" t="s">
        <v>9632</v>
      </c>
      <c r="MSF1" s="65" t="s">
        <v>9633</v>
      </c>
      <c r="MSG1" s="65" t="s">
        <v>9634</v>
      </c>
      <c r="MSH1" s="65" t="s">
        <v>9635</v>
      </c>
      <c r="MSI1" s="65" t="s">
        <v>9636</v>
      </c>
      <c r="MSJ1" s="65" t="s">
        <v>9637</v>
      </c>
      <c r="MSK1" s="65" t="s">
        <v>9638</v>
      </c>
      <c r="MSL1" s="65" t="s">
        <v>9639</v>
      </c>
      <c r="MSM1" s="65" t="s">
        <v>9640</v>
      </c>
      <c r="MSN1" s="65" t="s">
        <v>9641</v>
      </c>
      <c r="MSO1" s="65" t="s">
        <v>9642</v>
      </c>
      <c r="MSP1" s="65" t="s">
        <v>9643</v>
      </c>
      <c r="MSQ1" s="65" t="s">
        <v>9644</v>
      </c>
      <c r="MSR1" s="65" t="s">
        <v>9645</v>
      </c>
      <c r="MSS1" s="65" t="s">
        <v>9646</v>
      </c>
      <c r="MST1" s="65" t="s">
        <v>9647</v>
      </c>
      <c r="MSU1" s="65" t="s">
        <v>9648</v>
      </c>
      <c r="MSV1" s="65" t="s">
        <v>9649</v>
      </c>
      <c r="MSW1" s="65" t="s">
        <v>9650</v>
      </c>
      <c r="MSX1" s="65" t="s">
        <v>9651</v>
      </c>
      <c r="MSY1" s="65" t="s">
        <v>9652</v>
      </c>
      <c r="MSZ1" s="65" t="s">
        <v>9653</v>
      </c>
      <c r="MTA1" s="65" t="s">
        <v>9654</v>
      </c>
      <c r="MTB1" s="65" t="s">
        <v>9655</v>
      </c>
      <c r="MTC1" s="65" t="s">
        <v>9656</v>
      </c>
      <c r="MTD1" s="65" t="s">
        <v>9657</v>
      </c>
      <c r="MTE1" s="65" t="s">
        <v>9658</v>
      </c>
      <c r="MTF1" s="65" t="s">
        <v>9659</v>
      </c>
      <c r="MTG1" s="65" t="s">
        <v>9660</v>
      </c>
      <c r="MTH1" s="65" t="s">
        <v>9661</v>
      </c>
      <c r="MTI1" s="65" t="s">
        <v>9662</v>
      </c>
      <c r="MTJ1" s="65" t="s">
        <v>9663</v>
      </c>
      <c r="MTK1" s="65" t="s">
        <v>9664</v>
      </c>
      <c r="MTL1" s="65" t="s">
        <v>9665</v>
      </c>
      <c r="MTM1" s="65" t="s">
        <v>9666</v>
      </c>
      <c r="MTN1" s="65" t="s">
        <v>9667</v>
      </c>
      <c r="MTO1" s="65" t="s">
        <v>9668</v>
      </c>
      <c r="MTP1" s="65" t="s">
        <v>9669</v>
      </c>
      <c r="MTQ1" s="65" t="s">
        <v>9670</v>
      </c>
      <c r="MTR1" s="65" t="s">
        <v>9671</v>
      </c>
      <c r="MTS1" s="65" t="s">
        <v>9672</v>
      </c>
      <c r="MTT1" s="65" t="s">
        <v>9673</v>
      </c>
      <c r="MTU1" s="65" t="s">
        <v>9674</v>
      </c>
      <c r="MTV1" s="65" t="s">
        <v>9675</v>
      </c>
      <c r="MTW1" s="65" t="s">
        <v>9676</v>
      </c>
      <c r="MTX1" s="65" t="s">
        <v>9677</v>
      </c>
      <c r="MTY1" s="65" t="s">
        <v>9678</v>
      </c>
      <c r="MTZ1" s="65" t="s">
        <v>9679</v>
      </c>
      <c r="MUA1" s="65" t="s">
        <v>9680</v>
      </c>
      <c r="MUB1" s="65" t="s">
        <v>9681</v>
      </c>
      <c r="MUC1" s="65" t="s">
        <v>9682</v>
      </c>
      <c r="MUD1" s="65" t="s">
        <v>9683</v>
      </c>
      <c r="MUE1" s="65" t="s">
        <v>9684</v>
      </c>
      <c r="MUF1" s="65" t="s">
        <v>9685</v>
      </c>
      <c r="MUG1" s="65" t="s">
        <v>9686</v>
      </c>
      <c r="MUH1" s="65" t="s">
        <v>9687</v>
      </c>
      <c r="MUI1" s="65" t="s">
        <v>9688</v>
      </c>
      <c r="MUJ1" s="65" t="s">
        <v>9689</v>
      </c>
      <c r="MUK1" s="65" t="s">
        <v>9690</v>
      </c>
      <c r="MUL1" s="65" t="s">
        <v>9691</v>
      </c>
      <c r="MUM1" s="65" t="s">
        <v>9692</v>
      </c>
      <c r="MUN1" s="65" t="s">
        <v>9693</v>
      </c>
      <c r="MUO1" s="65" t="s">
        <v>9694</v>
      </c>
      <c r="MUP1" s="65" t="s">
        <v>9695</v>
      </c>
      <c r="MUQ1" s="65" t="s">
        <v>9696</v>
      </c>
      <c r="MUR1" s="65" t="s">
        <v>9697</v>
      </c>
      <c r="MUS1" s="65" t="s">
        <v>9698</v>
      </c>
      <c r="MUT1" s="65" t="s">
        <v>9699</v>
      </c>
      <c r="MUU1" s="65" t="s">
        <v>9700</v>
      </c>
      <c r="MUV1" s="65" t="s">
        <v>9701</v>
      </c>
      <c r="MUW1" s="65" t="s">
        <v>9702</v>
      </c>
      <c r="MUX1" s="65" t="s">
        <v>9703</v>
      </c>
      <c r="MUY1" s="65" t="s">
        <v>9704</v>
      </c>
      <c r="MUZ1" s="65" t="s">
        <v>9705</v>
      </c>
      <c r="MVA1" s="65" t="s">
        <v>9706</v>
      </c>
      <c r="MVB1" s="65" t="s">
        <v>9707</v>
      </c>
      <c r="MVC1" s="65" t="s">
        <v>9708</v>
      </c>
      <c r="MVD1" s="65" t="s">
        <v>9709</v>
      </c>
      <c r="MVE1" s="65" t="s">
        <v>9710</v>
      </c>
      <c r="MVF1" s="65" t="s">
        <v>9711</v>
      </c>
      <c r="MVG1" s="65" t="s">
        <v>9712</v>
      </c>
      <c r="MVH1" s="65" t="s">
        <v>9713</v>
      </c>
      <c r="MVI1" s="65" t="s">
        <v>9714</v>
      </c>
      <c r="MVJ1" s="65" t="s">
        <v>9715</v>
      </c>
      <c r="MVK1" s="65" t="s">
        <v>9716</v>
      </c>
      <c r="MVL1" s="65" t="s">
        <v>9717</v>
      </c>
      <c r="MVM1" s="65" t="s">
        <v>9718</v>
      </c>
      <c r="MVN1" s="65" t="s">
        <v>9719</v>
      </c>
      <c r="MVO1" s="65" t="s">
        <v>9720</v>
      </c>
      <c r="MVP1" s="65" t="s">
        <v>9721</v>
      </c>
      <c r="MVQ1" s="65" t="s">
        <v>9722</v>
      </c>
      <c r="MVR1" s="65" t="s">
        <v>9723</v>
      </c>
      <c r="MVS1" s="65" t="s">
        <v>9724</v>
      </c>
      <c r="MVT1" s="65" t="s">
        <v>9725</v>
      </c>
      <c r="MVU1" s="65" t="s">
        <v>9726</v>
      </c>
      <c r="MVV1" s="65" t="s">
        <v>9727</v>
      </c>
      <c r="MVW1" s="65" t="s">
        <v>9728</v>
      </c>
      <c r="MVX1" s="65" t="s">
        <v>9729</v>
      </c>
      <c r="MVY1" s="65" t="s">
        <v>9730</v>
      </c>
      <c r="MVZ1" s="65" t="s">
        <v>9731</v>
      </c>
      <c r="MWA1" s="65" t="s">
        <v>9732</v>
      </c>
      <c r="MWB1" s="65" t="s">
        <v>9733</v>
      </c>
      <c r="MWC1" s="65" t="s">
        <v>9734</v>
      </c>
      <c r="MWD1" s="65" t="s">
        <v>9735</v>
      </c>
      <c r="MWE1" s="65" t="s">
        <v>9736</v>
      </c>
      <c r="MWF1" s="65" t="s">
        <v>9737</v>
      </c>
      <c r="MWG1" s="65" t="s">
        <v>9738</v>
      </c>
      <c r="MWH1" s="65" t="s">
        <v>9739</v>
      </c>
      <c r="MWI1" s="65" t="s">
        <v>9740</v>
      </c>
      <c r="MWJ1" s="65" t="s">
        <v>9741</v>
      </c>
      <c r="MWK1" s="65" t="s">
        <v>9742</v>
      </c>
      <c r="MWL1" s="65" t="s">
        <v>9743</v>
      </c>
      <c r="MWM1" s="65" t="s">
        <v>9744</v>
      </c>
      <c r="MWN1" s="65" t="s">
        <v>9745</v>
      </c>
      <c r="MWO1" s="65" t="s">
        <v>9746</v>
      </c>
      <c r="MWP1" s="65" t="s">
        <v>9747</v>
      </c>
      <c r="MWQ1" s="65" t="s">
        <v>9748</v>
      </c>
      <c r="MWR1" s="65" t="s">
        <v>9749</v>
      </c>
      <c r="MWS1" s="65" t="s">
        <v>9750</v>
      </c>
      <c r="MWT1" s="65" t="s">
        <v>9751</v>
      </c>
      <c r="MWU1" s="65" t="s">
        <v>9752</v>
      </c>
      <c r="MWV1" s="65" t="s">
        <v>9753</v>
      </c>
      <c r="MWW1" s="65" t="s">
        <v>9754</v>
      </c>
      <c r="MWX1" s="65" t="s">
        <v>9755</v>
      </c>
      <c r="MWY1" s="65" t="s">
        <v>9756</v>
      </c>
      <c r="MWZ1" s="65" t="s">
        <v>9757</v>
      </c>
      <c r="MXA1" s="65" t="s">
        <v>9758</v>
      </c>
      <c r="MXB1" s="65" t="s">
        <v>9759</v>
      </c>
      <c r="MXC1" s="65" t="s">
        <v>9760</v>
      </c>
      <c r="MXD1" s="65" t="s">
        <v>9761</v>
      </c>
      <c r="MXE1" s="65" t="s">
        <v>9762</v>
      </c>
      <c r="MXF1" s="65" t="s">
        <v>9763</v>
      </c>
      <c r="MXG1" s="65" t="s">
        <v>9764</v>
      </c>
      <c r="MXH1" s="65" t="s">
        <v>9765</v>
      </c>
      <c r="MXI1" s="65" t="s">
        <v>9766</v>
      </c>
      <c r="MXJ1" s="65" t="s">
        <v>9767</v>
      </c>
      <c r="MXK1" s="65" t="s">
        <v>9768</v>
      </c>
      <c r="MXL1" s="65" t="s">
        <v>9769</v>
      </c>
      <c r="MXM1" s="65" t="s">
        <v>9770</v>
      </c>
      <c r="MXN1" s="65" t="s">
        <v>9771</v>
      </c>
      <c r="MXO1" s="65" t="s">
        <v>9772</v>
      </c>
      <c r="MXP1" s="65" t="s">
        <v>9773</v>
      </c>
      <c r="MXQ1" s="65" t="s">
        <v>9774</v>
      </c>
      <c r="MXR1" s="65" t="s">
        <v>9775</v>
      </c>
      <c r="MXS1" s="65" t="s">
        <v>9776</v>
      </c>
      <c r="MXT1" s="65" t="s">
        <v>9777</v>
      </c>
      <c r="MXU1" s="65" t="s">
        <v>9778</v>
      </c>
      <c r="MXV1" s="65" t="s">
        <v>9779</v>
      </c>
      <c r="MXW1" s="65" t="s">
        <v>9780</v>
      </c>
      <c r="MXX1" s="65" t="s">
        <v>9781</v>
      </c>
      <c r="MXY1" s="65" t="s">
        <v>9782</v>
      </c>
      <c r="MXZ1" s="65" t="s">
        <v>9783</v>
      </c>
      <c r="MYA1" s="65" t="s">
        <v>9784</v>
      </c>
      <c r="MYB1" s="65" t="s">
        <v>9785</v>
      </c>
      <c r="MYC1" s="65" t="s">
        <v>9786</v>
      </c>
      <c r="MYD1" s="65" t="s">
        <v>9787</v>
      </c>
      <c r="MYE1" s="65" t="s">
        <v>9788</v>
      </c>
      <c r="MYF1" s="65" t="s">
        <v>9789</v>
      </c>
      <c r="MYG1" s="65" t="s">
        <v>9790</v>
      </c>
      <c r="MYH1" s="65" t="s">
        <v>9791</v>
      </c>
      <c r="MYI1" s="65" t="s">
        <v>9792</v>
      </c>
      <c r="MYJ1" s="65" t="s">
        <v>9793</v>
      </c>
      <c r="MYK1" s="65" t="s">
        <v>9794</v>
      </c>
      <c r="MYL1" s="65" t="s">
        <v>9795</v>
      </c>
      <c r="MYM1" s="65" t="s">
        <v>9796</v>
      </c>
      <c r="MYN1" s="65" t="s">
        <v>9797</v>
      </c>
      <c r="MYO1" s="65" t="s">
        <v>9798</v>
      </c>
      <c r="MYP1" s="65" t="s">
        <v>9799</v>
      </c>
      <c r="MYQ1" s="65" t="s">
        <v>9800</v>
      </c>
      <c r="MYR1" s="65" t="s">
        <v>9801</v>
      </c>
      <c r="MYS1" s="65" t="s">
        <v>9802</v>
      </c>
      <c r="MYT1" s="65" t="s">
        <v>9803</v>
      </c>
      <c r="MYU1" s="65" t="s">
        <v>9804</v>
      </c>
      <c r="MYV1" s="65" t="s">
        <v>9805</v>
      </c>
      <c r="MYW1" s="65" t="s">
        <v>9806</v>
      </c>
      <c r="MYX1" s="65" t="s">
        <v>9807</v>
      </c>
      <c r="MYY1" s="65" t="s">
        <v>9808</v>
      </c>
      <c r="MYZ1" s="65" t="s">
        <v>9809</v>
      </c>
      <c r="MZA1" s="65" t="s">
        <v>9810</v>
      </c>
      <c r="MZB1" s="65" t="s">
        <v>9811</v>
      </c>
      <c r="MZC1" s="65" t="s">
        <v>9812</v>
      </c>
      <c r="MZD1" s="65" t="s">
        <v>9813</v>
      </c>
      <c r="MZE1" s="65" t="s">
        <v>9814</v>
      </c>
      <c r="MZF1" s="65" t="s">
        <v>9815</v>
      </c>
      <c r="MZG1" s="65" t="s">
        <v>9816</v>
      </c>
      <c r="MZH1" s="65" t="s">
        <v>9817</v>
      </c>
      <c r="MZI1" s="65" t="s">
        <v>9818</v>
      </c>
      <c r="MZJ1" s="65" t="s">
        <v>9819</v>
      </c>
      <c r="MZK1" s="65" t="s">
        <v>9820</v>
      </c>
      <c r="MZL1" s="65" t="s">
        <v>9821</v>
      </c>
      <c r="MZM1" s="65" t="s">
        <v>9822</v>
      </c>
      <c r="MZN1" s="65" t="s">
        <v>9823</v>
      </c>
      <c r="MZO1" s="65" t="s">
        <v>9824</v>
      </c>
      <c r="MZP1" s="65" t="s">
        <v>9825</v>
      </c>
      <c r="MZQ1" s="65" t="s">
        <v>9826</v>
      </c>
      <c r="MZR1" s="65" t="s">
        <v>9827</v>
      </c>
      <c r="MZS1" s="65" t="s">
        <v>9828</v>
      </c>
      <c r="MZT1" s="65" t="s">
        <v>9829</v>
      </c>
      <c r="MZU1" s="65" t="s">
        <v>9830</v>
      </c>
      <c r="MZV1" s="65" t="s">
        <v>9831</v>
      </c>
      <c r="MZW1" s="65" t="s">
        <v>9832</v>
      </c>
      <c r="MZX1" s="65" t="s">
        <v>9833</v>
      </c>
      <c r="MZY1" s="65" t="s">
        <v>9834</v>
      </c>
      <c r="MZZ1" s="65" t="s">
        <v>9835</v>
      </c>
      <c r="NAA1" s="65" t="s">
        <v>9836</v>
      </c>
      <c r="NAB1" s="65" t="s">
        <v>9837</v>
      </c>
      <c r="NAC1" s="65" t="s">
        <v>9838</v>
      </c>
      <c r="NAD1" s="65" t="s">
        <v>9839</v>
      </c>
      <c r="NAE1" s="65" t="s">
        <v>9840</v>
      </c>
      <c r="NAF1" s="65" t="s">
        <v>9841</v>
      </c>
      <c r="NAG1" s="65" t="s">
        <v>9842</v>
      </c>
      <c r="NAH1" s="65" t="s">
        <v>9843</v>
      </c>
      <c r="NAI1" s="65" t="s">
        <v>9844</v>
      </c>
      <c r="NAJ1" s="65" t="s">
        <v>9845</v>
      </c>
      <c r="NAK1" s="65" t="s">
        <v>9846</v>
      </c>
      <c r="NAL1" s="65" t="s">
        <v>9847</v>
      </c>
      <c r="NAM1" s="65" t="s">
        <v>9848</v>
      </c>
      <c r="NAN1" s="65" t="s">
        <v>9849</v>
      </c>
      <c r="NAO1" s="65" t="s">
        <v>9850</v>
      </c>
      <c r="NAP1" s="65" t="s">
        <v>9851</v>
      </c>
      <c r="NAQ1" s="65" t="s">
        <v>9852</v>
      </c>
      <c r="NAR1" s="65" t="s">
        <v>9853</v>
      </c>
      <c r="NAS1" s="65" t="s">
        <v>9854</v>
      </c>
      <c r="NAT1" s="65" t="s">
        <v>9855</v>
      </c>
      <c r="NAU1" s="65" t="s">
        <v>9856</v>
      </c>
      <c r="NAV1" s="65" t="s">
        <v>9857</v>
      </c>
      <c r="NAW1" s="65" t="s">
        <v>9858</v>
      </c>
      <c r="NAX1" s="65" t="s">
        <v>9859</v>
      </c>
      <c r="NAY1" s="65" t="s">
        <v>9860</v>
      </c>
      <c r="NAZ1" s="65" t="s">
        <v>9861</v>
      </c>
      <c r="NBA1" s="65" t="s">
        <v>9862</v>
      </c>
      <c r="NBB1" s="65" t="s">
        <v>9863</v>
      </c>
      <c r="NBC1" s="65" t="s">
        <v>9864</v>
      </c>
      <c r="NBD1" s="65" t="s">
        <v>9865</v>
      </c>
      <c r="NBE1" s="65" t="s">
        <v>9866</v>
      </c>
      <c r="NBF1" s="65" t="s">
        <v>9867</v>
      </c>
      <c r="NBG1" s="65" t="s">
        <v>9868</v>
      </c>
      <c r="NBH1" s="65" t="s">
        <v>9869</v>
      </c>
      <c r="NBI1" s="65" t="s">
        <v>9870</v>
      </c>
      <c r="NBJ1" s="65" t="s">
        <v>9871</v>
      </c>
      <c r="NBK1" s="65" t="s">
        <v>9872</v>
      </c>
      <c r="NBL1" s="65" t="s">
        <v>9873</v>
      </c>
      <c r="NBM1" s="65" t="s">
        <v>9874</v>
      </c>
      <c r="NBN1" s="65" t="s">
        <v>9875</v>
      </c>
      <c r="NBO1" s="65" t="s">
        <v>9876</v>
      </c>
      <c r="NBP1" s="65" t="s">
        <v>9877</v>
      </c>
      <c r="NBQ1" s="65" t="s">
        <v>9878</v>
      </c>
      <c r="NBR1" s="65" t="s">
        <v>9879</v>
      </c>
      <c r="NBS1" s="65" t="s">
        <v>9880</v>
      </c>
      <c r="NBT1" s="65" t="s">
        <v>9881</v>
      </c>
      <c r="NBU1" s="65" t="s">
        <v>9882</v>
      </c>
      <c r="NBV1" s="65" t="s">
        <v>9883</v>
      </c>
      <c r="NBW1" s="65" t="s">
        <v>9884</v>
      </c>
      <c r="NBX1" s="65" t="s">
        <v>9885</v>
      </c>
      <c r="NBY1" s="65" t="s">
        <v>9886</v>
      </c>
      <c r="NBZ1" s="65" t="s">
        <v>9887</v>
      </c>
      <c r="NCA1" s="65" t="s">
        <v>9888</v>
      </c>
      <c r="NCB1" s="65" t="s">
        <v>9889</v>
      </c>
      <c r="NCC1" s="65" t="s">
        <v>9890</v>
      </c>
      <c r="NCD1" s="65" t="s">
        <v>9891</v>
      </c>
      <c r="NCE1" s="65" t="s">
        <v>9892</v>
      </c>
      <c r="NCF1" s="65" t="s">
        <v>9893</v>
      </c>
      <c r="NCG1" s="65" t="s">
        <v>9894</v>
      </c>
      <c r="NCH1" s="65" t="s">
        <v>9895</v>
      </c>
      <c r="NCI1" s="65" t="s">
        <v>9896</v>
      </c>
      <c r="NCJ1" s="65" t="s">
        <v>9897</v>
      </c>
      <c r="NCK1" s="65" t="s">
        <v>9898</v>
      </c>
      <c r="NCL1" s="65" t="s">
        <v>9899</v>
      </c>
      <c r="NCM1" s="65" t="s">
        <v>9900</v>
      </c>
      <c r="NCN1" s="65" t="s">
        <v>9901</v>
      </c>
      <c r="NCO1" s="65" t="s">
        <v>9902</v>
      </c>
      <c r="NCP1" s="65" t="s">
        <v>9903</v>
      </c>
      <c r="NCQ1" s="65" t="s">
        <v>9904</v>
      </c>
      <c r="NCR1" s="65" t="s">
        <v>9905</v>
      </c>
      <c r="NCS1" s="65" t="s">
        <v>9906</v>
      </c>
      <c r="NCT1" s="65" t="s">
        <v>9907</v>
      </c>
      <c r="NCU1" s="65" t="s">
        <v>9908</v>
      </c>
      <c r="NCV1" s="65" t="s">
        <v>9909</v>
      </c>
      <c r="NCW1" s="65" t="s">
        <v>9910</v>
      </c>
      <c r="NCX1" s="65" t="s">
        <v>9911</v>
      </c>
      <c r="NCY1" s="65" t="s">
        <v>9912</v>
      </c>
      <c r="NCZ1" s="65" t="s">
        <v>9913</v>
      </c>
      <c r="NDA1" s="65" t="s">
        <v>9914</v>
      </c>
      <c r="NDB1" s="65" t="s">
        <v>9915</v>
      </c>
      <c r="NDC1" s="65" t="s">
        <v>9916</v>
      </c>
      <c r="NDD1" s="65" t="s">
        <v>9917</v>
      </c>
      <c r="NDE1" s="65" t="s">
        <v>9918</v>
      </c>
      <c r="NDF1" s="65" t="s">
        <v>9919</v>
      </c>
      <c r="NDG1" s="65" t="s">
        <v>9920</v>
      </c>
      <c r="NDH1" s="65" t="s">
        <v>9921</v>
      </c>
      <c r="NDI1" s="65" t="s">
        <v>9922</v>
      </c>
      <c r="NDJ1" s="65" t="s">
        <v>9923</v>
      </c>
      <c r="NDK1" s="65" t="s">
        <v>9924</v>
      </c>
      <c r="NDL1" s="65" t="s">
        <v>9925</v>
      </c>
      <c r="NDM1" s="65" t="s">
        <v>9926</v>
      </c>
      <c r="NDN1" s="65" t="s">
        <v>9927</v>
      </c>
      <c r="NDO1" s="65" t="s">
        <v>9928</v>
      </c>
      <c r="NDP1" s="65" t="s">
        <v>9929</v>
      </c>
      <c r="NDQ1" s="65" t="s">
        <v>9930</v>
      </c>
      <c r="NDR1" s="65" t="s">
        <v>9931</v>
      </c>
      <c r="NDS1" s="65" t="s">
        <v>9932</v>
      </c>
      <c r="NDT1" s="65" t="s">
        <v>9933</v>
      </c>
      <c r="NDU1" s="65" t="s">
        <v>9934</v>
      </c>
      <c r="NDV1" s="65" t="s">
        <v>9935</v>
      </c>
      <c r="NDW1" s="65" t="s">
        <v>9936</v>
      </c>
      <c r="NDX1" s="65" t="s">
        <v>9937</v>
      </c>
      <c r="NDY1" s="65" t="s">
        <v>9938</v>
      </c>
      <c r="NDZ1" s="65" t="s">
        <v>9939</v>
      </c>
      <c r="NEA1" s="65" t="s">
        <v>9940</v>
      </c>
      <c r="NEB1" s="65" t="s">
        <v>9941</v>
      </c>
      <c r="NEC1" s="65" t="s">
        <v>9942</v>
      </c>
      <c r="NED1" s="65" t="s">
        <v>9943</v>
      </c>
      <c r="NEE1" s="65" t="s">
        <v>9944</v>
      </c>
      <c r="NEF1" s="65" t="s">
        <v>9945</v>
      </c>
      <c r="NEG1" s="65" t="s">
        <v>9946</v>
      </c>
      <c r="NEH1" s="65" t="s">
        <v>9947</v>
      </c>
      <c r="NEI1" s="65" t="s">
        <v>9948</v>
      </c>
      <c r="NEJ1" s="65" t="s">
        <v>9949</v>
      </c>
      <c r="NEK1" s="65" t="s">
        <v>9950</v>
      </c>
      <c r="NEL1" s="65" t="s">
        <v>9951</v>
      </c>
      <c r="NEM1" s="65" t="s">
        <v>9952</v>
      </c>
      <c r="NEN1" s="65" t="s">
        <v>9953</v>
      </c>
      <c r="NEO1" s="65" t="s">
        <v>9954</v>
      </c>
      <c r="NEP1" s="65" t="s">
        <v>9955</v>
      </c>
      <c r="NEQ1" s="65" t="s">
        <v>9956</v>
      </c>
      <c r="NER1" s="65" t="s">
        <v>9957</v>
      </c>
      <c r="NES1" s="65" t="s">
        <v>9958</v>
      </c>
      <c r="NET1" s="65" t="s">
        <v>9959</v>
      </c>
      <c r="NEU1" s="65" t="s">
        <v>9960</v>
      </c>
      <c r="NEV1" s="65" t="s">
        <v>9961</v>
      </c>
      <c r="NEW1" s="65" t="s">
        <v>9962</v>
      </c>
      <c r="NEX1" s="65" t="s">
        <v>9963</v>
      </c>
      <c r="NEY1" s="65" t="s">
        <v>9964</v>
      </c>
      <c r="NEZ1" s="65" t="s">
        <v>9965</v>
      </c>
      <c r="NFA1" s="65" t="s">
        <v>9966</v>
      </c>
      <c r="NFB1" s="65" t="s">
        <v>9967</v>
      </c>
      <c r="NFC1" s="65" t="s">
        <v>9968</v>
      </c>
      <c r="NFD1" s="65" t="s">
        <v>9969</v>
      </c>
      <c r="NFE1" s="65" t="s">
        <v>9970</v>
      </c>
      <c r="NFF1" s="65" t="s">
        <v>9971</v>
      </c>
      <c r="NFG1" s="65" t="s">
        <v>9972</v>
      </c>
      <c r="NFH1" s="65" t="s">
        <v>9973</v>
      </c>
      <c r="NFI1" s="65" t="s">
        <v>9974</v>
      </c>
      <c r="NFJ1" s="65" t="s">
        <v>9975</v>
      </c>
      <c r="NFK1" s="65" t="s">
        <v>9976</v>
      </c>
      <c r="NFL1" s="65" t="s">
        <v>9977</v>
      </c>
      <c r="NFM1" s="65" t="s">
        <v>9978</v>
      </c>
      <c r="NFN1" s="65" t="s">
        <v>9979</v>
      </c>
      <c r="NFO1" s="65" t="s">
        <v>9980</v>
      </c>
      <c r="NFP1" s="65" t="s">
        <v>9981</v>
      </c>
      <c r="NFQ1" s="65" t="s">
        <v>9982</v>
      </c>
      <c r="NFR1" s="65" t="s">
        <v>9983</v>
      </c>
      <c r="NFS1" s="65" t="s">
        <v>9984</v>
      </c>
      <c r="NFT1" s="65" t="s">
        <v>9985</v>
      </c>
      <c r="NFU1" s="65" t="s">
        <v>9986</v>
      </c>
      <c r="NFV1" s="65" t="s">
        <v>9987</v>
      </c>
      <c r="NFW1" s="65" t="s">
        <v>9988</v>
      </c>
      <c r="NFX1" s="65" t="s">
        <v>9989</v>
      </c>
      <c r="NFY1" s="65" t="s">
        <v>9990</v>
      </c>
      <c r="NFZ1" s="65" t="s">
        <v>9991</v>
      </c>
      <c r="NGA1" s="65" t="s">
        <v>9992</v>
      </c>
      <c r="NGB1" s="65" t="s">
        <v>9993</v>
      </c>
      <c r="NGC1" s="65" t="s">
        <v>9994</v>
      </c>
      <c r="NGD1" s="65" t="s">
        <v>9995</v>
      </c>
      <c r="NGE1" s="65" t="s">
        <v>9996</v>
      </c>
      <c r="NGF1" s="65" t="s">
        <v>9997</v>
      </c>
      <c r="NGG1" s="65" t="s">
        <v>9998</v>
      </c>
      <c r="NGH1" s="65" t="s">
        <v>9999</v>
      </c>
      <c r="NGI1" s="65" t="s">
        <v>10000</v>
      </c>
      <c r="NGJ1" s="65" t="s">
        <v>10001</v>
      </c>
      <c r="NGK1" s="65" t="s">
        <v>10002</v>
      </c>
      <c r="NGL1" s="65" t="s">
        <v>10003</v>
      </c>
      <c r="NGM1" s="65" t="s">
        <v>10004</v>
      </c>
      <c r="NGN1" s="65" t="s">
        <v>10005</v>
      </c>
      <c r="NGO1" s="65" t="s">
        <v>10006</v>
      </c>
      <c r="NGP1" s="65" t="s">
        <v>10007</v>
      </c>
      <c r="NGQ1" s="65" t="s">
        <v>10008</v>
      </c>
      <c r="NGR1" s="65" t="s">
        <v>10009</v>
      </c>
      <c r="NGS1" s="65" t="s">
        <v>10010</v>
      </c>
      <c r="NGT1" s="65" t="s">
        <v>10011</v>
      </c>
      <c r="NGU1" s="65" t="s">
        <v>10012</v>
      </c>
      <c r="NGV1" s="65" t="s">
        <v>10013</v>
      </c>
      <c r="NGW1" s="65" t="s">
        <v>10014</v>
      </c>
      <c r="NGX1" s="65" t="s">
        <v>10015</v>
      </c>
      <c r="NGY1" s="65" t="s">
        <v>10016</v>
      </c>
      <c r="NGZ1" s="65" t="s">
        <v>10017</v>
      </c>
      <c r="NHA1" s="65" t="s">
        <v>10018</v>
      </c>
      <c r="NHB1" s="65" t="s">
        <v>10019</v>
      </c>
      <c r="NHC1" s="65" t="s">
        <v>10020</v>
      </c>
      <c r="NHD1" s="65" t="s">
        <v>10021</v>
      </c>
      <c r="NHE1" s="65" t="s">
        <v>10022</v>
      </c>
      <c r="NHF1" s="65" t="s">
        <v>10023</v>
      </c>
      <c r="NHG1" s="65" t="s">
        <v>10024</v>
      </c>
      <c r="NHH1" s="65" t="s">
        <v>10025</v>
      </c>
      <c r="NHI1" s="65" t="s">
        <v>10026</v>
      </c>
      <c r="NHJ1" s="65" t="s">
        <v>10027</v>
      </c>
      <c r="NHK1" s="65" t="s">
        <v>10028</v>
      </c>
      <c r="NHL1" s="65" t="s">
        <v>10029</v>
      </c>
      <c r="NHM1" s="65" t="s">
        <v>10030</v>
      </c>
      <c r="NHN1" s="65" t="s">
        <v>10031</v>
      </c>
      <c r="NHO1" s="65" t="s">
        <v>10032</v>
      </c>
      <c r="NHP1" s="65" t="s">
        <v>10033</v>
      </c>
      <c r="NHQ1" s="65" t="s">
        <v>10034</v>
      </c>
      <c r="NHR1" s="65" t="s">
        <v>10035</v>
      </c>
      <c r="NHS1" s="65" t="s">
        <v>10036</v>
      </c>
      <c r="NHT1" s="65" t="s">
        <v>10037</v>
      </c>
      <c r="NHU1" s="65" t="s">
        <v>10038</v>
      </c>
      <c r="NHV1" s="65" t="s">
        <v>10039</v>
      </c>
      <c r="NHW1" s="65" t="s">
        <v>10040</v>
      </c>
      <c r="NHX1" s="65" t="s">
        <v>10041</v>
      </c>
      <c r="NHY1" s="65" t="s">
        <v>10042</v>
      </c>
      <c r="NHZ1" s="65" t="s">
        <v>10043</v>
      </c>
      <c r="NIA1" s="65" t="s">
        <v>10044</v>
      </c>
      <c r="NIB1" s="65" t="s">
        <v>10045</v>
      </c>
      <c r="NIC1" s="65" t="s">
        <v>10046</v>
      </c>
      <c r="NID1" s="65" t="s">
        <v>10047</v>
      </c>
      <c r="NIE1" s="65" t="s">
        <v>10048</v>
      </c>
      <c r="NIF1" s="65" t="s">
        <v>10049</v>
      </c>
      <c r="NIG1" s="65" t="s">
        <v>10050</v>
      </c>
      <c r="NIH1" s="65" t="s">
        <v>10051</v>
      </c>
      <c r="NII1" s="65" t="s">
        <v>10052</v>
      </c>
      <c r="NIJ1" s="65" t="s">
        <v>10053</v>
      </c>
      <c r="NIK1" s="65" t="s">
        <v>10054</v>
      </c>
      <c r="NIL1" s="65" t="s">
        <v>10055</v>
      </c>
      <c r="NIM1" s="65" t="s">
        <v>10056</v>
      </c>
      <c r="NIN1" s="65" t="s">
        <v>10057</v>
      </c>
      <c r="NIO1" s="65" t="s">
        <v>10058</v>
      </c>
      <c r="NIP1" s="65" t="s">
        <v>10059</v>
      </c>
      <c r="NIQ1" s="65" t="s">
        <v>10060</v>
      </c>
      <c r="NIR1" s="65" t="s">
        <v>10061</v>
      </c>
      <c r="NIS1" s="65" t="s">
        <v>10062</v>
      </c>
      <c r="NIT1" s="65" t="s">
        <v>10063</v>
      </c>
      <c r="NIU1" s="65" t="s">
        <v>10064</v>
      </c>
      <c r="NIV1" s="65" t="s">
        <v>10065</v>
      </c>
      <c r="NIW1" s="65" t="s">
        <v>10066</v>
      </c>
      <c r="NIX1" s="65" t="s">
        <v>10067</v>
      </c>
      <c r="NIY1" s="65" t="s">
        <v>10068</v>
      </c>
      <c r="NIZ1" s="65" t="s">
        <v>10069</v>
      </c>
      <c r="NJA1" s="65" t="s">
        <v>10070</v>
      </c>
      <c r="NJB1" s="65" t="s">
        <v>10071</v>
      </c>
      <c r="NJC1" s="65" t="s">
        <v>10072</v>
      </c>
      <c r="NJD1" s="65" t="s">
        <v>10073</v>
      </c>
      <c r="NJE1" s="65" t="s">
        <v>10074</v>
      </c>
      <c r="NJF1" s="65" t="s">
        <v>10075</v>
      </c>
      <c r="NJG1" s="65" t="s">
        <v>10076</v>
      </c>
      <c r="NJH1" s="65" t="s">
        <v>10077</v>
      </c>
      <c r="NJI1" s="65" t="s">
        <v>10078</v>
      </c>
      <c r="NJJ1" s="65" t="s">
        <v>10079</v>
      </c>
      <c r="NJK1" s="65" t="s">
        <v>10080</v>
      </c>
      <c r="NJL1" s="65" t="s">
        <v>10081</v>
      </c>
      <c r="NJM1" s="65" t="s">
        <v>10082</v>
      </c>
      <c r="NJN1" s="65" t="s">
        <v>10083</v>
      </c>
      <c r="NJO1" s="65" t="s">
        <v>10084</v>
      </c>
      <c r="NJP1" s="65" t="s">
        <v>10085</v>
      </c>
      <c r="NJQ1" s="65" t="s">
        <v>10086</v>
      </c>
      <c r="NJR1" s="65" t="s">
        <v>10087</v>
      </c>
      <c r="NJS1" s="65" t="s">
        <v>10088</v>
      </c>
      <c r="NJT1" s="65" t="s">
        <v>10089</v>
      </c>
      <c r="NJU1" s="65" t="s">
        <v>10090</v>
      </c>
      <c r="NJV1" s="65" t="s">
        <v>10091</v>
      </c>
      <c r="NJW1" s="65" t="s">
        <v>10092</v>
      </c>
      <c r="NJX1" s="65" t="s">
        <v>10093</v>
      </c>
      <c r="NJY1" s="65" t="s">
        <v>10094</v>
      </c>
      <c r="NJZ1" s="65" t="s">
        <v>10095</v>
      </c>
      <c r="NKA1" s="65" t="s">
        <v>10096</v>
      </c>
      <c r="NKB1" s="65" t="s">
        <v>10097</v>
      </c>
      <c r="NKC1" s="65" t="s">
        <v>10098</v>
      </c>
      <c r="NKD1" s="65" t="s">
        <v>10099</v>
      </c>
      <c r="NKE1" s="65" t="s">
        <v>10100</v>
      </c>
      <c r="NKF1" s="65" t="s">
        <v>10101</v>
      </c>
      <c r="NKG1" s="65" t="s">
        <v>10102</v>
      </c>
      <c r="NKH1" s="65" t="s">
        <v>10103</v>
      </c>
      <c r="NKI1" s="65" t="s">
        <v>10104</v>
      </c>
      <c r="NKJ1" s="65" t="s">
        <v>10105</v>
      </c>
      <c r="NKK1" s="65" t="s">
        <v>10106</v>
      </c>
      <c r="NKL1" s="65" t="s">
        <v>10107</v>
      </c>
      <c r="NKM1" s="65" t="s">
        <v>10108</v>
      </c>
      <c r="NKN1" s="65" t="s">
        <v>10109</v>
      </c>
      <c r="NKO1" s="65" t="s">
        <v>10110</v>
      </c>
      <c r="NKP1" s="65" t="s">
        <v>10111</v>
      </c>
      <c r="NKQ1" s="65" t="s">
        <v>10112</v>
      </c>
      <c r="NKR1" s="65" t="s">
        <v>10113</v>
      </c>
      <c r="NKS1" s="65" t="s">
        <v>10114</v>
      </c>
      <c r="NKT1" s="65" t="s">
        <v>10115</v>
      </c>
      <c r="NKU1" s="65" t="s">
        <v>10116</v>
      </c>
      <c r="NKV1" s="65" t="s">
        <v>10117</v>
      </c>
      <c r="NKW1" s="65" t="s">
        <v>10118</v>
      </c>
      <c r="NKX1" s="65" t="s">
        <v>10119</v>
      </c>
      <c r="NKY1" s="65" t="s">
        <v>10120</v>
      </c>
      <c r="NKZ1" s="65" t="s">
        <v>10121</v>
      </c>
      <c r="NLA1" s="65" t="s">
        <v>10122</v>
      </c>
      <c r="NLB1" s="65" t="s">
        <v>10123</v>
      </c>
      <c r="NLC1" s="65" t="s">
        <v>10124</v>
      </c>
      <c r="NLD1" s="65" t="s">
        <v>10125</v>
      </c>
      <c r="NLE1" s="65" t="s">
        <v>10126</v>
      </c>
      <c r="NLF1" s="65" t="s">
        <v>10127</v>
      </c>
      <c r="NLG1" s="65" t="s">
        <v>10128</v>
      </c>
      <c r="NLH1" s="65" t="s">
        <v>10129</v>
      </c>
      <c r="NLI1" s="65" t="s">
        <v>10130</v>
      </c>
      <c r="NLJ1" s="65" t="s">
        <v>10131</v>
      </c>
      <c r="NLK1" s="65" t="s">
        <v>10132</v>
      </c>
      <c r="NLL1" s="65" t="s">
        <v>10133</v>
      </c>
      <c r="NLM1" s="65" t="s">
        <v>10134</v>
      </c>
      <c r="NLN1" s="65" t="s">
        <v>10135</v>
      </c>
      <c r="NLO1" s="65" t="s">
        <v>10136</v>
      </c>
      <c r="NLP1" s="65" t="s">
        <v>10137</v>
      </c>
      <c r="NLQ1" s="65" t="s">
        <v>10138</v>
      </c>
      <c r="NLR1" s="65" t="s">
        <v>10139</v>
      </c>
      <c r="NLS1" s="65" t="s">
        <v>10140</v>
      </c>
      <c r="NLT1" s="65" t="s">
        <v>10141</v>
      </c>
      <c r="NLU1" s="65" t="s">
        <v>10142</v>
      </c>
      <c r="NLV1" s="65" t="s">
        <v>10143</v>
      </c>
      <c r="NLW1" s="65" t="s">
        <v>10144</v>
      </c>
      <c r="NLX1" s="65" t="s">
        <v>10145</v>
      </c>
      <c r="NLY1" s="65" t="s">
        <v>10146</v>
      </c>
      <c r="NLZ1" s="65" t="s">
        <v>10147</v>
      </c>
      <c r="NMA1" s="65" t="s">
        <v>10148</v>
      </c>
      <c r="NMB1" s="65" t="s">
        <v>10149</v>
      </c>
      <c r="NMC1" s="65" t="s">
        <v>10150</v>
      </c>
      <c r="NMD1" s="65" t="s">
        <v>10151</v>
      </c>
      <c r="NME1" s="65" t="s">
        <v>10152</v>
      </c>
      <c r="NMF1" s="65" t="s">
        <v>10153</v>
      </c>
      <c r="NMG1" s="65" t="s">
        <v>10154</v>
      </c>
      <c r="NMH1" s="65" t="s">
        <v>10155</v>
      </c>
      <c r="NMI1" s="65" t="s">
        <v>10156</v>
      </c>
      <c r="NMJ1" s="65" t="s">
        <v>10157</v>
      </c>
      <c r="NMK1" s="65" t="s">
        <v>10158</v>
      </c>
      <c r="NML1" s="65" t="s">
        <v>10159</v>
      </c>
      <c r="NMM1" s="65" t="s">
        <v>10160</v>
      </c>
      <c r="NMN1" s="65" t="s">
        <v>10161</v>
      </c>
      <c r="NMO1" s="65" t="s">
        <v>10162</v>
      </c>
      <c r="NMP1" s="65" t="s">
        <v>10163</v>
      </c>
      <c r="NMQ1" s="65" t="s">
        <v>10164</v>
      </c>
      <c r="NMR1" s="65" t="s">
        <v>10165</v>
      </c>
      <c r="NMS1" s="65" t="s">
        <v>10166</v>
      </c>
      <c r="NMT1" s="65" t="s">
        <v>10167</v>
      </c>
      <c r="NMU1" s="65" t="s">
        <v>10168</v>
      </c>
      <c r="NMV1" s="65" t="s">
        <v>10169</v>
      </c>
      <c r="NMW1" s="65" t="s">
        <v>10170</v>
      </c>
      <c r="NMX1" s="65" t="s">
        <v>10171</v>
      </c>
      <c r="NMY1" s="65" t="s">
        <v>10172</v>
      </c>
      <c r="NMZ1" s="65" t="s">
        <v>10173</v>
      </c>
      <c r="NNA1" s="65" t="s">
        <v>10174</v>
      </c>
      <c r="NNB1" s="65" t="s">
        <v>10175</v>
      </c>
      <c r="NNC1" s="65" t="s">
        <v>10176</v>
      </c>
      <c r="NND1" s="65" t="s">
        <v>10177</v>
      </c>
      <c r="NNE1" s="65" t="s">
        <v>10178</v>
      </c>
      <c r="NNF1" s="65" t="s">
        <v>10179</v>
      </c>
      <c r="NNG1" s="65" t="s">
        <v>10180</v>
      </c>
      <c r="NNH1" s="65" t="s">
        <v>10181</v>
      </c>
      <c r="NNI1" s="65" t="s">
        <v>10182</v>
      </c>
      <c r="NNJ1" s="65" t="s">
        <v>10183</v>
      </c>
      <c r="NNK1" s="65" t="s">
        <v>10184</v>
      </c>
      <c r="NNL1" s="65" t="s">
        <v>10185</v>
      </c>
      <c r="NNM1" s="65" t="s">
        <v>10186</v>
      </c>
      <c r="NNN1" s="65" t="s">
        <v>10187</v>
      </c>
      <c r="NNO1" s="65" t="s">
        <v>10188</v>
      </c>
      <c r="NNP1" s="65" t="s">
        <v>10189</v>
      </c>
      <c r="NNQ1" s="65" t="s">
        <v>10190</v>
      </c>
      <c r="NNR1" s="65" t="s">
        <v>10191</v>
      </c>
      <c r="NNS1" s="65" t="s">
        <v>10192</v>
      </c>
      <c r="NNT1" s="65" t="s">
        <v>10193</v>
      </c>
      <c r="NNU1" s="65" t="s">
        <v>10194</v>
      </c>
      <c r="NNV1" s="65" t="s">
        <v>10195</v>
      </c>
      <c r="NNW1" s="65" t="s">
        <v>10196</v>
      </c>
      <c r="NNX1" s="65" t="s">
        <v>10197</v>
      </c>
      <c r="NNY1" s="65" t="s">
        <v>10198</v>
      </c>
      <c r="NNZ1" s="65" t="s">
        <v>10199</v>
      </c>
      <c r="NOA1" s="65" t="s">
        <v>10200</v>
      </c>
      <c r="NOB1" s="65" t="s">
        <v>10201</v>
      </c>
      <c r="NOC1" s="65" t="s">
        <v>10202</v>
      </c>
      <c r="NOD1" s="65" t="s">
        <v>10203</v>
      </c>
      <c r="NOE1" s="65" t="s">
        <v>10204</v>
      </c>
      <c r="NOF1" s="65" t="s">
        <v>10205</v>
      </c>
      <c r="NOG1" s="65" t="s">
        <v>10206</v>
      </c>
      <c r="NOH1" s="65" t="s">
        <v>10207</v>
      </c>
      <c r="NOI1" s="65" t="s">
        <v>10208</v>
      </c>
      <c r="NOJ1" s="65" t="s">
        <v>10209</v>
      </c>
      <c r="NOK1" s="65" t="s">
        <v>10210</v>
      </c>
      <c r="NOL1" s="65" t="s">
        <v>10211</v>
      </c>
      <c r="NOM1" s="65" t="s">
        <v>10212</v>
      </c>
      <c r="NON1" s="65" t="s">
        <v>10213</v>
      </c>
      <c r="NOO1" s="65" t="s">
        <v>10214</v>
      </c>
      <c r="NOP1" s="65" t="s">
        <v>10215</v>
      </c>
      <c r="NOQ1" s="65" t="s">
        <v>10216</v>
      </c>
      <c r="NOR1" s="65" t="s">
        <v>10217</v>
      </c>
      <c r="NOS1" s="65" t="s">
        <v>10218</v>
      </c>
      <c r="NOT1" s="65" t="s">
        <v>10219</v>
      </c>
      <c r="NOU1" s="65" t="s">
        <v>10220</v>
      </c>
      <c r="NOV1" s="65" t="s">
        <v>10221</v>
      </c>
      <c r="NOW1" s="65" t="s">
        <v>10222</v>
      </c>
      <c r="NOX1" s="65" t="s">
        <v>10223</v>
      </c>
      <c r="NOY1" s="65" t="s">
        <v>10224</v>
      </c>
      <c r="NOZ1" s="65" t="s">
        <v>10225</v>
      </c>
      <c r="NPA1" s="65" t="s">
        <v>10226</v>
      </c>
      <c r="NPB1" s="65" t="s">
        <v>10227</v>
      </c>
      <c r="NPC1" s="65" t="s">
        <v>10228</v>
      </c>
      <c r="NPD1" s="65" t="s">
        <v>10229</v>
      </c>
      <c r="NPE1" s="65" t="s">
        <v>10230</v>
      </c>
      <c r="NPF1" s="65" t="s">
        <v>10231</v>
      </c>
      <c r="NPG1" s="65" t="s">
        <v>10232</v>
      </c>
      <c r="NPH1" s="65" t="s">
        <v>10233</v>
      </c>
      <c r="NPI1" s="65" t="s">
        <v>10234</v>
      </c>
      <c r="NPJ1" s="65" t="s">
        <v>10235</v>
      </c>
      <c r="NPK1" s="65" t="s">
        <v>10236</v>
      </c>
      <c r="NPL1" s="65" t="s">
        <v>10237</v>
      </c>
      <c r="NPM1" s="65" t="s">
        <v>10238</v>
      </c>
      <c r="NPN1" s="65" t="s">
        <v>10239</v>
      </c>
      <c r="NPO1" s="65" t="s">
        <v>10240</v>
      </c>
      <c r="NPP1" s="65" t="s">
        <v>10241</v>
      </c>
      <c r="NPQ1" s="65" t="s">
        <v>10242</v>
      </c>
      <c r="NPR1" s="65" t="s">
        <v>10243</v>
      </c>
      <c r="NPS1" s="65" t="s">
        <v>10244</v>
      </c>
      <c r="NPT1" s="65" t="s">
        <v>10245</v>
      </c>
      <c r="NPU1" s="65" t="s">
        <v>10246</v>
      </c>
      <c r="NPV1" s="65" t="s">
        <v>10247</v>
      </c>
      <c r="NPW1" s="65" t="s">
        <v>10248</v>
      </c>
      <c r="NPX1" s="65" t="s">
        <v>10249</v>
      </c>
      <c r="NPY1" s="65" t="s">
        <v>10250</v>
      </c>
      <c r="NPZ1" s="65" t="s">
        <v>10251</v>
      </c>
      <c r="NQA1" s="65" t="s">
        <v>10252</v>
      </c>
      <c r="NQB1" s="65" t="s">
        <v>10253</v>
      </c>
      <c r="NQC1" s="65" t="s">
        <v>10254</v>
      </c>
      <c r="NQD1" s="65" t="s">
        <v>10255</v>
      </c>
      <c r="NQE1" s="65" t="s">
        <v>10256</v>
      </c>
      <c r="NQF1" s="65" t="s">
        <v>10257</v>
      </c>
      <c r="NQG1" s="65" t="s">
        <v>10258</v>
      </c>
      <c r="NQH1" s="65" t="s">
        <v>10259</v>
      </c>
      <c r="NQI1" s="65" t="s">
        <v>10260</v>
      </c>
      <c r="NQJ1" s="65" t="s">
        <v>10261</v>
      </c>
      <c r="NQK1" s="65" t="s">
        <v>10262</v>
      </c>
      <c r="NQL1" s="65" t="s">
        <v>10263</v>
      </c>
      <c r="NQM1" s="65" t="s">
        <v>10264</v>
      </c>
      <c r="NQN1" s="65" t="s">
        <v>10265</v>
      </c>
      <c r="NQO1" s="65" t="s">
        <v>10266</v>
      </c>
      <c r="NQP1" s="65" t="s">
        <v>10267</v>
      </c>
      <c r="NQQ1" s="65" t="s">
        <v>10268</v>
      </c>
      <c r="NQR1" s="65" t="s">
        <v>10269</v>
      </c>
      <c r="NQS1" s="65" t="s">
        <v>10270</v>
      </c>
      <c r="NQT1" s="65" t="s">
        <v>10271</v>
      </c>
      <c r="NQU1" s="65" t="s">
        <v>10272</v>
      </c>
      <c r="NQV1" s="65" t="s">
        <v>10273</v>
      </c>
      <c r="NQW1" s="65" t="s">
        <v>10274</v>
      </c>
      <c r="NQX1" s="65" t="s">
        <v>10275</v>
      </c>
      <c r="NQY1" s="65" t="s">
        <v>10276</v>
      </c>
      <c r="NQZ1" s="65" t="s">
        <v>10277</v>
      </c>
      <c r="NRA1" s="65" t="s">
        <v>10278</v>
      </c>
      <c r="NRB1" s="65" t="s">
        <v>10279</v>
      </c>
      <c r="NRC1" s="65" t="s">
        <v>10280</v>
      </c>
      <c r="NRD1" s="65" t="s">
        <v>10281</v>
      </c>
      <c r="NRE1" s="65" t="s">
        <v>10282</v>
      </c>
      <c r="NRF1" s="65" t="s">
        <v>10283</v>
      </c>
      <c r="NRG1" s="65" t="s">
        <v>10284</v>
      </c>
      <c r="NRH1" s="65" t="s">
        <v>10285</v>
      </c>
      <c r="NRI1" s="65" t="s">
        <v>10286</v>
      </c>
      <c r="NRJ1" s="65" t="s">
        <v>10287</v>
      </c>
      <c r="NRK1" s="65" t="s">
        <v>10288</v>
      </c>
      <c r="NRL1" s="65" t="s">
        <v>10289</v>
      </c>
      <c r="NRM1" s="65" t="s">
        <v>10290</v>
      </c>
      <c r="NRN1" s="65" t="s">
        <v>10291</v>
      </c>
      <c r="NRO1" s="65" t="s">
        <v>10292</v>
      </c>
      <c r="NRP1" s="65" t="s">
        <v>10293</v>
      </c>
      <c r="NRQ1" s="65" t="s">
        <v>10294</v>
      </c>
      <c r="NRR1" s="65" t="s">
        <v>10295</v>
      </c>
      <c r="NRS1" s="65" t="s">
        <v>10296</v>
      </c>
      <c r="NRT1" s="65" t="s">
        <v>10297</v>
      </c>
      <c r="NRU1" s="65" t="s">
        <v>10298</v>
      </c>
      <c r="NRV1" s="65" t="s">
        <v>10299</v>
      </c>
      <c r="NRW1" s="65" t="s">
        <v>10300</v>
      </c>
      <c r="NRX1" s="65" t="s">
        <v>10301</v>
      </c>
      <c r="NRY1" s="65" t="s">
        <v>10302</v>
      </c>
      <c r="NRZ1" s="65" t="s">
        <v>10303</v>
      </c>
      <c r="NSA1" s="65" t="s">
        <v>10304</v>
      </c>
      <c r="NSB1" s="65" t="s">
        <v>10305</v>
      </c>
      <c r="NSC1" s="65" t="s">
        <v>10306</v>
      </c>
      <c r="NSD1" s="65" t="s">
        <v>10307</v>
      </c>
      <c r="NSE1" s="65" t="s">
        <v>10308</v>
      </c>
      <c r="NSF1" s="65" t="s">
        <v>10309</v>
      </c>
      <c r="NSG1" s="65" t="s">
        <v>10310</v>
      </c>
      <c r="NSH1" s="65" t="s">
        <v>10311</v>
      </c>
      <c r="NSI1" s="65" t="s">
        <v>10312</v>
      </c>
      <c r="NSJ1" s="65" t="s">
        <v>10313</v>
      </c>
      <c r="NSK1" s="65" t="s">
        <v>10314</v>
      </c>
      <c r="NSL1" s="65" t="s">
        <v>10315</v>
      </c>
      <c r="NSM1" s="65" t="s">
        <v>10316</v>
      </c>
      <c r="NSN1" s="65" t="s">
        <v>10317</v>
      </c>
      <c r="NSO1" s="65" t="s">
        <v>10318</v>
      </c>
      <c r="NSP1" s="65" t="s">
        <v>10319</v>
      </c>
      <c r="NSQ1" s="65" t="s">
        <v>10320</v>
      </c>
      <c r="NSR1" s="65" t="s">
        <v>10321</v>
      </c>
      <c r="NSS1" s="65" t="s">
        <v>10322</v>
      </c>
      <c r="NST1" s="65" t="s">
        <v>10323</v>
      </c>
      <c r="NSU1" s="65" t="s">
        <v>10324</v>
      </c>
      <c r="NSV1" s="65" t="s">
        <v>10325</v>
      </c>
      <c r="NSW1" s="65" t="s">
        <v>10326</v>
      </c>
      <c r="NSX1" s="65" t="s">
        <v>10327</v>
      </c>
      <c r="NSY1" s="65" t="s">
        <v>10328</v>
      </c>
      <c r="NSZ1" s="65" t="s">
        <v>10329</v>
      </c>
      <c r="NTA1" s="65" t="s">
        <v>10330</v>
      </c>
      <c r="NTB1" s="65" t="s">
        <v>10331</v>
      </c>
      <c r="NTC1" s="65" t="s">
        <v>10332</v>
      </c>
      <c r="NTD1" s="65" t="s">
        <v>10333</v>
      </c>
      <c r="NTE1" s="65" t="s">
        <v>10334</v>
      </c>
      <c r="NTF1" s="65" t="s">
        <v>10335</v>
      </c>
      <c r="NTG1" s="65" t="s">
        <v>10336</v>
      </c>
      <c r="NTH1" s="65" t="s">
        <v>10337</v>
      </c>
      <c r="NTI1" s="65" t="s">
        <v>10338</v>
      </c>
      <c r="NTJ1" s="65" t="s">
        <v>10339</v>
      </c>
      <c r="NTK1" s="65" t="s">
        <v>10340</v>
      </c>
      <c r="NTL1" s="65" t="s">
        <v>10341</v>
      </c>
      <c r="NTM1" s="65" t="s">
        <v>10342</v>
      </c>
      <c r="NTN1" s="65" t="s">
        <v>10343</v>
      </c>
      <c r="NTO1" s="65" t="s">
        <v>10344</v>
      </c>
      <c r="NTP1" s="65" t="s">
        <v>10345</v>
      </c>
      <c r="NTQ1" s="65" t="s">
        <v>10346</v>
      </c>
      <c r="NTR1" s="65" t="s">
        <v>10347</v>
      </c>
      <c r="NTS1" s="65" t="s">
        <v>10348</v>
      </c>
      <c r="NTT1" s="65" t="s">
        <v>10349</v>
      </c>
      <c r="NTU1" s="65" t="s">
        <v>10350</v>
      </c>
      <c r="NTV1" s="65" t="s">
        <v>10351</v>
      </c>
      <c r="NTW1" s="65" t="s">
        <v>10352</v>
      </c>
      <c r="NTX1" s="65" t="s">
        <v>10353</v>
      </c>
      <c r="NTY1" s="65" t="s">
        <v>10354</v>
      </c>
      <c r="NTZ1" s="65" t="s">
        <v>10355</v>
      </c>
      <c r="NUA1" s="65" t="s">
        <v>10356</v>
      </c>
      <c r="NUB1" s="65" t="s">
        <v>10357</v>
      </c>
      <c r="NUC1" s="65" t="s">
        <v>10358</v>
      </c>
      <c r="NUD1" s="65" t="s">
        <v>10359</v>
      </c>
      <c r="NUE1" s="65" t="s">
        <v>10360</v>
      </c>
      <c r="NUF1" s="65" t="s">
        <v>10361</v>
      </c>
      <c r="NUG1" s="65" t="s">
        <v>10362</v>
      </c>
      <c r="NUH1" s="65" t="s">
        <v>10363</v>
      </c>
      <c r="NUI1" s="65" t="s">
        <v>10364</v>
      </c>
      <c r="NUJ1" s="65" t="s">
        <v>10365</v>
      </c>
      <c r="NUK1" s="65" t="s">
        <v>10366</v>
      </c>
      <c r="NUL1" s="65" t="s">
        <v>10367</v>
      </c>
      <c r="NUM1" s="65" t="s">
        <v>10368</v>
      </c>
      <c r="NUN1" s="65" t="s">
        <v>10369</v>
      </c>
      <c r="NUO1" s="65" t="s">
        <v>10370</v>
      </c>
      <c r="NUP1" s="65" t="s">
        <v>10371</v>
      </c>
      <c r="NUQ1" s="65" t="s">
        <v>10372</v>
      </c>
      <c r="NUR1" s="65" t="s">
        <v>10373</v>
      </c>
      <c r="NUS1" s="65" t="s">
        <v>10374</v>
      </c>
      <c r="NUT1" s="65" t="s">
        <v>10375</v>
      </c>
      <c r="NUU1" s="65" t="s">
        <v>10376</v>
      </c>
      <c r="NUV1" s="65" t="s">
        <v>10377</v>
      </c>
      <c r="NUW1" s="65" t="s">
        <v>10378</v>
      </c>
      <c r="NUX1" s="65" t="s">
        <v>10379</v>
      </c>
      <c r="NUY1" s="65" t="s">
        <v>10380</v>
      </c>
      <c r="NUZ1" s="65" t="s">
        <v>10381</v>
      </c>
      <c r="NVA1" s="65" t="s">
        <v>10382</v>
      </c>
      <c r="NVB1" s="65" t="s">
        <v>10383</v>
      </c>
      <c r="NVC1" s="65" t="s">
        <v>10384</v>
      </c>
      <c r="NVD1" s="65" t="s">
        <v>10385</v>
      </c>
      <c r="NVE1" s="65" t="s">
        <v>10386</v>
      </c>
      <c r="NVF1" s="65" t="s">
        <v>10387</v>
      </c>
      <c r="NVG1" s="65" t="s">
        <v>10388</v>
      </c>
      <c r="NVH1" s="65" t="s">
        <v>10389</v>
      </c>
      <c r="NVI1" s="65" t="s">
        <v>10390</v>
      </c>
      <c r="NVJ1" s="65" t="s">
        <v>10391</v>
      </c>
      <c r="NVK1" s="65" t="s">
        <v>10392</v>
      </c>
      <c r="NVL1" s="65" t="s">
        <v>10393</v>
      </c>
      <c r="NVM1" s="65" t="s">
        <v>10394</v>
      </c>
      <c r="NVN1" s="65" t="s">
        <v>10395</v>
      </c>
      <c r="NVO1" s="65" t="s">
        <v>10396</v>
      </c>
      <c r="NVP1" s="65" t="s">
        <v>10397</v>
      </c>
      <c r="NVQ1" s="65" t="s">
        <v>10398</v>
      </c>
      <c r="NVR1" s="65" t="s">
        <v>10399</v>
      </c>
      <c r="NVS1" s="65" t="s">
        <v>10400</v>
      </c>
      <c r="NVT1" s="65" t="s">
        <v>10401</v>
      </c>
      <c r="NVU1" s="65" t="s">
        <v>10402</v>
      </c>
      <c r="NVV1" s="65" t="s">
        <v>10403</v>
      </c>
      <c r="NVW1" s="65" t="s">
        <v>10404</v>
      </c>
      <c r="NVX1" s="65" t="s">
        <v>10405</v>
      </c>
      <c r="NVY1" s="65" t="s">
        <v>10406</v>
      </c>
      <c r="NVZ1" s="65" t="s">
        <v>10407</v>
      </c>
      <c r="NWA1" s="65" t="s">
        <v>10408</v>
      </c>
      <c r="NWB1" s="65" t="s">
        <v>10409</v>
      </c>
      <c r="NWC1" s="65" t="s">
        <v>10410</v>
      </c>
      <c r="NWD1" s="65" t="s">
        <v>10411</v>
      </c>
      <c r="NWE1" s="65" t="s">
        <v>10412</v>
      </c>
      <c r="NWF1" s="65" t="s">
        <v>10413</v>
      </c>
      <c r="NWG1" s="65" t="s">
        <v>10414</v>
      </c>
      <c r="NWH1" s="65" t="s">
        <v>10415</v>
      </c>
      <c r="NWI1" s="65" t="s">
        <v>10416</v>
      </c>
      <c r="NWJ1" s="65" t="s">
        <v>10417</v>
      </c>
      <c r="NWK1" s="65" t="s">
        <v>10418</v>
      </c>
      <c r="NWL1" s="65" t="s">
        <v>10419</v>
      </c>
      <c r="NWM1" s="65" t="s">
        <v>10420</v>
      </c>
      <c r="NWN1" s="65" t="s">
        <v>10421</v>
      </c>
      <c r="NWO1" s="65" t="s">
        <v>10422</v>
      </c>
      <c r="NWP1" s="65" t="s">
        <v>10423</v>
      </c>
      <c r="NWQ1" s="65" t="s">
        <v>10424</v>
      </c>
      <c r="NWR1" s="65" t="s">
        <v>10425</v>
      </c>
      <c r="NWS1" s="65" t="s">
        <v>10426</v>
      </c>
      <c r="NWT1" s="65" t="s">
        <v>10427</v>
      </c>
      <c r="NWU1" s="65" t="s">
        <v>10428</v>
      </c>
      <c r="NWV1" s="65" t="s">
        <v>10429</v>
      </c>
      <c r="NWW1" s="65" t="s">
        <v>10430</v>
      </c>
      <c r="NWX1" s="65" t="s">
        <v>10431</v>
      </c>
      <c r="NWY1" s="65" t="s">
        <v>10432</v>
      </c>
      <c r="NWZ1" s="65" t="s">
        <v>10433</v>
      </c>
      <c r="NXA1" s="65" t="s">
        <v>10434</v>
      </c>
      <c r="NXB1" s="65" t="s">
        <v>10435</v>
      </c>
      <c r="NXC1" s="65" t="s">
        <v>10436</v>
      </c>
      <c r="NXD1" s="65" t="s">
        <v>10437</v>
      </c>
      <c r="NXE1" s="65" t="s">
        <v>10438</v>
      </c>
      <c r="NXF1" s="65" t="s">
        <v>10439</v>
      </c>
      <c r="NXG1" s="65" t="s">
        <v>10440</v>
      </c>
      <c r="NXH1" s="65" t="s">
        <v>10441</v>
      </c>
      <c r="NXI1" s="65" t="s">
        <v>10442</v>
      </c>
      <c r="NXJ1" s="65" t="s">
        <v>10443</v>
      </c>
      <c r="NXK1" s="65" t="s">
        <v>10444</v>
      </c>
      <c r="NXL1" s="65" t="s">
        <v>10445</v>
      </c>
      <c r="NXM1" s="65" t="s">
        <v>10446</v>
      </c>
      <c r="NXN1" s="65" t="s">
        <v>10447</v>
      </c>
      <c r="NXO1" s="65" t="s">
        <v>10448</v>
      </c>
      <c r="NXP1" s="65" t="s">
        <v>10449</v>
      </c>
      <c r="NXQ1" s="65" t="s">
        <v>10450</v>
      </c>
      <c r="NXR1" s="65" t="s">
        <v>10451</v>
      </c>
      <c r="NXS1" s="65" t="s">
        <v>10452</v>
      </c>
      <c r="NXT1" s="65" t="s">
        <v>10453</v>
      </c>
      <c r="NXU1" s="65" t="s">
        <v>10454</v>
      </c>
      <c r="NXV1" s="65" t="s">
        <v>10455</v>
      </c>
      <c r="NXW1" s="65" t="s">
        <v>10456</v>
      </c>
      <c r="NXX1" s="65" t="s">
        <v>10457</v>
      </c>
      <c r="NXY1" s="65" t="s">
        <v>10458</v>
      </c>
      <c r="NXZ1" s="65" t="s">
        <v>10459</v>
      </c>
      <c r="NYA1" s="65" t="s">
        <v>10460</v>
      </c>
      <c r="NYB1" s="65" t="s">
        <v>10461</v>
      </c>
      <c r="NYC1" s="65" t="s">
        <v>10462</v>
      </c>
      <c r="NYD1" s="65" t="s">
        <v>10463</v>
      </c>
      <c r="NYE1" s="65" t="s">
        <v>10464</v>
      </c>
      <c r="NYF1" s="65" t="s">
        <v>10465</v>
      </c>
      <c r="NYG1" s="65" t="s">
        <v>10466</v>
      </c>
      <c r="NYH1" s="65" t="s">
        <v>10467</v>
      </c>
      <c r="NYI1" s="65" t="s">
        <v>10468</v>
      </c>
      <c r="NYJ1" s="65" t="s">
        <v>10469</v>
      </c>
      <c r="NYK1" s="65" t="s">
        <v>10470</v>
      </c>
      <c r="NYL1" s="65" t="s">
        <v>10471</v>
      </c>
      <c r="NYM1" s="65" t="s">
        <v>10472</v>
      </c>
      <c r="NYN1" s="65" t="s">
        <v>10473</v>
      </c>
      <c r="NYO1" s="65" t="s">
        <v>10474</v>
      </c>
      <c r="NYP1" s="65" t="s">
        <v>10475</v>
      </c>
      <c r="NYQ1" s="65" t="s">
        <v>10476</v>
      </c>
      <c r="NYR1" s="65" t="s">
        <v>10477</v>
      </c>
      <c r="NYS1" s="65" t="s">
        <v>10478</v>
      </c>
      <c r="NYT1" s="65" t="s">
        <v>10479</v>
      </c>
      <c r="NYU1" s="65" t="s">
        <v>10480</v>
      </c>
      <c r="NYV1" s="65" t="s">
        <v>10481</v>
      </c>
      <c r="NYW1" s="65" t="s">
        <v>10482</v>
      </c>
      <c r="NYX1" s="65" t="s">
        <v>10483</v>
      </c>
      <c r="NYY1" s="65" t="s">
        <v>10484</v>
      </c>
      <c r="NYZ1" s="65" t="s">
        <v>10485</v>
      </c>
      <c r="NZA1" s="65" t="s">
        <v>10486</v>
      </c>
      <c r="NZB1" s="65" t="s">
        <v>10487</v>
      </c>
      <c r="NZC1" s="65" t="s">
        <v>10488</v>
      </c>
      <c r="NZD1" s="65" t="s">
        <v>10489</v>
      </c>
      <c r="NZE1" s="65" t="s">
        <v>10490</v>
      </c>
      <c r="NZF1" s="65" t="s">
        <v>10491</v>
      </c>
      <c r="NZG1" s="65" t="s">
        <v>10492</v>
      </c>
      <c r="NZH1" s="65" t="s">
        <v>10493</v>
      </c>
      <c r="NZI1" s="65" t="s">
        <v>10494</v>
      </c>
      <c r="NZJ1" s="65" t="s">
        <v>10495</v>
      </c>
      <c r="NZK1" s="65" t="s">
        <v>10496</v>
      </c>
      <c r="NZL1" s="65" t="s">
        <v>10497</v>
      </c>
      <c r="NZM1" s="65" t="s">
        <v>10498</v>
      </c>
      <c r="NZN1" s="65" t="s">
        <v>10499</v>
      </c>
      <c r="NZO1" s="65" t="s">
        <v>10500</v>
      </c>
      <c r="NZP1" s="65" t="s">
        <v>10501</v>
      </c>
      <c r="NZQ1" s="65" t="s">
        <v>10502</v>
      </c>
      <c r="NZR1" s="65" t="s">
        <v>10503</v>
      </c>
      <c r="NZS1" s="65" t="s">
        <v>10504</v>
      </c>
      <c r="NZT1" s="65" t="s">
        <v>10505</v>
      </c>
      <c r="NZU1" s="65" t="s">
        <v>10506</v>
      </c>
      <c r="NZV1" s="65" t="s">
        <v>10507</v>
      </c>
      <c r="NZW1" s="65" t="s">
        <v>10508</v>
      </c>
      <c r="NZX1" s="65" t="s">
        <v>10509</v>
      </c>
      <c r="NZY1" s="65" t="s">
        <v>10510</v>
      </c>
      <c r="NZZ1" s="65" t="s">
        <v>10511</v>
      </c>
      <c r="OAA1" s="65" t="s">
        <v>10512</v>
      </c>
      <c r="OAB1" s="65" t="s">
        <v>10513</v>
      </c>
      <c r="OAC1" s="65" t="s">
        <v>10514</v>
      </c>
      <c r="OAD1" s="65" t="s">
        <v>10515</v>
      </c>
      <c r="OAE1" s="65" t="s">
        <v>10516</v>
      </c>
      <c r="OAF1" s="65" t="s">
        <v>10517</v>
      </c>
      <c r="OAG1" s="65" t="s">
        <v>10518</v>
      </c>
      <c r="OAH1" s="65" t="s">
        <v>10519</v>
      </c>
      <c r="OAI1" s="65" t="s">
        <v>10520</v>
      </c>
      <c r="OAJ1" s="65" t="s">
        <v>10521</v>
      </c>
      <c r="OAK1" s="65" t="s">
        <v>10522</v>
      </c>
      <c r="OAL1" s="65" t="s">
        <v>10523</v>
      </c>
      <c r="OAM1" s="65" t="s">
        <v>10524</v>
      </c>
      <c r="OAN1" s="65" t="s">
        <v>10525</v>
      </c>
      <c r="OAO1" s="65" t="s">
        <v>10526</v>
      </c>
      <c r="OAP1" s="65" t="s">
        <v>10527</v>
      </c>
      <c r="OAQ1" s="65" t="s">
        <v>10528</v>
      </c>
      <c r="OAR1" s="65" t="s">
        <v>10529</v>
      </c>
      <c r="OAS1" s="65" t="s">
        <v>10530</v>
      </c>
      <c r="OAT1" s="65" t="s">
        <v>10531</v>
      </c>
      <c r="OAU1" s="65" t="s">
        <v>10532</v>
      </c>
      <c r="OAV1" s="65" t="s">
        <v>10533</v>
      </c>
      <c r="OAW1" s="65" t="s">
        <v>10534</v>
      </c>
      <c r="OAX1" s="65" t="s">
        <v>10535</v>
      </c>
      <c r="OAY1" s="65" t="s">
        <v>10536</v>
      </c>
      <c r="OAZ1" s="65" t="s">
        <v>10537</v>
      </c>
      <c r="OBA1" s="65" t="s">
        <v>10538</v>
      </c>
      <c r="OBB1" s="65" t="s">
        <v>10539</v>
      </c>
      <c r="OBC1" s="65" t="s">
        <v>10540</v>
      </c>
      <c r="OBD1" s="65" t="s">
        <v>10541</v>
      </c>
      <c r="OBE1" s="65" t="s">
        <v>10542</v>
      </c>
      <c r="OBF1" s="65" t="s">
        <v>10543</v>
      </c>
      <c r="OBG1" s="65" t="s">
        <v>10544</v>
      </c>
      <c r="OBH1" s="65" t="s">
        <v>10545</v>
      </c>
      <c r="OBI1" s="65" t="s">
        <v>10546</v>
      </c>
      <c r="OBJ1" s="65" t="s">
        <v>10547</v>
      </c>
      <c r="OBK1" s="65" t="s">
        <v>10548</v>
      </c>
      <c r="OBL1" s="65" t="s">
        <v>10549</v>
      </c>
      <c r="OBM1" s="65" t="s">
        <v>10550</v>
      </c>
      <c r="OBN1" s="65" t="s">
        <v>10551</v>
      </c>
      <c r="OBO1" s="65" t="s">
        <v>10552</v>
      </c>
      <c r="OBP1" s="65" t="s">
        <v>10553</v>
      </c>
      <c r="OBQ1" s="65" t="s">
        <v>10554</v>
      </c>
      <c r="OBR1" s="65" t="s">
        <v>10555</v>
      </c>
      <c r="OBS1" s="65" t="s">
        <v>10556</v>
      </c>
      <c r="OBT1" s="65" t="s">
        <v>10557</v>
      </c>
      <c r="OBU1" s="65" t="s">
        <v>10558</v>
      </c>
      <c r="OBV1" s="65" t="s">
        <v>10559</v>
      </c>
      <c r="OBW1" s="65" t="s">
        <v>10560</v>
      </c>
      <c r="OBX1" s="65" t="s">
        <v>10561</v>
      </c>
      <c r="OBY1" s="65" t="s">
        <v>10562</v>
      </c>
      <c r="OBZ1" s="65" t="s">
        <v>10563</v>
      </c>
      <c r="OCA1" s="65" t="s">
        <v>10564</v>
      </c>
      <c r="OCB1" s="65" t="s">
        <v>10565</v>
      </c>
      <c r="OCC1" s="65" t="s">
        <v>10566</v>
      </c>
      <c r="OCD1" s="65" t="s">
        <v>10567</v>
      </c>
      <c r="OCE1" s="65" t="s">
        <v>10568</v>
      </c>
      <c r="OCF1" s="65" t="s">
        <v>10569</v>
      </c>
      <c r="OCG1" s="65" t="s">
        <v>10570</v>
      </c>
      <c r="OCH1" s="65" t="s">
        <v>10571</v>
      </c>
      <c r="OCI1" s="65" t="s">
        <v>10572</v>
      </c>
      <c r="OCJ1" s="65" t="s">
        <v>10573</v>
      </c>
      <c r="OCK1" s="65" t="s">
        <v>10574</v>
      </c>
      <c r="OCL1" s="65" t="s">
        <v>10575</v>
      </c>
      <c r="OCM1" s="65" t="s">
        <v>10576</v>
      </c>
      <c r="OCN1" s="65" t="s">
        <v>10577</v>
      </c>
      <c r="OCO1" s="65" t="s">
        <v>10578</v>
      </c>
      <c r="OCP1" s="65" t="s">
        <v>10579</v>
      </c>
      <c r="OCQ1" s="65" t="s">
        <v>10580</v>
      </c>
      <c r="OCR1" s="65" t="s">
        <v>10581</v>
      </c>
      <c r="OCS1" s="65" t="s">
        <v>10582</v>
      </c>
      <c r="OCT1" s="65" t="s">
        <v>10583</v>
      </c>
      <c r="OCU1" s="65" t="s">
        <v>10584</v>
      </c>
      <c r="OCV1" s="65" t="s">
        <v>10585</v>
      </c>
      <c r="OCW1" s="65" t="s">
        <v>10586</v>
      </c>
      <c r="OCX1" s="65" t="s">
        <v>10587</v>
      </c>
      <c r="OCY1" s="65" t="s">
        <v>10588</v>
      </c>
      <c r="OCZ1" s="65" t="s">
        <v>10589</v>
      </c>
      <c r="ODA1" s="65" t="s">
        <v>10590</v>
      </c>
      <c r="ODB1" s="65" t="s">
        <v>10591</v>
      </c>
      <c r="ODC1" s="65" t="s">
        <v>10592</v>
      </c>
      <c r="ODD1" s="65" t="s">
        <v>10593</v>
      </c>
      <c r="ODE1" s="65" t="s">
        <v>10594</v>
      </c>
      <c r="ODF1" s="65" t="s">
        <v>10595</v>
      </c>
      <c r="ODG1" s="65" t="s">
        <v>10596</v>
      </c>
      <c r="ODH1" s="65" t="s">
        <v>10597</v>
      </c>
      <c r="ODI1" s="65" t="s">
        <v>10598</v>
      </c>
      <c r="ODJ1" s="65" t="s">
        <v>10599</v>
      </c>
      <c r="ODK1" s="65" t="s">
        <v>10600</v>
      </c>
      <c r="ODL1" s="65" t="s">
        <v>10601</v>
      </c>
      <c r="ODM1" s="65" t="s">
        <v>10602</v>
      </c>
      <c r="ODN1" s="65" t="s">
        <v>10603</v>
      </c>
      <c r="ODO1" s="65" t="s">
        <v>10604</v>
      </c>
      <c r="ODP1" s="65" t="s">
        <v>10605</v>
      </c>
      <c r="ODQ1" s="65" t="s">
        <v>10606</v>
      </c>
      <c r="ODR1" s="65" t="s">
        <v>10607</v>
      </c>
      <c r="ODS1" s="65" t="s">
        <v>10608</v>
      </c>
      <c r="ODT1" s="65" t="s">
        <v>10609</v>
      </c>
      <c r="ODU1" s="65" t="s">
        <v>10610</v>
      </c>
      <c r="ODV1" s="65" t="s">
        <v>10611</v>
      </c>
      <c r="ODW1" s="65" t="s">
        <v>10612</v>
      </c>
      <c r="ODX1" s="65" t="s">
        <v>10613</v>
      </c>
      <c r="ODY1" s="65" t="s">
        <v>10614</v>
      </c>
      <c r="ODZ1" s="65" t="s">
        <v>10615</v>
      </c>
      <c r="OEA1" s="65" t="s">
        <v>10616</v>
      </c>
      <c r="OEB1" s="65" t="s">
        <v>10617</v>
      </c>
      <c r="OEC1" s="65" t="s">
        <v>10618</v>
      </c>
      <c r="OED1" s="65" t="s">
        <v>10619</v>
      </c>
      <c r="OEE1" s="65" t="s">
        <v>10620</v>
      </c>
      <c r="OEF1" s="65" t="s">
        <v>10621</v>
      </c>
      <c r="OEG1" s="65" t="s">
        <v>10622</v>
      </c>
      <c r="OEH1" s="65" t="s">
        <v>10623</v>
      </c>
      <c r="OEI1" s="65" t="s">
        <v>10624</v>
      </c>
      <c r="OEJ1" s="65" t="s">
        <v>10625</v>
      </c>
      <c r="OEK1" s="65" t="s">
        <v>10626</v>
      </c>
      <c r="OEL1" s="65" t="s">
        <v>10627</v>
      </c>
      <c r="OEM1" s="65" t="s">
        <v>10628</v>
      </c>
      <c r="OEN1" s="65" t="s">
        <v>10629</v>
      </c>
      <c r="OEO1" s="65" t="s">
        <v>10630</v>
      </c>
      <c r="OEP1" s="65" t="s">
        <v>10631</v>
      </c>
      <c r="OEQ1" s="65" t="s">
        <v>10632</v>
      </c>
      <c r="OER1" s="65" t="s">
        <v>10633</v>
      </c>
      <c r="OES1" s="65" t="s">
        <v>10634</v>
      </c>
      <c r="OET1" s="65" t="s">
        <v>10635</v>
      </c>
      <c r="OEU1" s="65" t="s">
        <v>10636</v>
      </c>
      <c r="OEV1" s="65" t="s">
        <v>10637</v>
      </c>
      <c r="OEW1" s="65" t="s">
        <v>10638</v>
      </c>
      <c r="OEX1" s="65" t="s">
        <v>10639</v>
      </c>
      <c r="OEY1" s="65" t="s">
        <v>10640</v>
      </c>
      <c r="OEZ1" s="65" t="s">
        <v>10641</v>
      </c>
      <c r="OFA1" s="65" t="s">
        <v>10642</v>
      </c>
      <c r="OFB1" s="65" t="s">
        <v>10643</v>
      </c>
      <c r="OFC1" s="65" t="s">
        <v>10644</v>
      </c>
      <c r="OFD1" s="65" t="s">
        <v>10645</v>
      </c>
      <c r="OFE1" s="65" t="s">
        <v>10646</v>
      </c>
      <c r="OFF1" s="65" t="s">
        <v>10647</v>
      </c>
      <c r="OFG1" s="65" t="s">
        <v>10648</v>
      </c>
      <c r="OFH1" s="65" t="s">
        <v>10649</v>
      </c>
      <c r="OFI1" s="65" t="s">
        <v>10650</v>
      </c>
      <c r="OFJ1" s="65" t="s">
        <v>10651</v>
      </c>
      <c r="OFK1" s="65" t="s">
        <v>10652</v>
      </c>
      <c r="OFL1" s="65" t="s">
        <v>10653</v>
      </c>
      <c r="OFM1" s="65" t="s">
        <v>10654</v>
      </c>
      <c r="OFN1" s="65" t="s">
        <v>10655</v>
      </c>
      <c r="OFO1" s="65" t="s">
        <v>10656</v>
      </c>
      <c r="OFP1" s="65" t="s">
        <v>10657</v>
      </c>
      <c r="OFQ1" s="65" t="s">
        <v>10658</v>
      </c>
      <c r="OFR1" s="65" t="s">
        <v>10659</v>
      </c>
      <c r="OFS1" s="65" t="s">
        <v>10660</v>
      </c>
      <c r="OFT1" s="65" t="s">
        <v>10661</v>
      </c>
      <c r="OFU1" s="65" t="s">
        <v>10662</v>
      </c>
      <c r="OFV1" s="65" t="s">
        <v>10663</v>
      </c>
      <c r="OFW1" s="65" t="s">
        <v>10664</v>
      </c>
      <c r="OFX1" s="65" t="s">
        <v>10665</v>
      </c>
      <c r="OFY1" s="65" t="s">
        <v>10666</v>
      </c>
      <c r="OFZ1" s="65" t="s">
        <v>10667</v>
      </c>
      <c r="OGA1" s="65" t="s">
        <v>10668</v>
      </c>
      <c r="OGB1" s="65" t="s">
        <v>10669</v>
      </c>
      <c r="OGC1" s="65" t="s">
        <v>10670</v>
      </c>
      <c r="OGD1" s="65" t="s">
        <v>10671</v>
      </c>
      <c r="OGE1" s="65" t="s">
        <v>10672</v>
      </c>
      <c r="OGF1" s="65" t="s">
        <v>10673</v>
      </c>
      <c r="OGG1" s="65" t="s">
        <v>10674</v>
      </c>
      <c r="OGH1" s="65" t="s">
        <v>10675</v>
      </c>
      <c r="OGI1" s="65" t="s">
        <v>10676</v>
      </c>
      <c r="OGJ1" s="65" t="s">
        <v>10677</v>
      </c>
      <c r="OGK1" s="65" t="s">
        <v>10678</v>
      </c>
      <c r="OGL1" s="65" t="s">
        <v>10679</v>
      </c>
      <c r="OGM1" s="65" t="s">
        <v>10680</v>
      </c>
      <c r="OGN1" s="65" t="s">
        <v>10681</v>
      </c>
      <c r="OGO1" s="65" t="s">
        <v>10682</v>
      </c>
      <c r="OGP1" s="65" t="s">
        <v>10683</v>
      </c>
      <c r="OGQ1" s="65" t="s">
        <v>10684</v>
      </c>
      <c r="OGR1" s="65" t="s">
        <v>10685</v>
      </c>
      <c r="OGS1" s="65" t="s">
        <v>10686</v>
      </c>
      <c r="OGT1" s="65" t="s">
        <v>10687</v>
      </c>
      <c r="OGU1" s="65" t="s">
        <v>10688</v>
      </c>
      <c r="OGV1" s="65" t="s">
        <v>10689</v>
      </c>
      <c r="OGW1" s="65" t="s">
        <v>10690</v>
      </c>
      <c r="OGX1" s="65" t="s">
        <v>10691</v>
      </c>
      <c r="OGY1" s="65" t="s">
        <v>10692</v>
      </c>
      <c r="OGZ1" s="65" t="s">
        <v>10693</v>
      </c>
      <c r="OHA1" s="65" t="s">
        <v>10694</v>
      </c>
      <c r="OHB1" s="65" t="s">
        <v>10695</v>
      </c>
      <c r="OHC1" s="65" t="s">
        <v>10696</v>
      </c>
      <c r="OHD1" s="65" t="s">
        <v>10697</v>
      </c>
      <c r="OHE1" s="65" t="s">
        <v>10698</v>
      </c>
      <c r="OHF1" s="65" t="s">
        <v>10699</v>
      </c>
      <c r="OHG1" s="65" t="s">
        <v>10700</v>
      </c>
      <c r="OHH1" s="65" t="s">
        <v>10701</v>
      </c>
      <c r="OHI1" s="65" t="s">
        <v>10702</v>
      </c>
      <c r="OHJ1" s="65" t="s">
        <v>10703</v>
      </c>
      <c r="OHK1" s="65" t="s">
        <v>10704</v>
      </c>
      <c r="OHL1" s="65" t="s">
        <v>10705</v>
      </c>
      <c r="OHM1" s="65" t="s">
        <v>10706</v>
      </c>
      <c r="OHN1" s="65" t="s">
        <v>10707</v>
      </c>
      <c r="OHO1" s="65" t="s">
        <v>10708</v>
      </c>
      <c r="OHP1" s="65" t="s">
        <v>10709</v>
      </c>
      <c r="OHQ1" s="65" t="s">
        <v>10710</v>
      </c>
      <c r="OHR1" s="65" t="s">
        <v>10711</v>
      </c>
      <c r="OHS1" s="65" t="s">
        <v>10712</v>
      </c>
      <c r="OHT1" s="65" t="s">
        <v>10713</v>
      </c>
      <c r="OHU1" s="65" t="s">
        <v>10714</v>
      </c>
      <c r="OHV1" s="65" t="s">
        <v>10715</v>
      </c>
      <c r="OHW1" s="65" t="s">
        <v>10716</v>
      </c>
      <c r="OHX1" s="65" t="s">
        <v>10717</v>
      </c>
      <c r="OHY1" s="65" t="s">
        <v>10718</v>
      </c>
      <c r="OHZ1" s="65" t="s">
        <v>10719</v>
      </c>
      <c r="OIA1" s="65" t="s">
        <v>10720</v>
      </c>
      <c r="OIB1" s="65" t="s">
        <v>10721</v>
      </c>
      <c r="OIC1" s="65" t="s">
        <v>10722</v>
      </c>
      <c r="OID1" s="65" t="s">
        <v>10723</v>
      </c>
      <c r="OIE1" s="65" t="s">
        <v>10724</v>
      </c>
      <c r="OIF1" s="65" t="s">
        <v>10725</v>
      </c>
      <c r="OIG1" s="65" t="s">
        <v>10726</v>
      </c>
      <c r="OIH1" s="65" t="s">
        <v>10727</v>
      </c>
      <c r="OII1" s="65" t="s">
        <v>10728</v>
      </c>
      <c r="OIJ1" s="65" t="s">
        <v>10729</v>
      </c>
      <c r="OIK1" s="65" t="s">
        <v>10730</v>
      </c>
      <c r="OIL1" s="65" t="s">
        <v>10731</v>
      </c>
      <c r="OIM1" s="65" t="s">
        <v>10732</v>
      </c>
      <c r="OIN1" s="65" t="s">
        <v>10733</v>
      </c>
      <c r="OIO1" s="65" t="s">
        <v>10734</v>
      </c>
      <c r="OIP1" s="65" t="s">
        <v>10735</v>
      </c>
      <c r="OIQ1" s="65" t="s">
        <v>10736</v>
      </c>
      <c r="OIR1" s="65" t="s">
        <v>10737</v>
      </c>
      <c r="OIS1" s="65" t="s">
        <v>10738</v>
      </c>
      <c r="OIT1" s="65" t="s">
        <v>10739</v>
      </c>
      <c r="OIU1" s="65" t="s">
        <v>10740</v>
      </c>
      <c r="OIV1" s="65" t="s">
        <v>10741</v>
      </c>
      <c r="OIW1" s="65" t="s">
        <v>10742</v>
      </c>
      <c r="OIX1" s="65" t="s">
        <v>10743</v>
      </c>
      <c r="OIY1" s="65" t="s">
        <v>10744</v>
      </c>
      <c r="OIZ1" s="65" t="s">
        <v>10745</v>
      </c>
      <c r="OJA1" s="65" t="s">
        <v>10746</v>
      </c>
      <c r="OJB1" s="65" t="s">
        <v>10747</v>
      </c>
      <c r="OJC1" s="65" t="s">
        <v>10748</v>
      </c>
      <c r="OJD1" s="65" t="s">
        <v>10749</v>
      </c>
      <c r="OJE1" s="65" t="s">
        <v>10750</v>
      </c>
      <c r="OJF1" s="65" t="s">
        <v>10751</v>
      </c>
      <c r="OJG1" s="65" t="s">
        <v>10752</v>
      </c>
      <c r="OJH1" s="65" t="s">
        <v>10753</v>
      </c>
      <c r="OJI1" s="65" t="s">
        <v>10754</v>
      </c>
      <c r="OJJ1" s="65" t="s">
        <v>10755</v>
      </c>
      <c r="OJK1" s="65" t="s">
        <v>10756</v>
      </c>
      <c r="OJL1" s="65" t="s">
        <v>10757</v>
      </c>
      <c r="OJM1" s="65" t="s">
        <v>10758</v>
      </c>
      <c r="OJN1" s="65" t="s">
        <v>10759</v>
      </c>
      <c r="OJO1" s="65" t="s">
        <v>10760</v>
      </c>
      <c r="OJP1" s="65" t="s">
        <v>10761</v>
      </c>
      <c r="OJQ1" s="65" t="s">
        <v>10762</v>
      </c>
      <c r="OJR1" s="65" t="s">
        <v>10763</v>
      </c>
      <c r="OJS1" s="65" t="s">
        <v>10764</v>
      </c>
      <c r="OJT1" s="65" t="s">
        <v>10765</v>
      </c>
      <c r="OJU1" s="65" t="s">
        <v>10766</v>
      </c>
      <c r="OJV1" s="65" t="s">
        <v>10767</v>
      </c>
      <c r="OJW1" s="65" t="s">
        <v>10768</v>
      </c>
      <c r="OJX1" s="65" t="s">
        <v>10769</v>
      </c>
      <c r="OJY1" s="65" t="s">
        <v>10770</v>
      </c>
      <c r="OJZ1" s="65" t="s">
        <v>10771</v>
      </c>
      <c r="OKA1" s="65" t="s">
        <v>10772</v>
      </c>
      <c r="OKB1" s="65" t="s">
        <v>10773</v>
      </c>
      <c r="OKC1" s="65" t="s">
        <v>10774</v>
      </c>
      <c r="OKD1" s="65" t="s">
        <v>10775</v>
      </c>
      <c r="OKE1" s="65" t="s">
        <v>10776</v>
      </c>
      <c r="OKF1" s="65" t="s">
        <v>10777</v>
      </c>
      <c r="OKG1" s="65" t="s">
        <v>10778</v>
      </c>
      <c r="OKH1" s="65" t="s">
        <v>10779</v>
      </c>
      <c r="OKI1" s="65" t="s">
        <v>10780</v>
      </c>
      <c r="OKJ1" s="65" t="s">
        <v>10781</v>
      </c>
      <c r="OKK1" s="65" t="s">
        <v>10782</v>
      </c>
      <c r="OKL1" s="65" t="s">
        <v>10783</v>
      </c>
      <c r="OKM1" s="65" t="s">
        <v>10784</v>
      </c>
      <c r="OKN1" s="65" t="s">
        <v>10785</v>
      </c>
      <c r="OKO1" s="65" t="s">
        <v>10786</v>
      </c>
      <c r="OKP1" s="65" t="s">
        <v>10787</v>
      </c>
      <c r="OKQ1" s="65" t="s">
        <v>10788</v>
      </c>
      <c r="OKR1" s="65" t="s">
        <v>10789</v>
      </c>
      <c r="OKS1" s="65" t="s">
        <v>10790</v>
      </c>
      <c r="OKT1" s="65" t="s">
        <v>10791</v>
      </c>
      <c r="OKU1" s="65" t="s">
        <v>10792</v>
      </c>
      <c r="OKV1" s="65" t="s">
        <v>10793</v>
      </c>
      <c r="OKW1" s="65" t="s">
        <v>10794</v>
      </c>
      <c r="OKX1" s="65" t="s">
        <v>10795</v>
      </c>
      <c r="OKY1" s="65" t="s">
        <v>10796</v>
      </c>
      <c r="OKZ1" s="65" t="s">
        <v>10797</v>
      </c>
      <c r="OLA1" s="65" t="s">
        <v>10798</v>
      </c>
      <c r="OLB1" s="65" t="s">
        <v>10799</v>
      </c>
      <c r="OLC1" s="65" t="s">
        <v>10800</v>
      </c>
      <c r="OLD1" s="65" t="s">
        <v>10801</v>
      </c>
      <c r="OLE1" s="65" t="s">
        <v>10802</v>
      </c>
      <c r="OLF1" s="65" t="s">
        <v>10803</v>
      </c>
      <c r="OLG1" s="65" t="s">
        <v>10804</v>
      </c>
      <c r="OLH1" s="65" t="s">
        <v>10805</v>
      </c>
      <c r="OLI1" s="65" t="s">
        <v>10806</v>
      </c>
      <c r="OLJ1" s="65" t="s">
        <v>10807</v>
      </c>
      <c r="OLK1" s="65" t="s">
        <v>10808</v>
      </c>
      <c r="OLL1" s="65" t="s">
        <v>10809</v>
      </c>
      <c r="OLM1" s="65" t="s">
        <v>10810</v>
      </c>
      <c r="OLN1" s="65" t="s">
        <v>10811</v>
      </c>
      <c r="OLO1" s="65" t="s">
        <v>10812</v>
      </c>
      <c r="OLP1" s="65" t="s">
        <v>10813</v>
      </c>
      <c r="OLQ1" s="65" t="s">
        <v>10814</v>
      </c>
      <c r="OLR1" s="65" t="s">
        <v>10815</v>
      </c>
      <c r="OLS1" s="65" t="s">
        <v>10816</v>
      </c>
      <c r="OLT1" s="65" t="s">
        <v>10817</v>
      </c>
      <c r="OLU1" s="65" t="s">
        <v>10818</v>
      </c>
      <c r="OLV1" s="65" t="s">
        <v>10819</v>
      </c>
      <c r="OLW1" s="65" t="s">
        <v>10820</v>
      </c>
      <c r="OLX1" s="65" t="s">
        <v>10821</v>
      </c>
      <c r="OLY1" s="65" t="s">
        <v>10822</v>
      </c>
      <c r="OLZ1" s="65" t="s">
        <v>10823</v>
      </c>
      <c r="OMA1" s="65" t="s">
        <v>10824</v>
      </c>
      <c r="OMB1" s="65" t="s">
        <v>10825</v>
      </c>
      <c r="OMC1" s="65" t="s">
        <v>10826</v>
      </c>
      <c r="OMD1" s="65" t="s">
        <v>10827</v>
      </c>
      <c r="OME1" s="65" t="s">
        <v>10828</v>
      </c>
      <c r="OMF1" s="65" t="s">
        <v>10829</v>
      </c>
      <c r="OMG1" s="65" t="s">
        <v>10830</v>
      </c>
      <c r="OMH1" s="65" t="s">
        <v>10831</v>
      </c>
      <c r="OMI1" s="65" t="s">
        <v>10832</v>
      </c>
      <c r="OMJ1" s="65" t="s">
        <v>10833</v>
      </c>
      <c r="OMK1" s="65" t="s">
        <v>10834</v>
      </c>
      <c r="OML1" s="65" t="s">
        <v>10835</v>
      </c>
      <c r="OMM1" s="65" t="s">
        <v>10836</v>
      </c>
      <c r="OMN1" s="65" t="s">
        <v>10837</v>
      </c>
      <c r="OMO1" s="65" t="s">
        <v>10838</v>
      </c>
      <c r="OMP1" s="65" t="s">
        <v>10839</v>
      </c>
      <c r="OMQ1" s="65" t="s">
        <v>10840</v>
      </c>
      <c r="OMR1" s="65" t="s">
        <v>10841</v>
      </c>
      <c r="OMS1" s="65" t="s">
        <v>10842</v>
      </c>
      <c r="OMT1" s="65" t="s">
        <v>10843</v>
      </c>
      <c r="OMU1" s="65" t="s">
        <v>10844</v>
      </c>
      <c r="OMV1" s="65" t="s">
        <v>10845</v>
      </c>
      <c r="OMW1" s="65" t="s">
        <v>10846</v>
      </c>
      <c r="OMX1" s="65" t="s">
        <v>10847</v>
      </c>
      <c r="OMY1" s="65" t="s">
        <v>10848</v>
      </c>
      <c r="OMZ1" s="65" t="s">
        <v>10849</v>
      </c>
      <c r="ONA1" s="65" t="s">
        <v>10850</v>
      </c>
      <c r="ONB1" s="65" t="s">
        <v>10851</v>
      </c>
      <c r="ONC1" s="65" t="s">
        <v>10852</v>
      </c>
      <c r="OND1" s="65" t="s">
        <v>10853</v>
      </c>
      <c r="ONE1" s="65" t="s">
        <v>10854</v>
      </c>
      <c r="ONF1" s="65" t="s">
        <v>10855</v>
      </c>
      <c r="ONG1" s="65" t="s">
        <v>10856</v>
      </c>
      <c r="ONH1" s="65" t="s">
        <v>10857</v>
      </c>
      <c r="ONI1" s="65" t="s">
        <v>10858</v>
      </c>
      <c r="ONJ1" s="65" t="s">
        <v>10859</v>
      </c>
      <c r="ONK1" s="65" t="s">
        <v>10860</v>
      </c>
      <c r="ONL1" s="65" t="s">
        <v>10861</v>
      </c>
      <c r="ONM1" s="65" t="s">
        <v>10862</v>
      </c>
      <c r="ONN1" s="65" t="s">
        <v>10863</v>
      </c>
      <c r="ONO1" s="65" t="s">
        <v>10864</v>
      </c>
      <c r="ONP1" s="65" t="s">
        <v>10865</v>
      </c>
      <c r="ONQ1" s="65" t="s">
        <v>10866</v>
      </c>
      <c r="ONR1" s="65" t="s">
        <v>10867</v>
      </c>
      <c r="ONS1" s="65" t="s">
        <v>10868</v>
      </c>
      <c r="ONT1" s="65" t="s">
        <v>10869</v>
      </c>
      <c r="ONU1" s="65" t="s">
        <v>10870</v>
      </c>
      <c r="ONV1" s="65" t="s">
        <v>10871</v>
      </c>
      <c r="ONW1" s="65" t="s">
        <v>10872</v>
      </c>
      <c r="ONX1" s="65" t="s">
        <v>10873</v>
      </c>
      <c r="ONY1" s="65" t="s">
        <v>10874</v>
      </c>
      <c r="ONZ1" s="65" t="s">
        <v>10875</v>
      </c>
      <c r="OOA1" s="65" t="s">
        <v>10876</v>
      </c>
      <c r="OOB1" s="65" t="s">
        <v>10877</v>
      </c>
      <c r="OOC1" s="65" t="s">
        <v>10878</v>
      </c>
      <c r="OOD1" s="65" t="s">
        <v>10879</v>
      </c>
      <c r="OOE1" s="65" t="s">
        <v>10880</v>
      </c>
      <c r="OOF1" s="65" t="s">
        <v>10881</v>
      </c>
      <c r="OOG1" s="65" t="s">
        <v>10882</v>
      </c>
      <c r="OOH1" s="65" t="s">
        <v>10883</v>
      </c>
      <c r="OOI1" s="65" t="s">
        <v>10884</v>
      </c>
      <c r="OOJ1" s="65" t="s">
        <v>10885</v>
      </c>
      <c r="OOK1" s="65" t="s">
        <v>10886</v>
      </c>
      <c r="OOL1" s="65" t="s">
        <v>10887</v>
      </c>
      <c r="OOM1" s="65" t="s">
        <v>10888</v>
      </c>
      <c r="OON1" s="65" t="s">
        <v>10889</v>
      </c>
      <c r="OOO1" s="65" t="s">
        <v>10890</v>
      </c>
      <c r="OOP1" s="65" t="s">
        <v>10891</v>
      </c>
      <c r="OOQ1" s="65" t="s">
        <v>10892</v>
      </c>
      <c r="OOR1" s="65" t="s">
        <v>10893</v>
      </c>
      <c r="OOS1" s="65" t="s">
        <v>10894</v>
      </c>
      <c r="OOT1" s="65" t="s">
        <v>10895</v>
      </c>
      <c r="OOU1" s="65" t="s">
        <v>10896</v>
      </c>
      <c r="OOV1" s="65" t="s">
        <v>10897</v>
      </c>
      <c r="OOW1" s="65" t="s">
        <v>10898</v>
      </c>
      <c r="OOX1" s="65" t="s">
        <v>10899</v>
      </c>
      <c r="OOY1" s="65" t="s">
        <v>10900</v>
      </c>
      <c r="OOZ1" s="65" t="s">
        <v>10901</v>
      </c>
      <c r="OPA1" s="65" t="s">
        <v>10902</v>
      </c>
      <c r="OPB1" s="65" t="s">
        <v>10903</v>
      </c>
      <c r="OPC1" s="65" t="s">
        <v>10904</v>
      </c>
      <c r="OPD1" s="65" t="s">
        <v>10905</v>
      </c>
      <c r="OPE1" s="65" t="s">
        <v>10906</v>
      </c>
      <c r="OPF1" s="65" t="s">
        <v>10907</v>
      </c>
      <c r="OPG1" s="65" t="s">
        <v>10908</v>
      </c>
      <c r="OPH1" s="65" t="s">
        <v>10909</v>
      </c>
      <c r="OPI1" s="65" t="s">
        <v>10910</v>
      </c>
      <c r="OPJ1" s="65" t="s">
        <v>10911</v>
      </c>
      <c r="OPK1" s="65" t="s">
        <v>10912</v>
      </c>
      <c r="OPL1" s="65" t="s">
        <v>10913</v>
      </c>
      <c r="OPM1" s="65" t="s">
        <v>10914</v>
      </c>
      <c r="OPN1" s="65" t="s">
        <v>10915</v>
      </c>
      <c r="OPO1" s="65" t="s">
        <v>10916</v>
      </c>
      <c r="OPP1" s="65" t="s">
        <v>10917</v>
      </c>
      <c r="OPQ1" s="65" t="s">
        <v>10918</v>
      </c>
      <c r="OPR1" s="65" t="s">
        <v>10919</v>
      </c>
      <c r="OPS1" s="65" t="s">
        <v>10920</v>
      </c>
      <c r="OPT1" s="65" t="s">
        <v>10921</v>
      </c>
      <c r="OPU1" s="65" t="s">
        <v>10922</v>
      </c>
      <c r="OPV1" s="65" t="s">
        <v>10923</v>
      </c>
      <c r="OPW1" s="65" t="s">
        <v>10924</v>
      </c>
      <c r="OPX1" s="65" t="s">
        <v>10925</v>
      </c>
      <c r="OPY1" s="65" t="s">
        <v>10926</v>
      </c>
      <c r="OPZ1" s="65" t="s">
        <v>10927</v>
      </c>
      <c r="OQA1" s="65" t="s">
        <v>10928</v>
      </c>
      <c r="OQB1" s="65" t="s">
        <v>10929</v>
      </c>
      <c r="OQC1" s="65" t="s">
        <v>10930</v>
      </c>
      <c r="OQD1" s="65" t="s">
        <v>10931</v>
      </c>
      <c r="OQE1" s="65" t="s">
        <v>10932</v>
      </c>
      <c r="OQF1" s="65" t="s">
        <v>10933</v>
      </c>
      <c r="OQG1" s="65" t="s">
        <v>10934</v>
      </c>
      <c r="OQH1" s="65" t="s">
        <v>10935</v>
      </c>
      <c r="OQI1" s="65" t="s">
        <v>10936</v>
      </c>
      <c r="OQJ1" s="65" t="s">
        <v>10937</v>
      </c>
      <c r="OQK1" s="65" t="s">
        <v>10938</v>
      </c>
      <c r="OQL1" s="65" t="s">
        <v>10939</v>
      </c>
      <c r="OQM1" s="65" t="s">
        <v>10940</v>
      </c>
      <c r="OQN1" s="65" t="s">
        <v>10941</v>
      </c>
      <c r="OQO1" s="65" t="s">
        <v>10942</v>
      </c>
      <c r="OQP1" s="65" t="s">
        <v>10943</v>
      </c>
      <c r="OQQ1" s="65" t="s">
        <v>10944</v>
      </c>
      <c r="OQR1" s="65" t="s">
        <v>10945</v>
      </c>
      <c r="OQS1" s="65" t="s">
        <v>10946</v>
      </c>
      <c r="OQT1" s="65" t="s">
        <v>10947</v>
      </c>
      <c r="OQU1" s="65" t="s">
        <v>10948</v>
      </c>
      <c r="OQV1" s="65" t="s">
        <v>10949</v>
      </c>
      <c r="OQW1" s="65" t="s">
        <v>10950</v>
      </c>
      <c r="OQX1" s="65" t="s">
        <v>10951</v>
      </c>
      <c r="OQY1" s="65" t="s">
        <v>10952</v>
      </c>
      <c r="OQZ1" s="65" t="s">
        <v>10953</v>
      </c>
      <c r="ORA1" s="65" t="s">
        <v>10954</v>
      </c>
      <c r="ORB1" s="65" t="s">
        <v>10955</v>
      </c>
      <c r="ORC1" s="65" t="s">
        <v>10956</v>
      </c>
      <c r="ORD1" s="65" t="s">
        <v>10957</v>
      </c>
      <c r="ORE1" s="65" t="s">
        <v>10958</v>
      </c>
      <c r="ORF1" s="65" t="s">
        <v>10959</v>
      </c>
      <c r="ORG1" s="65" t="s">
        <v>10960</v>
      </c>
      <c r="ORH1" s="65" t="s">
        <v>10961</v>
      </c>
      <c r="ORI1" s="65" t="s">
        <v>10962</v>
      </c>
      <c r="ORJ1" s="65" t="s">
        <v>10963</v>
      </c>
      <c r="ORK1" s="65" t="s">
        <v>10964</v>
      </c>
      <c r="ORL1" s="65" t="s">
        <v>10965</v>
      </c>
      <c r="ORM1" s="65" t="s">
        <v>10966</v>
      </c>
      <c r="ORN1" s="65" t="s">
        <v>10967</v>
      </c>
      <c r="ORO1" s="65" t="s">
        <v>10968</v>
      </c>
      <c r="ORP1" s="65" t="s">
        <v>10969</v>
      </c>
      <c r="ORQ1" s="65" t="s">
        <v>10970</v>
      </c>
      <c r="ORR1" s="65" t="s">
        <v>10971</v>
      </c>
      <c r="ORS1" s="65" t="s">
        <v>10972</v>
      </c>
      <c r="ORT1" s="65" t="s">
        <v>10973</v>
      </c>
      <c r="ORU1" s="65" t="s">
        <v>10974</v>
      </c>
      <c r="ORV1" s="65" t="s">
        <v>10975</v>
      </c>
      <c r="ORW1" s="65" t="s">
        <v>10976</v>
      </c>
      <c r="ORX1" s="65" t="s">
        <v>10977</v>
      </c>
      <c r="ORY1" s="65" t="s">
        <v>10978</v>
      </c>
      <c r="ORZ1" s="65" t="s">
        <v>10979</v>
      </c>
      <c r="OSA1" s="65" t="s">
        <v>10980</v>
      </c>
      <c r="OSB1" s="65" t="s">
        <v>10981</v>
      </c>
      <c r="OSC1" s="65" t="s">
        <v>10982</v>
      </c>
      <c r="OSD1" s="65" t="s">
        <v>10983</v>
      </c>
      <c r="OSE1" s="65" t="s">
        <v>10984</v>
      </c>
      <c r="OSF1" s="65" t="s">
        <v>10985</v>
      </c>
      <c r="OSG1" s="65" t="s">
        <v>10986</v>
      </c>
      <c r="OSH1" s="65" t="s">
        <v>10987</v>
      </c>
      <c r="OSI1" s="65" t="s">
        <v>10988</v>
      </c>
      <c r="OSJ1" s="65" t="s">
        <v>10989</v>
      </c>
      <c r="OSK1" s="65" t="s">
        <v>10990</v>
      </c>
      <c r="OSL1" s="65" t="s">
        <v>10991</v>
      </c>
      <c r="OSM1" s="65" t="s">
        <v>10992</v>
      </c>
      <c r="OSN1" s="65" t="s">
        <v>10993</v>
      </c>
      <c r="OSO1" s="65" t="s">
        <v>10994</v>
      </c>
      <c r="OSP1" s="65" t="s">
        <v>10995</v>
      </c>
      <c r="OSQ1" s="65" t="s">
        <v>10996</v>
      </c>
      <c r="OSR1" s="65" t="s">
        <v>10997</v>
      </c>
      <c r="OSS1" s="65" t="s">
        <v>10998</v>
      </c>
      <c r="OST1" s="65" t="s">
        <v>10999</v>
      </c>
      <c r="OSU1" s="65" t="s">
        <v>11000</v>
      </c>
      <c r="OSV1" s="65" t="s">
        <v>11001</v>
      </c>
      <c r="OSW1" s="65" t="s">
        <v>11002</v>
      </c>
      <c r="OSX1" s="65" t="s">
        <v>11003</v>
      </c>
      <c r="OSY1" s="65" t="s">
        <v>11004</v>
      </c>
      <c r="OSZ1" s="65" t="s">
        <v>11005</v>
      </c>
      <c r="OTA1" s="65" t="s">
        <v>11006</v>
      </c>
      <c r="OTB1" s="65" t="s">
        <v>11007</v>
      </c>
      <c r="OTC1" s="65" t="s">
        <v>11008</v>
      </c>
      <c r="OTD1" s="65" t="s">
        <v>11009</v>
      </c>
      <c r="OTE1" s="65" t="s">
        <v>11010</v>
      </c>
      <c r="OTF1" s="65" t="s">
        <v>11011</v>
      </c>
      <c r="OTG1" s="65" t="s">
        <v>11012</v>
      </c>
      <c r="OTH1" s="65" t="s">
        <v>11013</v>
      </c>
      <c r="OTI1" s="65" t="s">
        <v>11014</v>
      </c>
      <c r="OTJ1" s="65" t="s">
        <v>11015</v>
      </c>
      <c r="OTK1" s="65" t="s">
        <v>11016</v>
      </c>
      <c r="OTL1" s="65" t="s">
        <v>11017</v>
      </c>
      <c r="OTM1" s="65" t="s">
        <v>11018</v>
      </c>
      <c r="OTN1" s="65" t="s">
        <v>11019</v>
      </c>
      <c r="OTO1" s="65" t="s">
        <v>11020</v>
      </c>
      <c r="OTP1" s="65" t="s">
        <v>11021</v>
      </c>
      <c r="OTQ1" s="65" t="s">
        <v>11022</v>
      </c>
      <c r="OTR1" s="65" t="s">
        <v>11023</v>
      </c>
      <c r="OTS1" s="65" t="s">
        <v>11024</v>
      </c>
      <c r="OTT1" s="65" t="s">
        <v>11025</v>
      </c>
      <c r="OTU1" s="65" t="s">
        <v>11026</v>
      </c>
      <c r="OTV1" s="65" t="s">
        <v>11027</v>
      </c>
      <c r="OTW1" s="65" t="s">
        <v>11028</v>
      </c>
      <c r="OTX1" s="65" t="s">
        <v>11029</v>
      </c>
      <c r="OTY1" s="65" t="s">
        <v>11030</v>
      </c>
      <c r="OTZ1" s="65" t="s">
        <v>11031</v>
      </c>
      <c r="OUA1" s="65" t="s">
        <v>11032</v>
      </c>
      <c r="OUB1" s="65" t="s">
        <v>11033</v>
      </c>
      <c r="OUC1" s="65" t="s">
        <v>11034</v>
      </c>
      <c r="OUD1" s="65" t="s">
        <v>11035</v>
      </c>
      <c r="OUE1" s="65" t="s">
        <v>11036</v>
      </c>
      <c r="OUF1" s="65" t="s">
        <v>11037</v>
      </c>
      <c r="OUG1" s="65" t="s">
        <v>11038</v>
      </c>
      <c r="OUH1" s="65" t="s">
        <v>11039</v>
      </c>
      <c r="OUI1" s="65" t="s">
        <v>11040</v>
      </c>
      <c r="OUJ1" s="65" t="s">
        <v>11041</v>
      </c>
      <c r="OUK1" s="65" t="s">
        <v>11042</v>
      </c>
      <c r="OUL1" s="65" t="s">
        <v>11043</v>
      </c>
      <c r="OUM1" s="65" t="s">
        <v>11044</v>
      </c>
      <c r="OUN1" s="65" t="s">
        <v>11045</v>
      </c>
      <c r="OUO1" s="65" t="s">
        <v>11046</v>
      </c>
      <c r="OUP1" s="65" t="s">
        <v>11047</v>
      </c>
      <c r="OUQ1" s="65" t="s">
        <v>11048</v>
      </c>
      <c r="OUR1" s="65" t="s">
        <v>11049</v>
      </c>
      <c r="OUS1" s="65" t="s">
        <v>11050</v>
      </c>
      <c r="OUT1" s="65" t="s">
        <v>11051</v>
      </c>
      <c r="OUU1" s="65" t="s">
        <v>11052</v>
      </c>
      <c r="OUV1" s="65" t="s">
        <v>11053</v>
      </c>
      <c r="OUW1" s="65" t="s">
        <v>11054</v>
      </c>
      <c r="OUX1" s="65" t="s">
        <v>11055</v>
      </c>
      <c r="OUY1" s="65" t="s">
        <v>11056</v>
      </c>
      <c r="OUZ1" s="65" t="s">
        <v>11057</v>
      </c>
      <c r="OVA1" s="65" t="s">
        <v>11058</v>
      </c>
      <c r="OVB1" s="65" t="s">
        <v>11059</v>
      </c>
      <c r="OVC1" s="65" t="s">
        <v>11060</v>
      </c>
      <c r="OVD1" s="65" t="s">
        <v>11061</v>
      </c>
      <c r="OVE1" s="65" t="s">
        <v>11062</v>
      </c>
      <c r="OVF1" s="65" t="s">
        <v>11063</v>
      </c>
      <c r="OVG1" s="65" t="s">
        <v>11064</v>
      </c>
      <c r="OVH1" s="65" t="s">
        <v>11065</v>
      </c>
      <c r="OVI1" s="65" t="s">
        <v>11066</v>
      </c>
      <c r="OVJ1" s="65" t="s">
        <v>11067</v>
      </c>
      <c r="OVK1" s="65" t="s">
        <v>11068</v>
      </c>
      <c r="OVL1" s="65" t="s">
        <v>11069</v>
      </c>
      <c r="OVM1" s="65" t="s">
        <v>11070</v>
      </c>
      <c r="OVN1" s="65" t="s">
        <v>11071</v>
      </c>
      <c r="OVO1" s="65" t="s">
        <v>11072</v>
      </c>
      <c r="OVP1" s="65" t="s">
        <v>11073</v>
      </c>
      <c r="OVQ1" s="65" t="s">
        <v>11074</v>
      </c>
      <c r="OVR1" s="65" t="s">
        <v>11075</v>
      </c>
      <c r="OVS1" s="65" t="s">
        <v>11076</v>
      </c>
      <c r="OVT1" s="65" t="s">
        <v>11077</v>
      </c>
      <c r="OVU1" s="65" t="s">
        <v>11078</v>
      </c>
      <c r="OVV1" s="65" t="s">
        <v>11079</v>
      </c>
      <c r="OVW1" s="65" t="s">
        <v>11080</v>
      </c>
      <c r="OVX1" s="65" t="s">
        <v>11081</v>
      </c>
      <c r="OVY1" s="65" t="s">
        <v>11082</v>
      </c>
      <c r="OVZ1" s="65" t="s">
        <v>11083</v>
      </c>
      <c r="OWA1" s="65" t="s">
        <v>11084</v>
      </c>
      <c r="OWB1" s="65" t="s">
        <v>11085</v>
      </c>
      <c r="OWC1" s="65" t="s">
        <v>11086</v>
      </c>
      <c r="OWD1" s="65" t="s">
        <v>11087</v>
      </c>
      <c r="OWE1" s="65" t="s">
        <v>11088</v>
      </c>
      <c r="OWF1" s="65" t="s">
        <v>11089</v>
      </c>
      <c r="OWG1" s="65" t="s">
        <v>11090</v>
      </c>
      <c r="OWH1" s="65" t="s">
        <v>11091</v>
      </c>
      <c r="OWI1" s="65" t="s">
        <v>11092</v>
      </c>
      <c r="OWJ1" s="65" t="s">
        <v>11093</v>
      </c>
      <c r="OWK1" s="65" t="s">
        <v>11094</v>
      </c>
      <c r="OWL1" s="65" t="s">
        <v>11095</v>
      </c>
      <c r="OWM1" s="65" t="s">
        <v>11096</v>
      </c>
      <c r="OWN1" s="65" t="s">
        <v>11097</v>
      </c>
      <c r="OWO1" s="65" t="s">
        <v>11098</v>
      </c>
      <c r="OWP1" s="65" t="s">
        <v>11099</v>
      </c>
      <c r="OWQ1" s="65" t="s">
        <v>11100</v>
      </c>
      <c r="OWR1" s="65" t="s">
        <v>11101</v>
      </c>
      <c r="OWS1" s="65" t="s">
        <v>11102</v>
      </c>
      <c r="OWT1" s="65" t="s">
        <v>11103</v>
      </c>
      <c r="OWU1" s="65" t="s">
        <v>11104</v>
      </c>
      <c r="OWV1" s="65" t="s">
        <v>11105</v>
      </c>
      <c r="OWW1" s="65" t="s">
        <v>11106</v>
      </c>
      <c r="OWX1" s="65" t="s">
        <v>11107</v>
      </c>
      <c r="OWY1" s="65" t="s">
        <v>11108</v>
      </c>
      <c r="OWZ1" s="65" t="s">
        <v>11109</v>
      </c>
      <c r="OXA1" s="65" t="s">
        <v>11110</v>
      </c>
      <c r="OXB1" s="65" t="s">
        <v>11111</v>
      </c>
      <c r="OXC1" s="65" t="s">
        <v>11112</v>
      </c>
      <c r="OXD1" s="65" t="s">
        <v>11113</v>
      </c>
      <c r="OXE1" s="65" t="s">
        <v>11114</v>
      </c>
      <c r="OXF1" s="65" t="s">
        <v>11115</v>
      </c>
      <c r="OXG1" s="65" t="s">
        <v>11116</v>
      </c>
      <c r="OXH1" s="65" t="s">
        <v>11117</v>
      </c>
      <c r="OXI1" s="65" t="s">
        <v>11118</v>
      </c>
      <c r="OXJ1" s="65" t="s">
        <v>11119</v>
      </c>
      <c r="OXK1" s="65" t="s">
        <v>11120</v>
      </c>
      <c r="OXL1" s="65" t="s">
        <v>11121</v>
      </c>
      <c r="OXM1" s="65" t="s">
        <v>11122</v>
      </c>
      <c r="OXN1" s="65" t="s">
        <v>11123</v>
      </c>
      <c r="OXO1" s="65" t="s">
        <v>11124</v>
      </c>
      <c r="OXP1" s="65" t="s">
        <v>11125</v>
      </c>
      <c r="OXQ1" s="65" t="s">
        <v>11126</v>
      </c>
      <c r="OXR1" s="65" t="s">
        <v>11127</v>
      </c>
      <c r="OXS1" s="65" t="s">
        <v>11128</v>
      </c>
      <c r="OXT1" s="65" t="s">
        <v>11129</v>
      </c>
      <c r="OXU1" s="65" t="s">
        <v>11130</v>
      </c>
      <c r="OXV1" s="65" t="s">
        <v>11131</v>
      </c>
      <c r="OXW1" s="65" t="s">
        <v>11132</v>
      </c>
      <c r="OXX1" s="65" t="s">
        <v>11133</v>
      </c>
      <c r="OXY1" s="65" t="s">
        <v>11134</v>
      </c>
      <c r="OXZ1" s="65" t="s">
        <v>11135</v>
      </c>
      <c r="OYA1" s="65" t="s">
        <v>11136</v>
      </c>
      <c r="OYB1" s="65" t="s">
        <v>11137</v>
      </c>
      <c r="OYC1" s="65" t="s">
        <v>11138</v>
      </c>
      <c r="OYD1" s="65" t="s">
        <v>11139</v>
      </c>
      <c r="OYE1" s="65" t="s">
        <v>11140</v>
      </c>
      <c r="OYF1" s="65" t="s">
        <v>11141</v>
      </c>
      <c r="OYG1" s="65" t="s">
        <v>11142</v>
      </c>
      <c r="OYH1" s="65" t="s">
        <v>11143</v>
      </c>
      <c r="OYI1" s="65" t="s">
        <v>11144</v>
      </c>
      <c r="OYJ1" s="65" t="s">
        <v>11145</v>
      </c>
      <c r="OYK1" s="65" t="s">
        <v>11146</v>
      </c>
      <c r="OYL1" s="65" t="s">
        <v>11147</v>
      </c>
      <c r="OYM1" s="65" t="s">
        <v>11148</v>
      </c>
      <c r="OYN1" s="65" t="s">
        <v>11149</v>
      </c>
      <c r="OYO1" s="65" t="s">
        <v>11150</v>
      </c>
      <c r="OYP1" s="65" t="s">
        <v>11151</v>
      </c>
      <c r="OYQ1" s="65" t="s">
        <v>11152</v>
      </c>
      <c r="OYR1" s="65" t="s">
        <v>11153</v>
      </c>
      <c r="OYS1" s="65" t="s">
        <v>11154</v>
      </c>
      <c r="OYT1" s="65" t="s">
        <v>11155</v>
      </c>
      <c r="OYU1" s="65" t="s">
        <v>11156</v>
      </c>
      <c r="OYV1" s="65" t="s">
        <v>11157</v>
      </c>
      <c r="OYW1" s="65" t="s">
        <v>11158</v>
      </c>
      <c r="OYX1" s="65" t="s">
        <v>11159</v>
      </c>
      <c r="OYY1" s="65" t="s">
        <v>11160</v>
      </c>
      <c r="OYZ1" s="65" t="s">
        <v>11161</v>
      </c>
      <c r="OZA1" s="65" t="s">
        <v>11162</v>
      </c>
      <c r="OZB1" s="65" t="s">
        <v>11163</v>
      </c>
      <c r="OZC1" s="65" t="s">
        <v>11164</v>
      </c>
      <c r="OZD1" s="65" t="s">
        <v>11165</v>
      </c>
      <c r="OZE1" s="65" t="s">
        <v>11166</v>
      </c>
      <c r="OZF1" s="65" t="s">
        <v>11167</v>
      </c>
      <c r="OZG1" s="65" t="s">
        <v>11168</v>
      </c>
      <c r="OZH1" s="65" t="s">
        <v>11169</v>
      </c>
      <c r="OZI1" s="65" t="s">
        <v>11170</v>
      </c>
      <c r="OZJ1" s="65" t="s">
        <v>11171</v>
      </c>
      <c r="OZK1" s="65" t="s">
        <v>11172</v>
      </c>
      <c r="OZL1" s="65" t="s">
        <v>11173</v>
      </c>
      <c r="OZM1" s="65" t="s">
        <v>11174</v>
      </c>
      <c r="OZN1" s="65" t="s">
        <v>11175</v>
      </c>
      <c r="OZO1" s="65" t="s">
        <v>11176</v>
      </c>
      <c r="OZP1" s="65" t="s">
        <v>11177</v>
      </c>
      <c r="OZQ1" s="65" t="s">
        <v>11178</v>
      </c>
      <c r="OZR1" s="65" t="s">
        <v>11179</v>
      </c>
      <c r="OZS1" s="65" t="s">
        <v>11180</v>
      </c>
      <c r="OZT1" s="65" t="s">
        <v>11181</v>
      </c>
      <c r="OZU1" s="65" t="s">
        <v>11182</v>
      </c>
      <c r="OZV1" s="65" t="s">
        <v>11183</v>
      </c>
      <c r="OZW1" s="65" t="s">
        <v>11184</v>
      </c>
      <c r="OZX1" s="65" t="s">
        <v>11185</v>
      </c>
      <c r="OZY1" s="65" t="s">
        <v>11186</v>
      </c>
      <c r="OZZ1" s="65" t="s">
        <v>11187</v>
      </c>
      <c r="PAA1" s="65" t="s">
        <v>11188</v>
      </c>
      <c r="PAB1" s="65" t="s">
        <v>11189</v>
      </c>
      <c r="PAC1" s="65" t="s">
        <v>11190</v>
      </c>
      <c r="PAD1" s="65" t="s">
        <v>11191</v>
      </c>
      <c r="PAE1" s="65" t="s">
        <v>11192</v>
      </c>
      <c r="PAF1" s="65" t="s">
        <v>11193</v>
      </c>
      <c r="PAG1" s="65" t="s">
        <v>11194</v>
      </c>
      <c r="PAH1" s="65" t="s">
        <v>11195</v>
      </c>
      <c r="PAI1" s="65" t="s">
        <v>11196</v>
      </c>
      <c r="PAJ1" s="65" t="s">
        <v>11197</v>
      </c>
      <c r="PAK1" s="65" t="s">
        <v>11198</v>
      </c>
      <c r="PAL1" s="65" t="s">
        <v>11199</v>
      </c>
      <c r="PAM1" s="65" t="s">
        <v>11200</v>
      </c>
      <c r="PAN1" s="65" t="s">
        <v>11201</v>
      </c>
      <c r="PAO1" s="65" t="s">
        <v>11202</v>
      </c>
      <c r="PAP1" s="65" t="s">
        <v>11203</v>
      </c>
      <c r="PAQ1" s="65" t="s">
        <v>11204</v>
      </c>
      <c r="PAR1" s="65" t="s">
        <v>11205</v>
      </c>
      <c r="PAS1" s="65" t="s">
        <v>11206</v>
      </c>
      <c r="PAT1" s="65" t="s">
        <v>11207</v>
      </c>
      <c r="PAU1" s="65" t="s">
        <v>11208</v>
      </c>
      <c r="PAV1" s="65" t="s">
        <v>11209</v>
      </c>
      <c r="PAW1" s="65" t="s">
        <v>11210</v>
      </c>
      <c r="PAX1" s="65" t="s">
        <v>11211</v>
      </c>
      <c r="PAY1" s="65" t="s">
        <v>11212</v>
      </c>
      <c r="PAZ1" s="65" t="s">
        <v>11213</v>
      </c>
      <c r="PBA1" s="65" t="s">
        <v>11214</v>
      </c>
      <c r="PBB1" s="65" t="s">
        <v>11215</v>
      </c>
      <c r="PBC1" s="65" t="s">
        <v>11216</v>
      </c>
      <c r="PBD1" s="65" t="s">
        <v>11217</v>
      </c>
      <c r="PBE1" s="65" t="s">
        <v>11218</v>
      </c>
      <c r="PBF1" s="65" t="s">
        <v>11219</v>
      </c>
      <c r="PBG1" s="65" t="s">
        <v>11220</v>
      </c>
      <c r="PBH1" s="65" t="s">
        <v>11221</v>
      </c>
      <c r="PBI1" s="65" t="s">
        <v>11222</v>
      </c>
      <c r="PBJ1" s="65" t="s">
        <v>11223</v>
      </c>
      <c r="PBK1" s="65" t="s">
        <v>11224</v>
      </c>
      <c r="PBL1" s="65" t="s">
        <v>11225</v>
      </c>
      <c r="PBM1" s="65" t="s">
        <v>11226</v>
      </c>
      <c r="PBN1" s="65" t="s">
        <v>11227</v>
      </c>
      <c r="PBO1" s="65" t="s">
        <v>11228</v>
      </c>
      <c r="PBP1" s="65" t="s">
        <v>11229</v>
      </c>
      <c r="PBQ1" s="65" t="s">
        <v>11230</v>
      </c>
      <c r="PBR1" s="65" t="s">
        <v>11231</v>
      </c>
      <c r="PBS1" s="65" t="s">
        <v>11232</v>
      </c>
      <c r="PBT1" s="65" t="s">
        <v>11233</v>
      </c>
      <c r="PBU1" s="65" t="s">
        <v>11234</v>
      </c>
      <c r="PBV1" s="65" t="s">
        <v>11235</v>
      </c>
      <c r="PBW1" s="65" t="s">
        <v>11236</v>
      </c>
      <c r="PBX1" s="65" t="s">
        <v>11237</v>
      </c>
      <c r="PBY1" s="65" t="s">
        <v>11238</v>
      </c>
      <c r="PBZ1" s="65" t="s">
        <v>11239</v>
      </c>
      <c r="PCA1" s="65" t="s">
        <v>11240</v>
      </c>
      <c r="PCB1" s="65" t="s">
        <v>11241</v>
      </c>
      <c r="PCC1" s="65" t="s">
        <v>11242</v>
      </c>
      <c r="PCD1" s="65" t="s">
        <v>11243</v>
      </c>
      <c r="PCE1" s="65" t="s">
        <v>11244</v>
      </c>
      <c r="PCF1" s="65" t="s">
        <v>11245</v>
      </c>
      <c r="PCG1" s="65" t="s">
        <v>11246</v>
      </c>
      <c r="PCH1" s="65" t="s">
        <v>11247</v>
      </c>
      <c r="PCI1" s="65" t="s">
        <v>11248</v>
      </c>
      <c r="PCJ1" s="65" t="s">
        <v>11249</v>
      </c>
      <c r="PCK1" s="65" t="s">
        <v>11250</v>
      </c>
      <c r="PCL1" s="65" t="s">
        <v>11251</v>
      </c>
      <c r="PCM1" s="65" t="s">
        <v>11252</v>
      </c>
      <c r="PCN1" s="65" t="s">
        <v>11253</v>
      </c>
      <c r="PCO1" s="65" t="s">
        <v>11254</v>
      </c>
      <c r="PCP1" s="65" t="s">
        <v>11255</v>
      </c>
      <c r="PCQ1" s="65" t="s">
        <v>11256</v>
      </c>
      <c r="PCR1" s="65" t="s">
        <v>11257</v>
      </c>
      <c r="PCS1" s="65" t="s">
        <v>11258</v>
      </c>
      <c r="PCT1" s="65" t="s">
        <v>11259</v>
      </c>
      <c r="PCU1" s="65" t="s">
        <v>11260</v>
      </c>
      <c r="PCV1" s="65" t="s">
        <v>11261</v>
      </c>
      <c r="PCW1" s="65" t="s">
        <v>11262</v>
      </c>
      <c r="PCX1" s="65" t="s">
        <v>11263</v>
      </c>
      <c r="PCY1" s="65" t="s">
        <v>11264</v>
      </c>
      <c r="PCZ1" s="65" t="s">
        <v>11265</v>
      </c>
      <c r="PDA1" s="65" t="s">
        <v>11266</v>
      </c>
      <c r="PDB1" s="65" t="s">
        <v>11267</v>
      </c>
      <c r="PDC1" s="65" t="s">
        <v>11268</v>
      </c>
      <c r="PDD1" s="65" t="s">
        <v>11269</v>
      </c>
      <c r="PDE1" s="65" t="s">
        <v>11270</v>
      </c>
      <c r="PDF1" s="65" t="s">
        <v>11271</v>
      </c>
      <c r="PDG1" s="65" t="s">
        <v>11272</v>
      </c>
      <c r="PDH1" s="65" t="s">
        <v>11273</v>
      </c>
      <c r="PDI1" s="65" t="s">
        <v>11274</v>
      </c>
      <c r="PDJ1" s="65" t="s">
        <v>11275</v>
      </c>
      <c r="PDK1" s="65" t="s">
        <v>11276</v>
      </c>
      <c r="PDL1" s="65" t="s">
        <v>11277</v>
      </c>
      <c r="PDM1" s="65" t="s">
        <v>11278</v>
      </c>
      <c r="PDN1" s="65" t="s">
        <v>11279</v>
      </c>
      <c r="PDO1" s="65" t="s">
        <v>11280</v>
      </c>
      <c r="PDP1" s="65" t="s">
        <v>11281</v>
      </c>
      <c r="PDQ1" s="65" t="s">
        <v>11282</v>
      </c>
      <c r="PDR1" s="65" t="s">
        <v>11283</v>
      </c>
      <c r="PDS1" s="65" t="s">
        <v>11284</v>
      </c>
      <c r="PDT1" s="65" t="s">
        <v>11285</v>
      </c>
      <c r="PDU1" s="65" t="s">
        <v>11286</v>
      </c>
      <c r="PDV1" s="65" t="s">
        <v>11287</v>
      </c>
      <c r="PDW1" s="65" t="s">
        <v>11288</v>
      </c>
      <c r="PDX1" s="65" t="s">
        <v>11289</v>
      </c>
      <c r="PDY1" s="65" t="s">
        <v>11290</v>
      </c>
      <c r="PDZ1" s="65" t="s">
        <v>11291</v>
      </c>
      <c r="PEA1" s="65" t="s">
        <v>11292</v>
      </c>
      <c r="PEB1" s="65" t="s">
        <v>11293</v>
      </c>
      <c r="PEC1" s="65" t="s">
        <v>11294</v>
      </c>
      <c r="PED1" s="65" t="s">
        <v>11295</v>
      </c>
      <c r="PEE1" s="65" t="s">
        <v>11296</v>
      </c>
      <c r="PEF1" s="65" t="s">
        <v>11297</v>
      </c>
      <c r="PEG1" s="65" t="s">
        <v>11298</v>
      </c>
      <c r="PEH1" s="65" t="s">
        <v>11299</v>
      </c>
      <c r="PEI1" s="65" t="s">
        <v>11300</v>
      </c>
      <c r="PEJ1" s="65" t="s">
        <v>11301</v>
      </c>
      <c r="PEK1" s="65" t="s">
        <v>11302</v>
      </c>
      <c r="PEL1" s="65" t="s">
        <v>11303</v>
      </c>
      <c r="PEM1" s="65" t="s">
        <v>11304</v>
      </c>
      <c r="PEN1" s="65" t="s">
        <v>11305</v>
      </c>
      <c r="PEO1" s="65" t="s">
        <v>11306</v>
      </c>
      <c r="PEP1" s="65" t="s">
        <v>11307</v>
      </c>
      <c r="PEQ1" s="65" t="s">
        <v>11308</v>
      </c>
      <c r="PER1" s="65" t="s">
        <v>11309</v>
      </c>
      <c r="PES1" s="65" t="s">
        <v>11310</v>
      </c>
      <c r="PET1" s="65" t="s">
        <v>11311</v>
      </c>
      <c r="PEU1" s="65" t="s">
        <v>11312</v>
      </c>
      <c r="PEV1" s="65" t="s">
        <v>11313</v>
      </c>
      <c r="PEW1" s="65" t="s">
        <v>11314</v>
      </c>
      <c r="PEX1" s="65" t="s">
        <v>11315</v>
      </c>
      <c r="PEY1" s="65" t="s">
        <v>11316</v>
      </c>
      <c r="PEZ1" s="65" t="s">
        <v>11317</v>
      </c>
      <c r="PFA1" s="65" t="s">
        <v>11318</v>
      </c>
      <c r="PFB1" s="65" t="s">
        <v>11319</v>
      </c>
      <c r="PFC1" s="65" t="s">
        <v>11320</v>
      </c>
      <c r="PFD1" s="65" t="s">
        <v>11321</v>
      </c>
      <c r="PFE1" s="65" t="s">
        <v>11322</v>
      </c>
      <c r="PFF1" s="65" t="s">
        <v>11323</v>
      </c>
      <c r="PFG1" s="65" t="s">
        <v>11324</v>
      </c>
      <c r="PFH1" s="65" t="s">
        <v>11325</v>
      </c>
      <c r="PFI1" s="65" t="s">
        <v>11326</v>
      </c>
      <c r="PFJ1" s="65" t="s">
        <v>11327</v>
      </c>
      <c r="PFK1" s="65" t="s">
        <v>11328</v>
      </c>
      <c r="PFL1" s="65" t="s">
        <v>11329</v>
      </c>
      <c r="PFM1" s="65" t="s">
        <v>11330</v>
      </c>
      <c r="PFN1" s="65" t="s">
        <v>11331</v>
      </c>
      <c r="PFO1" s="65" t="s">
        <v>11332</v>
      </c>
      <c r="PFP1" s="65" t="s">
        <v>11333</v>
      </c>
      <c r="PFQ1" s="65" t="s">
        <v>11334</v>
      </c>
      <c r="PFR1" s="65" t="s">
        <v>11335</v>
      </c>
      <c r="PFS1" s="65" t="s">
        <v>11336</v>
      </c>
      <c r="PFT1" s="65" t="s">
        <v>11337</v>
      </c>
      <c r="PFU1" s="65" t="s">
        <v>11338</v>
      </c>
      <c r="PFV1" s="65" t="s">
        <v>11339</v>
      </c>
      <c r="PFW1" s="65" t="s">
        <v>11340</v>
      </c>
      <c r="PFX1" s="65" t="s">
        <v>11341</v>
      </c>
      <c r="PFY1" s="65" t="s">
        <v>11342</v>
      </c>
      <c r="PFZ1" s="65" t="s">
        <v>11343</v>
      </c>
      <c r="PGA1" s="65" t="s">
        <v>11344</v>
      </c>
      <c r="PGB1" s="65" t="s">
        <v>11345</v>
      </c>
      <c r="PGC1" s="65" t="s">
        <v>11346</v>
      </c>
      <c r="PGD1" s="65" t="s">
        <v>11347</v>
      </c>
      <c r="PGE1" s="65" t="s">
        <v>11348</v>
      </c>
      <c r="PGF1" s="65" t="s">
        <v>11349</v>
      </c>
      <c r="PGG1" s="65" t="s">
        <v>11350</v>
      </c>
      <c r="PGH1" s="65" t="s">
        <v>11351</v>
      </c>
      <c r="PGI1" s="65" t="s">
        <v>11352</v>
      </c>
      <c r="PGJ1" s="65" t="s">
        <v>11353</v>
      </c>
      <c r="PGK1" s="65" t="s">
        <v>11354</v>
      </c>
      <c r="PGL1" s="65" t="s">
        <v>11355</v>
      </c>
      <c r="PGM1" s="65" t="s">
        <v>11356</v>
      </c>
      <c r="PGN1" s="65" t="s">
        <v>11357</v>
      </c>
      <c r="PGO1" s="65" t="s">
        <v>11358</v>
      </c>
      <c r="PGP1" s="65" t="s">
        <v>11359</v>
      </c>
      <c r="PGQ1" s="65" t="s">
        <v>11360</v>
      </c>
      <c r="PGR1" s="65" t="s">
        <v>11361</v>
      </c>
      <c r="PGS1" s="65" t="s">
        <v>11362</v>
      </c>
      <c r="PGT1" s="65" t="s">
        <v>11363</v>
      </c>
      <c r="PGU1" s="65" t="s">
        <v>11364</v>
      </c>
      <c r="PGV1" s="65" t="s">
        <v>11365</v>
      </c>
      <c r="PGW1" s="65" t="s">
        <v>11366</v>
      </c>
      <c r="PGX1" s="65" t="s">
        <v>11367</v>
      </c>
      <c r="PGY1" s="65" t="s">
        <v>11368</v>
      </c>
      <c r="PGZ1" s="65" t="s">
        <v>11369</v>
      </c>
      <c r="PHA1" s="65" t="s">
        <v>11370</v>
      </c>
      <c r="PHB1" s="65" t="s">
        <v>11371</v>
      </c>
      <c r="PHC1" s="65" t="s">
        <v>11372</v>
      </c>
      <c r="PHD1" s="65" t="s">
        <v>11373</v>
      </c>
      <c r="PHE1" s="65" t="s">
        <v>11374</v>
      </c>
      <c r="PHF1" s="65" t="s">
        <v>11375</v>
      </c>
      <c r="PHG1" s="65" t="s">
        <v>11376</v>
      </c>
      <c r="PHH1" s="65" t="s">
        <v>11377</v>
      </c>
      <c r="PHI1" s="65" t="s">
        <v>11378</v>
      </c>
      <c r="PHJ1" s="65" t="s">
        <v>11379</v>
      </c>
      <c r="PHK1" s="65" t="s">
        <v>11380</v>
      </c>
      <c r="PHL1" s="65" t="s">
        <v>11381</v>
      </c>
      <c r="PHM1" s="65" t="s">
        <v>11382</v>
      </c>
      <c r="PHN1" s="65" t="s">
        <v>11383</v>
      </c>
      <c r="PHO1" s="65" t="s">
        <v>11384</v>
      </c>
      <c r="PHP1" s="65" t="s">
        <v>11385</v>
      </c>
      <c r="PHQ1" s="65" t="s">
        <v>11386</v>
      </c>
      <c r="PHR1" s="65" t="s">
        <v>11387</v>
      </c>
      <c r="PHS1" s="65" t="s">
        <v>11388</v>
      </c>
      <c r="PHT1" s="65" t="s">
        <v>11389</v>
      </c>
      <c r="PHU1" s="65" t="s">
        <v>11390</v>
      </c>
      <c r="PHV1" s="65" t="s">
        <v>11391</v>
      </c>
      <c r="PHW1" s="65" t="s">
        <v>11392</v>
      </c>
      <c r="PHX1" s="65" t="s">
        <v>11393</v>
      </c>
      <c r="PHY1" s="65" t="s">
        <v>11394</v>
      </c>
      <c r="PHZ1" s="65" t="s">
        <v>11395</v>
      </c>
      <c r="PIA1" s="65" t="s">
        <v>11396</v>
      </c>
      <c r="PIB1" s="65" t="s">
        <v>11397</v>
      </c>
      <c r="PIC1" s="65" t="s">
        <v>11398</v>
      </c>
      <c r="PID1" s="65" t="s">
        <v>11399</v>
      </c>
      <c r="PIE1" s="65" t="s">
        <v>11400</v>
      </c>
      <c r="PIF1" s="65" t="s">
        <v>11401</v>
      </c>
      <c r="PIG1" s="65" t="s">
        <v>11402</v>
      </c>
      <c r="PIH1" s="65" t="s">
        <v>11403</v>
      </c>
      <c r="PII1" s="65" t="s">
        <v>11404</v>
      </c>
      <c r="PIJ1" s="65" t="s">
        <v>11405</v>
      </c>
      <c r="PIK1" s="65" t="s">
        <v>11406</v>
      </c>
      <c r="PIL1" s="65" t="s">
        <v>11407</v>
      </c>
      <c r="PIM1" s="65" t="s">
        <v>11408</v>
      </c>
      <c r="PIN1" s="65" t="s">
        <v>11409</v>
      </c>
      <c r="PIO1" s="65" t="s">
        <v>11410</v>
      </c>
      <c r="PIP1" s="65" t="s">
        <v>11411</v>
      </c>
      <c r="PIQ1" s="65" t="s">
        <v>11412</v>
      </c>
      <c r="PIR1" s="65" t="s">
        <v>11413</v>
      </c>
      <c r="PIS1" s="65" t="s">
        <v>11414</v>
      </c>
      <c r="PIT1" s="65" t="s">
        <v>11415</v>
      </c>
      <c r="PIU1" s="65" t="s">
        <v>11416</v>
      </c>
      <c r="PIV1" s="65" t="s">
        <v>11417</v>
      </c>
      <c r="PIW1" s="65" t="s">
        <v>11418</v>
      </c>
      <c r="PIX1" s="65" t="s">
        <v>11419</v>
      </c>
      <c r="PIY1" s="65" t="s">
        <v>11420</v>
      </c>
      <c r="PIZ1" s="65" t="s">
        <v>11421</v>
      </c>
      <c r="PJA1" s="65" t="s">
        <v>11422</v>
      </c>
      <c r="PJB1" s="65" t="s">
        <v>11423</v>
      </c>
      <c r="PJC1" s="65" t="s">
        <v>11424</v>
      </c>
      <c r="PJD1" s="65" t="s">
        <v>11425</v>
      </c>
      <c r="PJE1" s="65" t="s">
        <v>11426</v>
      </c>
      <c r="PJF1" s="65" t="s">
        <v>11427</v>
      </c>
      <c r="PJG1" s="65" t="s">
        <v>11428</v>
      </c>
      <c r="PJH1" s="65" t="s">
        <v>11429</v>
      </c>
      <c r="PJI1" s="65" t="s">
        <v>11430</v>
      </c>
      <c r="PJJ1" s="65" t="s">
        <v>11431</v>
      </c>
      <c r="PJK1" s="65" t="s">
        <v>11432</v>
      </c>
      <c r="PJL1" s="65" t="s">
        <v>11433</v>
      </c>
      <c r="PJM1" s="65" t="s">
        <v>11434</v>
      </c>
      <c r="PJN1" s="65" t="s">
        <v>11435</v>
      </c>
      <c r="PJO1" s="65" t="s">
        <v>11436</v>
      </c>
      <c r="PJP1" s="65" t="s">
        <v>11437</v>
      </c>
      <c r="PJQ1" s="65" t="s">
        <v>11438</v>
      </c>
      <c r="PJR1" s="65" t="s">
        <v>11439</v>
      </c>
      <c r="PJS1" s="65" t="s">
        <v>11440</v>
      </c>
      <c r="PJT1" s="65" t="s">
        <v>11441</v>
      </c>
      <c r="PJU1" s="65" t="s">
        <v>11442</v>
      </c>
      <c r="PJV1" s="65" t="s">
        <v>11443</v>
      </c>
      <c r="PJW1" s="65" t="s">
        <v>11444</v>
      </c>
      <c r="PJX1" s="65" t="s">
        <v>11445</v>
      </c>
      <c r="PJY1" s="65" t="s">
        <v>11446</v>
      </c>
      <c r="PJZ1" s="65" t="s">
        <v>11447</v>
      </c>
      <c r="PKA1" s="65" t="s">
        <v>11448</v>
      </c>
      <c r="PKB1" s="65" t="s">
        <v>11449</v>
      </c>
      <c r="PKC1" s="65" t="s">
        <v>11450</v>
      </c>
      <c r="PKD1" s="65" t="s">
        <v>11451</v>
      </c>
      <c r="PKE1" s="65" t="s">
        <v>11452</v>
      </c>
      <c r="PKF1" s="65" t="s">
        <v>11453</v>
      </c>
      <c r="PKG1" s="65" t="s">
        <v>11454</v>
      </c>
      <c r="PKH1" s="65" t="s">
        <v>11455</v>
      </c>
      <c r="PKI1" s="65" t="s">
        <v>11456</v>
      </c>
      <c r="PKJ1" s="65" t="s">
        <v>11457</v>
      </c>
      <c r="PKK1" s="65" t="s">
        <v>11458</v>
      </c>
      <c r="PKL1" s="65" t="s">
        <v>11459</v>
      </c>
      <c r="PKM1" s="65" t="s">
        <v>11460</v>
      </c>
      <c r="PKN1" s="65" t="s">
        <v>11461</v>
      </c>
      <c r="PKO1" s="65" t="s">
        <v>11462</v>
      </c>
      <c r="PKP1" s="65" t="s">
        <v>11463</v>
      </c>
      <c r="PKQ1" s="65" t="s">
        <v>11464</v>
      </c>
      <c r="PKR1" s="65" t="s">
        <v>11465</v>
      </c>
      <c r="PKS1" s="65" t="s">
        <v>11466</v>
      </c>
      <c r="PKT1" s="65" t="s">
        <v>11467</v>
      </c>
      <c r="PKU1" s="65" t="s">
        <v>11468</v>
      </c>
      <c r="PKV1" s="65" t="s">
        <v>11469</v>
      </c>
      <c r="PKW1" s="65" t="s">
        <v>11470</v>
      </c>
      <c r="PKX1" s="65" t="s">
        <v>11471</v>
      </c>
      <c r="PKY1" s="65" t="s">
        <v>11472</v>
      </c>
      <c r="PKZ1" s="65" t="s">
        <v>11473</v>
      </c>
      <c r="PLA1" s="65" t="s">
        <v>11474</v>
      </c>
      <c r="PLB1" s="65" t="s">
        <v>11475</v>
      </c>
      <c r="PLC1" s="65" t="s">
        <v>11476</v>
      </c>
      <c r="PLD1" s="65" t="s">
        <v>11477</v>
      </c>
      <c r="PLE1" s="65" t="s">
        <v>11478</v>
      </c>
      <c r="PLF1" s="65" t="s">
        <v>11479</v>
      </c>
      <c r="PLG1" s="65" t="s">
        <v>11480</v>
      </c>
      <c r="PLH1" s="65" t="s">
        <v>11481</v>
      </c>
      <c r="PLI1" s="65" t="s">
        <v>11482</v>
      </c>
      <c r="PLJ1" s="65" t="s">
        <v>11483</v>
      </c>
      <c r="PLK1" s="65" t="s">
        <v>11484</v>
      </c>
      <c r="PLL1" s="65" t="s">
        <v>11485</v>
      </c>
      <c r="PLM1" s="65" t="s">
        <v>11486</v>
      </c>
      <c r="PLN1" s="65" t="s">
        <v>11487</v>
      </c>
      <c r="PLO1" s="65" t="s">
        <v>11488</v>
      </c>
      <c r="PLP1" s="65" t="s">
        <v>11489</v>
      </c>
      <c r="PLQ1" s="65" t="s">
        <v>11490</v>
      </c>
      <c r="PLR1" s="65" t="s">
        <v>11491</v>
      </c>
      <c r="PLS1" s="65" t="s">
        <v>11492</v>
      </c>
      <c r="PLT1" s="65" t="s">
        <v>11493</v>
      </c>
      <c r="PLU1" s="65" t="s">
        <v>11494</v>
      </c>
      <c r="PLV1" s="65" t="s">
        <v>11495</v>
      </c>
      <c r="PLW1" s="65" t="s">
        <v>11496</v>
      </c>
      <c r="PLX1" s="65" t="s">
        <v>11497</v>
      </c>
      <c r="PLY1" s="65" t="s">
        <v>11498</v>
      </c>
      <c r="PLZ1" s="65" t="s">
        <v>11499</v>
      </c>
      <c r="PMA1" s="65" t="s">
        <v>11500</v>
      </c>
      <c r="PMB1" s="65" t="s">
        <v>11501</v>
      </c>
      <c r="PMC1" s="65" t="s">
        <v>11502</v>
      </c>
      <c r="PMD1" s="65" t="s">
        <v>11503</v>
      </c>
      <c r="PME1" s="65" t="s">
        <v>11504</v>
      </c>
      <c r="PMF1" s="65" t="s">
        <v>11505</v>
      </c>
      <c r="PMG1" s="65" t="s">
        <v>11506</v>
      </c>
      <c r="PMH1" s="65" t="s">
        <v>11507</v>
      </c>
      <c r="PMI1" s="65" t="s">
        <v>11508</v>
      </c>
      <c r="PMJ1" s="65" t="s">
        <v>11509</v>
      </c>
      <c r="PMK1" s="65" t="s">
        <v>11510</v>
      </c>
      <c r="PML1" s="65" t="s">
        <v>11511</v>
      </c>
      <c r="PMM1" s="65" t="s">
        <v>11512</v>
      </c>
      <c r="PMN1" s="65" t="s">
        <v>11513</v>
      </c>
      <c r="PMO1" s="65" t="s">
        <v>11514</v>
      </c>
      <c r="PMP1" s="65" t="s">
        <v>11515</v>
      </c>
      <c r="PMQ1" s="65" t="s">
        <v>11516</v>
      </c>
      <c r="PMR1" s="65" t="s">
        <v>11517</v>
      </c>
      <c r="PMS1" s="65" t="s">
        <v>11518</v>
      </c>
      <c r="PMT1" s="65" t="s">
        <v>11519</v>
      </c>
      <c r="PMU1" s="65" t="s">
        <v>11520</v>
      </c>
      <c r="PMV1" s="65" t="s">
        <v>11521</v>
      </c>
      <c r="PMW1" s="65" t="s">
        <v>11522</v>
      </c>
      <c r="PMX1" s="65" t="s">
        <v>11523</v>
      </c>
      <c r="PMY1" s="65" t="s">
        <v>11524</v>
      </c>
      <c r="PMZ1" s="65" t="s">
        <v>11525</v>
      </c>
      <c r="PNA1" s="65" t="s">
        <v>11526</v>
      </c>
      <c r="PNB1" s="65" t="s">
        <v>11527</v>
      </c>
      <c r="PNC1" s="65" t="s">
        <v>11528</v>
      </c>
      <c r="PND1" s="65" t="s">
        <v>11529</v>
      </c>
      <c r="PNE1" s="65" t="s">
        <v>11530</v>
      </c>
      <c r="PNF1" s="65" t="s">
        <v>11531</v>
      </c>
      <c r="PNG1" s="65" t="s">
        <v>11532</v>
      </c>
      <c r="PNH1" s="65" t="s">
        <v>11533</v>
      </c>
      <c r="PNI1" s="65" t="s">
        <v>11534</v>
      </c>
      <c r="PNJ1" s="65" t="s">
        <v>11535</v>
      </c>
      <c r="PNK1" s="65" t="s">
        <v>11536</v>
      </c>
      <c r="PNL1" s="65" t="s">
        <v>11537</v>
      </c>
      <c r="PNM1" s="65" t="s">
        <v>11538</v>
      </c>
      <c r="PNN1" s="65" t="s">
        <v>11539</v>
      </c>
      <c r="PNO1" s="65" t="s">
        <v>11540</v>
      </c>
      <c r="PNP1" s="65" t="s">
        <v>11541</v>
      </c>
      <c r="PNQ1" s="65" t="s">
        <v>11542</v>
      </c>
      <c r="PNR1" s="65" t="s">
        <v>11543</v>
      </c>
      <c r="PNS1" s="65" t="s">
        <v>11544</v>
      </c>
      <c r="PNT1" s="65" t="s">
        <v>11545</v>
      </c>
      <c r="PNU1" s="65" t="s">
        <v>11546</v>
      </c>
      <c r="PNV1" s="65" t="s">
        <v>11547</v>
      </c>
      <c r="PNW1" s="65" t="s">
        <v>11548</v>
      </c>
      <c r="PNX1" s="65" t="s">
        <v>11549</v>
      </c>
      <c r="PNY1" s="65" t="s">
        <v>11550</v>
      </c>
      <c r="PNZ1" s="65" t="s">
        <v>11551</v>
      </c>
      <c r="POA1" s="65" t="s">
        <v>11552</v>
      </c>
      <c r="POB1" s="65" t="s">
        <v>11553</v>
      </c>
      <c r="POC1" s="65" t="s">
        <v>11554</v>
      </c>
      <c r="POD1" s="65" t="s">
        <v>11555</v>
      </c>
      <c r="POE1" s="65" t="s">
        <v>11556</v>
      </c>
      <c r="POF1" s="65" t="s">
        <v>11557</v>
      </c>
      <c r="POG1" s="65" t="s">
        <v>11558</v>
      </c>
      <c r="POH1" s="65" t="s">
        <v>11559</v>
      </c>
      <c r="POI1" s="65" t="s">
        <v>11560</v>
      </c>
      <c r="POJ1" s="65" t="s">
        <v>11561</v>
      </c>
      <c r="POK1" s="65" t="s">
        <v>11562</v>
      </c>
      <c r="POL1" s="65" t="s">
        <v>11563</v>
      </c>
      <c r="POM1" s="65" t="s">
        <v>11564</v>
      </c>
      <c r="PON1" s="65" t="s">
        <v>11565</v>
      </c>
      <c r="POO1" s="65" t="s">
        <v>11566</v>
      </c>
      <c r="POP1" s="65" t="s">
        <v>11567</v>
      </c>
      <c r="POQ1" s="65" t="s">
        <v>11568</v>
      </c>
      <c r="POR1" s="65" t="s">
        <v>11569</v>
      </c>
      <c r="POS1" s="65" t="s">
        <v>11570</v>
      </c>
      <c r="POT1" s="65" t="s">
        <v>11571</v>
      </c>
      <c r="POU1" s="65" t="s">
        <v>11572</v>
      </c>
      <c r="POV1" s="65" t="s">
        <v>11573</v>
      </c>
      <c r="POW1" s="65" t="s">
        <v>11574</v>
      </c>
      <c r="POX1" s="65" t="s">
        <v>11575</v>
      </c>
      <c r="POY1" s="65" t="s">
        <v>11576</v>
      </c>
      <c r="POZ1" s="65" t="s">
        <v>11577</v>
      </c>
      <c r="PPA1" s="65" t="s">
        <v>11578</v>
      </c>
      <c r="PPB1" s="65" t="s">
        <v>11579</v>
      </c>
      <c r="PPC1" s="65" t="s">
        <v>11580</v>
      </c>
      <c r="PPD1" s="65" t="s">
        <v>11581</v>
      </c>
      <c r="PPE1" s="65" t="s">
        <v>11582</v>
      </c>
      <c r="PPF1" s="65" t="s">
        <v>11583</v>
      </c>
      <c r="PPG1" s="65" t="s">
        <v>11584</v>
      </c>
      <c r="PPH1" s="65" t="s">
        <v>11585</v>
      </c>
      <c r="PPI1" s="65" t="s">
        <v>11586</v>
      </c>
      <c r="PPJ1" s="65" t="s">
        <v>11587</v>
      </c>
      <c r="PPK1" s="65" t="s">
        <v>11588</v>
      </c>
      <c r="PPL1" s="65" t="s">
        <v>11589</v>
      </c>
      <c r="PPM1" s="65" t="s">
        <v>11590</v>
      </c>
      <c r="PPN1" s="65" t="s">
        <v>11591</v>
      </c>
      <c r="PPO1" s="65" t="s">
        <v>11592</v>
      </c>
      <c r="PPP1" s="65" t="s">
        <v>11593</v>
      </c>
      <c r="PPQ1" s="65" t="s">
        <v>11594</v>
      </c>
      <c r="PPR1" s="65" t="s">
        <v>11595</v>
      </c>
      <c r="PPS1" s="65" t="s">
        <v>11596</v>
      </c>
      <c r="PPT1" s="65" t="s">
        <v>11597</v>
      </c>
      <c r="PPU1" s="65" t="s">
        <v>11598</v>
      </c>
      <c r="PPV1" s="65" t="s">
        <v>11599</v>
      </c>
      <c r="PPW1" s="65" t="s">
        <v>11600</v>
      </c>
      <c r="PPX1" s="65" t="s">
        <v>11601</v>
      </c>
      <c r="PPY1" s="65" t="s">
        <v>11602</v>
      </c>
      <c r="PPZ1" s="65" t="s">
        <v>11603</v>
      </c>
      <c r="PQA1" s="65" t="s">
        <v>11604</v>
      </c>
      <c r="PQB1" s="65" t="s">
        <v>11605</v>
      </c>
      <c r="PQC1" s="65" t="s">
        <v>11606</v>
      </c>
      <c r="PQD1" s="65" t="s">
        <v>11607</v>
      </c>
      <c r="PQE1" s="65" t="s">
        <v>11608</v>
      </c>
      <c r="PQF1" s="65" t="s">
        <v>11609</v>
      </c>
      <c r="PQG1" s="65" t="s">
        <v>11610</v>
      </c>
      <c r="PQH1" s="65" t="s">
        <v>11611</v>
      </c>
      <c r="PQI1" s="65" t="s">
        <v>11612</v>
      </c>
      <c r="PQJ1" s="65" t="s">
        <v>11613</v>
      </c>
      <c r="PQK1" s="65" t="s">
        <v>11614</v>
      </c>
      <c r="PQL1" s="65" t="s">
        <v>11615</v>
      </c>
      <c r="PQM1" s="65" t="s">
        <v>11616</v>
      </c>
      <c r="PQN1" s="65" t="s">
        <v>11617</v>
      </c>
      <c r="PQO1" s="65" t="s">
        <v>11618</v>
      </c>
      <c r="PQP1" s="65" t="s">
        <v>11619</v>
      </c>
      <c r="PQQ1" s="65" t="s">
        <v>11620</v>
      </c>
      <c r="PQR1" s="65" t="s">
        <v>11621</v>
      </c>
      <c r="PQS1" s="65" t="s">
        <v>11622</v>
      </c>
      <c r="PQT1" s="65" t="s">
        <v>11623</v>
      </c>
      <c r="PQU1" s="65" t="s">
        <v>11624</v>
      </c>
      <c r="PQV1" s="65" t="s">
        <v>11625</v>
      </c>
      <c r="PQW1" s="65" t="s">
        <v>11626</v>
      </c>
      <c r="PQX1" s="65" t="s">
        <v>11627</v>
      </c>
      <c r="PQY1" s="65" t="s">
        <v>11628</v>
      </c>
      <c r="PQZ1" s="65" t="s">
        <v>11629</v>
      </c>
      <c r="PRA1" s="65" t="s">
        <v>11630</v>
      </c>
      <c r="PRB1" s="65" t="s">
        <v>11631</v>
      </c>
      <c r="PRC1" s="65" t="s">
        <v>11632</v>
      </c>
      <c r="PRD1" s="65" t="s">
        <v>11633</v>
      </c>
      <c r="PRE1" s="65" t="s">
        <v>11634</v>
      </c>
      <c r="PRF1" s="65" t="s">
        <v>11635</v>
      </c>
      <c r="PRG1" s="65" t="s">
        <v>11636</v>
      </c>
      <c r="PRH1" s="65" t="s">
        <v>11637</v>
      </c>
      <c r="PRI1" s="65" t="s">
        <v>11638</v>
      </c>
      <c r="PRJ1" s="65" t="s">
        <v>11639</v>
      </c>
      <c r="PRK1" s="65" t="s">
        <v>11640</v>
      </c>
      <c r="PRL1" s="65" t="s">
        <v>11641</v>
      </c>
      <c r="PRM1" s="65" t="s">
        <v>11642</v>
      </c>
      <c r="PRN1" s="65" t="s">
        <v>11643</v>
      </c>
      <c r="PRO1" s="65" t="s">
        <v>11644</v>
      </c>
      <c r="PRP1" s="65" t="s">
        <v>11645</v>
      </c>
      <c r="PRQ1" s="65" t="s">
        <v>11646</v>
      </c>
      <c r="PRR1" s="65" t="s">
        <v>11647</v>
      </c>
      <c r="PRS1" s="65" t="s">
        <v>11648</v>
      </c>
      <c r="PRT1" s="65" t="s">
        <v>11649</v>
      </c>
      <c r="PRU1" s="65" t="s">
        <v>11650</v>
      </c>
      <c r="PRV1" s="65" t="s">
        <v>11651</v>
      </c>
      <c r="PRW1" s="65" t="s">
        <v>11652</v>
      </c>
      <c r="PRX1" s="65" t="s">
        <v>11653</v>
      </c>
      <c r="PRY1" s="65" t="s">
        <v>11654</v>
      </c>
      <c r="PRZ1" s="65" t="s">
        <v>11655</v>
      </c>
      <c r="PSA1" s="65" t="s">
        <v>11656</v>
      </c>
      <c r="PSB1" s="65" t="s">
        <v>11657</v>
      </c>
      <c r="PSC1" s="65" t="s">
        <v>11658</v>
      </c>
      <c r="PSD1" s="65" t="s">
        <v>11659</v>
      </c>
      <c r="PSE1" s="65" t="s">
        <v>11660</v>
      </c>
      <c r="PSF1" s="65" t="s">
        <v>11661</v>
      </c>
      <c r="PSG1" s="65" t="s">
        <v>11662</v>
      </c>
      <c r="PSH1" s="65" t="s">
        <v>11663</v>
      </c>
      <c r="PSI1" s="65" t="s">
        <v>11664</v>
      </c>
      <c r="PSJ1" s="65" t="s">
        <v>11665</v>
      </c>
      <c r="PSK1" s="65" t="s">
        <v>11666</v>
      </c>
      <c r="PSL1" s="65" t="s">
        <v>11667</v>
      </c>
      <c r="PSM1" s="65" t="s">
        <v>11668</v>
      </c>
      <c r="PSN1" s="65" t="s">
        <v>11669</v>
      </c>
      <c r="PSO1" s="65" t="s">
        <v>11670</v>
      </c>
      <c r="PSP1" s="65" t="s">
        <v>11671</v>
      </c>
      <c r="PSQ1" s="65" t="s">
        <v>11672</v>
      </c>
      <c r="PSR1" s="65" t="s">
        <v>11673</v>
      </c>
      <c r="PSS1" s="65" t="s">
        <v>11674</v>
      </c>
      <c r="PST1" s="65" t="s">
        <v>11675</v>
      </c>
      <c r="PSU1" s="65" t="s">
        <v>11676</v>
      </c>
      <c r="PSV1" s="65" t="s">
        <v>11677</v>
      </c>
      <c r="PSW1" s="65" t="s">
        <v>11678</v>
      </c>
      <c r="PSX1" s="65" t="s">
        <v>11679</v>
      </c>
      <c r="PSY1" s="65" t="s">
        <v>11680</v>
      </c>
      <c r="PSZ1" s="65" t="s">
        <v>11681</v>
      </c>
      <c r="PTA1" s="65" t="s">
        <v>11682</v>
      </c>
      <c r="PTB1" s="65" t="s">
        <v>11683</v>
      </c>
      <c r="PTC1" s="65" t="s">
        <v>11684</v>
      </c>
      <c r="PTD1" s="65" t="s">
        <v>11685</v>
      </c>
      <c r="PTE1" s="65" t="s">
        <v>11686</v>
      </c>
      <c r="PTF1" s="65" t="s">
        <v>11687</v>
      </c>
      <c r="PTG1" s="65" t="s">
        <v>11688</v>
      </c>
      <c r="PTH1" s="65" t="s">
        <v>11689</v>
      </c>
      <c r="PTI1" s="65" t="s">
        <v>11690</v>
      </c>
      <c r="PTJ1" s="65" t="s">
        <v>11691</v>
      </c>
      <c r="PTK1" s="65" t="s">
        <v>11692</v>
      </c>
      <c r="PTL1" s="65" t="s">
        <v>11693</v>
      </c>
      <c r="PTM1" s="65" t="s">
        <v>11694</v>
      </c>
      <c r="PTN1" s="65" t="s">
        <v>11695</v>
      </c>
      <c r="PTO1" s="65" t="s">
        <v>11696</v>
      </c>
      <c r="PTP1" s="65" t="s">
        <v>11697</v>
      </c>
      <c r="PTQ1" s="65" t="s">
        <v>11698</v>
      </c>
      <c r="PTR1" s="65" t="s">
        <v>11699</v>
      </c>
      <c r="PTS1" s="65" t="s">
        <v>11700</v>
      </c>
      <c r="PTT1" s="65" t="s">
        <v>11701</v>
      </c>
      <c r="PTU1" s="65" t="s">
        <v>11702</v>
      </c>
      <c r="PTV1" s="65" t="s">
        <v>11703</v>
      </c>
      <c r="PTW1" s="65" t="s">
        <v>11704</v>
      </c>
      <c r="PTX1" s="65" t="s">
        <v>11705</v>
      </c>
      <c r="PTY1" s="65" t="s">
        <v>11706</v>
      </c>
      <c r="PTZ1" s="65" t="s">
        <v>11707</v>
      </c>
      <c r="PUA1" s="65" t="s">
        <v>11708</v>
      </c>
      <c r="PUB1" s="65" t="s">
        <v>11709</v>
      </c>
      <c r="PUC1" s="65" t="s">
        <v>11710</v>
      </c>
      <c r="PUD1" s="65" t="s">
        <v>11711</v>
      </c>
      <c r="PUE1" s="65" t="s">
        <v>11712</v>
      </c>
      <c r="PUF1" s="65" t="s">
        <v>11713</v>
      </c>
      <c r="PUG1" s="65" t="s">
        <v>11714</v>
      </c>
      <c r="PUH1" s="65" t="s">
        <v>11715</v>
      </c>
      <c r="PUI1" s="65" t="s">
        <v>11716</v>
      </c>
      <c r="PUJ1" s="65" t="s">
        <v>11717</v>
      </c>
      <c r="PUK1" s="65" t="s">
        <v>11718</v>
      </c>
      <c r="PUL1" s="65" t="s">
        <v>11719</v>
      </c>
      <c r="PUM1" s="65" t="s">
        <v>11720</v>
      </c>
      <c r="PUN1" s="65" t="s">
        <v>11721</v>
      </c>
      <c r="PUO1" s="65" t="s">
        <v>11722</v>
      </c>
      <c r="PUP1" s="65" t="s">
        <v>11723</v>
      </c>
      <c r="PUQ1" s="65" t="s">
        <v>11724</v>
      </c>
      <c r="PUR1" s="65" t="s">
        <v>11725</v>
      </c>
      <c r="PUS1" s="65" t="s">
        <v>11726</v>
      </c>
      <c r="PUT1" s="65" t="s">
        <v>11727</v>
      </c>
      <c r="PUU1" s="65" t="s">
        <v>11728</v>
      </c>
      <c r="PUV1" s="65" t="s">
        <v>11729</v>
      </c>
      <c r="PUW1" s="65" t="s">
        <v>11730</v>
      </c>
      <c r="PUX1" s="65" t="s">
        <v>11731</v>
      </c>
      <c r="PUY1" s="65" t="s">
        <v>11732</v>
      </c>
      <c r="PUZ1" s="65" t="s">
        <v>11733</v>
      </c>
      <c r="PVA1" s="65" t="s">
        <v>11734</v>
      </c>
      <c r="PVB1" s="65" t="s">
        <v>11735</v>
      </c>
      <c r="PVC1" s="65" t="s">
        <v>11736</v>
      </c>
      <c r="PVD1" s="65" t="s">
        <v>11737</v>
      </c>
      <c r="PVE1" s="65" t="s">
        <v>11738</v>
      </c>
      <c r="PVF1" s="65" t="s">
        <v>11739</v>
      </c>
      <c r="PVG1" s="65" t="s">
        <v>11740</v>
      </c>
      <c r="PVH1" s="65" t="s">
        <v>11741</v>
      </c>
      <c r="PVI1" s="65" t="s">
        <v>11742</v>
      </c>
      <c r="PVJ1" s="65" t="s">
        <v>11743</v>
      </c>
      <c r="PVK1" s="65" t="s">
        <v>11744</v>
      </c>
      <c r="PVL1" s="65" t="s">
        <v>11745</v>
      </c>
      <c r="PVM1" s="65" t="s">
        <v>11746</v>
      </c>
      <c r="PVN1" s="65" t="s">
        <v>11747</v>
      </c>
      <c r="PVO1" s="65" t="s">
        <v>11748</v>
      </c>
      <c r="PVP1" s="65" t="s">
        <v>11749</v>
      </c>
      <c r="PVQ1" s="65" t="s">
        <v>11750</v>
      </c>
      <c r="PVR1" s="65" t="s">
        <v>11751</v>
      </c>
      <c r="PVS1" s="65" t="s">
        <v>11752</v>
      </c>
      <c r="PVT1" s="65" t="s">
        <v>11753</v>
      </c>
      <c r="PVU1" s="65" t="s">
        <v>11754</v>
      </c>
      <c r="PVV1" s="65" t="s">
        <v>11755</v>
      </c>
      <c r="PVW1" s="65" t="s">
        <v>11756</v>
      </c>
      <c r="PVX1" s="65" t="s">
        <v>11757</v>
      </c>
      <c r="PVY1" s="65" t="s">
        <v>11758</v>
      </c>
      <c r="PVZ1" s="65" t="s">
        <v>11759</v>
      </c>
      <c r="PWA1" s="65" t="s">
        <v>11760</v>
      </c>
      <c r="PWB1" s="65" t="s">
        <v>11761</v>
      </c>
      <c r="PWC1" s="65" t="s">
        <v>11762</v>
      </c>
      <c r="PWD1" s="65" t="s">
        <v>11763</v>
      </c>
      <c r="PWE1" s="65" t="s">
        <v>11764</v>
      </c>
      <c r="PWF1" s="65" t="s">
        <v>11765</v>
      </c>
      <c r="PWG1" s="65" t="s">
        <v>11766</v>
      </c>
      <c r="PWH1" s="65" t="s">
        <v>11767</v>
      </c>
      <c r="PWI1" s="65" t="s">
        <v>11768</v>
      </c>
      <c r="PWJ1" s="65" t="s">
        <v>11769</v>
      </c>
      <c r="PWK1" s="65" t="s">
        <v>11770</v>
      </c>
      <c r="PWL1" s="65" t="s">
        <v>11771</v>
      </c>
      <c r="PWM1" s="65" t="s">
        <v>11772</v>
      </c>
      <c r="PWN1" s="65" t="s">
        <v>11773</v>
      </c>
      <c r="PWO1" s="65" t="s">
        <v>11774</v>
      </c>
      <c r="PWP1" s="65" t="s">
        <v>11775</v>
      </c>
      <c r="PWQ1" s="65" t="s">
        <v>11776</v>
      </c>
      <c r="PWR1" s="65" t="s">
        <v>11777</v>
      </c>
      <c r="PWS1" s="65" t="s">
        <v>11778</v>
      </c>
      <c r="PWT1" s="65" t="s">
        <v>11779</v>
      </c>
      <c r="PWU1" s="65" t="s">
        <v>11780</v>
      </c>
      <c r="PWV1" s="65" t="s">
        <v>11781</v>
      </c>
      <c r="PWW1" s="65" t="s">
        <v>11782</v>
      </c>
      <c r="PWX1" s="65" t="s">
        <v>11783</v>
      </c>
      <c r="PWY1" s="65" t="s">
        <v>11784</v>
      </c>
      <c r="PWZ1" s="65" t="s">
        <v>11785</v>
      </c>
      <c r="PXA1" s="65" t="s">
        <v>11786</v>
      </c>
      <c r="PXB1" s="65" t="s">
        <v>11787</v>
      </c>
      <c r="PXC1" s="65" t="s">
        <v>11788</v>
      </c>
      <c r="PXD1" s="65" t="s">
        <v>11789</v>
      </c>
      <c r="PXE1" s="65" t="s">
        <v>11790</v>
      </c>
      <c r="PXF1" s="65" t="s">
        <v>11791</v>
      </c>
      <c r="PXG1" s="65" t="s">
        <v>11792</v>
      </c>
      <c r="PXH1" s="65" t="s">
        <v>11793</v>
      </c>
      <c r="PXI1" s="65" t="s">
        <v>11794</v>
      </c>
      <c r="PXJ1" s="65" t="s">
        <v>11795</v>
      </c>
      <c r="PXK1" s="65" t="s">
        <v>11796</v>
      </c>
      <c r="PXL1" s="65" t="s">
        <v>11797</v>
      </c>
      <c r="PXM1" s="65" t="s">
        <v>11798</v>
      </c>
      <c r="PXN1" s="65" t="s">
        <v>11799</v>
      </c>
      <c r="PXO1" s="65" t="s">
        <v>11800</v>
      </c>
      <c r="PXP1" s="65" t="s">
        <v>11801</v>
      </c>
      <c r="PXQ1" s="65" t="s">
        <v>11802</v>
      </c>
      <c r="PXR1" s="65" t="s">
        <v>11803</v>
      </c>
      <c r="PXS1" s="65" t="s">
        <v>11804</v>
      </c>
      <c r="PXT1" s="65" t="s">
        <v>11805</v>
      </c>
      <c r="PXU1" s="65" t="s">
        <v>11806</v>
      </c>
      <c r="PXV1" s="65" t="s">
        <v>11807</v>
      </c>
      <c r="PXW1" s="65" t="s">
        <v>11808</v>
      </c>
      <c r="PXX1" s="65" t="s">
        <v>11809</v>
      </c>
      <c r="PXY1" s="65" t="s">
        <v>11810</v>
      </c>
      <c r="PXZ1" s="65" t="s">
        <v>11811</v>
      </c>
      <c r="PYA1" s="65" t="s">
        <v>11812</v>
      </c>
      <c r="PYB1" s="65" t="s">
        <v>11813</v>
      </c>
      <c r="PYC1" s="65" t="s">
        <v>11814</v>
      </c>
      <c r="PYD1" s="65" t="s">
        <v>11815</v>
      </c>
      <c r="PYE1" s="65" t="s">
        <v>11816</v>
      </c>
      <c r="PYF1" s="65" t="s">
        <v>11817</v>
      </c>
      <c r="PYG1" s="65" t="s">
        <v>11818</v>
      </c>
      <c r="PYH1" s="65" t="s">
        <v>11819</v>
      </c>
      <c r="PYI1" s="65" t="s">
        <v>11820</v>
      </c>
      <c r="PYJ1" s="65" t="s">
        <v>11821</v>
      </c>
      <c r="PYK1" s="65" t="s">
        <v>11822</v>
      </c>
      <c r="PYL1" s="65" t="s">
        <v>11823</v>
      </c>
      <c r="PYM1" s="65" t="s">
        <v>11824</v>
      </c>
      <c r="PYN1" s="65" t="s">
        <v>11825</v>
      </c>
      <c r="PYO1" s="65" t="s">
        <v>11826</v>
      </c>
      <c r="PYP1" s="65" t="s">
        <v>11827</v>
      </c>
      <c r="PYQ1" s="65" t="s">
        <v>11828</v>
      </c>
      <c r="PYR1" s="65" t="s">
        <v>11829</v>
      </c>
      <c r="PYS1" s="65" t="s">
        <v>11830</v>
      </c>
      <c r="PYT1" s="65" t="s">
        <v>11831</v>
      </c>
      <c r="PYU1" s="65" t="s">
        <v>11832</v>
      </c>
      <c r="PYV1" s="65" t="s">
        <v>11833</v>
      </c>
      <c r="PYW1" s="65" t="s">
        <v>11834</v>
      </c>
      <c r="PYX1" s="65" t="s">
        <v>11835</v>
      </c>
      <c r="PYY1" s="65" t="s">
        <v>11836</v>
      </c>
      <c r="PYZ1" s="65" t="s">
        <v>11837</v>
      </c>
      <c r="PZA1" s="65" t="s">
        <v>11838</v>
      </c>
      <c r="PZB1" s="65" t="s">
        <v>11839</v>
      </c>
      <c r="PZC1" s="65" t="s">
        <v>11840</v>
      </c>
      <c r="PZD1" s="65" t="s">
        <v>11841</v>
      </c>
      <c r="PZE1" s="65" t="s">
        <v>11842</v>
      </c>
      <c r="PZF1" s="65" t="s">
        <v>11843</v>
      </c>
      <c r="PZG1" s="65" t="s">
        <v>11844</v>
      </c>
      <c r="PZH1" s="65" t="s">
        <v>11845</v>
      </c>
      <c r="PZI1" s="65" t="s">
        <v>11846</v>
      </c>
      <c r="PZJ1" s="65" t="s">
        <v>11847</v>
      </c>
      <c r="PZK1" s="65" t="s">
        <v>11848</v>
      </c>
      <c r="PZL1" s="65" t="s">
        <v>11849</v>
      </c>
      <c r="PZM1" s="65" t="s">
        <v>11850</v>
      </c>
      <c r="PZN1" s="65" t="s">
        <v>11851</v>
      </c>
      <c r="PZO1" s="65" t="s">
        <v>11852</v>
      </c>
      <c r="PZP1" s="65" t="s">
        <v>11853</v>
      </c>
      <c r="PZQ1" s="65" t="s">
        <v>11854</v>
      </c>
      <c r="PZR1" s="65" t="s">
        <v>11855</v>
      </c>
      <c r="PZS1" s="65" t="s">
        <v>11856</v>
      </c>
      <c r="PZT1" s="65" t="s">
        <v>11857</v>
      </c>
      <c r="PZU1" s="65" t="s">
        <v>11858</v>
      </c>
      <c r="PZV1" s="65" t="s">
        <v>11859</v>
      </c>
      <c r="PZW1" s="65" t="s">
        <v>11860</v>
      </c>
      <c r="PZX1" s="65" t="s">
        <v>11861</v>
      </c>
      <c r="PZY1" s="65" t="s">
        <v>11862</v>
      </c>
      <c r="PZZ1" s="65" t="s">
        <v>11863</v>
      </c>
      <c r="QAA1" s="65" t="s">
        <v>11864</v>
      </c>
      <c r="QAB1" s="65" t="s">
        <v>11865</v>
      </c>
      <c r="QAC1" s="65" t="s">
        <v>11866</v>
      </c>
      <c r="QAD1" s="65" t="s">
        <v>11867</v>
      </c>
      <c r="QAE1" s="65" t="s">
        <v>11868</v>
      </c>
      <c r="QAF1" s="65" t="s">
        <v>11869</v>
      </c>
      <c r="QAG1" s="65" t="s">
        <v>11870</v>
      </c>
      <c r="QAH1" s="65" t="s">
        <v>11871</v>
      </c>
      <c r="QAI1" s="65" t="s">
        <v>11872</v>
      </c>
      <c r="QAJ1" s="65" t="s">
        <v>11873</v>
      </c>
      <c r="QAK1" s="65" t="s">
        <v>11874</v>
      </c>
      <c r="QAL1" s="65" t="s">
        <v>11875</v>
      </c>
      <c r="QAM1" s="65" t="s">
        <v>11876</v>
      </c>
      <c r="QAN1" s="65" t="s">
        <v>11877</v>
      </c>
      <c r="QAO1" s="65" t="s">
        <v>11878</v>
      </c>
      <c r="QAP1" s="65" t="s">
        <v>11879</v>
      </c>
      <c r="QAQ1" s="65" t="s">
        <v>11880</v>
      </c>
      <c r="QAR1" s="65" t="s">
        <v>11881</v>
      </c>
      <c r="QAS1" s="65" t="s">
        <v>11882</v>
      </c>
      <c r="QAT1" s="65" t="s">
        <v>11883</v>
      </c>
      <c r="QAU1" s="65" t="s">
        <v>11884</v>
      </c>
      <c r="QAV1" s="65" t="s">
        <v>11885</v>
      </c>
      <c r="QAW1" s="65" t="s">
        <v>11886</v>
      </c>
      <c r="QAX1" s="65" t="s">
        <v>11887</v>
      </c>
      <c r="QAY1" s="65" t="s">
        <v>11888</v>
      </c>
      <c r="QAZ1" s="65" t="s">
        <v>11889</v>
      </c>
      <c r="QBA1" s="65" t="s">
        <v>11890</v>
      </c>
      <c r="QBB1" s="65" t="s">
        <v>11891</v>
      </c>
      <c r="QBC1" s="65" t="s">
        <v>11892</v>
      </c>
      <c r="QBD1" s="65" t="s">
        <v>11893</v>
      </c>
      <c r="QBE1" s="65" t="s">
        <v>11894</v>
      </c>
      <c r="QBF1" s="65" t="s">
        <v>11895</v>
      </c>
      <c r="QBG1" s="65" t="s">
        <v>11896</v>
      </c>
      <c r="QBH1" s="65" t="s">
        <v>11897</v>
      </c>
      <c r="QBI1" s="65" t="s">
        <v>11898</v>
      </c>
      <c r="QBJ1" s="65" t="s">
        <v>11899</v>
      </c>
      <c r="QBK1" s="65" t="s">
        <v>11900</v>
      </c>
      <c r="QBL1" s="65" t="s">
        <v>11901</v>
      </c>
      <c r="QBM1" s="65" t="s">
        <v>11902</v>
      </c>
      <c r="QBN1" s="65" t="s">
        <v>11903</v>
      </c>
      <c r="QBO1" s="65" t="s">
        <v>11904</v>
      </c>
      <c r="QBP1" s="65" t="s">
        <v>11905</v>
      </c>
      <c r="QBQ1" s="65" t="s">
        <v>11906</v>
      </c>
      <c r="QBR1" s="65" t="s">
        <v>11907</v>
      </c>
      <c r="QBS1" s="65" t="s">
        <v>11908</v>
      </c>
      <c r="QBT1" s="65" t="s">
        <v>11909</v>
      </c>
      <c r="QBU1" s="65" t="s">
        <v>11910</v>
      </c>
      <c r="QBV1" s="65" t="s">
        <v>11911</v>
      </c>
      <c r="QBW1" s="65" t="s">
        <v>11912</v>
      </c>
      <c r="QBX1" s="65" t="s">
        <v>11913</v>
      </c>
      <c r="QBY1" s="65" t="s">
        <v>11914</v>
      </c>
      <c r="QBZ1" s="65" t="s">
        <v>11915</v>
      </c>
      <c r="QCA1" s="65" t="s">
        <v>11916</v>
      </c>
      <c r="QCB1" s="65" t="s">
        <v>11917</v>
      </c>
      <c r="QCC1" s="65" t="s">
        <v>11918</v>
      </c>
      <c r="QCD1" s="65" t="s">
        <v>11919</v>
      </c>
      <c r="QCE1" s="65" t="s">
        <v>11920</v>
      </c>
      <c r="QCF1" s="65" t="s">
        <v>11921</v>
      </c>
      <c r="QCG1" s="65" t="s">
        <v>11922</v>
      </c>
      <c r="QCH1" s="65" t="s">
        <v>11923</v>
      </c>
      <c r="QCI1" s="65" t="s">
        <v>11924</v>
      </c>
      <c r="QCJ1" s="65" t="s">
        <v>11925</v>
      </c>
      <c r="QCK1" s="65" t="s">
        <v>11926</v>
      </c>
      <c r="QCL1" s="65" t="s">
        <v>11927</v>
      </c>
      <c r="QCM1" s="65" t="s">
        <v>11928</v>
      </c>
      <c r="QCN1" s="65" t="s">
        <v>11929</v>
      </c>
      <c r="QCO1" s="65" t="s">
        <v>11930</v>
      </c>
      <c r="QCP1" s="65" t="s">
        <v>11931</v>
      </c>
      <c r="QCQ1" s="65" t="s">
        <v>11932</v>
      </c>
      <c r="QCR1" s="65" t="s">
        <v>11933</v>
      </c>
      <c r="QCS1" s="65" t="s">
        <v>11934</v>
      </c>
      <c r="QCT1" s="65" t="s">
        <v>11935</v>
      </c>
      <c r="QCU1" s="65" t="s">
        <v>11936</v>
      </c>
      <c r="QCV1" s="65" t="s">
        <v>11937</v>
      </c>
      <c r="QCW1" s="65" t="s">
        <v>11938</v>
      </c>
      <c r="QCX1" s="65" t="s">
        <v>11939</v>
      </c>
      <c r="QCY1" s="65" t="s">
        <v>11940</v>
      </c>
      <c r="QCZ1" s="65" t="s">
        <v>11941</v>
      </c>
      <c r="QDA1" s="65" t="s">
        <v>11942</v>
      </c>
      <c r="QDB1" s="65" t="s">
        <v>11943</v>
      </c>
      <c r="QDC1" s="65" t="s">
        <v>11944</v>
      </c>
      <c r="QDD1" s="65" t="s">
        <v>11945</v>
      </c>
      <c r="QDE1" s="65" t="s">
        <v>11946</v>
      </c>
      <c r="QDF1" s="65" t="s">
        <v>11947</v>
      </c>
      <c r="QDG1" s="65" t="s">
        <v>11948</v>
      </c>
      <c r="QDH1" s="65" t="s">
        <v>11949</v>
      </c>
      <c r="QDI1" s="65" t="s">
        <v>11950</v>
      </c>
      <c r="QDJ1" s="65" t="s">
        <v>11951</v>
      </c>
      <c r="QDK1" s="65" t="s">
        <v>11952</v>
      </c>
      <c r="QDL1" s="65" t="s">
        <v>11953</v>
      </c>
      <c r="QDM1" s="65" t="s">
        <v>11954</v>
      </c>
      <c r="QDN1" s="65" t="s">
        <v>11955</v>
      </c>
      <c r="QDO1" s="65" t="s">
        <v>11956</v>
      </c>
      <c r="QDP1" s="65" t="s">
        <v>11957</v>
      </c>
      <c r="QDQ1" s="65" t="s">
        <v>11958</v>
      </c>
      <c r="QDR1" s="65" t="s">
        <v>11959</v>
      </c>
      <c r="QDS1" s="65" t="s">
        <v>11960</v>
      </c>
      <c r="QDT1" s="65" t="s">
        <v>11961</v>
      </c>
      <c r="QDU1" s="65" t="s">
        <v>11962</v>
      </c>
      <c r="QDV1" s="65" t="s">
        <v>11963</v>
      </c>
      <c r="QDW1" s="65" t="s">
        <v>11964</v>
      </c>
      <c r="QDX1" s="65" t="s">
        <v>11965</v>
      </c>
      <c r="QDY1" s="65" t="s">
        <v>11966</v>
      </c>
      <c r="QDZ1" s="65" t="s">
        <v>11967</v>
      </c>
      <c r="QEA1" s="65" t="s">
        <v>11968</v>
      </c>
      <c r="QEB1" s="65" t="s">
        <v>11969</v>
      </c>
      <c r="QEC1" s="65" t="s">
        <v>11970</v>
      </c>
      <c r="QED1" s="65" t="s">
        <v>11971</v>
      </c>
      <c r="QEE1" s="65" t="s">
        <v>11972</v>
      </c>
      <c r="QEF1" s="65" t="s">
        <v>11973</v>
      </c>
      <c r="QEG1" s="65" t="s">
        <v>11974</v>
      </c>
      <c r="QEH1" s="65" t="s">
        <v>11975</v>
      </c>
      <c r="QEI1" s="65" t="s">
        <v>11976</v>
      </c>
      <c r="QEJ1" s="65" t="s">
        <v>11977</v>
      </c>
      <c r="QEK1" s="65" t="s">
        <v>11978</v>
      </c>
      <c r="QEL1" s="65" t="s">
        <v>11979</v>
      </c>
      <c r="QEM1" s="65" t="s">
        <v>11980</v>
      </c>
      <c r="QEN1" s="65" t="s">
        <v>11981</v>
      </c>
      <c r="QEO1" s="65" t="s">
        <v>11982</v>
      </c>
      <c r="QEP1" s="65" t="s">
        <v>11983</v>
      </c>
      <c r="QEQ1" s="65" t="s">
        <v>11984</v>
      </c>
      <c r="QER1" s="65" t="s">
        <v>11985</v>
      </c>
      <c r="QES1" s="65" t="s">
        <v>11986</v>
      </c>
      <c r="QET1" s="65" t="s">
        <v>11987</v>
      </c>
      <c r="QEU1" s="65" t="s">
        <v>11988</v>
      </c>
      <c r="QEV1" s="65" t="s">
        <v>11989</v>
      </c>
      <c r="QEW1" s="65" t="s">
        <v>11990</v>
      </c>
      <c r="QEX1" s="65" t="s">
        <v>11991</v>
      </c>
      <c r="QEY1" s="65" t="s">
        <v>11992</v>
      </c>
      <c r="QEZ1" s="65" t="s">
        <v>11993</v>
      </c>
      <c r="QFA1" s="65" t="s">
        <v>11994</v>
      </c>
      <c r="QFB1" s="65" t="s">
        <v>11995</v>
      </c>
      <c r="QFC1" s="65" t="s">
        <v>11996</v>
      </c>
      <c r="QFD1" s="65" t="s">
        <v>11997</v>
      </c>
      <c r="QFE1" s="65" t="s">
        <v>11998</v>
      </c>
      <c r="QFF1" s="65" t="s">
        <v>11999</v>
      </c>
      <c r="QFG1" s="65" t="s">
        <v>12000</v>
      </c>
      <c r="QFH1" s="65" t="s">
        <v>12001</v>
      </c>
      <c r="QFI1" s="65" t="s">
        <v>12002</v>
      </c>
      <c r="QFJ1" s="65" t="s">
        <v>12003</v>
      </c>
      <c r="QFK1" s="65" t="s">
        <v>12004</v>
      </c>
      <c r="QFL1" s="65" t="s">
        <v>12005</v>
      </c>
      <c r="QFM1" s="65" t="s">
        <v>12006</v>
      </c>
      <c r="QFN1" s="65" t="s">
        <v>12007</v>
      </c>
      <c r="QFO1" s="65" t="s">
        <v>12008</v>
      </c>
      <c r="QFP1" s="65" t="s">
        <v>12009</v>
      </c>
      <c r="QFQ1" s="65" t="s">
        <v>12010</v>
      </c>
      <c r="QFR1" s="65" t="s">
        <v>12011</v>
      </c>
      <c r="QFS1" s="65" t="s">
        <v>12012</v>
      </c>
      <c r="QFT1" s="65" t="s">
        <v>12013</v>
      </c>
      <c r="QFU1" s="65" t="s">
        <v>12014</v>
      </c>
      <c r="QFV1" s="65" t="s">
        <v>12015</v>
      </c>
      <c r="QFW1" s="65" t="s">
        <v>12016</v>
      </c>
      <c r="QFX1" s="65" t="s">
        <v>12017</v>
      </c>
      <c r="QFY1" s="65" t="s">
        <v>12018</v>
      </c>
      <c r="QFZ1" s="65" t="s">
        <v>12019</v>
      </c>
      <c r="QGA1" s="65" t="s">
        <v>12020</v>
      </c>
      <c r="QGB1" s="65" t="s">
        <v>12021</v>
      </c>
      <c r="QGC1" s="65" t="s">
        <v>12022</v>
      </c>
      <c r="QGD1" s="65" t="s">
        <v>12023</v>
      </c>
      <c r="QGE1" s="65" t="s">
        <v>12024</v>
      </c>
      <c r="QGF1" s="65" t="s">
        <v>12025</v>
      </c>
      <c r="QGG1" s="65" t="s">
        <v>12026</v>
      </c>
      <c r="QGH1" s="65" t="s">
        <v>12027</v>
      </c>
      <c r="QGI1" s="65" t="s">
        <v>12028</v>
      </c>
      <c r="QGJ1" s="65" t="s">
        <v>12029</v>
      </c>
      <c r="QGK1" s="65" t="s">
        <v>12030</v>
      </c>
      <c r="QGL1" s="65" t="s">
        <v>12031</v>
      </c>
      <c r="QGM1" s="65" t="s">
        <v>12032</v>
      </c>
      <c r="QGN1" s="65" t="s">
        <v>12033</v>
      </c>
      <c r="QGO1" s="65" t="s">
        <v>12034</v>
      </c>
      <c r="QGP1" s="65" t="s">
        <v>12035</v>
      </c>
      <c r="QGQ1" s="65" t="s">
        <v>12036</v>
      </c>
      <c r="QGR1" s="65" t="s">
        <v>12037</v>
      </c>
      <c r="QGS1" s="65" t="s">
        <v>12038</v>
      </c>
      <c r="QGT1" s="65" t="s">
        <v>12039</v>
      </c>
      <c r="QGU1" s="65" t="s">
        <v>12040</v>
      </c>
      <c r="QGV1" s="65" t="s">
        <v>12041</v>
      </c>
      <c r="QGW1" s="65" t="s">
        <v>12042</v>
      </c>
      <c r="QGX1" s="65" t="s">
        <v>12043</v>
      </c>
      <c r="QGY1" s="65" t="s">
        <v>12044</v>
      </c>
      <c r="QGZ1" s="65" t="s">
        <v>12045</v>
      </c>
      <c r="QHA1" s="65" t="s">
        <v>12046</v>
      </c>
      <c r="QHB1" s="65" t="s">
        <v>12047</v>
      </c>
      <c r="QHC1" s="65" t="s">
        <v>12048</v>
      </c>
      <c r="QHD1" s="65" t="s">
        <v>12049</v>
      </c>
      <c r="QHE1" s="65" t="s">
        <v>12050</v>
      </c>
      <c r="QHF1" s="65" t="s">
        <v>12051</v>
      </c>
      <c r="QHG1" s="65" t="s">
        <v>12052</v>
      </c>
      <c r="QHH1" s="65" t="s">
        <v>12053</v>
      </c>
      <c r="QHI1" s="65" t="s">
        <v>12054</v>
      </c>
      <c r="QHJ1" s="65" t="s">
        <v>12055</v>
      </c>
      <c r="QHK1" s="65" t="s">
        <v>12056</v>
      </c>
      <c r="QHL1" s="65" t="s">
        <v>12057</v>
      </c>
      <c r="QHM1" s="65" t="s">
        <v>12058</v>
      </c>
      <c r="QHN1" s="65" t="s">
        <v>12059</v>
      </c>
      <c r="QHO1" s="65" t="s">
        <v>12060</v>
      </c>
      <c r="QHP1" s="65" t="s">
        <v>12061</v>
      </c>
      <c r="QHQ1" s="65" t="s">
        <v>12062</v>
      </c>
      <c r="QHR1" s="65" t="s">
        <v>12063</v>
      </c>
      <c r="QHS1" s="65" t="s">
        <v>12064</v>
      </c>
      <c r="QHT1" s="65" t="s">
        <v>12065</v>
      </c>
      <c r="QHU1" s="65" t="s">
        <v>12066</v>
      </c>
      <c r="QHV1" s="65" t="s">
        <v>12067</v>
      </c>
      <c r="QHW1" s="65" t="s">
        <v>12068</v>
      </c>
      <c r="QHX1" s="65" t="s">
        <v>12069</v>
      </c>
      <c r="QHY1" s="65" t="s">
        <v>12070</v>
      </c>
      <c r="QHZ1" s="65" t="s">
        <v>12071</v>
      </c>
      <c r="QIA1" s="65" t="s">
        <v>12072</v>
      </c>
      <c r="QIB1" s="65" t="s">
        <v>12073</v>
      </c>
      <c r="QIC1" s="65" t="s">
        <v>12074</v>
      </c>
      <c r="QID1" s="65" t="s">
        <v>12075</v>
      </c>
      <c r="QIE1" s="65" t="s">
        <v>12076</v>
      </c>
      <c r="QIF1" s="65" t="s">
        <v>12077</v>
      </c>
      <c r="QIG1" s="65" t="s">
        <v>12078</v>
      </c>
      <c r="QIH1" s="65" t="s">
        <v>12079</v>
      </c>
      <c r="QII1" s="65" t="s">
        <v>12080</v>
      </c>
      <c r="QIJ1" s="65" t="s">
        <v>12081</v>
      </c>
      <c r="QIK1" s="65" t="s">
        <v>12082</v>
      </c>
      <c r="QIL1" s="65" t="s">
        <v>12083</v>
      </c>
      <c r="QIM1" s="65" t="s">
        <v>12084</v>
      </c>
      <c r="QIN1" s="65" t="s">
        <v>12085</v>
      </c>
      <c r="QIO1" s="65" t="s">
        <v>12086</v>
      </c>
      <c r="QIP1" s="65" t="s">
        <v>12087</v>
      </c>
      <c r="QIQ1" s="65" t="s">
        <v>12088</v>
      </c>
      <c r="QIR1" s="65" t="s">
        <v>12089</v>
      </c>
      <c r="QIS1" s="65" t="s">
        <v>12090</v>
      </c>
      <c r="QIT1" s="65" t="s">
        <v>12091</v>
      </c>
      <c r="QIU1" s="65" t="s">
        <v>12092</v>
      </c>
      <c r="QIV1" s="65" t="s">
        <v>12093</v>
      </c>
      <c r="QIW1" s="65" t="s">
        <v>12094</v>
      </c>
      <c r="QIX1" s="65" t="s">
        <v>12095</v>
      </c>
      <c r="QIY1" s="65" t="s">
        <v>12096</v>
      </c>
      <c r="QIZ1" s="65" t="s">
        <v>12097</v>
      </c>
      <c r="QJA1" s="65" t="s">
        <v>12098</v>
      </c>
      <c r="QJB1" s="65" t="s">
        <v>12099</v>
      </c>
      <c r="QJC1" s="65" t="s">
        <v>12100</v>
      </c>
      <c r="QJD1" s="65" t="s">
        <v>12101</v>
      </c>
      <c r="QJE1" s="65" t="s">
        <v>12102</v>
      </c>
      <c r="QJF1" s="65" t="s">
        <v>12103</v>
      </c>
      <c r="QJG1" s="65" t="s">
        <v>12104</v>
      </c>
      <c r="QJH1" s="65" t="s">
        <v>12105</v>
      </c>
      <c r="QJI1" s="65" t="s">
        <v>12106</v>
      </c>
      <c r="QJJ1" s="65" t="s">
        <v>12107</v>
      </c>
      <c r="QJK1" s="65" t="s">
        <v>12108</v>
      </c>
      <c r="QJL1" s="65" t="s">
        <v>12109</v>
      </c>
      <c r="QJM1" s="65" t="s">
        <v>12110</v>
      </c>
      <c r="QJN1" s="65" t="s">
        <v>12111</v>
      </c>
      <c r="QJO1" s="65" t="s">
        <v>12112</v>
      </c>
      <c r="QJP1" s="65" t="s">
        <v>12113</v>
      </c>
      <c r="QJQ1" s="65" t="s">
        <v>12114</v>
      </c>
      <c r="QJR1" s="65" t="s">
        <v>12115</v>
      </c>
      <c r="QJS1" s="65" t="s">
        <v>12116</v>
      </c>
      <c r="QJT1" s="65" t="s">
        <v>12117</v>
      </c>
      <c r="QJU1" s="65" t="s">
        <v>12118</v>
      </c>
      <c r="QJV1" s="65" t="s">
        <v>12119</v>
      </c>
      <c r="QJW1" s="65" t="s">
        <v>12120</v>
      </c>
      <c r="QJX1" s="65" t="s">
        <v>12121</v>
      </c>
      <c r="QJY1" s="65" t="s">
        <v>12122</v>
      </c>
      <c r="QJZ1" s="65" t="s">
        <v>12123</v>
      </c>
      <c r="QKA1" s="65" t="s">
        <v>12124</v>
      </c>
      <c r="QKB1" s="65" t="s">
        <v>12125</v>
      </c>
      <c r="QKC1" s="65" t="s">
        <v>12126</v>
      </c>
      <c r="QKD1" s="65" t="s">
        <v>12127</v>
      </c>
      <c r="QKE1" s="65" t="s">
        <v>12128</v>
      </c>
      <c r="QKF1" s="65" t="s">
        <v>12129</v>
      </c>
      <c r="QKG1" s="65" t="s">
        <v>12130</v>
      </c>
      <c r="QKH1" s="65" t="s">
        <v>12131</v>
      </c>
      <c r="QKI1" s="65" t="s">
        <v>12132</v>
      </c>
      <c r="QKJ1" s="65" t="s">
        <v>12133</v>
      </c>
      <c r="QKK1" s="65" t="s">
        <v>12134</v>
      </c>
      <c r="QKL1" s="65" t="s">
        <v>12135</v>
      </c>
      <c r="QKM1" s="65" t="s">
        <v>12136</v>
      </c>
      <c r="QKN1" s="65" t="s">
        <v>12137</v>
      </c>
      <c r="QKO1" s="65" t="s">
        <v>12138</v>
      </c>
      <c r="QKP1" s="65" t="s">
        <v>12139</v>
      </c>
      <c r="QKQ1" s="65" t="s">
        <v>12140</v>
      </c>
      <c r="QKR1" s="65" t="s">
        <v>12141</v>
      </c>
      <c r="QKS1" s="65" t="s">
        <v>12142</v>
      </c>
      <c r="QKT1" s="65" t="s">
        <v>12143</v>
      </c>
      <c r="QKU1" s="65" t="s">
        <v>12144</v>
      </c>
      <c r="QKV1" s="65" t="s">
        <v>12145</v>
      </c>
      <c r="QKW1" s="65" t="s">
        <v>12146</v>
      </c>
      <c r="QKX1" s="65" t="s">
        <v>12147</v>
      </c>
      <c r="QKY1" s="65" t="s">
        <v>12148</v>
      </c>
      <c r="QKZ1" s="65" t="s">
        <v>12149</v>
      </c>
      <c r="QLA1" s="65" t="s">
        <v>12150</v>
      </c>
      <c r="QLB1" s="65" t="s">
        <v>12151</v>
      </c>
      <c r="QLC1" s="65" t="s">
        <v>12152</v>
      </c>
      <c r="QLD1" s="65" t="s">
        <v>12153</v>
      </c>
      <c r="QLE1" s="65" t="s">
        <v>12154</v>
      </c>
      <c r="QLF1" s="65" t="s">
        <v>12155</v>
      </c>
      <c r="QLG1" s="65" t="s">
        <v>12156</v>
      </c>
      <c r="QLH1" s="65" t="s">
        <v>12157</v>
      </c>
      <c r="QLI1" s="65" t="s">
        <v>12158</v>
      </c>
      <c r="QLJ1" s="65" t="s">
        <v>12159</v>
      </c>
      <c r="QLK1" s="65" t="s">
        <v>12160</v>
      </c>
      <c r="QLL1" s="65" t="s">
        <v>12161</v>
      </c>
      <c r="QLM1" s="65" t="s">
        <v>12162</v>
      </c>
      <c r="QLN1" s="65" t="s">
        <v>12163</v>
      </c>
      <c r="QLO1" s="65" t="s">
        <v>12164</v>
      </c>
      <c r="QLP1" s="65" t="s">
        <v>12165</v>
      </c>
      <c r="QLQ1" s="65" t="s">
        <v>12166</v>
      </c>
      <c r="QLR1" s="65" t="s">
        <v>12167</v>
      </c>
      <c r="QLS1" s="65" t="s">
        <v>12168</v>
      </c>
      <c r="QLT1" s="65" t="s">
        <v>12169</v>
      </c>
      <c r="QLU1" s="65" t="s">
        <v>12170</v>
      </c>
      <c r="QLV1" s="65" t="s">
        <v>12171</v>
      </c>
      <c r="QLW1" s="65" t="s">
        <v>12172</v>
      </c>
      <c r="QLX1" s="65" t="s">
        <v>12173</v>
      </c>
      <c r="QLY1" s="65" t="s">
        <v>12174</v>
      </c>
      <c r="QLZ1" s="65" t="s">
        <v>12175</v>
      </c>
      <c r="QMA1" s="65" t="s">
        <v>12176</v>
      </c>
      <c r="QMB1" s="65" t="s">
        <v>12177</v>
      </c>
      <c r="QMC1" s="65" t="s">
        <v>12178</v>
      </c>
      <c r="QMD1" s="65" t="s">
        <v>12179</v>
      </c>
      <c r="QME1" s="65" t="s">
        <v>12180</v>
      </c>
      <c r="QMF1" s="65" t="s">
        <v>12181</v>
      </c>
      <c r="QMG1" s="65" t="s">
        <v>12182</v>
      </c>
      <c r="QMH1" s="65" t="s">
        <v>12183</v>
      </c>
      <c r="QMI1" s="65" t="s">
        <v>12184</v>
      </c>
      <c r="QMJ1" s="65" t="s">
        <v>12185</v>
      </c>
      <c r="QMK1" s="65" t="s">
        <v>12186</v>
      </c>
      <c r="QML1" s="65" t="s">
        <v>12187</v>
      </c>
      <c r="QMM1" s="65" t="s">
        <v>12188</v>
      </c>
      <c r="QMN1" s="65" t="s">
        <v>12189</v>
      </c>
      <c r="QMO1" s="65" t="s">
        <v>12190</v>
      </c>
      <c r="QMP1" s="65" t="s">
        <v>12191</v>
      </c>
      <c r="QMQ1" s="65" t="s">
        <v>12192</v>
      </c>
      <c r="QMR1" s="65" t="s">
        <v>12193</v>
      </c>
      <c r="QMS1" s="65" t="s">
        <v>12194</v>
      </c>
      <c r="QMT1" s="65" t="s">
        <v>12195</v>
      </c>
      <c r="QMU1" s="65" t="s">
        <v>12196</v>
      </c>
      <c r="QMV1" s="65" t="s">
        <v>12197</v>
      </c>
      <c r="QMW1" s="65" t="s">
        <v>12198</v>
      </c>
      <c r="QMX1" s="65" t="s">
        <v>12199</v>
      </c>
      <c r="QMY1" s="65" t="s">
        <v>12200</v>
      </c>
      <c r="QMZ1" s="65" t="s">
        <v>12201</v>
      </c>
      <c r="QNA1" s="65" t="s">
        <v>12202</v>
      </c>
      <c r="QNB1" s="65" t="s">
        <v>12203</v>
      </c>
      <c r="QNC1" s="65" t="s">
        <v>12204</v>
      </c>
      <c r="QND1" s="65" t="s">
        <v>12205</v>
      </c>
      <c r="QNE1" s="65" t="s">
        <v>12206</v>
      </c>
      <c r="QNF1" s="65" t="s">
        <v>12207</v>
      </c>
      <c r="QNG1" s="65" t="s">
        <v>12208</v>
      </c>
      <c r="QNH1" s="65" t="s">
        <v>12209</v>
      </c>
      <c r="QNI1" s="65" t="s">
        <v>12210</v>
      </c>
      <c r="QNJ1" s="65" t="s">
        <v>12211</v>
      </c>
      <c r="QNK1" s="65" t="s">
        <v>12212</v>
      </c>
      <c r="QNL1" s="65" t="s">
        <v>12213</v>
      </c>
      <c r="QNM1" s="65" t="s">
        <v>12214</v>
      </c>
      <c r="QNN1" s="65" t="s">
        <v>12215</v>
      </c>
      <c r="QNO1" s="65" t="s">
        <v>12216</v>
      </c>
      <c r="QNP1" s="65" t="s">
        <v>12217</v>
      </c>
      <c r="QNQ1" s="65" t="s">
        <v>12218</v>
      </c>
      <c r="QNR1" s="65" t="s">
        <v>12219</v>
      </c>
      <c r="QNS1" s="65" t="s">
        <v>12220</v>
      </c>
      <c r="QNT1" s="65" t="s">
        <v>12221</v>
      </c>
      <c r="QNU1" s="65" t="s">
        <v>12222</v>
      </c>
      <c r="QNV1" s="65" t="s">
        <v>12223</v>
      </c>
      <c r="QNW1" s="65" t="s">
        <v>12224</v>
      </c>
      <c r="QNX1" s="65" t="s">
        <v>12225</v>
      </c>
      <c r="QNY1" s="65" t="s">
        <v>12226</v>
      </c>
      <c r="QNZ1" s="65" t="s">
        <v>12227</v>
      </c>
      <c r="QOA1" s="65" t="s">
        <v>12228</v>
      </c>
      <c r="QOB1" s="65" t="s">
        <v>12229</v>
      </c>
      <c r="QOC1" s="65" t="s">
        <v>12230</v>
      </c>
      <c r="QOD1" s="65" t="s">
        <v>12231</v>
      </c>
      <c r="QOE1" s="65" t="s">
        <v>12232</v>
      </c>
      <c r="QOF1" s="65" t="s">
        <v>12233</v>
      </c>
      <c r="QOG1" s="65" t="s">
        <v>12234</v>
      </c>
      <c r="QOH1" s="65" t="s">
        <v>12235</v>
      </c>
      <c r="QOI1" s="65" t="s">
        <v>12236</v>
      </c>
      <c r="QOJ1" s="65" t="s">
        <v>12237</v>
      </c>
      <c r="QOK1" s="65" t="s">
        <v>12238</v>
      </c>
      <c r="QOL1" s="65" t="s">
        <v>12239</v>
      </c>
      <c r="QOM1" s="65" t="s">
        <v>12240</v>
      </c>
      <c r="QON1" s="65" t="s">
        <v>12241</v>
      </c>
      <c r="QOO1" s="65" t="s">
        <v>12242</v>
      </c>
      <c r="QOP1" s="65" t="s">
        <v>12243</v>
      </c>
      <c r="QOQ1" s="65" t="s">
        <v>12244</v>
      </c>
      <c r="QOR1" s="65" t="s">
        <v>12245</v>
      </c>
      <c r="QOS1" s="65" t="s">
        <v>12246</v>
      </c>
      <c r="QOT1" s="65" t="s">
        <v>12247</v>
      </c>
      <c r="QOU1" s="65" t="s">
        <v>12248</v>
      </c>
      <c r="QOV1" s="65" t="s">
        <v>12249</v>
      </c>
      <c r="QOW1" s="65" t="s">
        <v>12250</v>
      </c>
      <c r="QOX1" s="65" t="s">
        <v>12251</v>
      </c>
      <c r="QOY1" s="65" t="s">
        <v>12252</v>
      </c>
      <c r="QOZ1" s="65" t="s">
        <v>12253</v>
      </c>
      <c r="QPA1" s="65" t="s">
        <v>12254</v>
      </c>
      <c r="QPB1" s="65" t="s">
        <v>12255</v>
      </c>
      <c r="QPC1" s="65" t="s">
        <v>12256</v>
      </c>
      <c r="QPD1" s="65" t="s">
        <v>12257</v>
      </c>
      <c r="QPE1" s="65" t="s">
        <v>12258</v>
      </c>
      <c r="QPF1" s="65" t="s">
        <v>12259</v>
      </c>
      <c r="QPG1" s="65" t="s">
        <v>12260</v>
      </c>
      <c r="QPH1" s="65" t="s">
        <v>12261</v>
      </c>
      <c r="QPI1" s="65" t="s">
        <v>12262</v>
      </c>
      <c r="QPJ1" s="65" t="s">
        <v>12263</v>
      </c>
      <c r="QPK1" s="65" t="s">
        <v>12264</v>
      </c>
      <c r="QPL1" s="65" t="s">
        <v>12265</v>
      </c>
      <c r="QPM1" s="65" t="s">
        <v>12266</v>
      </c>
      <c r="QPN1" s="65" t="s">
        <v>12267</v>
      </c>
      <c r="QPO1" s="65" t="s">
        <v>12268</v>
      </c>
      <c r="QPP1" s="65" t="s">
        <v>12269</v>
      </c>
      <c r="QPQ1" s="65" t="s">
        <v>12270</v>
      </c>
      <c r="QPR1" s="65" t="s">
        <v>12271</v>
      </c>
      <c r="QPS1" s="65" t="s">
        <v>12272</v>
      </c>
      <c r="QPT1" s="65" t="s">
        <v>12273</v>
      </c>
      <c r="QPU1" s="65" t="s">
        <v>12274</v>
      </c>
      <c r="QPV1" s="65" t="s">
        <v>12275</v>
      </c>
      <c r="QPW1" s="65" t="s">
        <v>12276</v>
      </c>
      <c r="QPX1" s="65" t="s">
        <v>12277</v>
      </c>
      <c r="QPY1" s="65" t="s">
        <v>12278</v>
      </c>
      <c r="QPZ1" s="65" t="s">
        <v>12279</v>
      </c>
      <c r="QQA1" s="65" t="s">
        <v>12280</v>
      </c>
      <c r="QQB1" s="65" t="s">
        <v>12281</v>
      </c>
      <c r="QQC1" s="65" t="s">
        <v>12282</v>
      </c>
      <c r="QQD1" s="65" t="s">
        <v>12283</v>
      </c>
      <c r="QQE1" s="65" t="s">
        <v>12284</v>
      </c>
      <c r="QQF1" s="65" t="s">
        <v>12285</v>
      </c>
      <c r="QQG1" s="65" t="s">
        <v>12286</v>
      </c>
      <c r="QQH1" s="65" t="s">
        <v>12287</v>
      </c>
      <c r="QQI1" s="65" t="s">
        <v>12288</v>
      </c>
      <c r="QQJ1" s="65" t="s">
        <v>12289</v>
      </c>
      <c r="QQK1" s="65" t="s">
        <v>12290</v>
      </c>
      <c r="QQL1" s="65" t="s">
        <v>12291</v>
      </c>
      <c r="QQM1" s="65" t="s">
        <v>12292</v>
      </c>
      <c r="QQN1" s="65" t="s">
        <v>12293</v>
      </c>
      <c r="QQO1" s="65" t="s">
        <v>12294</v>
      </c>
      <c r="QQP1" s="65" t="s">
        <v>12295</v>
      </c>
      <c r="QQQ1" s="65" t="s">
        <v>12296</v>
      </c>
      <c r="QQR1" s="65" t="s">
        <v>12297</v>
      </c>
      <c r="QQS1" s="65" t="s">
        <v>12298</v>
      </c>
      <c r="QQT1" s="65" t="s">
        <v>12299</v>
      </c>
      <c r="QQU1" s="65" t="s">
        <v>12300</v>
      </c>
      <c r="QQV1" s="65" t="s">
        <v>12301</v>
      </c>
      <c r="QQW1" s="65" t="s">
        <v>12302</v>
      </c>
      <c r="QQX1" s="65" t="s">
        <v>12303</v>
      </c>
      <c r="QQY1" s="65" t="s">
        <v>12304</v>
      </c>
      <c r="QQZ1" s="65" t="s">
        <v>12305</v>
      </c>
      <c r="QRA1" s="65" t="s">
        <v>12306</v>
      </c>
      <c r="QRB1" s="65" t="s">
        <v>12307</v>
      </c>
      <c r="QRC1" s="65" t="s">
        <v>12308</v>
      </c>
      <c r="QRD1" s="65" t="s">
        <v>12309</v>
      </c>
      <c r="QRE1" s="65" t="s">
        <v>12310</v>
      </c>
      <c r="QRF1" s="65" t="s">
        <v>12311</v>
      </c>
      <c r="QRG1" s="65" t="s">
        <v>12312</v>
      </c>
      <c r="QRH1" s="65" t="s">
        <v>12313</v>
      </c>
      <c r="QRI1" s="65" t="s">
        <v>12314</v>
      </c>
      <c r="QRJ1" s="65" t="s">
        <v>12315</v>
      </c>
      <c r="QRK1" s="65" t="s">
        <v>12316</v>
      </c>
      <c r="QRL1" s="65" t="s">
        <v>12317</v>
      </c>
      <c r="QRM1" s="65" t="s">
        <v>12318</v>
      </c>
      <c r="QRN1" s="65" t="s">
        <v>12319</v>
      </c>
      <c r="QRO1" s="65" t="s">
        <v>12320</v>
      </c>
      <c r="QRP1" s="65" t="s">
        <v>12321</v>
      </c>
      <c r="QRQ1" s="65" t="s">
        <v>12322</v>
      </c>
      <c r="QRR1" s="65" t="s">
        <v>12323</v>
      </c>
      <c r="QRS1" s="65" t="s">
        <v>12324</v>
      </c>
      <c r="QRT1" s="65" t="s">
        <v>12325</v>
      </c>
      <c r="QRU1" s="65" t="s">
        <v>12326</v>
      </c>
      <c r="QRV1" s="65" t="s">
        <v>12327</v>
      </c>
      <c r="QRW1" s="65" t="s">
        <v>12328</v>
      </c>
      <c r="QRX1" s="65" t="s">
        <v>12329</v>
      </c>
      <c r="QRY1" s="65" t="s">
        <v>12330</v>
      </c>
      <c r="QRZ1" s="65" t="s">
        <v>12331</v>
      </c>
      <c r="QSA1" s="65" t="s">
        <v>12332</v>
      </c>
      <c r="QSB1" s="65" t="s">
        <v>12333</v>
      </c>
      <c r="QSC1" s="65" t="s">
        <v>12334</v>
      </c>
      <c r="QSD1" s="65" t="s">
        <v>12335</v>
      </c>
      <c r="QSE1" s="65" t="s">
        <v>12336</v>
      </c>
      <c r="QSF1" s="65" t="s">
        <v>12337</v>
      </c>
      <c r="QSG1" s="65" t="s">
        <v>12338</v>
      </c>
      <c r="QSH1" s="65" t="s">
        <v>12339</v>
      </c>
      <c r="QSI1" s="65" t="s">
        <v>12340</v>
      </c>
      <c r="QSJ1" s="65" t="s">
        <v>12341</v>
      </c>
      <c r="QSK1" s="65" t="s">
        <v>12342</v>
      </c>
      <c r="QSL1" s="65" t="s">
        <v>12343</v>
      </c>
      <c r="QSM1" s="65" t="s">
        <v>12344</v>
      </c>
      <c r="QSN1" s="65" t="s">
        <v>12345</v>
      </c>
      <c r="QSO1" s="65" t="s">
        <v>12346</v>
      </c>
      <c r="QSP1" s="65" t="s">
        <v>12347</v>
      </c>
      <c r="QSQ1" s="65" t="s">
        <v>12348</v>
      </c>
      <c r="QSR1" s="65" t="s">
        <v>12349</v>
      </c>
      <c r="QSS1" s="65" t="s">
        <v>12350</v>
      </c>
      <c r="QST1" s="65" t="s">
        <v>12351</v>
      </c>
      <c r="QSU1" s="65" t="s">
        <v>12352</v>
      </c>
      <c r="QSV1" s="65" t="s">
        <v>12353</v>
      </c>
      <c r="QSW1" s="65" t="s">
        <v>12354</v>
      </c>
      <c r="QSX1" s="65" t="s">
        <v>12355</v>
      </c>
      <c r="QSY1" s="65" t="s">
        <v>12356</v>
      </c>
      <c r="QSZ1" s="65" t="s">
        <v>12357</v>
      </c>
      <c r="QTA1" s="65" t="s">
        <v>12358</v>
      </c>
      <c r="QTB1" s="65" t="s">
        <v>12359</v>
      </c>
      <c r="QTC1" s="65" t="s">
        <v>12360</v>
      </c>
      <c r="QTD1" s="65" t="s">
        <v>12361</v>
      </c>
      <c r="QTE1" s="65" t="s">
        <v>12362</v>
      </c>
      <c r="QTF1" s="65" t="s">
        <v>12363</v>
      </c>
      <c r="QTG1" s="65" t="s">
        <v>12364</v>
      </c>
      <c r="QTH1" s="65" t="s">
        <v>12365</v>
      </c>
      <c r="QTI1" s="65" t="s">
        <v>12366</v>
      </c>
      <c r="QTJ1" s="65" t="s">
        <v>12367</v>
      </c>
      <c r="QTK1" s="65" t="s">
        <v>12368</v>
      </c>
      <c r="QTL1" s="65" t="s">
        <v>12369</v>
      </c>
      <c r="QTM1" s="65" t="s">
        <v>12370</v>
      </c>
      <c r="QTN1" s="65" t="s">
        <v>12371</v>
      </c>
      <c r="QTO1" s="65" t="s">
        <v>12372</v>
      </c>
      <c r="QTP1" s="65" t="s">
        <v>12373</v>
      </c>
      <c r="QTQ1" s="65" t="s">
        <v>12374</v>
      </c>
      <c r="QTR1" s="65" t="s">
        <v>12375</v>
      </c>
      <c r="QTS1" s="65" t="s">
        <v>12376</v>
      </c>
      <c r="QTT1" s="65" t="s">
        <v>12377</v>
      </c>
      <c r="QTU1" s="65" t="s">
        <v>12378</v>
      </c>
      <c r="QTV1" s="65" t="s">
        <v>12379</v>
      </c>
      <c r="QTW1" s="65" t="s">
        <v>12380</v>
      </c>
      <c r="QTX1" s="65" t="s">
        <v>12381</v>
      </c>
      <c r="QTY1" s="65" t="s">
        <v>12382</v>
      </c>
      <c r="QTZ1" s="65" t="s">
        <v>12383</v>
      </c>
      <c r="QUA1" s="65" t="s">
        <v>12384</v>
      </c>
      <c r="QUB1" s="65" t="s">
        <v>12385</v>
      </c>
      <c r="QUC1" s="65" t="s">
        <v>12386</v>
      </c>
      <c r="QUD1" s="65" t="s">
        <v>12387</v>
      </c>
      <c r="QUE1" s="65" t="s">
        <v>12388</v>
      </c>
      <c r="QUF1" s="65" t="s">
        <v>12389</v>
      </c>
      <c r="QUG1" s="65" t="s">
        <v>12390</v>
      </c>
      <c r="QUH1" s="65" t="s">
        <v>12391</v>
      </c>
      <c r="QUI1" s="65" t="s">
        <v>12392</v>
      </c>
      <c r="QUJ1" s="65" t="s">
        <v>12393</v>
      </c>
      <c r="QUK1" s="65" t="s">
        <v>12394</v>
      </c>
      <c r="QUL1" s="65" t="s">
        <v>12395</v>
      </c>
      <c r="QUM1" s="65" t="s">
        <v>12396</v>
      </c>
      <c r="QUN1" s="65" t="s">
        <v>12397</v>
      </c>
      <c r="QUO1" s="65" t="s">
        <v>12398</v>
      </c>
      <c r="QUP1" s="65" t="s">
        <v>12399</v>
      </c>
      <c r="QUQ1" s="65" t="s">
        <v>12400</v>
      </c>
      <c r="QUR1" s="65" t="s">
        <v>12401</v>
      </c>
      <c r="QUS1" s="65" t="s">
        <v>12402</v>
      </c>
      <c r="QUT1" s="65" t="s">
        <v>12403</v>
      </c>
      <c r="QUU1" s="65" t="s">
        <v>12404</v>
      </c>
      <c r="QUV1" s="65" t="s">
        <v>12405</v>
      </c>
      <c r="QUW1" s="65" t="s">
        <v>12406</v>
      </c>
      <c r="QUX1" s="65" t="s">
        <v>12407</v>
      </c>
      <c r="QUY1" s="65" t="s">
        <v>12408</v>
      </c>
      <c r="QUZ1" s="65" t="s">
        <v>12409</v>
      </c>
      <c r="QVA1" s="65" t="s">
        <v>12410</v>
      </c>
      <c r="QVB1" s="65" t="s">
        <v>12411</v>
      </c>
      <c r="QVC1" s="65" t="s">
        <v>12412</v>
      </c>
      <c r="QVD1" s="65" t="s">
        <v>12413</v>
      </c>
      <c r="QVE1" s="65" t="s">
        <v>12414</v>
      </c>
      <c r="QVF1" s="65" t="s">
        <v>12415</v>
      </c>
      <c r="QVG1" s="65" t="s">
        <v>12416</v>
      </c>
      <c r="QVH1" s="65" t="s">
        <v>12417</v>
      </c>
      <c r="QVI1" s="65" t="s">
        <v>12418</v>
      </c>
      <c r="QVJ1" s="65" t="s">
        <v>12419</v>
      </c>
      <c r="QVK1" s="65" t="s">
        <v>12420</v>
      </c>
      <c r="QVL1" s="65" t="s">
        <v>12421</v>
      </c>
      <c r="QVM1" s="65" t="s">
        <v>12422</v>
      </c>
      <c r="QVN1" s="65" t="s">
        <v>12423</v>
      </c>
      <c r="QVO1" s="65" t="s">
        <v>12424</v>
      </c>
      <c r="QVP1" s="65" t="s">
        <v>12425</v>
      </c>
      <c r="QVQ1" s="65" t="s">
        <v>12426</v>
      </c>
      <c r="QVR1" s="65" t="s">
        <v>12427</v>
      </c>
      <c r="QVS1" s="65" t="s">
        <v>12428</v>
      </c>
      <c r="QVT1" s="65" t="s">
        <v>12429</v>
      </c>
      <c r="QVU1" s="65" t="s">
        <v>12430</v>
      </c>
      <c r="QVV1" s="65" t="s">
        <v>12431</v>
      </c>
      <c r="QVW1" s="65" t="s">
        <v>12432</v>
      </c>
      <c r="QVX1" s="65" t="s">
        <v>12433</v>
      </c>
      <c r="QVY1" s="65" t="s">
        <v>12434</v>
      </c>
      <c r="QVZ1" s="65" t="s">
        <v>12435</v>
      </c>
      <c r="QWA1" s="65" t="s">
        <v>12436</v>
      </c>
      <c r="QWB1" s="65" t="s">
        <v>12437</v>
      </c>
      <c r="QWC1" s="65" t="s">
        <v>12438</v>
      </c>
      <c r="QWD1" s="65" t="s">
        <v>12439</v>
      </c>
      <c r="QWE1" s="65" t="s">
        <v>12440</v>
      </c>
      <c r="QWF1" s="65" t="s">
        <v>12441</v>
      </c>
      <c r="QWG1" s="65" t="s">
        <v>12442</v>
      </c>
      <c r="QWH1" s="65" t="s">
        <v>12443</v>
      </c>
      <c r="QWI1" s="65" t="s">
        <v>12444</v>
      </c>
      <c r="QWJ1" s="65" t="s">
        <v>12445</v>
      </c>
      <c r="QWK1" s="65" t="s">
        <v>12446</v>
      </c>
      <c r="QWL1" s="65" t="s">
        <v>12447</v>
      </c>
      <c r="QWM1" s="65" t="s">
        <v>12448</v>
      </c>
      <c r="QWN1" s="65" t="s">
        <v>12449</v>
      </c>
      <c r="QWO1" s="65" t="s">
        <v>12450</v>
      </c>
      <c r="QWP1" s="65" t="s">
        <v>12451</v>
      </c>
      <c r="QWQ1" s="65" t="s">
        <v>12452</v>
      </c>
      <c r="QWR1" s="65" t="s">
        <v>12453</v>
      </c>
      <c r="QWS1" s="65" t="s">
        <v>12454</v>
      </c>
      <c r="QWT1" s="65" t="s">
        <v>12455</v>
      </c>
      <c r="QWU1" s="65" t="s">
        <v>12456</v>
      </c>
      <c r="QWV1" s="65" t="s">
        <v>12457</v>
      </c>
      <c r="QWW1" s="65" t="s">
        <v>12458</v>
      </c>
      <c r="QWX1" s="65" t="s">
        <v>12459</v>
      </c>
      <c r="QWY1" s="65" t="s">
        <v>12460</v>
      </c>
      <c r="QWZ1" s="65" t="s">
        <v>12461</v>
      </c>
      <c r="QXA1" s="65" t="s">
        <v>12462</v>
      </c>
      <c r="QXB1" s="65" t="s">
        <v>12463</v>
      </c>
      <c r="QXC1" s="65" t="s">
        <v>12464</v>
      </c>
      <c r="QXD1" s="65" t="s">
        <v>12465</v>
      </c>
      <c r="QXE1" s="65" t="s">
        <v>12466</v>
      </c>
      <c r="QXF1" s="65" t="s">
        <v>12467</v>
      </c>
      <c r="QXG1" s="65" t="s">
        <v>12468</v>
      </c>
      <c r="QXH1" s="65" t="s">
        <v>12469</v>
      </c>
      <c r="QXI1" s="65" t="s">
        <v>12470</v>
      </c>
      <c r="QXJ1" s="65" t="s">
        <v>12471</v>
      </c>
      <c r="QXK1" s="65" t="s">
        <v>12472</v>
      </c>
      <c r="QXL1" s="65" t="s">
        <v>12473</v>
      </c>
      <c r="QXM1" s="65" t="s">
        <v>12474</v>
      </c>
      <c r="QXN1" s="65" t="s">
        <v>12475</v>
      </c>
      <c r="QXO1" s="65" t="s">
        <v>12476</v>
      </c>
      <c r="QXP1" s="65" t="s">
        <v>12477</v>
      </c>
      <c r="QXQ1" s="65" t="s">
        <v>12478</v>
      </c>
      <c r="QXR1" s="65" t="s">
        <v>12479</v>
      </c>
      <c r="QXS1" s="65" t="s">
        <v>12480</v>
      </c>
      <c r="QXT1" s="65" t="s">
        <v>12481</v>
      </c>
      <c r="QXU1" s="65" t="s">
        <v>12482</v>
      </c>
      <c r="QXV1" s="65" t="s">
        <v>12483</v>
      </c>
      <c r="QXW1" s="65" t="s">
        <v>12484</v>
      </c>
      <c r="QXX1" s="65" t="s">
        <v>12485</v>
      </c>
      <c r="QXY1" s="65" t="s">
        <v>12486</v>
      </c>
      <c r="QXZ1" s="65" t="s">
        <v>12487</v>
      </c>
      <c r="QYA1" s="65" t="s">
        <v>12488</v>
      </c>
      <c r="QYB1" s="65" t="s">
        <v>12489</v>
      </c>
      <c r="QYC1" s="65" t="s">
        <v>12490</v>
      </c>
      <c r="QYD1" s="65" t="s">
        <v>12491</v>
      </c>
      <c r="QYE1" s="65" t="s">
        <v>12492</v>
      </c>
      <c r="QYF1" s="65" t="s">
        <v>12493</v>
      </c>
      <c r="QYG1" s="65" t="s">
        <v>12494</v>
      </c>
      <c r="QYH1" s="65" t="s">
        <v>12495</v>
      </c>
      <c r="QYI1" s="65" t="s">
        <v>12496</v>
      </c>
      <c r="QYJ1" s="65" t="s">
        <v>12497</v>
      </c>
      <c r="QYK1" s="65" t="s">
        <v>12498</v>
      </c>
      <c r="QYL1" s="65" t="s">
        <v>12499</v>
      </c>
      <c r="QYM1" s="65" t="s">
        <v>12500</v>
      </c>
      <c r="QYN1" s="65" t="s">
        <v>12501</v>
      </c>
      <c r="QYO1" s="65" t="s">
        <v>12502</v>
      </c>
      <c r="QYP1" s="65" t="s">
        <v>12503</v>
      </c>
      <c r="QYQ1" s="65" t="s">
        <v>12504</v>
      </c>
      <c r="QYR1" s="65" t="s">
        <v>12505</v>
      </c>
      <c r="QYS1" s="65" t="s">
        <v>12506</v>
      </c>
      <c r="QYT1" s="65" t="s">
        <v>12507</v>
      </c>
      <c r="QYU1" s="65" t="s">
        <v>12508</v>
      </c>
      <c r="QYV1" s="65" t="s">
        <v>12509</v>
      </c>
      <c r="QYW1" s="65" t="s">
        <v>12510</v>
      </c>
      <c r="QYX1" s="65" t="s">
        <v>12511</v>
      </c>
      <c r="QYY1" s="65" t="s">
        <v>12512</v>
      </c>
      <c r="QYZ1" s="65" t="s">
        <v>12513</v>
      </c>
      <c r="QZA1" s="65" t="s">
        <v>12514</v>
      </c>
      <c r="QZB1" s="65" t="s">
        <v>12515</v>
      </c>
      <c r="QZC1" s="65" t="s">
        <v>12516</v>
      </c>
      <c r="QZD1" s="65" t="s">
        <v>12517</v>
      </c>
      <c r="QZE1" s="65" t="s">
        <v>12518</v>
      </c>
      <c r="QZF1" s="65" t="s">
        <v>12519</v>
      </c>
      <c r="QZG1" s="65" t="s">
        <v>12520</v>
      </c>
      <c r="QZH1" s="65" t="s">
        <v>12521</v>
      </c>
      <c r="QZI1" s="65" t="s">
        <v>12522</v>
      </c>
      <c r="QZJ1" s="65" t="s">
        <v>12523</v>
      </c>
      <c r="QZK1" s="65" t="s">
        <v>12524</v>
      </c>
      <c r="QZL1" s="65" t="s">
        <v>12525</v>
      </c>
      <c r="QZM1" s="65" t="s">
        <v>12526</v>
      </c>
      <c r="QZN1" s="65" t="s">
        <v>12527</v>
      </c>
      <c r="QZO1" s="65" t="s">
        <v>12528</v>
      </c>
      <c r="QZP1" s="65" t="s">
        <v>12529</v>
      </c>
      <c r="QZQ1" s="65" t="s">
        <v>12530</v>
      </c>
      <c r="QZR1" s="65" t="s">
        <v>12531</v>
      </c>
      <c r="QZS1" s="65" t="s">
        <v>12532</v>
      </c>
      <c r="QZT1" s="65" t="s">
        <v>12533</v>
      </c>
      <c r="QZU1" s="65" t="s">
        <v>12534</v>
      </c>
      <c r="QZV1" s="65" t="s">
        <v>12535</v>
      </c>
      <c r="QZW1" s="65" t="s">
        <v>12536</v>
      </c>
      <c r="QZX1" s="65" t="s">
        <v>12537</v>
      </c>
      <c r="QZY1" s="65" t="s">
        <v>12538</v>
      </c>
      <c r="QZZ1" s="65" t="s">
        <v>12539</v>
      </c>
      <c r="RAA1" s="65" t="s">
        <v>12540</v>
      </c>
      <c r="RAB1" s="65" t="s">
        <v>12541</v>
      </c>
      <c r="RAC1" s="65" t="s">
        <v>12542</v>
      </c>
      <c r="RAD1" s="65" t="s">
        <v>12543</v>
      </c>
      <c r="RAE1" s="65" t="s">
        <v>12544</v>
      </c>
      <c r="RAF1" s="65" t="s">
        <v>12545</v>
      </c>
      <c r="RAG1" s="65" t="s">
        <v>12546</v>
      </c>
      <c r="RAH1" s="65" t="s">
        <v>12547</v>
      </c>
      <c r="RAI1" s="65" t="s">
        <v>12548</v>
      </c>
      <c r="RAJ1" s="65" t="s">
        <v>12549</v>
      </c>
      <c r="RAK1" s="65" t="s">
        <v>12550</v>
      </c>
      <c r="RAL1" s="65" t="s">
        <v>12551</v>
      </c>
      <c r="RAM1" s="65" t="s">
        <v>12552</v>
      </c>
      <c r="RAN1" s="65" t="s">
        <v>12553</v>
      </c>
      <c r="RAO1" s="65" t="s">
        <v>12554</v>
      </c>
      <c r="RAP1" s="65" t="s">
        <v>12555</v>
      </c>
      <c r="RAQ1" s="65" t="s">
        <v>12556</v>
      </c>
      <c r="RAR1" s="65" t="s">
        <v>12557</v>
      </c>
      <c r="RAS1" s="65" t="s">
        <v>12558</v>
      </c>
      <c r="RAT1" s="65" t="s">
        <v>12559</v>
      </c>
      <c r="RAU1" s="65" t="s">
        <v>12560</v>
      </c>
      <c r="RAV1" s="65" t="s">
        <v>12561</v>
      </c>
      <c r="RAW1" s="65" t="s">
        <v>12562</v>
      </c>
      <c r="RAX1" s="65" t="s">
        <v>12563</v>
      </c>
      <c r="RAY1" s="65" t="s">
        <v>12564</v>
      </c>
      <c r="RAZ1" s="65" t="s">
        <v>12565</v>
      </c>
      <c r="RBA1" s="65" t="s">
        <v>12566</v>
      </c>
      <c r="RBB1" s="65" t="s">
        <v>12567</v>
      </c>
      <c r="RBC1" s="65" t="s">
        <v>12568</v>
      </c>
      <c r="RBD1" s="65" t="s">
        <v>12569</v>
      </c>
      <c r="RBE1" s="65" t="s">
        <v>12570</v>
      </c>
      <c r="RBF1" s="65" t="s">
        <v>12571</v>
      </c>
      <c r="RBG1" s="65" t="s">
        <v>12572</v>
      </c>
      <c r="RBH1" s="65" t="s">
        <v>12573</v>
      </c>
      <c r="RBI1" s="65" t="s">
        <v>12574</v>
      </c>
      <c r="RBJ1" s="65" t="s">
        <v>12575</v>
      </c>
      <c r="RBK1" s="65" t="s">
        <v>12576</v>
      </c>
      <c r="RBL1" s="65" t="s">
        <v>12577</v>
      </c>
      <c r="RBM1" s="65" t="s">
        <v>12578</v>
      </c>
      <c r="RBN1" s="65" t="s">
        <v>12579</v>
      </c>
      <c r="RBO1" s="65" t="s">
        <v>12580</v>
      </c>
      <c r="RBP1" s="65" t="s">
        <v>12581</v>
      </c>
      <c r="RBQ1" s="65" t="s">
        <v>12582</v>
      </c>
      <c r="RBR1" s="65" t="s">
        <v>12583</v>
      </c>
      <c r="RBS1" s="65" t="s">
        <v>12584</v>
      </c>
      <c r="RBT1" s="65" t="s">
        <v>12585</v>
      </c>
      <c r="RBU1" s="65" t="s">
        <v>12586</v>
      </c>
      <c r="RBV1" s="65" t="s">
        <v>12587</v>
      </c>
      <c r="RBW1" s="65" t="s">
        <v>12588</v>
      </c>
      <c r="RBX1" s="65" t="s">
        <v>12589</v>
      </c>
      <c r="RBY1" s="65" t="s">
        <v>12590</v>
      </c>
      <c r="RBZ1" s="65" t="s">
        <v>12591</v>
      </c>
      <c r="RCA1" s="65" t="s">
        <v>12592</v>
      </c>
      <c r="RCB1" s="65" t="s">
        <v>12593</v>
      </c>
      <c r="RCC1" s="65" t="s">
        <v>12594</v>
      </c>
      <c r="RCD1" s="65" t="s">
        <v>12595</v>
      </c>
      <c r="RCE1" s="65" t="s">
        <v>12596</v>
      </c>
      <c r="RCF1" s="65" t="s">
        <v>12597</v>
      </c>
      <c r="RCG1" s="65" t="s">
        <v>12598</v>
      </c>
      <c r="RCH1" s="65" t="s">
        <v>12599</v>
      </c>
      <c r="RCI1" s="65" t="s">
        <v>12600</v>
      </c>
      <c r="RCJ1" s="65" t="s">
        <v>12601</v>
      </c>
      <c r="RCK1" s="65" t="s">
        <v>12602</v>
      </c>
      <c r="RCL1" s="65" t="s">
        <v>12603</v>
      </c>
      <c r="RCM1" s="65" t="s">
        <v>12604</v>
      </c>
      <c r="RCN1" s="65" t="s">
        <v>12605</v>
      </c>
      <c r="RCO1" s="65" t="s">
        <v>12606</v>
      </c>
      <c r="RCP1" s="65" t="s">
        <v>12607</v>
      </c>
      <c r="RCQ1" s="65" t="s">
        <v>12608</v>
      </c>
      <c r="RCR1" s="65" t="s">
        <v>12609</v>
      </c>
      <c r="RCS1" s="65" t="s">
        <v>12610</v>
      </c>
      <c r="RCT1" s="65" t="s">
        <v>12611</v>
      </c>
      <c r="RCU1" s="65" t="s">
        <v>12612</v>
      </c>
      <c r="RCV1" s="65" t="s">
        <v>12613</v>
      </c>
      <c r="RCW1" s="65" t="s">
        <v>12614</v>
      </c>
      <c r="RCX1" s="65" t="s">
        <v>12615</v>
      </c>
      <c r="RCY1" s="65" t="s">
        <v>12616</v>
      </c>
      <c r="RCZ1" s="65" t="s">
        <v>12617</v>
      </c>
      <c r="RDA1" s="65" t="s">
        <v>12618</v>
      </c>
      <c r="RDB1" s="65" t="s">
        <v>12619</v>
      </c>
      <c r="RDC1" s="65" t="s">
        <v>12620</v>
      </c>
      <c r="RDD1" s="65" t="s">
        <v>12621</v>
      </c>
      <c r="RDE1" s="65" t="s">
        <v>12622</v>
      </c>
      <c r="RDF1" s="65" t="s">
        <v>12623</v>
      </c>
      <c r="RDG1" s="65" t="s">
        <v>12624</v>
      </c>
      <c r="RDH1" s="65" t="s">
        <v>12625</v>
      </c>
      <c r="RDI1" s="65" t="s">
        <v>12626</v>
      </c>
      <c r="RDJ1" s="65" t="s">
        <v>12627</v>
      </c>
      <c r="RDK1" s="65" t="s">
        <v>12628</v>
      </c>
      <c r="RDL1" s="65" t="s">
        <v>12629</v>
      </c>
      <c r="RDM1" s="65" t="s">
        <v>12630</v>
      </c>
      <c r="RDN1" s="65" t="s">
        <v>12631</v>
      </c>
      <c r="RDO1" s="65" t="s">
        <v>12632</v>
      </c>
      <c r="RDP1" s="65" t="s">
        <v>12633</v>
      </c>
      <c r="RDQ1" s="65" t="s">
        <v>12634</v>
      </c>
      <c r="RDR1" s="65" t="s">
        <v>12635</v>
      </c>
      <c r="RDS1" s="65" t="s">
        <v>12636</v>
      </c>
      <c r="RDT1" s="65" t="s">
        <v>12637</v>
      </c>
      <c r="RDU1" s="65" t="s">
        <v>12638</v>
      </c>
      <c r="RDV1" s="65" t="s">
        <v>12639</v>
      </c>
      <c r="RDW1" s="65" t="s">
        <v>12640</v>
      </c>
      <c r="RDX1" s="65" t="s">
        <v>12641</v>
      </c>
      <c r="RDY1" s="65" t="s">
        <v>12642</v>
      </c>
      <c r="RDZ1" s="65" t="s">
        <v>12643</v>
      </c>
      <c r="REA1" s="65" t="s">
        <v>12644</v>
      </c>
      <c r="REB1" s="65" t="s">
        <v>12645</v>
      </c>
      <c r="REC1" s="65" t="s">
        <v>12646</v>
      </c>
      <c r="RED1" s="65" t="s">
        <v>12647</v>
      </c>
      <c r="REE1" s="65" t="s">
        <v>12648</v>
      </c>
      <c r="REF1" s="65" t="s">
        <v>12649</v>
      </c>
      <c r="REG1" s="65" t="s">
        <v>12650</v>
      </c>
      <c r="REH1" s="65" t="s">
        <v>12651</v>
      </c>
      <c r="REI1" s="65" t="s">
        <v>12652</v>
      </c>
      <c r="REJ1" s="65" t="s">
        <v>12653</v>
      </c>
      <c r="REK1" s="65" t="s">
        <v>12654</v>
      </c>
      <c r="REL1" s="65" t="s">
        <v>12655</v>
      </c>
      <c r="REM1" s="65" t="s">
        <v>12656</v>
      </c>
      <c r="REN1" s="65" t="s">
        <v>12657</v>
      </c>
      <c r="REO1" s="65" t="s">
        <v>12658</v>
      </c>
      <c r="REP1" s="65" t="s">
        <v>12659</v>
      </c>
      <c r="REQ1" s="65" t="s">
        <v>12660</v>
      </c>
      <c r="RER1" s="65" t="s">
        <v>12661</v>
      </c>
      <c r="RES1" s="65" t="s">
        <v>12662</v>
      </c>
      <c r="RET1" s="65" t="s">
        <v>12663</v>
      </c>
      <c r="REU1" s="65" t="s">
        <v>12664</v>
      </c>
      <c r="REV1" s="65" t="s">
        <v>12665</v>
      </c>
      <c r="REW1" s="65" t="s">
        <v>12666</v>
      </c>
      <c r="REX1" s="65" t="s">
        <v>12667</v>
      </c>
      <c r="REY1" s="65" t="s">
        <v>12668</v>
      </c>
      <c r="REZ1" s="65" t="s">
        <v>12669</v>
      </c>
      <c r="RFA1" s="65" t="s">
        <v>12670</v>
      </c>
      <c r="RFB1" s="65" t="s">
        <v>12671</v>
      </c>
      <c r="RFC1" s="65" t="s">
        <v>12672</v>
      </c>
      <c r="RFD1" s="65" t="s">
        <v>12673</v>
      </c>
      <c r="RFE1" s="65" t="s">
        <v>12674</v>
      </c>
      <c r="RFF1" s="65" t="s">
        <v>12675</v>
      </c>
      <c r="RFG1" s="65" t="s">
        <v>12676</v>
      </c>
      <c r="RFH1" s="65" t="s">
        <v>12677</v>
      </c>
      <c r="RFI1" s="65" t="s">
        <v>12678</v>
      </c>
      <c r="RFJ1" s="65" t="s">
        <v>12679</v>
      </c>
      <c r="RFK1" s="65" t="s">
        <v>12680</v>
      </c>
      <c r="RFL1" s="65" t="s">
        <v>12681</v>
      </c>
      <c r="RFM1" s="65" t="s">
        <v>12682</v>
      </c>
      <c r="RFN1" s="65" t="s">
        <v>12683</v>
      </c>
      <c r="RFO1" s="65" t="s">
        <v>12684</v>
      </c>
      <c r="RFP1" s="65" t="s">
        <v>12685</v>
      </c>
      <c r="RFQ1" s="65" t="s">
        <v>12686</v>
      </c>
      <c r="RFR1" s="65" t="s">
        <v>12687</v>
      </c>
      <c r="RFS1" s="65" t="s">
        <v>12688</v>
      </c>
      <c r="RFT1" s="65" t="s">
        <v>12689</v>
      </c>
      <c r="RFU1" s="65" t="s">
        <v>12690</v>
      </c>
      <c r="RFV1" s="65" t="s">
        <v>12691</v>
      </c>
      <c r="RFW1" s="65" t="s">
        <v>12692</v>
      </c>
      <c r="RFX1" s="65" t="s">
        <v>12693</v>
      </c>
      <c r="RFY1" s="65" t="s">
        <v>12694</v>
      </c>
      <c r="RFZ1" s="65" t="s">
        <v>12695</v>
      </c>
      <c r="RGA1" s="65" t="s">
        <v>12696</v>
      </c>
      <c r="RGB1" s="65" t="s">
        <v>12697</v>
      </c>
      <c r="RGC1" s="65" t="s">
        <v>12698</v>
      </c>
      <c r="RGD1" s="65" t="s">
        <v>12699</v>
      </c>
      <c r="RGE1" s="65" t="s">
        <v>12700</v>
      </c>
      <c r="RGF1" s="65" t="s">
        <v>12701</v>
      </c>
      <c r="RGG1" s="65" t="s">
        <v>12702</v>
      </c>
      <c r="RGH1" s="65" t="s">
        <v>12703</v>
      </c>
      <c r="RGI1" s="65" t="s">
        <v>12704</v>
      </c>
      <c r="RGJ1" s="65" t="s">
        <v>12705</v>
      </c>
      <c r="RGK1" s="65" t="s">
        <v>12706</v>
      </c>
      <c r="RGL1" s="65" t="s">
        <v>12707</v>
      </c>
      <c r="RGM1" s="65" t="s">
        <v>12708</v>
      </c>
      <c r="RGN1" s="65" t="s">
        <v>12709</v>
      </c>
      <c r="RGO1" s="65" t="s">
        <v>12710</v>
      </c>
      <c r="RGP1" s="65" t="s">
        <v>12711</v>
      </c>
      <c r="RGQ1" s="65" t="s">
        <v>12712</v>
      </c>
      <c r="RGR1" s="65" t="s">
        <v>12713</v>
      </c>
      <c r="RGS1" s="65" t="s">
        <v>12714</v>
      </c>
      <c r="RGT1" s="65" t="s">
        <v>12715</v>
      </c>
      <c r="RGU1" s="65" t="s">
        <v>12716</v>
      </c>
      <c r="RGV1" s="65" t="s">
        <v>12717</v>
      </c>
      <c r="RGW1" s="65" t="s">
        <v>12718</v>
      </c>
      <c r="RGX1" s="65" t="s">
        <v>12719</v>
      </c>
      <c r="RGY1" s="65" t="s">
        <v>12720</v>
      </c>
      <c r="RGZ1" s="65" t="s">
        <v>12721</v>
      </c>
      <c r="RHA1" s="65" t="s">
        <v>12722</v>
      </c>
      <c r="RHB1" s="65" t="s">
        <v>12723</v>
      </c>
      <c r="RHC1" s="65" t="s">
        <v>12724</v>
      </c>
      <c r="RHD1" s="65" t="s">
        <v>12725</v>
      </c>
      <c r="RHE1" s="65" t="s">
        <v>12726</v>
      </c>
      <c r="RHF1" s="65" t="s">
        <v>12727</v>
      </c>
      <c r="RHG1" s="65" t="s">
        <v>12728</v>
      </c>
      <c r="RHH1" s="65" t="s">
        <v>12729</v>
      </c>
      <c r="RHI1" s="65" t="s">
        <v>12730</v>
      </c>
      <c r="RHJ1" s="65" t="s">
        <v>12731</v>
      </c>
      <c r="RHK1" s="65" t="s">
        <v>12732</v>
      </c>
      <c r="RHL1" s="65" t="s">
        <v>12733</v>
      </c>
      <c r="RHM1" s="65" t="s">
        <v>12734</v>
      </c>
      <c r="RHN1" s="65" t="s">
        <v>12735</v>
      </c>
      <c r="RHO1" s="65" t="s">
        <v>12736</v>
      </c>
      <c r="RHP1" s="65" t="s">
        <v>12737</v>
      </c>
      <c r="RHQ1" s="65" t="s">
        <v>12738</v>
      </c>
      <c r="RHR1" s="65" t="s">
        <v>12739</v>
      </c>
      <c r="RHS1" s="65" t="s">
        <v>12740</v>
      </c>
      <c r="RHT1" s="65" t="s">
        <v>12741</v>
      </c>
      <c r="RHU1" s="65" t="s">
        <v>12742</v>
      </c>
      <c r="RHV1" s="65" t="s">
        <v>12743</v>
      </c>
      <c r="RHW1" s="65" t="s">
        <v>12744</v>
      </c>
      <c r="RHX1" s="65" t="s">
        <v>12745</v>
      </c>
      <c r="RHY1" s="65" t="s">
        <v>12746</v>
      </c>
      <c r="RHZ1" s="65" t="s">
        <v>12747</v>
      </c>
      <c r="RIA1" s="65" t="s">
        <v>12748</v>
      </c>
      <c r="RIB1" s="65" t="s">
        <v>12749</v>
      </c>
      <c r="RIC1" s="65" t="s">
        <v>12750</v>
      </c>
      <c r="RID1" s="65" t="s">
        <v>12751</v>
      </c>
      <c r="RIE1" s="65" t="s">
        <v>12752</v>
      </c>
      <c r="RIF1" s="65" t="s">
        <v>12753</v>
      </c>
      <c r="RIG1" s="65" t="s">
        <v>12754</v>
      </c>
      <c r="RIH1" s="65" t="s">
        <v>12755</v>
      </c>
      <c r="RII1" s="65" t="s">
        <v>12756</v>
      </c>
      <c r="RIJ1" s="65" t="s">
        <v>12757</v>
      </c>
      <c r="RIK1" s="65" t="s">
        <v>12758</v>
      </c>
      <c r="RIL1" s="65" t="s">
        <v>12759</v>
      </c>
      <c r="RIM1" s="65" t="s">
        <v>12760</v>
      </c>
      <c r="RIN1" s="65" t="s">
        <v>12761</v>
      </c>
      <c r="RIO1" s="65" t="s">
        <v>12762</v>
      </c>
      <c r="RIP1" s="65" t="s">
        <v>12763</v>
      </c>
      <c r="RIQ1" s="65" t="s">
        <v>12764</v>
      </c>
      <c r="RIR1" s="65" t="s">
        <v>12765</v>
      </c>
      <c r="RIS1" s="65" t="s">
        <v>12766</v>
      </c>
      <c r="RIT1" s="65" t="s">
        <v>12767</v>
      </c>
      <c r="RIU1" s="65" t="s">
        <v>12768</v>
      </c>
      <c r="RIV1" s="65" t="s">
        <v>12769</v>
      </c>
      <c r="RIW1" s="65" t="s">
        <v>12770</v>
      </c>
      <c r="RIX1" s="65" t="s">
        <v>12771</v>
      </c>
      <c r="RIY1" s="65" t="s">
        <v>12772</v>
      </c>
      <c r="RIZ1" s="65" t="s">
        <v>12773</v>
      </c>
      <c r="RJA1" s="65" t="s">
        <v>12774</v>
      </c>
      <c r="RJB1" s="65" t="s">
        <v>12775</v>
      </c>
      <c r="RJC1" s="65" t="s">
        <v>12776</v>
      </c>
      <c r="RJD1" s="65" t="s">
        <v>12777</v>
      </c>
      <c r="RJE1" s="65" t="s">
        <v>12778</v>
      </c>
      <c r="RJF1" s="65" t="s">
        <v>12779</v>
      </c>
      <c r="RJG1" s="65" t="s">
        <v>12780</v>
      </c>
      <c r="RJH1" s="65" t="s">
        <v>12781</v>
      </c>
      <c r="RJI1" s="65" t="s">
        <v>12782</v>
      </c>
      <c r="RJJ1" s="65" t="s">
        <v>12783</v>
      </c>
      <c r="RJK1" s="65" t="s">
        <v>12784</v>
      </c>
      <c r="RJL1" s="65" t="s">
        <v>12785</v>
      </c>
      <c r="RJM1" s="65" t="s">
        <v>12786</v>
      </c>
      <c r="RJN1" s="65" t="s">
        <v>12787</v>
      </c>
      <c r="RJO1" s="65" t="s">
        <v>12788</v>
      </c>
      <c r="RJP1" s="65" t="s">
        <v>12789</v>
      </c>
      <c r="RJQ1" s="65" t="s">
        <v>12790</v>
      </c>
      <c r="RJR1" s="65" t="s">
        <v>12791</v>
      </c>
      <c r="RJS1" s="65" t="s">
        <v>12792</v>
      </c>
      <c r="RJT1" s="65" t="s">
        <v>12793</v>
      </c>
      <c r="RJU1" s="65" t="s">
        <v>12794</v>
      </c>
      <c r="RJV1" s="65" t="s">
        <v>12795</v>
      </c>
      <c r="RJW1" s="65" t="s">
        <v>12796</v>
      </c>
      <c r="RJX1" s="65" t="s">
        <v>12797</v>
      </c>
      <c r="RJY1" s="65" t="s">
        <v>12798</v>
      </c>
      <c r="RJZ1" s="65" t="s">
        <v>12799</v>
      </c>
      <c r="RKA1" s="65" t="s">
        <v>12800</v>
      </c>
      <c r="RKB1" s="65" t="s">
        <v>12801</v>
      </c>
      <c r="RKC1" s="65" t="s">
        <v>12802</v>
      </c>
      <c r="RKD1" s="65" t="s">
        <v>12803</v>
      </c>
      <c r="RKE1" s="65" t="s">
        <v>12804</v>
      </c>
      <c r="RKF1" s="65" t="s">
        <v>12805</v>
      </c>
      <c r="RKG1" s="65" t="s">
        <v>12806</v>
      </c>
      <c r="RKH1" s="65" t="s">
        <v>12807</v>
      </c>
      <c r="RKI1" s="65" t="s">
        <v>12808</v>
      </c>
      <c r="RKJ1" s="65" t="s">
        <v>12809</v>
      </c>
      <c r="RKK1" s="65" t="s">
        <v>12810</v>
      </c>
      <c r="RKL1" s="65" t="s">
        <v>12811</v>
      </c>
      <c r="RKM1" s="65" t="s">
        <v>12812</v>
      </c>
      <c r="RKN1" s="65" t="s">
        <v>12813</v>
      </c>
      <c r="RKO1" s="65" t="s">
        <v>12814</v>
      </c>
      <c r="RKP1" s="65" t="s">
        <v>12815</v>
      </c>
      <c r="RKQ1" s="65" t="s">
        <v>12816</v>
      </c>
      <c r="RKR1" s="65" t="s">
        <v>12817</v>
      </c>
      <c r="RKS1" s="65" t="s">
        <v>12818</v>
      </c>
      <c r="RKT1" s="65" t="s">
        <v>12819</v>
      </c>
      <c r="RKU1" s="65" t="s">
        <v>12820</v>
      </c>
      <c r="RKV1" s="65" t="s">
        <v>12821</v>
      </c>
      <c r="RKW1" s="65" t="s">
        <v>12822</v>
      </c>
      <c r="RKX1" s="65" t="s">
        <v>12823</v>
      </c>
      <c r="RKY1" s="65" t="s">
        <v>12824</v>
      </c>
      <c r="RKZ1" s="65" t="s">
        <v>12825</v>
      </c>
      <c r="RLA1" s="65" t="s">
        <v>12826</v>
      </c>
      <c r="RLB1" s="65" t="s">
        <v>12827</v>
      </c>
      <c r="RLC1" s="65" t="s">
        <v>12828</v>
      </c>
      <c r="RLD1" s="65" t="s">
        <v>12829</v>
      </c>
      <c r="RLE1" s="65" t="s">
        <v>12830</v>
      </c>
      <c r="RLF1" s="65" t="s">
        <v>12831</v>
      </c>
      <c r="RLG1" s="65" t="s">
        <v>12832</v>
      </c>
      <c r="RLH1" s="65" t="s">
        <v>12833</v>
      </c>
      <c r="RLI1" s="65" t="s">
        <v>12834</v>
      </c>
      <c r="RLJ1" s="65" t="s">
        <v>12835</v>
      </c>
      <c r="RLK1" s="65" t="s">
        <v>12836</v>
      </c>
      <c r="RLL1" s="65" t="s">
        <v>12837</v>
      </c>
      <c r="RLM1" s="65" t="s">
        <v>12838</v>
      </c>
      <c r="RLN1" s="65" t="s">
        <v>12839</v>
      </c>
      <c r="RLO1" s="65" t="s">
        <v>12840</v>
      </c>
      <c r="RLP1" s="65" t="s">
        <v>12841</v>
      </c>
      <c r="RLQ1" s="65" t="s">
        <v>12842</v>
      </c>
      <c r="RLR1" s="65" t="s">
        <v>12843</v>
      </c>
      <c r="RLS1" s="65" t="s">
        <v>12844</v>
      </c>
      <c r="RLT1" s="65" t="s">
        <v>12845</v>
      </c>
      <c r="RLU1" s="65" t="s">
        <v>12846</v>
      </c>
      <c r="RLV1" s="65" t="s">
        <v>12847</v>
      </c>
      <c r="RLW1" s="65" t="s">
        <v>12848</v>
      </c>
      <c r="RLX1" s="65" t="s">
        <v>12849</v>
      </c>
      <c r="RLY1" s="65" t="s">
        <v>12850</v>
      </c>
      <c r="RLZ1" s="65" t="s">
        <v>12851</v>
      </c>
      <c r="RMA1" s="65" t="s">
        <v>12852</v>
      </c>
      <c r="RMB1" s="65" t="s">
        <v>12853</v>
      </c>
      <c r="RMC1" s="65" t="s">
        <v>12854</v>
      </c>
      <c r="RMD1" s="65" t="s">
        <v>12855</v>
      </c>
      <c r="RME1" s="65" t="s">
        <v>12856</v>
      </c>
      <c r="RMF1" s="65" t="s">
        <v>12857</v>
      </c>
      <c r="RMG1" s="65" t="s">
        <v>12858</v>
      </c>
      <c r="RMH1" s="65" t="s">
        <v>12859</v>
      </c>
      <c r="RMI1" s="65" t="s">
        <v>12860</v>
      </c>
      <c r="RMJ1" s="65" t="s">
        <v>12861</v>
      </c>
      <c r="RMK1" s="65" t="s">
        <v>12862</v>
      </c>
      <c r="RML1" s="65" t="s">
        <v>12863</v>
      </c>
      <c r="RMM1" s="65" t="s">
        <v>12864</v>
      </c>
      <c r="RMN1" s="65" t="s">
        <v>12865</v>
      </c>
      <c r="RMO1" s="65" t="s">
        <v>12866</v>
      </c>
      <c r="RMP1" s="65" t="s">
        <v>12867</v>
      </c>
      <c r="RMQ1" s="65" t="s">
        <v>12868</v>
      </c>
      <c r="RMR1" s="65" t="s">
        <v>12869</v>
      </c>
      <c r="RMS1" s="65" t="s">
        <v>12870</v>
      </c>
      <c r="RMT1" s="65" t="s">
        <v>12871</v>
      </c>
      <c r="RMU1" s="65" t="s">
        <v>12872</v>
      </c>
      <c r="RMV1" s="65" t="s">
        <v>12873</v>
      </c>
      <c r="RMW1" s="65" t="s">
        <v>12874</v>
      </c>
      <c r="RMX1" s="65" t="s">
        <v>12875</v>
      </c>
      <c r="RMY1" s="65" t="s">
        <v>12876</v>
      </c>
      <c r="RMZ1" s="65" t="s">
        <v>12877</v>
      </c>
      <c r="RNA1" s="65" t="s">
        <v>12878</v>
      </c>
      <c r="RNB1" s="65" t="s">
        <v>12879</v>
      </c>
      <c r="RNC1" s="65" t="s">
        <v>12880</v>
      </c>
      <c r="RND1" s="65" t="s">
        <v>12881</v>
      </c>
      <c r="RNE1" s="65" t="s">
        <v>12882</v>
      </c>
      <c r="RNF1" s="65" t="s">
        <v>12883</v>
      </c>
      <c r="RNG1" s="65" t="s">
        <v>12884</v>
      </c>
      <c r="RNH1" s="65" t="s">
        <v>12885</v>
      </c>
      <c r="RNI1" s="65" t="s">
        <v>12886</v>
      </c>
      <c r="RNJ1" s="65" t="s">
        <v>12887</v>
      </c>
      <c r="RNK1" s="65" t="s">
        <v>12888</v>
      </c>
      <c r="RNL1" s="65" t="s">
        <v>12889</v>
      </c>
      <c r="RNM1" s="65" t="s">
        <v>12890</v>
      </c>
      <c r="RNN1" s="65" t="s">
        <v>12891</v>
      </c>
      <c r="RNO1" s="65" t="s">
        <v>12892</v>
      </c>
      <c r="RNP1" s="65" t="s">
        <v>12893</v>
      </c>
      <c r="RNQ1" s="65" t="s">
        <v>12894</v>
      </c>
      <c r="RNR1" s="65" t="s">
        <v>12895</v>
      </c>
      <c r="RNS1" s="65" t="s">
        <v>12896</v>
      </c>
      <c r="RNT1" s="65" t="s">
        <v>12897</v>
      </c>
      <c r="RNU1" s="65" t="s">
        <v>12898</v>
      </c>
      <c r="RNV1" s="65" t="s">
        <v>12899</v>
      </c>
      <c r="RNW1" s="65" t="s">
        <v>12900</v>
      </c>
      <c r="RNX1" s="65" t="s">
        <v>12901</v>
      </c>
      <c r="RNY1" s="65" t="s">
        <v>12902</v>
      </c>
      <c r="RNZ1" s="65" t="s">
        <v>12903</v>
      </c>
      <c r="ROA1" s="65" t="s">
        <v>12904</v>
      </c>
      <c r="ROB1" s="65" t="s">
        <v>12905</v>
      </c>
      <c r="ROC1" s="65" t="s">
        <v>12906</v>
      </c>
      <c r="ROD1" s="65" t="s">
        <v>12907</v>
      </c>
      <c r="ROE1" s="65" t="s">
        <v>12908</v>
      </c>
      <c r="ROF1" s="65" t="s">
        <v>12909</v>
      </c>
      <c r="ROG1" s="65" t="s">
        <v>12910</v>
      </c>
      <c r="ROH1" s="65" t="s">
        <v>12911</v>
      </c>
      <c r="ROI1" s="65" t="s">
        <v>12912</v>
      </c>
      <c r="ROJ1" s="65" t="s">
        <v>12913</v>
      </c>
      <c r="ROK1" s="65" t="s">
        <v>12914</v>
      </c>
      <c r="ROL1" s="65" t="s">
        <v>12915</v>
      </c>
      <c r="ROM1" s="65" t="s">
        <v>12916</v>
      </c>
      <c r="RON1" s="65" t="s">
        <v>12917</v>
      </c>
      <c r="ROO1" s="65" t="s">
        <v>12918</v>
      </c>
      <c r="ROP1" s="65" t="s">
        <v>12919</v>
      </c>
      <c r="ROQ1" s="65" t="s">
        <v>12920</v>
      </c>
      <c r="ROR1" s="65" t="s">
        <v>12921</v>
      </c>
      <c r="ROS1" s="65" t="s">
        <v>12922</v>
      </c>
      <c r="ROT1" s="65" t="s">
        <v>12923</v>
      </c>
      <c r="ROU1" s="65" t="s">
        <v>12924</v>
      </c>
      <c r="ROV1" s="65" t="s">
        <v>12925</v>
      </c>
      <c r="ROW1" s="65" t="s">
        <v>12926</v>
      </c>
      <c r="ROX1" s="65" t="s">
        <v>12927</v>
      </c>
      <c r="ROY1" s="65" t="s">
        <v>12928</v>
      </c>
      <c r="ROZ1" s="65" t="s">
        <v>12929</v>
      </c>
      <c r="RPA1" s="65" t="s">
        <v>12930</v>
      </c>
      <c r="RPB1" s="65" t="s">
        <v>12931</v>
      </c>
      <c r="RPC1" s="65" t="s">
        <v>12932</v>
      </c>
      <c r="RPD1" s="65" t="s">
        <v>12933</v>
      </c>
      <c r="RPE1" s="65" t="s">
        <v>12934</v>
      </c>
      <c r="RPF1" s="65" t="s">
        <v>12935</v>
      </c>
      <c r="RPG1" s="65" t="s">
        <v>12936</v>
      </c>
      <c r="RPH1" s="65" t="s">
        <v>12937</v>
      </c>
      <c r="RPI1" s="65" t="s">
        <v>12938</v>
      </c>
      <c r="RPJ1" s="65" t="s">
        <v>12939</v>
      </c>
      <c r="RPK1" s="65" t="s">
        <v>12940</v>
      </c>
      <c r="RPL1" s="65" t="s">
        <v>12941</v>
      </c>
      <c r="RPM1" s="65" t="s">
        <v>12942</v>
      </c>
      <c r="RPN1" s="65" t="s">
        <v>12943</v>
      </c>
      <c r="RPO1" s="65" t="s">
        <v>12944</v>
      </c>
      <c r="RPP1" s="65" t="s">
        <v>12945</v>
      </c>
      <c r="RPQ1" s="65" t="s">
        <v>12946</v>
      </c>
      <c r="RPR1" s="65" t="s">
        <v>12947</v>
      </c>
      <c r="RPS1" s="65" t="s">
        <v>12948</v>
      </c>
      <c r="RPT1" s="65" t="s">
        <v>12949</v>
      </c>
      <c r="RPU1" s="65" t="s">
        <v>12950</v>
      </c>
      <c r="RPV1" s="65" t="s">
        <v>12951</v>
      </c>
      <c r="RPW1" s="65" t="s">
        <v>12952</v>
      </c>
      <c r="RPX1" s="65" t="s">
        <v>12953</v>
      </c>
      <c r="RPY1" s="65" t="s">
        <v>12954</v>
      </c>
      <c r="RPZ1" s="65" t="s">
        <v>12955</v>
      </c>
      <c r="RQA1" s="65" t="s">
        <v>12956</v>
      </c>
      <c r="RQB1" s="65" t="s">
        <v>12957</v>
      </c>
      <c r="RQC1" s="65" t="s">
        <v>12958</v>
      </c>
      <c r="RQD1" s="65" t="s">
        <v>12959</v>
      </c>
      <c r="RQE1" s="65" t="s">
        <v>12960</v>
      </c>
      <c r="RQF1" s="65" t="s">
        <v>12961</v>
      </c>
      <c r="RQG1" s="65" t="s">
        <v>12962</v>
      </c>
      <c r="RQH1" s="65" t="s">
        <v>12963</v>
      </c>
      <c r="RQI1" s="65" t="s">
        <v>12964</v>
      </c>
      <c r="RQJ1" s="65" t="s">
        <v>12965</v>
      </c>
      <c r="RQK1" s="65" t="s">
        <v>12966</v>
      </c>
      <c r="RQL1" s="65" t="s">
        <v>12967</v>
      </c>
      <c r="RQM1" s="65" t="s">
        <v>12968</v>
      </c>
      <c r="RQN1" s="65" t="s">
        <v>12969</v>
      </c>
      <c r="RQO1" s="65" t="s">
        <v>12970</v>
      </c>
      <c r="RQP1" s="65" t="s">
        <v>12971</v>
      </c>
      <c r="RQQ1" s="65" t="s">
        <v>12972</v>
      </c>
      <c r="RQR1" s="65" t="s">
        <v>12973</v>
      </c>
      <c r="RQS1" s="65" t="s">
        <v>12974</v>
      </c>
      <c r="RQT1" s="65" t="s">
        <v>12975</v>
      </c>
      <c r="RQU1" s="65" t="s">
        <v>12976</v>
      </c>
      <c r="RQV1" s="65" t="s">
        <v>12977</v>
      </c>
      <c r="RQW1" s="65" t="s">
        <v>12978</v>
      </c>
      <c r="RQX1" s="65" t="s">
        <v>12979</v>
      </c>
      <c r="RQY1" s="65" t="s">
        <v>12980</v>
      </c>
      <c r="RQZ1" s="65" t="s">
        <v>12981</v>
      </c>
      <c r="RRA1" s="65" t="s">
        <v>12982</v>
      </c>
      <c r="RRB1" s="65" t="s">
        <v>12983</v>
      </c>
      <c r="RRC1" s="65" t="s">
        <v>12984</v>
      </c>
      <c r="RRD1" s="65" t="s">
        <v>12985</v>
      </c>
      <c r="RRE1" s="65" t="s">
        <v>12986</v>
      </c>
      <c r="RRF1" s="65" t="s">
        <v>12987</v>
      </c>
      <c r="RRG1" s="65" t="s">
        <v>12988</v>
      </c>
      <c r="RRH1" s="65" t="s">
        <v>12989</v>
      </c>
      <c r="RRI1" s="65" t="s">
        <v>12990</v>
      </c>
      <c r="RRJ1" s="65" t="s">
        <v>12991</v>
      </c>
      <c r="RRK1" s="65" t="s">
        <v>12992</v>
      </c>
      <c r="RRL1" s="65" t="s">
        <v>12993</v>
      </c>
      <c r="RRM1" s="65" t="s">
        <v>12994</v>
      </c>
      <c r="RRN1" s="65" t="s">
        <v>12995</v>
      </c>
      <c r="RRO1" s="65" t="s">
        <v>12996</v>
      </c>
      <c r="RRP1" s="65" t="s">
        <v>12997</v>
      </c>
      <c r="RRQ1" s="65" t="s">
        <v>12998</v>
      </c>
      <c r="RRR1" s="65" t="s">
        <v>12999</v>
      </c>
      <c r="RRS1" s="65" t="s">
        <v>13000</v>
      </c>
      <c r="RRT1" s="65" t="s">
        <v>13001</v>
      </c>
      <c r="RRU1" s="65" t="s">
        <v>13002</v>
      </c>
      <c r="RRV1" s="65" t="s">
        <v>13003</v>
      </c>
      <c r="RRW1" s="65" t="s">
        <v>13004</v>
      </c>
      <c r="RRX1" s="65" t="s">
        <v>13005</v>
      </c>
      <c r="RRY1" s="65" t="s">
        <v>13006</v>
      </c>
      <c r="RRZ1" s="65" t="s">
        <v>13007</v>
      </c>
      <c r="RSA1" s="65" t="s">
        <v>13008</v>
      </c>
      <c r="RSB1" s="65" t="s">
        <v>13009</v>
      </c>
      <c r="RSC1" s="65" t="s">
        <v>13010</v>
      </c>
      <c r="RSD1" s="65" t="s">
        <v>13011</v>
      </c>
      <c r="RSE1" s="65" t="s">
        <v>13012</v>
      </c>
      <c r="RSF1" s="65" t="s">
        <v>13013</v>
      </c>
      <c r="RSG1" s="65" t="s">
        <v>13014</v>
      </c>
      <c r="RSH1" s="65" t="s">
        <v>13015</v>
      </c>
      <c r="RSI1" s="65" t="s">
        <v>13016</v>
      </c>
      <c r="RSJ1" s="65" t="s">
        <v>13017</v>
      </c>
      <c r="RSK1" s="65" t="s">
        <v>13018</v>
      </c>
      <c r="RSL1" s="65" t="s">
        <v>13019</v>
      </c>
      <c r="RSM1" s="65" t="s">
        <v>13020</v>
      </c>
      <c r="RSN1" s="65" t="s">
        <v>13021</v>
      </c>
      <c r="RSO1" s="65" t="s">
        <v>13022</v>
      </c>
      <c r="RSP1" s="65" t="s">
        <v>13023</v>
      </c>
      <c r="RSQ1" s="65" t="s">
        <v>13024</v>
      </c>
      <c r="RSR1" s="65" t="s">
        <v>13025</v>
      </c>
      <c r="RSS1" s="65" t="s">
        <v>13026</v>
      </c>
      <c r="RST1" s="65" t="s">
        <v>13027</v>
      </c>
      <c r="RSU1" s="65" t="s">
        <v>13028</v>
      </c>
      <c r="RSV1" s="65" t="s">
        <v>13029</v>
      </c>
      <c r="RSW1" s="65" t="s">
        <v>13030</v>
      </c>
      <c r="RSX1" s="65" t="s">
        <v>13031</v>
      </c>
      <c r="RSY1" s="65" t="s">
        <v>13032</v>
      </c>
      <c r="RSZ1" s="65" t="s">
        <v>13033</v>
      </c>
      <c r="RTA1" s="65" t="s">
        <v>13034</v>
      </c>
      <c r="RTB1" s="65" t="s">
        <v>13035</v>
      </c>
      <c r="RTC1" s="65" t="s">
        <v>13036</v>
      </c>
      <c r="RTD1" s="65" t="s">
        <v>13037</v>
      </c>
      <c r="RTE1" s="65" t="s">
        <v>13038</v>
      </c>
      <c r="RTF1" s="65" t="s">
        <v>13039</v>
      </c>
      <c r="RTG1" s="65" t="s">
        <v>13040</v>
      </c>
      <c r="RTH1" s="65" t="s">
        <v>13041</v>
      </c>
      <c r="RTI1" s="65" t="s">
        <v>13042</v>
      </c>
      <c r="RTJ1" s="65" t="s">
        <v>13043</v>
      </c>
      <c r="RTK1" s="65" t="s">
        <v>13044</v>
      </c>
      <c r="RTL1" s="65" t="s">
        <v>13045</v>
      </c>
      <c r="RTM1" s="65" t="s">
        <v>13046</v>
      </c>
      <c r="RTN1" s="65" t="s">
        <v>13047</v>
      </c>
      <c r="RTO1" s="65" t="s">
        <v>13048</v>
      </c>
      <c r="RTP1" s="65" t="s">
        <v>13049</v>
      </c>
      <c r="RTQ1" s="65" t="s">
        <v>13050</v>
      </c>
      <c r="RTR1" s="65" t="s">
        <v>13051</v>
      </c>
      <c r="RTS1" s="65" t="s">
        <v>13052</v>
      </c>
      <c r="RTT1" s="65" t="s">
        <v>13053</v>
      </c>
      <c r="RTU1" s="65" t="s">
        <v>13054</v>
      </c>
      <c r="RTV1" s="65" t="s">
        <v>13055</v>
      </c>
      <c r="RTW1" s="65" t="s">
        <v>13056</v>
      </c>
      <c r="RTX1" s="65" t="s">
        <v>13057</v>
      </c>
      <c r="RTY1" s="65" t="s">
        <v>13058</v>
      </c>
      <c r="RTZ1" s="65" t="s">
        <v>13059</v>
      </c>
      <c r="RUA1" s="65" t="s">
        <v>13060</v>
      </c>
      <c r="RUB1" s="65" t="s">
        <v>13061</v>
      </c>
      <c r="RUC1" s="65" t="s">
        <v>13062</v>
      </c>
      <c r="RUD1" s="65" t="s">
        <v>13063</v>
      </c>
      <c r="RUE1" s="65" t="s">
        <v>13064</v>
      </c>
      <c r="RUF1" s="65" t="s">
        <v>13065</v>
      </c>
      <c r="RUG1" s="65" t="s">
        <v>13066</v>
      </c>
      <c r="RUH1" s="65" t="s">
        <v>13067</v>
      </c>
      <c r="RUI1" s="65" t="s">
        <v>13068</v>
      </c>
      <c r="RUJ1" s="65" t="s">
        <v>13069</v>
      </c>
      <c r="RUK1" s="65" t="s">
        <v>13070</v>
      </c>
      <c r="RUL1" s="65" t="s">
        <v>13071</v>
      </c>
      <c r="RUM1" s="65" t="s">
        <v>13072</v>
      </c>
      <c r="RUN1" s="65" t="s">
        <v>13073</v>
      </c>
      <c r="RUO1" s="65" t="s">
        <v>13074</v>
      </c>
      <c r="RUP1" s="65" t="s">
        <v>13075</v>
      </c>
      <c r="RUQ1" s="65" t="s">
        <v>13076</v>
      </c>
      <c r="RUR1" s="65" t="s">
        <v>13077</v>
      </c>
      <c r="RUS1" s="65" t="s">
        <v>13078</v>
      </c>
      <c r="RUT1" s="65" t="s">
        <v>13079</v>
      </c>
      <c r="RUU1" s="65" t="s">
        <v>13080</v>
      </c>
      <c r="RUV1" s="65" t="s">
        <v>13081</v>
      </c>
      <c r="RUW1" s="65" t="s">
        <v>13082</v>
      </c>
      <c r="RUX1" s="65" t="s">
        <v>13083</v>
      </c>
      <c r="RUY1" s="65" t="s">
        <v>13084</v>
      </c>
      <c r="RUZ1" s="65" t="s">
        <v>13085</v>
      </c>
      <c r="RVA1" s="65" t="s">
        <v>13086</v>
      </c>
      <c r="RVB1" s="65" t="s">
        <v>13087</v>
      </c>
      <c r="RVC1" s="65" t="s">
        <v>13088</v>
      </c>
      <c r="RVD1" s="65" t="s">
        <v>13089</v>
      </c>
      <c r="RVE1" s="65" t="s">
        <v>13090</v>
      </c>
      <c r="RVF1" s="65" t="s">
        <v>13091</v>
      </c>
      <c r="RVG1" s="65" t="s">
        <v>13092</v>
      </c>
      <c r="RVH1" s="65" t="s">
        <v>13093</v>
      </c>
      <c r="RVI1" s="65" t="s">
        <v>13094</v>
      </c>
      <c r="RVJ1" s="65" t="s">
        <v>13095</v>
      </c>
      <c r="RVK1" s="65" t="s">
        <v>13096</v>
      </c>
      <c r="RVL1" s="65" t="s">
        <v>13097</v>
      </c>
      <c r="RVM1" s="65" t="s">
        <v>13098</v>
      </c>
      <c r="RVN1" s="65" t="s">
        <v>13099</v>
      </c>
      <c r="RVO1" s="65" t="s">
        <v>13100</v>
      </c>
      <c r="RVP1" s="65" t="s">
        <v>13101</v>
      </c>
      <c r="RVQ1" s="65" t="s">
        <v>13102</v>
      </c>
      <c r="RVR1" s="65" t="s">
        <v>13103</v>
      </c>
      <c r="RVS1" s="65" t="s">
        <v>13104</v>
      </c>
      <c r="RVT1" s="65" t="s">
        <v>13105</v>
      </c>
      <c r="RVU1" s="65" t="s">
        <v>13106</v>
      </c>
      <c r="RVV1" s="65" t="s">
        <v>13107</v>
      </c>
      <c r="RVW1" s="65" t="s">
        <v>13108</v>
      </c>
      <c r="RVX1" s="65" t="s">
        <v>13109</v>
      </c>
      <c r="RVY1" s="65" t="s">
        <v>13110</v>
      </c>
      <c r="RVZ1" s="65" t="s">
        <v>13111</v>
      </c>
      <c r="RWA1" s="65" t="s">
        <v>13112</v>
      </c>
      <c r="RWB1" s="65" t="s">
        <v>13113</v>
      </c>
      <c r="RWC1" s="65" t="s">
        <v>13114</v>
      </c>
      <c r="RWD1" s="65" t="s">
        <v>13115</v>
      </c>
      <c r="RWE1" s="65" t="s">
        <v>13116</v>
      </c>
      <c r="RWF1" s="65" t="s">
        <v>13117</v>
      </c>
      <c r="RWG1" s="65" t="s">
        <v>13118</v>
      </c>
      <c r="RWH1" s="65" t="s">
        <v>13119</v>
      </c>
      <c r="RWI1" s="65" t="s">
        <v>13120</v>
      </c>
      <c r="RWJ1" s="65" t="s">
        <v>13121</v>
      </c>
      <c r="RWK1" s="65" t="s">
        <v>13122</v>
      </c>
      <c r="RWL1" s="65" t="s">
        <v>13123</v>
      </c>
      <c r="RWM1" s="65" t="s">
        <v>13124</v>
      </c>
      <c r="RWN1" s="65" t="s">
        <v>13125</v>
      </c>
      <c r="RWO1" s="65" t="s">
        <v>13126</v>
      </c>
      <c r="RWP1" s="65" t="s">
        <v>13127</v>
      </c>
      <c r="RWQ1" s="65" t="s">
        <v>13128</v>
      </c>
      <c r="RWR1" s="65" t="s">
        <v>13129</v>
      </c>
      <c r="RWS1" s="65" t="s">
        <v>13130</v>
      </c>
      <c r="RWT1" s="65" t="s">
        <v>13131</v>
      </c>
      <c r="RWU1" s="65" t="s">
        <v>13132</v>
      </c>
      <c r="RWV1" s="65" t="s">
        <v>13133</v>
      </c>
      <c r="RWW1" s="65" t="s">
        <v>13134</v>
      </c>
      <c r="RWX1" s="65" t="s">
        <v>13135</v>
      </c>
      <c r="RWY1" s="65" t="s">
        <v>13136</v>
      </c>
      <c r="RWZ1" s="65" t="s">
        <v>13137</v>
      </c>
      <c r="RXA1" s="65" t="s">
        <v>13138</v>
      </c>
      <c r="RXB1" s="65" t="s">
        <v>13139</v>
      </c>
      <c r="RXC1" s="65" t="s">
        <v>13140</v>
      </c>
      <c r="RXD1" s="65" t="s">
        <v>13141</v>
      </c>
      <c r="RXE1" s="65" t="s">
        <v>13142</v>
      </c>
      <c r="RXF1" s="65" t="s">
        <v>13143</v>
      </c>
      <c r="RXG1" s="65" t="s">
        <v>13144</v>
      </c>
      <c r="RXH1" s="65" t="s">
        <v>13145</v>
      </c>
      <c r="RXI1" s="65" t="s">
        <v>13146</v>
      </c>
      <c r="RXJ1" s="65" t="s">
        <v>13147</v>
      </c>
      <c r="RXK1" s="65" t="s">
        <v>13148</v>
      </c>
      <c r="RXL1" s="65" t="s">
        <v>13149</v>
      </c>
      <c r="RXM1" s="65" t="s">
        <v>13150</v>
      </c>
      <c r="RXN1" s="65" t="s">
        <v>13151</v>
      </c>
      <c r="RXO1" s="65" t="s">
        <v>13152</v>
      </c>
      <c r="RXP1" s="65" t="s">
        <v>13153</v>
      </c>
      <c r="RXQ1" s="65" t="s">
        <v>13154</v>
      </c>
      <c r="RXR1" s="65" t="s">
        <v>13155</v>
      </c>
      <c r="RXS1" s="65" t="s">
        <v>13156</v>
      </c>
      <c r="RXT1" s="65" t="s">
        <v>13157</v>
      </c>
      <c r="RXU1" s="65" t="s">
        <v>13158</v>
      </c>
      <c r="RXV1" s="65" t="s">
        <v>13159</v>
      </c>
      <c r="RXW1" s="65" t="s">
        <v>13160</v>
      </c>
      <c r="RXX1" s="65" t="s">
        <v>13161</v>
      </c>
      <c r="RXY1" s="65" t="s">
        <v>13162</v>
      </c>
      <c r="RXZ1" s="65" t="s">
        <v>13163</v>
      </c>
      <c r="RYA1" s="65" t="s">
        <v>13164</v>
      </c>
      <c r="RYB1" s="65" t="s">
        <v>13165</v>
      </c>
      <c r="RYC1" s="65" t="s">
        <v>13166</v>
      </c>
      <c r="RYD1" s="65" t="s">
        <v>13167</v>
      </c>
      <c r="RYE1" s="65" t="s">
        <v>13168</v>
      </c>
      <c r="RYF1" s="65" t="s">
        <v>13169</v>
      </c>
      <c r="RYG1" s="65" t="s">
        <v>13170</v>
      </c>
      <c r="RYH1" s="65" t="s">
        <v>13171</v>
      </c>
      <c r="RYI1" s="65" t="s">
        <v>13172</v>
      </c>
      <c r="RYJ1" s="65" t="s">
        <v>13173</v>
      </c>
      <c r="RYK1" s="65" t="s">
        <v>13174</v>
      </c>
      <c r="RYL1" s="65" t="s">
        <v>13175</v>
      </c>
      <c r="RYM1" s="65" t="s">
        <v>13176</v>
      </c>
      <c r="RYN1" s="65" t="s">
        <v>13177</v>
      </c>
      <c r="RYO1" s="65" t="s">
        <v>13178</v>
      </c>
      <c r="RYP1" s="65" t="s">
        <v>13179</v>
      </c>
      <c r="RYQ1" s="65" t="s">
        <v>13180</v>
      </c>
      <c r="RYR1" s="65" t="s">
        <v>13181</v>
      </c>
      <c r="RYS1" s="65" t="s">
        <v>13182</v>
      </c>
      <c r="RYT1" s="65" t="s">
        <v>13183</v>
      </c>
      <c r="RYU1" s="65" t="s">
        <v>13184</v>
      </c>
      <c r="RYV1" s="65" t="s">
        <v>13185</v>
      </c>
      <c r="RYW1" s="65" t="s">
        <v>13186</v>
      </c>
      <c r="RYX1" s="65" t="s">
        <v>13187</v>
      </c>
      <c r="RYY1" s="65" t="s">
        <v>13188</v>
      </c>
      <c r="RYZ1" s="65" t="s">
        <v>13189</v>
      </c>
      <c r="RZA1" s="65" t="s">
        <v>13190</v>
      </c>
      <c r="RZB1" s="65" t="s">
        <v>13191</v>
      </c>
      <c r="RZC1" s="65" t="s">
        <v>13192</v>
      </c>
      <c r="RZD1" s="65" t="s">
        <v>13193</v>
      </c>
      <c r="RZE1" s="65" t="s">
        <v>13194</v>
      </c>
      <c r="RZF1" s="65" t="s">
        <v>13195</v>
      </c>
      <c r="RZG1" s="65" t="s">
        <v>13196</v>
      </c>
      <c r="RZH1" s="65" t="s">
        <v>13197</v>
      </c>
      <c r="RZI1" s="65" t="s">
        <v>13198</v>
      </c>
      <c r="RZJ1" s="65" t="s">
        <v>13199</v>
      </c>
      <c r="RZK1" s="65" t="s">
        <v>13200</v>
      </c>
      <c r="RZL1" s="65" t="s">
        <v>13201</v>
      </c>
      <c r="RZM1" s="65" t="s">
        <v>13202</v>
      </c>
      <c r="RZN1" s="65" t="s">
        <v>13203</v>
      </c>
      <c r="RZO1" s="65" t="s">
        <v>13204</v>
      </c>
      <c r="RZP1" s="65" t="s">
        <v>13205</v>
      </c>
      <c r="RZQ1" s="65" t="s">
        <v>13206</v>
      </c>
      <c r="RZR1" s="65" t="s">
        <v>13207</v>
      </c>
      <c r="RZS1" s="65" t="s">
        <v>13208</v>
      </c>
      <c r="RZT1" s="65" t="s">
        <v>13209</v>
      </c>
      <c r="RZU1" s="65" t="s">
        <v>13210</v>
      </c>
      <c r="RZV1" s="65" t="s">
        <v>13211</v>
      </c>
      <c r="RZW1" s="65" t="s">
        <v>13212</v>
      </c>
      <c r="RZX1" s="65" t="s">
        <v>13213</v>
      </c>
      <c r="RZY1" s="65" t="s">
        <v>13214</v>
      </c>
      <c r="RZZ1" s="65" t="s">
        <v>13215</v>
      </c>
      <c r="SAA1" s="65" t="s">
        <v>13216</v>
      </c>
      <c r="SAB1" s="65" t="s">
        <v>13217</v>
      </c>
      <c r="SAC1" s="65" t="s">
        <v>13218</v>
      </c>
      <c r="SAD1" s="65" t="s">
        <v>13219</v>
      </c>
      <c r="SAE1" s="65" t="s">
        <v>13220</v>
      </c>
      <c r="SAF1" s="65" t="s">
        <v>13221</v>
      </c>
      <c r="SAG1" s="65" t="s">
        <v>13222</v>
      </c>
      <c r="SAH1" s="65" t="s">
        <v>13223</v>
      </c>
      <c r="SAI1" s="65" t="s">
        <v>13224</v>
      </c>
      <c r="SAJ1" s="65" t="s">
        <v>13225</v>
      </c>
      <c r="SAK1" s="65" t="s">
        <v>13226</v>
      </c>
      <c r="SAL1" s="65" t="s">
        <v>13227</v>
      </c>
      <c r="SAM1" s="65" t="s">
        <v>13228</v>
      </c>
      <c r="SAN1" s="65" t="s">
        <v>13229</v>
      </c>
      <c r="SAO1" s="65" t="s">
        <v>13230</v>
      </c>
      <c r="SAP1" s="65" t="s">
        <v>13231</v>
      </c>
      <c r="SAQ1" s="65" t="s">
        <v>13232</v>
      </c>
      <c r="SAR1" s="65" t="s">
        <v>13233</v>
      </c>
      <c r="SAS1" s="65" t="s">
        <v>13234</v>
      </c>
      <c r="SAT1" s="65" t="s">
        <v>13235</v>
      </c>
      <c r="SAU1" s="65" t="s">
        <v>13236</v>
      </c>
      <c r="SAV1" s="65" t="s">
        <v>13237</v>
      </c>
      <c r="SAW1" s="65" t="s">
        <v>13238</v>
      </c>
      <c r="SAX1" s="65" t="s">
        <v>13239</v>
      </c>
      <c r="SAY1" s="65" t="s">
        <v>13240</v>
      </c>
      <c r="SAZ1" s="65" t="s">
        <v>13241</v>
      </c>
      <c r="SBA1" s="65" t="s">
        <v>13242</v>
      </c>
      <c r="SBB1" s="65" t="s">
        <v>13243</v>
      </c>
      <c r="SBC1" s="65" t="s">
        <v>13244</v>
      </c>
      <c r="SBD1" s="65" t="s">
        <v>13245</v>
      </c>
      <c r="SBE1" s="65" t="s">
        <v>13246</v>
      </c>
      <c r="SBF1" s="65" t="s">
        <v>13247</v>
      </c>
      <c r="SBG1" s="65" t="s">
        <v>13248</v>
      </c>
      <c r="SBH1" s="65" t="s">
        <v>13249</v>
      </c>
      <c r="SBI1" s="65" t="s">
        <v>13250</v>
      </c>
      <c r="SBJ1" s="65" t="s">
        <v>13251</v>
      </c>
      <c r="SBK1" s="65" t="s">
        <v>13252</v>
      </c>
      <c r="SBL1" s="65" t="s">
        <v>13253</v>
      </c>
      <c r="SBM1" s="65" t="s">
        <v>13254</v>
      </c>
      <c r="SBN1" s="65" t="s">
        <v>13255</v>
      </c>
      <c r="SBO1" s="65" t="s">
        <v>13256</v>
      </c>
      <c r="SBP1" s="65" t="s">
        <v>13257</v>
      </c>
      <c r="SBQ1" s="65" t="s">
        <v>13258</v>
      </c>
      <c r="SBR1" s="65" t="s">
        <v>13259</v>
      </c>
      <c r="SBS1" s="65" t="s">
        <v>13260</v>
      </c>
      <c r="SBT1" s="65" t="s">
        <v>13261</v>
      </c>
      <c r="SBU1" s="65" t="s">
        <v>13262</v>
      </c>
      <c r="SBV1" s="65" t="s">
        <v>13263</v>
      </c>
      <c r="SBW1" s="65" t="s">
        <v>13264</v>
      </c>
      <c r="SBX1" s="65" t="s">
        <v>13265</v>
      </c>
      <c r="SBY1" s="65" t="s">
        <v>13266</v>
      </c>
      <c r="SBZ1" s="65" t="s">
        <v>13267</v>
      </c>
      <c r="SCA1" s="65" t="s">
        <v>13268</v>
      </c>
      <c r="SCB1" s="65" t="s">
        <v>13269</v>
      </c>
      <c r="SCC1" s="65" t="s">
        <v>13270</v>
      </c>
      <c r="SCD1" s="65" t="s">
        <v>13271</v>
      </c>
      <c r="SCE1" s="65" t="s">
        <v>13272</v>
      </c>
      <c r="SCF1" s="65" t="s">
        <v>13273</v>
      </c>
      <c r="SCG1" s="65" t="s">
        <v>13274</v>
      </c>
      <c r="SCH1" s="65" t="s">
        <v>13275</v>
      </c>
      <c r="SCI1" s="65" t="s">
        <v>13276</v>
      </c>
      <c r="SCJ1" s="65" t="s">
        <v>13277</v>
      </c>
      <c r="SCK1" s="65" t="s">
        <v>13278</v>
      </c>
      <c r="SCL1" s="65" t="s">
        <v>13279</v>
      </c>
      <c r="SCM1" s="65" t="s">
        <v>13280</v>
      </c>
      <c r="SCN1" s="65" t="s">
        <v>13281</v>
      </c>
      <c r="SCO1" s="65" t="s">
        <v>13282</v>
      </c>
      <c r="SCP1" s="65" t="s">
        <v>13283</v>
      </c>
      <c r="SCQ1" s="65" t="s">
        <v>13284</v>
      </c>
      <c r="SCR1" s="65" t="s">
        <v>13285</v>
      </c>
      <c r="SCS1" s="65" t="s">
        <v>13286</v>
      </c>
      <c r="SCT1" s="65" t="s">
        <v>13287</v>
      </c>
      <c r="SCU1" s="65" t="s">
        <v>13288</v>
      </c>
      <c r="SCV1" s="65" t="s">
        <v>13289</v>
      </c>
      <c r="SCW1" s="65" t="s">
        <v>13290</v>
      </c>
      <c r="SCX1" s="65" t="s">
        <v>13291</v>
      </c>
      <c r="SCY1" s="65" t="s">
        <v>13292</v>
      </c>
      <c r="SCZ1" s="65" t="s">
        <v>13293</v>
      </c>
      <c r="SDA1" s="65" t="s">
        <v>13294</v>
      </c>
      <c r="SDB1" s="65" t="s">
        <v>13295</v>
      </c>
      <c r="SDC1" s="65" t="s">
        <v>13296</v>
      </c>
      <c r="SDD1" s="65" t="s">
        <v>13297</v>
      </c>
      <c r="SDE1" s="65" t="s">
        <v>13298</v>
      </c>
      <c r="SDF1" s="65" t="s">
        <v>13299</v>
      </c>
      <c r="SDG1" s="65" t="s">
        <v>13300</v>
      </c>
      <c r="SDH1" s="65" t="s">
        <v>13301</v>
      </c>
      <c r="SDI1" s="65" t="s">
        <v>13302</v>
      </c>
      <c r="SDJ1" s="65" t="s">
        <v>13303</v>
      </c>
      <c r="SDK1" s="65" t="s">
        <v>13304</v>
      </c>
      <c r="SDL1" s="65" t="s">
        <v>13305</v>
      </c>
      <c r="SDM1" s="65" t="s">
        <v>13306</v>
      </c>
      <c r="SDN1" s="65" t="s">
        <v>13307</v>
      </c>
      <c r="SDO1" s="65" t="s">
        <v>13308</v>
      </c>
      <c r="SDP1" s="65" t="s">
        <v>13309</v>
      </c>
      <c r="SDQ1" s="65" t="s">
        <v>13310</v>
      </c>
      <c r="SDR1" s="65" t="s">
        <v>13311</v>
      </c>
      <c r="SDS1" s="65" t="s">
        <v>13312</v>
      </c>
      <c r="SDT1" s="65" t="s">
        <v>13313</v>
      </c>
      <c r="SDU1" s="65" t="s">
        <v>13314</v>
      </c>
      <c r="SDV1" s="65" t="s">
        <v>13315</v>
      </c>
      <c r="SDW1" s="65" t="s">
        <v>13316</v>
      </c>
      <c r="SDX1" s="65" t="s">
        <v>13317</v>
      </c>
      <c r="SDY1" s="65" t="s">
        <v>13318</v>
      </c>
      <c r="SDZ1" s="65" t="s">
        <v>13319</v>
      </c>
      <c r="SEA1" s="65" t="s">
        <v>13320</v>
      </c>
      <c r="SEB1" s="65" t="s">
        <v>13321</v>
      </c>
      <c r="SEC1" s="65" t="s">
        <v>13322</v>
      </c>
      <c r="SED1" s="65" t="s">
        <v>13323</v>
      </c>
      <c r="SEE1" s="65" t="s">
        <v>13324</v>
      </c>
      <c r="SEF1" s="65" t="s">
        <v>13325</v>
      </c>
      <c r="SEG1" s="65" t="s">
        <v>13326</v>
      </c>
      <c r="SEH1" s="65" t="s">
        <v>13327</v>
      </c>
      <c r="SEI1" s="65" t="s">
        <v>13328</v>
      </c>
      <c r="SEJ1" s="65" t="s">
        <v>13329</v>
      </c>
      <c r="SEK1" s="65" t="s">
        <v>13330</v>
      </c>
      <c r="SEL1" s="65" t="s">
        <v>13331</v>
      </c>
      <c r="SEM1" s="65" t="s">
        <v>13332</v>
      </c>
      <c r="SEN1" s="65" t="s">
        <v>13333</v>
      </c>
      <c r="SEO1" s="65" t="s">
        <v>13334</v>
      </c>
      <c r="SEP1" s="65" t="s">
        <v>13335</v>
      </c>
      <c r="SEQ1" s="65" t="s">
        <v>13336</v>
      </c>
      <c r="SER1" s="65" t="s">
        <v>13337</v>
      </c>
      <c r="SES1" s="65" t="s">
        <v>13338</v>
      </c>
      <c r="SET1" s="65" t="s">
        <v>13339</v>
      </c>
      <c r="SEU1" s="65" t="s">
        <v>13340</v>
      </c>
      <c r="SEV1" s="65" t="s">
        <v>13341</v>
      </c>
      <c r="SEW1" s="65" t="s">
        <v>13342</v>
      </c>
      <c r="SEX1" s="65" t="s">
        <v>13343</v>
      </c>
      <c r="SEY1" s="65" t="s">
        <v>13344</v>
      </c>
      <c r="SEZ1" s="65" t="s">
        <v>13345</v>
      </c>
      <c r="SFA1" s="65" t="s">
        <v>13346</v>
      </c>
      <c r="SFB1" s="65" t="s">
        <v>13347</v>
      </c>
      <c r="SFC1" s="65" t="s">
        <v>13348</v>
      </c>
      <c r="SFD1" s="65" t="s">
        <v>13349</v>
      </c>
      <c r="SFE1" s="65" t="s">
        <v>13350</v>
      </c>
      <c r="SFF1" s="65" t="s">
        <v>13351</v>
      </c>
      <c r="SFG1" s="65" t="s">
        <v>13352</v>
      </c>
      <c r="SFH1" s="65" t="s">
        <v>13353</v>
      </c>
      <c r="SFI1" s="65" t="s">
        <v>13354</v>
      </c>
      <c r="SFJ1" s="65" t="s">
        <v>13355</v>
      </c>
      <c r="SFK1" s="65" t="s">
        <v>13356</v>
      </c>
      <c r="SFL1" s="65" t="s">
        <v>13357</v>
      </c>
      <c r="SFM1" s="65" t="s">
        <v>13358</v>
      </c>
      <c r="SFN1" s="65" t="s">
        <v>13359</v>
      </c>
      <c r="SFO1" s="65" t="s">
        <v>13360</v>
      </c>
      <c r="SFP1" s="65" t="s">
        <v>13361</v>
      </c>
      <c r="SFQ1" s="65" t="s">
        <v>13362</v>
      </c>
      <c r="SFR1" s="65" t="s">
        <v>13363</v>
      </c>
      <c r="SFS1" s="65" t="s">
        <v>13364</v>
      </c>
      <c r="SFT1" s="65" t="s">
        <v>13365</v>
      </c>
      <c r="SFU1" s="65" t="s">
        <v>13366</v>
      </c>
      <c r="SFV1" s="65" t="s">
        <v>13367</v>
      </c>
      <c r="SFW1" s="65" t="s">
        <v>13368</v>
      </c>
      <c r="SFX1" s="65" t="s">
        <v>13369</v>
      </c>
      <c r="SFY1" s="65" t="s">
        <v>13370</v>
      </c>
      <c r="SFZ1" s="65" t="s">
        <v>13371</v>
      </c>
      <c r="SGA1" s="65" t="s">
        <v>13372</v>
      </c>
      <c r="SGB1" s="65" t="s">
        <v>13373</v>
      </c>
      <c r="SGC1" s="65" t="s">
        <v>13374</v>
      </c>
      <c r="SGD1" s="65" t="s">
        <v>13375</v>
      </c>
      <c r="SGE1" s="65" t="s">
        <v>13376</v>
      </c>
      <c r="SGF1" s="65" t="s">
        <v>13377</v>
      </c>
      <c r="SGG1" s="65" t="s">
        <v>13378</v>
      </c>
      <c r="SGH1" s="65" t="s">
        <v>13379</v>
      </c>
      <c r="SGI1" s="65" t="s">
        <v>13380</v>
      </c>
      <c r="SGJ1" s="65" t="s">
        <v>13381</v>
      </c>
      <c r="SGK1" s="65" t="s">
        <v>13382</v>
      </c>
      <c r="SGL1" s="65" t="s">
        <v>13383</v>
      </c>
      <c r="SGM1" s="65" t="s">
        <v>13384</v>
      </c>
      <c r="SGN1" s="65" t="s">
        <v>13385</v>
      </c>
      <c r="SGO1" s="65" t="s">
        <v>13386</v>
      </c>
      <c r="SGP1" s="65" t="s">
        <v>13387</v>
      </c>
      <c r="SGQ1" s="65" t="s">
        <v>13388</v>
      </c>
      <c r="SGR1" s="65" t="s">
        <v>13389</v>
      </c>
      <c r="SGS1" s="65" t="s">
        <v>13390</v>
      </c>
      <c r="SGT1" s="65" t="s">
        <v>13391</v>
      </c>
      <c r="SGU1" s="65" t="s">
        <v>13392</v>
      </c>
      <c r="SGV1" s="65" t="s">
        <v>13393</v>
      </c>
      <c r="SGW1" s="65" t="s">
        <v>13394</v>
      </c>
      <c r="SGX1" s="65" t="s">
        <v>13395</v>
      </c>
      <c r="SGY1" s="65" t="s">
        <v>13396</v>
      </c>
      <c r="SGZ1" s="65" t="s">
        <v>13397</v>
      </c>
      <c r="SHA1" s="65" t="s">
        <v>13398</v>
      </c>
      <c r="SHB1" s="65" t="s">
        <v>13399</v>
      </c>
      <c r="SHC1" s="65" t="s">
        <v>13400</v>
      </c>
      <c r="SHD1" s="65" t="s">
        <v>13401</v>
      </c>
      <c r="SHE1" s="65" t="s">
        <v>13402</v>
      </c>
      <c r="SHF1" s="65" t="s">
        <v>13403</v>
      </c>
      <c r="SHG1" s="65" t="s">
        <v>13404</v>
      </c>
      <c r="SHH1" s="65" t="s">
        <v>13405</v>
      </c>
      <c r="SHI1" s="65" t="s">
        <v>13406</v>
      </c>
      <c r="SHJ1" s="65" t="s">
        <v>13407</v>
      </c>
      <c r="SHK1" s="65" t="s">
        <v>13408</v>
      </c>
      <c r="SHL1" s="65" t="s">
        <v>13409</v>
      </c>
      <c r="SHM1" s="65" t="s">
        <v>13410</v>
      </c>
      <c r="SHN1" s="65" t="s">
        <v>13411</v>
      </c>
      <c r="SHO1" s="65" t="s">
        <v>13412</v>
      </c>
      <c r="SHP1" s="65" t="s">
        <v>13413</v>
      </c>
      <c r="SHQ1" s="65" t="s">
        <v>13414</v>
      </c>
      <c r="SHR1" s="65" t="s">
        <v>13415</v>
      </c>
      <c r="SHS1" s="65" t="s">
        <v>13416</v>
      </c>
      <c r="SHT1" s="65" t="s">
        <v>13417</v>
      </c>
      <c r="SHU1" s="65" t="s">
        <v>13418</v>
      </c>
      <c r="SHV1" s="65" t="s">
        <v>13419</v>
      </c>
      <c r="SHW1" s="65" t="s">
        <v>13420</v>
      </c>
      <c r="SHX1" s="65" t="s">
        <v>13421</v>
      </c>
      <c r="SHY1" s="65" t="s">
        <v>13422</v>
      </c>
      <c r="SHZ1" s="65" t="s">
        <v>13423</v>
      </c>
      <c r="SIA1" s="65" t="s">
        <v>13424</v>
      </c>
      <c r="SIB1" s="65" t="s">
        <v>13425</v>
      </c>
      <c r="SIC1" s="65" t="s">
        <v>13426</v>
      </c>
      <c r="SID1" s="65" t="s">
        <v>13427</v>
      </c>
      <c r="SIE1" s="65" t="s">
        <v>13428</v>
      </c>
      <c r="SIF1" s="65" t="s">
        <v>13429</v>
      </c>
      <c r="SIG1" s="65" t="s">
        <v>13430</v>
      </c>
      <c r="SIH1" s="65" t="s">
        <v>13431</v>
      </c>
      <c r="SII1" s="65" t="s">
        <v>13432</v>
      </c>
      <c r="SIJ1" s="65" t="s">
        <v>13433</v>
      </c>
      <c r="SIK1" s="65" t="s">
        <v>13434</v>
      </c>
      <c r="SIL1" s="65" t="s">
        <v>13435</v>
      </c>
      <c r="SIM1" s="65" t="s">
        <v>13436</v>
      </c>
      <c r="SIN1" s="65" t="s">
        <v>13437</v>
      </c>
      <c r="SIO1" s="65" t="s">
        <v>13438</v>
      </c>
      <c r="SIP1" s="65" t="s">
        <v>13439</v>
      </c>
      <c r="SIQ1" s="65" t="s">
        <v>13440</v>
      </c>
      <c r="SIR1" s="65" t="s">
        <v>13441</v>
      </c>
      <c r="SIS1" s="65" t="s">
        <v>13442</v>
      </c>
      <c r="SIT1" s="65" t="s">
        <v>13443</v>
      </c>
      <c r="SIU1" s="65" t="s">
        <v>13444</v>
      </c>
      <c r="SIV1" s="65" t="s">
        <v>13445</v>
      </c>
      <c r="SIW1" s="65" t="s">
        <v>13446</v>
      </c>
      <c r="SIX1" s="65" t="s">
        <v>13447</v>
      </c>
      <c r="SIY1" s="65" t="s">
        <v>13448</v>
      </c>
      <c r="SIZ1" s="65" t="s">
        <v>13449</v>
      </c>
      <c r="SJA1" s="65" t="s">
        <v>13450</v>
      </c>
      <c r="SJB1" s="65" t="s">
        <v>13451</v>
      </c>
      <c r="SJC1" s="65" t="s">
        <v>13452</v>
      </c>
      <c r="SJD1" s="65" t="s">
        <v>13453</v>
      </c>
      <c r="SJE1" s="65" t="s">
        <v>13454</v>
      </c>
      <c r="SJF1" s="65" t="s">
        <v>13455</v>
      </c>
      <c r="SJG1" s="65" t="s">
        <v>13456</v>
      </c>
      <c r="SJH1" s="65" t="s">
        <v>13457</v>
      </c>
      <c r="SJI1" s="65" t="s">
        <v>13458</v>
      </c>
      <c r="SJJ1" s="65" t="s">
        <v>13459</v>
      </c>
      <c r="SJK1" s="65" t="s">
        <v>13460</v>
      </c>
      <c r="SJL1" s="65" t="s">
        <v>13461</v>
      </c>
      <c r="SJM1" s="65" t="s">
        <v>13462</v>
      </c>
      <c r="SJN1" s="65" t="s">
        <v>13463</v>
      </c>
      <c r="SJO1" s="65" t="s">
        <v>13464</v>
      </c>
      <c r="SJP1" s="65" t="s">
        <v>13465</v>
      </c>
      <c r="SJQ1" s="65" t="s">
        <v>13466</v>
      </c>
      <c r="SJR1" s="65" t="s">
        <v>13467</v>
      </c>
      <c r="SJS1" s="65" t="s">
        <v>13468</v>
      </c>
      <c r="SJT1" s="65" t="s">
        <v>13469</v>
      </c>
      <c r="SJU1" s="65" t="s">
        <v>13470</v>
      </c>
      <c r="SJV1" s="65" t="s">
        <v>13471</v>
      </c>
      <c r="SJW1" s="65" t="s">
        <v>13472</v>
      </c>
      <c r="SJX1" s="65" t="s">
        <v>13473</v>
      </c>
      <c r="SJY1" s="65" t="s">
        <v>13474</v>
      </c>
      <c r="SJZ1" s="65" t="s">
        <v>13475</v>
      </c>
      <c r="SKA1" s="65" t="s">
        <v>13476</v>
      </c>
      <c r="SKB1" s="65" t="s">
        <v>13477</v>
      </c>
      <c r="SKC1" s="65" t="s">
        <v>13478</v>
      </c>
      <c r="SKD1" s="65" t="s">
        <v>13479</v>
      </c>
      <c r="SKE1" s="65" t="s">
        <v>13480</v>
      </c>
      <c r="SKF1" s="65" t="s">
        <v>13481</v>
      </c>
      <c r="SKG1" s="65" t="s">
        <v>13482</v>
      </c>
      <c r="SKH1" s="65" t="s">
        <v>13483</v>
      </c>
      <c r="SKI1" s="65" t="s">
        <v>13484</v>
      </c>
      <c r="SKJ1" s="65" t="s">
        <v>13485</v>
      </c>
      <c r="SKK1" s="65" t="s">
        <v>13486</v>
      </c>
      <c r="SKL1" s="65" t="s">
        <v>13487</v>
      </c>
      <c r="SKM1" s="65" t="s">
        <v>13488</v>
      </c>
      <c r="SKN1" s="65" t="s">
        <v>13489</v>
      </c>
      <c r="SKO1" s="65" t="s">
        <v>13490</v>
      </c>
      <c r="SKP1" s="65" t="s">
        <v>13491</v>
      </c>
      <c r="SKQ1" s="65" t="s">
        <v>13492</v>
      </c>
      <c r="SKR1" s="65" t="s">
        <v>13493</v>
      </c>
      <c r="SKS1" s="65" t="s">
        <v>13494</v>
      </c>
      <c r="SKT1" s="65" t="s">
        <v>13495</v>
      </c>
      <c r="SKU1" s="65" t="s">
        <v>13496</v>
      </c>
      <c r="SKV1" s="65" t="s">
        <v>13497</v>
      </c>
      <c r="SKW1" s="65" t="s">
        <v>13498</v>
      </c>
      <c r="SKX1" s="65" t="s">
        <v>13499</v>
      </c>
      <c r="SKY1" s="65" t="s">
        <v>13500</v>
      </c>
      <c r="SKZ1" s="65" t="s">
        <v>13501</v>
      </c>
      <c r="SLA1" s="65" t="s">
        <v>13502</v>
      </c>
      <c r="SLB1" s="65" t="s">
        <v>13503</v>
      </c>
      <c r="SLC1" s="65" t="s">
        <v>13504</v>
      </c>
      <c r="SLD1" s="65" t="s">
        <v>13505</v>
      </c>
      <c r="SLE1" s="65" t="s">
        <v>13506</v>
      </c>
      <c r="SLF1" s="65" t="s">
        <v>13507</v>
      </c>
      <c r="SLG1" s="65" t="s">
        <v>13508</v>
      </c>
      <c r="SLH1" s="65" t="s">
        <v>13509</v>
      </c>
      <c r="SLI1" s="65" t="s">
        <v>13510</v>
      </c>
      <c r="SLJ1" s="65" t="s">
        <v>13511</v>
      </c>
      <c r="SLK1" s="65" t="s">
        <v>13512</v>
      </c>
      <c r="SLL1" s="65" t="s">
        <v>13513</v>
      </c>
      <c r="SLM1" s="65" t="s">
        <v>13514</v>
      </c>
      <c r="SLN1" s="65" t="s">
        <v>13515</v>
      </c>
      <c r="SLO1" s="65" t="s">
        <v>13516</v>
      </c>
      <c r="SLP1" s="65" t="s">
        <v>13517</v>
      </c>
      <c r="SLQ1" s="65" t="s">
        <v>13518</v>
      </c>
      <c r="SLR1" s="65" t="s">
        <v>13519</v>
      </c>
      <c r="SLS1" s="65" t="s">
        <v>13520</v>
      </c>
      <c r="SLT1" s="65" t="s">
        <v>13521</v>
      </c>
      <c r="SLU1" s="65" t="s">
        <v>13522</v>
      </c>
      <c r="SLV1" s="65" t="s">
        <v>13523</v>
      </c>
      <c r="SLW1" s="65" t="s">
        <v>13524</v>
      </c>
      <c r="SLX1" s="65" t="s">
        <v>13525</v>
      </c>
      <c r="SLY1" s="65" t="s">
        <v>13526</v>
      </c>
      <c r="SLZ1" s="65" t="s">
        <v>13527</v>
      </c>
      <c r="SMA1" s="65" t="s">
        <v>13528</v>
      </c>
      <c r="SMB1" s="65" t="s">
        <v>13529</v>
      </c>
      <c r="SMC1" s="65" t="s">
        <v>13530</v>
      </c>
      <c r="SMD1" s="65" t="s">
        <v>13531</v>
      </c>
      <c r="SME1" s="65" t="s">
        <v>13532</v>
      </c>
      <c r="SMF1" s="65" t="s">
        <v>13533</v>
      </c>
      <c r="SMG1" s="65" t="s">
        <v>13534</v>
      </c>
      <c r="SMH1" s="65" t="s">
        <v>13535</v>
      </c>
      <c r="SMI1" s="65" t="s">
        <v>13536</v>
      </c>
      <c r="SMJ1" s="65" t="s">
        <v>13537</v>
      </c>
      <c r="SMK1" s="65" t="s">
        <v>13538</v>
      </c>
      <c r="SML1" s="65" t="s">
        <v>13539</v>
      </c>
      <c r="SMM1" s="65" t="s">
        <v>13540</v>
      </c>
      <c r="SMN1" s="65" t="s">
        <v>13541</v>
      </c>
      <c r="SMO1" s="65" t="s">
        <v>13542</v>
      </c>
      <c r="SMP1" s="65" t="s">
        <v>13543</v>
      </c>
      <c r="SMQ1" s="65" t="s">
        <v>13544</v>
      </c>
      <c r="SMR1" s="65" t="s">
        <v>13545</v>
      </c>
      <c r="SMS1" s="65" t="s">
        <v>13546</v>
      </c>
      <c r="SMT1" s="65" t="s">
        <v>13547</v>
      </c>
      <c r="SMU1" s="65" t="s">
        <v>13548</v>
      </c>
      <c r="SMV1" s="65" t="s">
        <v>13549</v>
      </c>
      <c r="SMW1" s="65" t="s">
        <v>13550</v>
      </c>
      <c r="SMX1" s="65" t="s">
        <v>13551</v>
      </c>
      <c r="SMY1" s="65" t="s">
        <v>13552</v>
      </c>
      <c r="SMZ1" s="65" t="s">
        <v>13553</v>
      </c>
      <c r="SNA1" s="65" t="s">
        <v>13554</v>
      </c>
      <c r="SNB1" s="65" t="s">
        <v>13555</v>
      </c>
      <c r="SNC1" s="65" t="s">
        <v>13556</v>
      </c>
      <c r="SND1" s="65" t="s">
        <v>13557</v>
      </c>
      <c r="SNE1" s="65" t="s">
        <v>13558</v>
      </c>
      <c r="SNF1" s="65" t="s">
        <v>13559</v>
      </c>
      <c r="SNG1" s="65" t="s">
        <v>13560</v>
      </c>
      <c r="SNH1" s="65" t="s">
        <v>13561</v>
      </c>
      <c r="SNI1" s="65" t="s">
        <v>13562</v>
      </c>
      <c r="SNJ1" s="65" t="s">
        <v>13563</v>
      </c>
      <c r="SNK1" s="65" t="s">
        <v>13564</v>
      </c>
      <c r="SNL1" s="65" t="s">
        <v>13565</v>
      </c>
      <c r="SNM1" s="65" t="s">
        <v>13566</v>
      </c>
      <c r="SNN1" s="65" t="s">
        <v>13567</v>
      </c>
      <c r="SNO1" s="65" t="s">
        <v>13568</v>
      </c>
      <c r="SNP1" s="65" t="s">
        <v>13569</v>
      </c>
      <c r="SNQ1" s="65" t="s">
        <v>13570</v>
      </c>
      <c r="SNR1" s="65" t="s">
        <v>13571</v>
      </c>
      <c r="SNS1" s="65" t="s">
        <v>13572</v>
      </c>
      <c r="SNT1" s="65" t="s">
        <v>13573</v>
      </c>
      <c r="SNU1" s="65" t="s">
        <v>13574</v>
      </c>
      <c r="SNV1" s="65" t="s">
        <v>13575</v>
      </c>
      <c r="SNW1" s="65" t="s">
        <v>13576</v>
      </c>
      <c r="SNX1" s="65" t="s">
        <v>13577</v>
      </c>
      <c r="SNY1" s="65" t="s">
        <v>13578</v>
      </c>
      <c r="SNZ1" s="65" t="s">
        <v>13579</v>
      </c>
      <c r="SOA1" s="65" t="s">
        <v>13580</v>
      </c>
      <c r="SOB1" s="65" t="s">
        <v>13581</v>
      </c>
      <c r="SOC1" s="65" t="s">
        <v>13582</v>
      </c>
      <c r="SOD1" s="65" t="s">
        <v>13583</v>
      </c>
      <c r="SOE1" s="65" t="s">
        <v>13584</v>
      </c>
      <c r="SOF1" s="65" t="s">
        <v>13585</v>
      </c>
      <c r="SOG1" s="65" t="s">
        <v>13586</v>
      </c>
      <c r="SOH1" s="65" t="s">
        <v>13587</v>
      </c>
      <c r="SOI1" s="65" t="s">
        <v>13588</v>
      </c>
      <c r="SOJ1" s="65" t="s">
        <v>13589</v>
      </c>
      <c r="SOK1" s="65" t="s">
        <v>13590</v>
      </c>
      <c r="SOL1" s="65" t="s">
        <v>13591</v>
      </c>
      <c r="SOM1" s="65" t="s">
        <v>13592</v>
      </c>
      <c r="SON1" s="65" t="s">
        <v>13593</v>
      </c>
      <c r="SOO1" s="65" t="s">
        <v>13594</v>
      </c>
      <c r="SOP1" s="65" t="s">
        <v>13595</v>
      </c>
      <c r="SOQ1" s="65" t="s">
        <v>13596</v>
      </c>
      <c r="SOR1" s="65" t="s">
        <v>13597</v>
      </c>
      <c r="SOS1" s="65" t="s">
        <v>13598</v>
      </c>
      <c r="SOT1" s="65" t="s">
        <v>13599</v>
      </c>
      <c r="SOU1" s="65" t="s">
        <v>13600</v>
      </c>
      <c r="SOV1" s="65" t="s">
        <v>13601</v>
      </c>
      <c r="SOW1" s="65" t="s">
        <v>13602</v>
      </c>
      <c r="SOX1" s="65" t="s">
        <v>13603</v>
      </c>
      <c r="SOY1" s="65" t="s">
        <v>13604</v>
      </c>
      <c r="SOZ1" s="65" t="s">
        <v>13605</v>
      </c>
      <c r="SPA1" s="65" t="s">
        <v>13606</v>
      </c>
      <c r="SPB1" s="65" t="s">
        <v>13607</v>
      </c>
      <c r="SPC1" s="65" t="s">
        <v>13608</v>
      </c>
      <c r="SPD1" s="65" t="s">
        <v>13609</v>
      </c>
      <c r="SPE1" s="65" t="s">
        <v>13610</v>
      </c>
      <c r="SPF1" s="65" t="s">
        <v>13611</v>
      </c>
      <c r="SPG1" s="65" t="s">
        <v>13612</v>
      </c>
      <c r="SPH1" s="65" t="s">
        <v>13613</v>
      </c>
      <c r="SPI1" s="65" t="s">
        <v>13614</v>
      </c>
      <c r="SPJ1" s="65" t="s">
        <v>13615</v>
      </c>
      <c r="SPK1" s="65" t="s">
        <v>13616</v>
      </c>
      <c r="SPL1" s="65" t="s">
        <v>13617</v>
      </c>
      <c r="SPM1" s="65" t="s">
        <v>13618</v>
      </c>
      <c r="SPN1" s="65" t="s">
        <v>13619</v>
      </c>
      <c r="SPO1" s="65" t="s">
        <v>13620</v>
      </c>
      <c r="SPP1" s="65" t="s">
        <v>13621</v>
      </c>
      <c r="SPQ1" s="65" t="s">
        <v>13622</v>
      </c>
      <c r="SPR1" s="65" t="s">
        <v>13623</v>
      </c>
      <c r="SPS1" s="65" t="s">
        <v>13624</v>
      </c>
      <c r="SPT1" s="65" t="s">
        <v>13625</v>
      </c>
      <c r="SPU1" s="65" t="s">
        <v>13626</v>
      </c>
      <c r="SPV1" s="65" t="s">
        <v>13627</v>
      </c>
      <c r="SPW1" s="65" t="s">
        <v>13628</v>
      </c>
      <c r="SPX1" s="65" t="s">
        <v>13629</v>
      </c>
      <c r="SPY1" s="65" t="s">
        <v>13630</v>
      </c>
      <c r="SPZ1" s="65" t="s">
        <v>13631</v>
      </c>
      <c r="SQA1" s="65" t="s">
        <v>13632</v>
      </c>
      <c r="SQB1" s="65" t="s">
        <v>13633</v>
      </c>
      <c r="SQC1" s="65" t="s">
        <v>13634</v>
      </c>
      <c r="SQD1" s="65" t="s">
        <v>13635</v>
      </c>
      <c r="SQE1" s="65" t="s">
        <v>13636</v>
      </c>
      <c r="SQF1" s="65" t="s">
        <v>13637</v>
      </c>
      <c r="SQG1" s="65" t="s">
        <v>13638</v>
      </c>
      <c r="SQH1" s="65" t="s">
        <v>13639</v>
      </c>
      <c r="SQI1" s="65" t="s">
        <v>13640</v>
      </c>
      <c r="SQJ1" s="65" t="s">
        <v>13641</v>
      </c>
      <c r="SQK1" s="65" t="s">
        <v>13642</v>
      </c>
      <c r="SQL1" s="65" t="s">
        <v>13643</v>
      </c>
      <c r="SQM1" s="65" t="s">
        <v>13644</v>
      </c>
      <c r="SQN1" s="65" t="s">
        <v>13645</v>
      </c>
      <c r="SQO1" s="65" t="s">
        <v>13646</v>
      </c>
      <c r="SQP1" s="65" t="s">
        <v>13647</v>
      </c>
      <c r="SQQ1" s="65" t="s">
        <v>13648</v>
      </c>
      <c r="SQR1" s="65" t="s">
        <v>13649</v>
      </c>
      <c r="SQS1" s="65" t="s">
        <v>13650</v>
      </c>
      <c r="SQT1" s="65" t="s">
        <v>13651</v>
      </c>
      <c r="SQU1" s="65" t="s">
        <v>13652</v>
      </c>
      <c r="SQV1" s="65" t="s">
        <v>13653</v>
      </c>
      <c r="SQW1" s="65" t="s">
        <v>13654</v>
      </c>
      <c r="SQX1" s="65" t="s">
        <v>13655</v>
      </c>
      <c r="SQY1" s="65" t="s">
        <v>13656</v>
      </c>
      <c r="SQZ1" s="65" t="s">
        <v>13657</v>
      </c>
      <c r="SRA1" s="65" t="s">
        <v>13658</v>
      </c>
      <c r="SRB1" s="65" t="s">
        <v>13659</v>
      </c>
      <c r="SRC1" s="65" t="s">
        <v>13660</v>
      </c>
      <c r="SRD1" s="65" t="s">
        <v>13661</v>
      </c>
      <c r="SRE1" s="65" t="s">
        <v>13662</v>
      </c>
      <c r="SRF1" s="65" t="s">
        <v>13663</v>
      </c>
      <c r="SRG1" s="65" t="s">
        <v>13664</v>
      </c>
      <c r="SRH1" s="65" t="s">
        <v>13665</v>
      </c>
      <c r="SRI1" s="65" t="s">
        <v>13666</v>
      </c>
      <c r="SRJ1" s="65" t="s">
        <v>13667</v>
      </c>
      <c r="SRK1" s="65" t="s">
        <v>13668</v>
      </c>
      <c r="SRL1" s="65" t="s">
        <v>13669</v>
      </c>
      <c r="SRM1" s="65" t="s">
        <v>13670</v>
      </c>
      <c r="SRN1" s="65" t="s">
        <v>13671</v>
      </c>
      <c r="SRO1" s="65" t="s">
        <v>13672</v>
      </c>
      <c r="SRP1" s="65" t="s">
        <v>13673</v>
      </c>
      <c r="SRQ1" s="65" t="s">
        <v>13674</v>
      </c>
      <c r="SRR1" s="65" t="s">
        <v>13675</v>
      </c>
      <c r="SRS1" s="65" t="s">
        <v>13676</v>
      </c>
      <c r="SRT1" s="65" t="s">
        <v>13677</v>
      </c>
      <c r="SRU1" s="65" t="s">
        <v>13678</v>
      </c>
      <c r="SRV1" s="65" t="s">
        <v>13679</v>
      </c>
      <c r="SRW1" s="65" t="s">
        <v>13680</v>
      </c>
      <c r="SRX1" s="65" t="s">
        <v>13681</v>
      </c>
      <c r="SRY1" s="65" t="s">
        <v>13682</v>
      </c>
      <c r="SRZ1" s="65" t="s">
        <v>13683</v>
      </c>
      <c r="SSA1" s="65" t="s">
        <v>13684</v>
      </c>
      <c r="SSB1" s="65" t="s">
        <v>13685</v>
      </c>
      <c r="SSC1" s="65" t="s">
        <v>13686</v>
      </c>
      <c r="SSD1" s="65" t="s">
        <v>13687</v>
      </c>
      <c r="SSE1" s="65" t="s">
        <v>13688</v>
      </c>
      <c r="SSF1" s="65" t="s">
        <v>13689</v>
      </c>
      <c r="SSG1" s="65" t="s">
        <v>13690</v>
      </c>
      <c r="SSH1" s="65" t="s">
        <v>13691</v>
      </c>
      <c r="SSI1" s="65" t="s">
        <v>13692</v>
      </c>
      <c r="SSJ1" s="65" t="s">
        <v>13693</v>
      </c>
      <c r="SSK1" s="65" t="s">
        <v>13694</v>
      </c>
      <c r="SSL1" s="65" t="s">
        <v>13695</v>
      </c>
      <c r="SSM1" s="65" t="s">
        <v>13696</v>
      </c>
      <c r="SSN1" s="65" t="s">
        <v>13697</v>
      </c>
      <c r="SSO1" s="65" t="s">
        <v>13698</v>
      </c>
      <c r="SSP1" s="65" t="s">
        <v>13699</v>
      </c>
      <c r="SSQ1" s="65" t="s">
        <v>13700</v>
      </c>
      <c r="SSR1" s="65" t="s">
        <v>13701</v>
      </c>
      <c r="SSS1" s="65" t="s">
        <v>13702</v>
      </c>
      <c r="SST1" s="65" t="s">
        <v>13703</v>
      </c>
      <c r="SSU1" s="65" t="s">
        <v>13704</v>
      </c>
      <c r="SSV1" s="65" t="s">
        <v>13705</v>
      </c>
      <c r="SSW1" s="65" t="s">
        <v>13706</v>
      </c>
      <c r="SSX1" s="65" t="s">
        <v>13707</v>
      </c>
      <c r="SSY1" s="65" t="s">
        <v>13708</v>
      </c>
      <c r="SSZ1" s="65" t="s">
        <v>13709</v>
      </c>
      <c r="STA1" s="65" t="s">
        <v>13710</v>
      </c>
      <c r="STB1" s="65" t="s">
        <v>13711</v>
      </c>
      <c r="STC1" s="65" t="s">
        <v>13712</v>
      </c>
      <c r="STD1" s="65" t="s">
        <v>13713</v>
      </c>
      <c r="STE1" s="65" t="s">
        <v>13714</v>
      </c>
      <c r="STF1" s="65" t="s">
        <v>13715</v>
      </c>
      <c r="STG1" s="65" t="s">
        <v>13716</v>
      </c>
      <c r="STH1" s="65" t="s">
        <v>13717</v>
      </c>
      <c r="STI1" s="65" t="s">
        <v>13718</v>
      </c>
      <c r="STJ1" s="65" t="s">
        <v>13719</v>
      </c>
      <c r="STK1" s="65" t="s">
        <v>13720</v>
      </c>
      <c r="STL1" s="65" t="s">
        <v>13721</v>
      </c>
      <c r="STM1" s="65" t="s">
        <v>13722</v>
      </c>
      <c r="STN1" s="65" t="s">
        <v>13723</v>
      </c>
      <c r="STO1" s="65" t="s">
        <v>13724</v>
      </c>
      <c r="STP1" s="65" t="s">
        <v>13725</v>
      </c>
      <c r="STQ1" s="65" t="s">
        <v>13726</v>
      </c>
      <c r="STR1" s="65" t="s">
        <v>13727</v>
      </c>
      <c r="STS1" s="65" t="s">
        <v>13728</v>
      </c>
      <c r="STT1" s="65" t="s">
        <v>13729</v>
      </c>
      <c r="STU1" s="65" t="s">
        <v>13730</v>
      </c>
      <c r="STV1" s="65" t="s">
        <v>13731</v>
      </c>
      <c r="STW1" s="65" t="s">
        <v>13732</v>
      </c>
      <c r="STX1" s="65" t="s">
        <v>13733</v>
      </c>
      <c r="STY1" s="65" t="s">
        <v>13734</v>
      </c>
      <c r="STZ1" s="65" t="s">
        <v>13735</v>
      </c>
      <c r="SUA1" s="65" t="s">
        <v>13736</v>
      </c>
      <c r="SUB1" s="65" t="s">
        <v>13737</v>
      </c>
      <c r="SUC1" s="65" t="s">
        <v>13738</v>
      </c>
      <c r="SUD1" s="65" t="s">
        <v>13739</v>
      </c>
      <c r="SUE1" s="65" t="s">
        <v>13740</v>
      </c>
      <c r="SUF1" s="65" t="s">
        <v>13741</v>
      </c>
      <c r="SUG1" s="65" t="s">
        <v>13742</v>
      </c>
      <c r="SUH1" s="65" t="s">
        <v>13743</v>
      </c>
      <c r="SUI1" s="65" t="s">
        <v>13744</v>
      </c>
      <c r="SUJ1" s="65" t="s">
        <v>13745</v>
      </c>
      <c r="SUK1" s="65" t="s">
        <v>13746</v>
      </c>
      <c r="SUL1" s="65" t="s">
        <v>13747</v>
      </c>
      <c r="SUM1" s="65" t="s">
        <v>13748</v>
      </c>
      <c r="SUN1" s="65" t="s">
        <v>13749</v>
      </c>
      <c r="SUO1" s="65" t="s">
        <v>13750</v>
      </c>
      <c r="SUP1" s="65" t="s">
        <v>13751</v>
      </c>
      <c r="SUQ1" s="65" t="s">
        <v>13752</v>
      </c>
      <c r="SUR1" s="65" t="s">
        <v>13753</v>
      </c>
      <c r="SUS1" s="65" t="s">
        <v>13754</v>
      </c>
      <c r="SUT1" s="65" t="s">
        <v>13755</v>
      </c>
      <c r="SUU1" s="65" t="s">
        <v>13756</v>
      </c>
      <c r="SUV1" s="65" t="s">
        <v>13757</v>
      </c>
      <c r="SUW1" s="65" t="s">
        <v>13758</v>
      </c>
      <c r="SUX1" s="65" t="s">
        <v>13759</v>
      </c>
      <c r="SUY1" s="65" t="s">
        <v>13760</v>
      </c>
      <c r="SUZ1" s="65" t="s">
        <v>13761</v>
      </c>
      <c r="SVA1" s="65" t="s">
        <v>13762</v>
      </c>
      <c r="SVB1" s="65" t="s">
        <v>13763</v>
      </c>
      <c r="SVC1" s="65" t="s">
        <v>13764</v>
      </c>
      <c r="SVD1" s="65" t="s">
        <v>13765</v>
      </c>
      <c r="SVE1" s="65" t="s">
        <v>13766</v>
      </c>
      <c r="SVF1" s="65" t="s">
        <v>13767</v>
      </c>
      <c r="SVG1" s="65" t="s">
        <v>13768</v>
      </c>
      <c r="SVH1" s="65" t="s">
        <v>13769</v>
      </c>
      <c r="SVI1" s="65" t="s">
        <v>13770</v>
      </c>
      <c r="SVJ1" s="65" t="s">
        <v>13771</v>
      </c>
      <c r="SVK1" s="65" t="s">
        <v>13772</v>
      </c>
      <c r="SVL1" s="65" t="s">
        <v>13773</v>
      </c>
      <c r="SVM1" s="65" t="s">
        <v>13774</v>
      </c>
      <c r="SVN1" s="65" t="s">
        <v>13775</v>
      </c>
      <c r="SVO1" s="65" t="s">
        <v>13776</v>
      </c>
      <c r="SVP1" s="65" t="s">
        <v>13777</v>
      </c>
      <c r="SVQ1" s="65" t="s">
        <v>13778</v>
      </c>
      <c r="SVR1" s="65" t="s">
        <v>13779</v>
      </c>
      <c r="SVS1" s="65" t="s">
        <v>13780</v>
      </c>
      <c r="SVT1" s="65" t="s">
        <v>13781</v>
      </c>
      <c r="SVU1" s="65" t="s">
        <v>13782</v>
      </c>
      <c r="SVV1" s="65" t="s">
        <v>13783</v>
      </c>
      <c r="SVW1" s="65" t="s">
        <v>13784</v>
      </c>
      <c r="SVX1" s="65" t="s">
        <v>13785</v>
      </c>
      <c r="SVY1" s="65" t="s">
        <v>13786</v>
      </c>
      <c r="SVZ1" s="65" t="s">
        <v>13787</v>
      </c>
      <c r="SWA1" s="65" t="s">
        <v>13788</v>
      </c>
      <c r="SWB1" s="65" t="s">
        <v>13789</v>
      </c>
      <c r="SWC1" s="65" t="s">
        <v>13790</v>
      </c>
      <c r="SWD1" s="65" t="s">
        <v>13791</v>
      </c>
      <c r="SWE1" s="65" t="s">
        <v>13792</v>
      </c>
      <c r="SWF1" s="65" t="s">
        <v>13793</v>
      </c>
      <c r="SWG1" s="65" t="s">
        <v>13794</v>
      </c>
      <c r="SWH1" s="65" t="s">
        <v>13795</v>
      </c>
      <c r="SWI1" s="65" t="s">
        <v>13796</v>
      </c>
      <c r="SWJ1" s="65" t="s">
        <v>13797</v>
      </c>
      <c r="SWK1" s="65" t="s">
        <v>13798</v>
      </c>
      <c r="SWL1" s="65" t="s">
        <v>13799</v>
      </c>
      <c r="SWM1" s="65" t="s">
        <v>13800</v>
      </c>
      <c r="SWN1" s="65" t="s">
        <v>13801</v>
      </c>
      <c r="SWO1" s="65" t="s">
        <v>13802</v>
      </c>
      <c r="SWP1" s="65" t="s">
        <v>13803</v>
      </c>
      <c r="SWQ1" s="65" t="s">
        <v>13804</v>
      </c>
      <c r="SWR1" s="65" t="s">
        <v>13805</v>
      </c>
      <c r="SWS1" s="65" t="s">
        <v>13806</v>
      </c>
      <c r="SWT1" s="65" t="s">
        <v>13807</v>
      </c>
      <c r="SWU1" s="65" t="s">
        <v>13808</v>
      </c>
      <c r="SWV1" s="65" t="s">
        <v>13809</v>
      </c>
      <c r="SWW1" s="65" t="s">
        <v>13810</v>
      </c>
      <c r="SWX1" s="65" t="s">
        <v>13811</v>
      </c>
      <c r="SWY1" s="65" t="s">
        <v>13812</v>
      </c>
      <c r="SWZ1" s="65" t="s">
        <v>13813</v>
      </c>
      <c r="SXA1" s="65" t="s">
        <v>13814</v>
      </c>
      <c r="SXB1" s="65" t="s">
        <v>13815</v>
      </c>
      <c r="SXC1" s="65" t="s">
        <v>13816</v>
      </c>
      <c r="SXD1" s="65" t="s">
        <v>13817</v>
      </c>
      <c r="SXE1" s="65" t="s">
        <v>13818</v>
      </c>
      <c r="SXF1" s="65" t="s">
        <v>13819</v>
      </c>
      <c r="SXG1" s="65" t="s">
        <v>13820</v>
      </c>
      <c r="SXH1" s="65" t="s">
        <v>13821</v>
      </c>
      <c r="SXI1" s="65" t="s">
        <v>13822</v>
      </c>
      <c r="SXJ1" s="65" t="s">
        <v>13823</v>
      </c>
      <c r="SXK1" s="65" t="s">
        <v>13824</v>
      </c>
      <c r="SXL1" s="65" t="s">
        <v>13825</v>
      </c>
      <c r="SXM1" s="65" t="s">
        <v>13826</v>
      </c>
      <c r="SXN1" s="65" t="s">
        <v>13827</v>
      </c>
      <c r="SXO1" s="65" t="s">
        <v>13828</v>
      </c>
      <c r="SXP1" s="65" t="s">
        <v>13829</v>
      </c>
      <c r="SXQ1" s="65" t="s">
        <v>13830</v>
      </c>
      <c r="SXR1" s="65" t="s">
        <v>13831</v>
      </c>
      <c r="SXS1" s="65" t="s">
        <v>13832</v>
      </c>
      <c r="SXT1" s="65" t="s">
        <v>13833</v>
      </c>
      <c r="SXU1" s="65" t="s">
        <v>13834</v>
      </c>
      <c r="SXV1" s="65" t="s">
        <v>13835</v>
      </c>
      <c r="SXW1" s="65" t="s">
        <v>13836</v>
      </c>
      <c r="SXX1" s="65" t="s">
        <v>13837</v>
      </c>
      <c r="SXY1" s="65" t="s">
        <v>13838</v>
      </c>
      <c r="SXZ1" s="65" t="s">
        <v>13839</v>
      </c>
      <c r="SYA1" s="65" t="s">
        <v>13840</v>
      </c>
      <c r="SYB1" s="65" t="s">
        <v>13841</v>
      </c>
      <c r="SYC1" s="65" t="s">
        <v>13842</v>
      </c>
      <c r="SYD1" s="65" t="s">
        <v>13843</v>
      </c>
      <c r="SYE1" s="65" t="s">
        <v>13844</v>
      </c>
      <c r="SYF1" s="65" t="s">
        <v>13845</v>
      </c>
      <c r="SYG1" s="65" t="s">
        <v>13846</v>
      </c>
      <c r="SYH1" s="65" t="s">
        <v>13847</v>
      </c>
      <c r="SYI1" s="65" t="s">
        <v>13848</v>
      </c>
      <c r="SYJ1" s="65" t="s">
        <v>13849</v>
      </c>
      <c r="SYK1" s="65" t="s">
        <v>13850</v>
      </c>
      <c r="SYL1" s="65" t="s">
        <v>13851</v>
      </c>
      <c r="SYM1" s="65" t="s">
        <v>13852</v>
      </c>
      <c r="SYN1" s="65" t="s">
        <v>13853</v>
      </c>
      <c r="SYO1" s="65" t="s">
        <v>13854</v>
      </c>
      <c r="SYP1" s="65" t="s">
        <v>13855</v>
      </c>
      <c r="SYQ1" s="65" t="s">
        <v>13856</v>
      </c>
      <c r="SYR1" s="65" t="s">
        <v>13857</v>
      </c>
      <c r="SYS1" s="65" t="s">
        <v>13858</v>
      </c>
      <c r="SYT1" s="65" t="s">
        <v>13859</v>
      </c>
      <c r="SYU1" s="65" t="s">
        <v>13860</v>
      </c>
      <c r="SYV1" s="65" t="s">
        <v>13861</v>
      </c>
      <c r="SYW1" s="65" t="s">
        <v>13862</v>
      </c>
      <c r="SYX1" s="65" t="s">
        <v>13863</v>
      </c>
      <c r="SYY1" s="65" t="s">
        <v>13864</v>
      </c>
      <c r="SYZ1" s="65" t="s">
        <v>13865</v>
      </c>
      <c r="SZA1" s="65" t="s">
        <v>13866</v>
      </c>
      <c r="SZB1" s="65" t="s">
        <v>13867</v>
      </c>
      <c r="SZC1" s="65" t="s">
        <v>13868</v>
      </c>
      <c r="SZD1" s="65" t="s">
        <v>13869</v>
      </c>
      <c r="SZE1" s="65" t="s">
        <v>13870</v>
      </c>
      <c r="SZF1" s="65" t="s">
        <v>13871</v>
      </c>
      <c r="SZG1" s="65" t="s">
        <v>13872</v>
      </c>
      <c r="SZH1" s="65" t="s">
        <v>13873</v>
      </c>
      <c r="SZI1" s="65" t="s">
        <v>13874</v>
      </c>
      <c r="SZJ1" s="65" t="s">
        <v>13875</v>
      </c>
      <c r="SZK1" s="65" t="s">
        <v>13876</v>
      </c>
      <c r="SZL1" s="65" t="s">
        <v>13877</v>
      </c>
      <c r="SZM1" s="65" t="s">
        <v>13878</v>
      </c>
      <c r="SZN1" s="65" t="s">
        <v>13879</v>
      </c>
      <c r="SZO1" s="65" t="s">
        <v>13880</v>
      </c>
      <c r="SZP1" s="65" t="s">
        <v>13881</v>
      </c>
      <c r="SZQ1" s="65" t="s">
        <v>13882</v>
      </c>
      <c r="SZR1" s="65" t="s">
        <v>13883</v>
      </c>
      <c r="SZS1" s="65" t="s">
        <v>13884</v>
      </c>
      <c r="SZT1" s="65" t="s">
        <v>13885</v>
      </c>
      <c r="SZU1" s="65" t="s">
        <v>13886</v>
      </c>
      <c r="SZV1" s="65" t="s">
        <v>13887</v>
      </c>
      <c r="SZW1" s="65" t="s">
        <v>13888</v>
      </c>
      <c r="SZX1" s="65" t="s">
        <v>13889</v>
      </c>
      <c r="SZY1" s="65" t="s">
        <v>13890</v>
      </c>
      <c r="SZZ1" s="65" t="s">
        <v>13891</v>
      </c>
      <c r="TAA1" s="65" t="s">
        <v>13892</v>
      </c>
      <c r="TAB1" s="65" t="s">
        <v>13893</v>
      </c>
      <c r="TAC1" s="65" t="s">
        <v>13894</v>
      </c>
      <c r="TAD1" s="65" t="s">
        <v>13895</v>
      </c>
      <c r="TAE1" s="65" t="s">
        <v>13896</v>
      </c>
      <c r="TAF1" s="65" t="s">
        <v>13897</v>
      </c>
      <c r="TAG1" s="65" t="s">
        <v>13898</v>
      </c>
      <c r="TAH1" s="65" t="s">
        <v>13899</v>
      </c>
      <c r="TAI1" s="65" t="s">
        <v>13900</v>
      </c>
      <c r="TAJ1" s="65" t="s">
        <v>13901</v>
      </c>
      <c r="TAK1" s="65" t="s">
        <v>13902</v>
      </c>
      <c r="TAL1" s="65" t="s">
        <v>13903</v>
      </c>
      <c r="TAM1" s="65" t="s">
        <v>13904</v>
      </c>
      <c r="TAN1" s="65" t="s">
        <v>13905</v>
      </c>
      <c r="TAO1" s="65" t="s">
        <v>13906</v>
      </c>
      <c r="TAP1" s="65" t="s">
        <v>13907</v>
      </c>
      <c r="TAQ1" s="65" t="s">
        <v>13908</v>
      </c>
      <c r="TAR1" s="65" t="s">
        <v>13909</v>
      </c>
      <c r="TAS1" s="65" t="s">
        <v>13910</v>
      </c>
      <c r="TAT1" s="65" t="s">
        <v>13911</v>
      </c>
      <c r="TAU1" s="65" t="s">
        <v>13912</v>
      </c>
      <c r="TAV1" s="65" t="s">
        <v>13913</v>
      </c>
      <c r="TAW1" s="65" t="s">
        <v>13914</v>
      </c>
      <c r="TAX1" s="65" t="s">
        <v>13915</v>
      </c>
      <c r="TAY1" s="65" t="s">
        <v>13916</v>
      </c>
      <c r="TAZ1" s="65" t="s">
        <v>13917</v>
      </c>
      <c r="TBA1" s="65" t="s">
        <v>13918</v>
      </c>
      <c r="TBB1" s="65" t="s">
        <v>13919</v>
      </c>
      <c r="TBC1" s="65" t="s">
        <v>13920</v>
      </c>
      <c r="TBD1" s="65" t="s">
        <v>13921</v>
      </c>
      <c r="TBE1" s="65" t="s">
        <v>13922</v>
      </c>
      <c r="TBF1" s="65" t="s">
        <v>13923</v>
      </c>
      <c r="TBG1" s="65" t="s">
        <v>13924</v>
      </c>
      <c r="TBH1" s="65" t="s">
        <v>13925</v>
      </c>
      <c r="TBI1" s="65" t="s">
        <v>13926</v>
      </c>
      <c r="TBJ1" s="65" t="s">
        <v>13927</v>
      </c>
      <c r="TBK1" s="65" t="s">
        <v>13928</v>
      </c>
      <c r="TBL1" s="65" t="s">
        <v>13929</v>
      </c>
      <c r="TBM1" s="65" t="s">
        <v>13930</v>
      </c>
      <c r="TBN1" s="65" t="s">
        <v>13931</v>
      </c>
      <c r="TBO1" s="65" t="s">
        <v>13932</v>
      </c>
      <c r="TBP1" s="65" t="s">
        <v>13933</v>
      </c>
      <c r="TBQ1" s="65" t="s">
        <v>13934</v>
      </c>
      <c r="TBR1" s="65" t="s">
        <v>13935</v>
      </c>
      <c r="TBS1" s="65" t="s">
        <v>13936</v>
      </c>
      <c r="TBT1" s="65" t="s">
        <v>13937</v>
      </c>
      <c r="TBU1" s="65" t="s">
        <v>13938</v>
      </c>
      <c r="TBV1" s="65" t="s">
        <v>13939</v>
      </c>
      <c r="TBW1" s="65" t="s">
        <v>13940</v>
      </c>
      <c r="TBX1" s="65" t="s">
        <v>13941</v>
      </c>
      <c r="TBY1" s="65" t="s">
        <v>13942</v>
      </c>
      <c r="TBZ1" s="65" t="s">
        <v>13943</v>
      </c>
      <c r="TCA1" s="65" t="s">
        <v>13944</v>
      </c>
      <c r="TCB1" s="65" t="s">
        <v>13945</v>
      </c>
      <c r="TCC1" s="65" t="s">
        <v>13946</v>
      </c>
      <c r="TCD1" s="65" t="s">
        <v>13947</v>
      </c>
      <c r="TCE1" s="65" t="s">
        <v>13948</v>
      </c>
      <c r="TCF1" s="65" t="s">
        <v>13949</v>
      </c>
      <c r="TCG1" s="65" t="s">
        <v>13950</v>
      </c>
      <c r="TCH1" s="65" t="s">
        <v>13951</v>
      </c>
      <c r="TCI1" s="65" t="s">
        <v>13952</v>
      </c>
      <c r="TCJ1" s="65" t="s">
        <v>13953</v>
      </c>
      <c r="TCK1" s="65" t="s">
        <v>13954</v>
      </c>
      <c r="TCL1" s="65" t="s">
        <v>13955</v>
      </c>
      <c r="TCM1" s="65" t="s">
        <v>13956</v>
      </c>
      <c r="TCN1" s="65" t="s">
        <v>13957</v>
      </c>
      <c r="TCO1" s="65" t="s">
        <v>13958</v>
      </c>
      <c r="TCP1" s="65" t="s">
        <v>13959</v>
      </c>
      <c r="TCQ1" s="65" t="s">
        <v>13960</v>
      </c>
      <c r="TCR1" s="65" t="s">
        <v>13961</v>
      </c>
      <c r="TCS1" s="65" t="s">
        <v>13962</v>
      </c>
      <c r="TCT1" s="65" t="s">
        <v>13963</v>
      </c>
      <c r="TCU1" s="65" t="s">
        <v>13964</v>
      </c>
      <c r="TCV1" s="65" t="s">
        <v>13965</v>
      </c>
      <c r="TCW1" s="65" t="s">
        <v>13966</v>
      </c>
      <c r="TCX1" s="65" t="s">
        <v>13967</v>
      </c>
      <c r="TCY1" s="65" t="s">
        <v>13968</v>
      </c>
      <c r="TCZ1" s="65" t="s">
        <v>13969</v>
      </c>
      <c r="TDA1" s="65" t="s">
        <v>13970</v>
      </c>
      <c r="TDB1" s="65" t="s">
        <v>13971</v>
      </c>
      <c r="TDC1" s="65" t="s">
        <v>13972</v>
      </c>
      <c r="TDD1" s="65" t="s">
        <v>13973</v>
      </c>
      <c r="TDE1" s="65" t="s">
        <v>13974</v>
      </c>
      <c r="TDF1" s="65" t="s">
        <v>13975</v>
      </c>
      <c r="TDG1" s="65" t="s">
        <v>13976</v>
      </c>
      <c r="TDH1" s="65" t="s">
        <v>13977</v>
      </c>
      <c r="TDI1" s="65" t="s">
        <v>13978</v>
      </c>
      <c r="TDJ1" s="65" t="s">
        <v>13979</v>
      </c>
      <c r="TDK1" s="65" t="s">
        <v>13980</v>
      </c>
      <c r="TDL1" s="65" t="s">
        <v>13981</v>
      </c>
      <c r="TDM1" s="65" t="s">
        <v>13982</v>
      </c>
      <c r="TDN1" s="65" t="s">
        <v>13983</v>
      </c>
      <c r="TDO1" s="65" t="s">
        <v>13984</v>
      </c>
      <c r="TDP1" s="65" t="s">
        <v>13985</v>
      </c>
      <c r="TDQ1" s="65" t="s">
        <v>13986</v>
      </c>
      <c r="TDR1" s="65" t="s">
        <v>13987</v>
      </c>
      <c r="TDS1" s="65" t="s">
        <v>13988</v>
      </c>
      <c r="TDT1" s="65" t="s">
        <v>13989</v>
      </c>
      <c r="TDU1" s="65" t="s">
        <v>13990</v>
      </c>
      <c r="TDV1" s="65" t="s">
        <v>13991</v>
      </c>
      <c r="TDW1" s="65" t="s">
        <v>13992</v>
      </c>
      <c r="TDX1" s="65" t="s">
        <v>13993</v>
      </c>
      <c r="TDY1" s="65" t="s">
        <v>13994</v>
      </c>
      <c r="TDZ1" s="65" t="s">
        <v>13995</v>
      </c>
      <c r="TEA1" s="65" t="s">
        <v>13996</v>
      </c>
      <c r="TEB1" s="65" t="s">
        <v>13997</v>
      </c>
      <c r="TEC1" s="65" t="s">
        <v>13998</v>
      </c>
      <c r="TED1" s="65" t="s">
        <v>13999</v>
      </c>
      <c r="TEE1" s="65" t="s">
        <v>14000</v>
      </c>
      <c r="TEF1" s="65" t="s">
        <v>14001</v>
      </c>
      <c r="TEG1" s="65" t="s">
        <v>14002</v>
      </c>
      <c r="TEH1" s="65" t="s">
        <v>14003</v>
      </c>
      <c r="TEI1" s="65" t="s">
        <v>14004</v>
      </c>
      <c r="TEJ1" s="65" t="s">
        <v>14005</v>
      </c>
      <c r="TEK1" s="65" t="s">
        <v>14006</v>
      </c>
      <c r="TEL1" s="65" t="s">
        <v>14007</v>
      </c>
      <c r="TEM1" s="65" t="s">
        <v>14008</v>
      </c>
      <c r="TEN1" s="65" t="s">
        <v>14009</v>
      </c>
      <c r="TEO1" s="65" t="s">
        <v>14010</v>
      </c>
      <c r="TEP1" s="65" t="s">
        <v>14011</v>
      </c>
      <c r="TEQ1" s="65" t="s">
        <v>14012</v>
      </c>
      <c r="TER1" s="65" t="s">
        <v>14013</v>
      </c>
      <c r="TES1" s="65" t="s">
        <v>14014</v>
      </c>
      <c r="TET1" s="65" t="s">
        <v>14015</v>
      </c>
      <c r="TEU1" s="65" t="s">
        <v>14016</v>
      </c>
      <c r="TEV1" s="65" t="s">
        <v>14017</v>
      </c>
      <c r="TEW1" s="65" t="s">
        <v>14018</v>
      </c>
      <c r="TEX1" s="65" t="s">
        <v>14019</v>
      </c>
      <c r="TEY1" s="65" t="s">
        <v>14020</v>
      </c>
      <c r="TEZ1" s="65" t="s">
        <v>14021</v>
      </c>
      <c r="TFA1" s="65" t="s">
        <v>14022</v>
      </c>
      <c r="TFB1" s="65" t="s">
        <v>14023</v>
      </c>
      <c r="TFC1" s="65" t="s">
        <v>14024</v>
      </c>
      <c r="TFD1" s="65" t="s">
        <v>14025</v>
      </c>
      <c r="TFE1" s="65" t="s">
        <v>14026</v>
      </c>
      <c r="TFF1" s="65" t="s">
        <v>14027</v>
      </c>
      <c r="TFG1" s="65" t="s">
        <v>14028</v>
      </c>
      <c r="TFH1" s="65" t="s">
        <v>14029</v>
      </c>
      <c r="TFI1" s="65" t="s">
        <v>14030</v>
      </c>
      <c r="TFJ1" s="65" t="s">
        <v>14031</v>
      </c>
      <c r="TFK1" s="65" t="s">
        <v>14032</v>
      </c>
      <c r="TFL1" s="65" t="s">
        <v>14033</v>
      </c>
      <c r="TFM1" s="65" t="s">
        <v>14034</v>
      </c>
      <c r="TFN1" s="65" t="s">
        <v>14035</v>
      </c>
      <c r="TFO1" s="65" t="s">
        <v>14036</v>
      </c>
      <c r="TFP1" s="65" t="s">
        <v>14037</v>
      </c>
      <c r="TFQ1" s="65" t="s">
        <v>14038</v>
      </c>
      <c r="TFR1" s="65" t="s">
        <v>14039</v>
      </c>
      <c r="TFS1" s="65" t="s">
        <v>14040</v>
      </c>
      <c r="TFT1" s="65" t="s">
        <v>14041</v>
      </c>
      <c r="TFU1" s="65" t="s">
        <v>14042</v>
      </c>
      <c r="TFV1" s="65" t="s">
        <v>14043</v>
      </c>
      <c r="TFW1" s="65" t="s">
        <v>14044</v>
      </c>
      <c r="TFX1" s="65" t="s">
        <v>14045</v>
      </c>
      <c r="TFY1" s="65" t="s">
        <v>14046</v>
      </c>
      <c r="TFZ1" s="65" t="s">
        <v>14047</v>
      </c>
      <c r="TGA1" s="65" t="s">
        <v>14048</v>
      </c>
      <c r="TGB1" s="65" t="s">
        <v>14049</v>
      </c>
      <c r="TGC1" s="65" t="s">
        <v>14050</v>
      </c>
      <c r="TGD1" s="65" t="s">
        <v>14051</v>
      </c>
      <c r="TGE1" s="65" t="s">
        <v>14052</v>
      </c>
      <c r="TGF1" s="65" t="s">
        <v>14053</v>
      </c>
      <c r="TGG1" s="65" t="s">
        <v>14054</v>
      </c>
      <c r="TGH1" s="65" t="s">
        <v>14055</v>
      </c>
      <c r="TGI1" s="65" t="s">
        <v>14056</v>
      </c>
      <c r="TGJ1" s="65" t="s">
        <v>14057</v>
      </c>
      <c r="TGK1" s="65" t="s">
        <v>14058</v>
      </c>
      <c r="TGL1" s="65" t="s">
        <v>14059</v>
      </c>
      <c r="TGM1" s="65" t="s">
        <v>14060</v>
      </c>
      <c r="TGN1" s="65" t="s">
        <v>14061</v>
      </c>
      <c r="TGO1" s="65" t="s">
        <v>14062</v>
      </c>
      <c r="TGP1" s="65" t="s">
        <v>14063</v>
      </c>
      <c r="TGQ1" s="65" t="s">
        <v>14064</v>
      </c>
      <c r="TGR1" s="65" t="s">
        <v>14065</v>
      </c>
      <c r="TGS1" s="65" t="s">
        <v>14066</v>
      </c>
      <c r="TGT1" s="65" t="s">
        <v>14067</v>
      </c>
      <c r="TGU1" s="65" t="s">
        <v>14068</v>
      </c>
      <c r="TGV1" s="65" t="s">
        <v>14069</v>
      </c>
      <c r="TGW1" s="65" t="s">
        <v>14070</v>
      </c>
      <c r="TGX1" s="65" t="s">
        <v>14071</v>
      </c>
      <c r="TGY1" s="65" t="s">
        <v>14072</v>
      </c>
      <c r="TGZ1" s="65" t="s">
        <v>14073</v>
      </c>
      <c r="THA1" s="65" t="s">
        <v>14074</v>
      </c>
      <c r="THB1" s="65" t="s">
        <v>14075</v>
      </c>
      <c r="THC1" s="65" t="s">
        <v>14076</v>
      </c>
      <c r="THD1" s="65" t="s">
        <v>14077</v>
      </c>
      <c r="THE1" s="65" t="s">
        <v>14078</v>
      </c>
      <c r="THF1" s="65" t="s">
        <v>14079</v>
      </c>
      <c r="THG1" s="65" t="s">
        <v>14080</v>
      </c>
      <c r="THH1" s="65" t="s">
        <v>14081</v>
      </c>
      <c r="THI1" s="65" t="s">
        <v>14082</v>
      </c>
      <c r="THJ1" s="65" t="s">
        <v>14083</v>
      </c>
      <c r="THK1" s="65" t="s">
        <v>14084</v>
      </c>
      <c r="THL1" s="65" t="s">
        <v>14085</v>
      </c>
      <c r="THM1" s="65" t="s">
        <v>14086</v>
      </c>
      <c r="THN1" s="65" t="s">
        <v>14087</v>
      </c>
      <c r="THO1" s="65" t="s">
        <v>14088</v>
      </c>
      <c r="THP1" s="65" t="s">
        <v>14089</v>
      </c>
      <c r="THQ1" s="65" t="s">
        <v>14090</v>
      </c>
      <c r="THR1" s="65" t="s">
        <v>14091</v>
      </c>
      <c r="THS1" s="65" t="s">
        <v>14092</v>
      </c>
      <c r="THT1" s="65" t="s">
        <v>14093</v>
      </c>
      <c r="THU1" s="65" t="s">
        <v>14094</v>
      </c>
      <c r="THV1" s="65" t="s">
        <v>14095</v>
      </c>
      <c r="THW1" s="65" t="s">
        <v>14096</v>
      </c>
      <c r="THX1" s="65" t="s">
        <v>14097</v>
      </c>
      <c r="THY1" s="65" t="s">
        <v>14098</v>
      </c>
      <c r="THZ1" s="65" t="s">
        <v>14099</v>
      </c>
      <c r="TIA1" s="65" t="s">
        <v>14100</v>
      </c>
      <c r="TIB1" s="65" t="s">
        <v>14101</v>
      </c>
      <c r="TIC1" s="65" t="s">
        <v>14102</v>
      </c>
      <c r="TID1" s="65" t="s">
        <v>14103</v>
      </c>
      <c r="TIE1" s="65" t="s">
        <v>14104</v>
      </c>
      <c r="TIF1" s="65" t="s">
        <v>14105</v>
      </c>
      <c r="TIG1" s="65" t="s">
        <v>14106</v>
      </c>
      <c r="TIH1" s="65" t="s">
        <v>14107</v>
      </c>
      <c r="TII1" s="65" t="s">
        <v>14108</v>
      </c>
      <c r="TIJ1" s="65" t="s">
        <v>14109</v>
      </c>
      <c r="TIK1" s="65" t="s">
        <v>14110</v>
      </c>
      <c r="TIL1" s="65" t="s">
        <v>14111</v>
      </c>
      <c r="TIM1" s="65" t="s">
        <v>14112</v>
      </c>
      <c r="TIN1" s="65" t="s">
        <v>14113</v>
      </c>
      <c r="TIO1" s="65" t="s">
        <v>14114</v>
      </c>
      <c r="TIP1" s="65" t="s">
        <v>14115</v>
      </c>
      <c r="TIQ1" s="65" t="s">
        <v>14116</v>
      </c>
      <c r="TIR1" s="65" t="s">
        <v>14117</v>
      </c>
      <c r="TIS1" s="65" t="s">
        <v>14118</v>
      </c>
      <c r="TIT1" s="65" t="s">
        <v>14119</v>
      </c>
      <c r="TIU1" s="65" t="s">
        <v>14120</v>
      </c>
      <c r="TIV1" s="65" t="s">
        <v>14121</v>
      </c>
      <c r="TIW1" s="65" t="s">
        <v>14122</v>
      </c>
      <c r="TIX1" s="65" t="s">
        <v>14123</v>
      </c>
      <c r="TIY1" s="65" t="s">
        <v>14124</v>
      </c>
      <c r="TIZ1" s="65" t="s">
        <v>14125</v>
      </c>
      <c r="TJA1" s="65" t="s">
        <v>14126</v>
      </c>
      <c r="TJB1" s="65" t="s">
        <v>14127</v>
      </c>
      <c r="TJC1" s="65" t="s">
        <v>14128</v>
      </c>
      <c r="TJD1" s="65" t="s">
        <v>14129</v>
      </c>
      <c r="TJE1" s="65" t="s">
        <v>14130</v>
      </c>
      <c r="TJF1" s="65" t="s">
        <v>14131</v>
      </c>
      <c r="TJG1" s="65" t="s">
        <v>14132</v>
      </c>
      <c r="TJH1" s="65" t="s">
        <v>14133</v>
      </c>
      <c r="TJI1" s="65" t="s">
        <v>14134</v>
      </c>
      <c r="TJJ1" s="65" t="s">
        <v>14135</v>
      </c>
      <c r="TJK1" s="65" t="s">
        <v>14136</v>
      </c>
      <c r="TJL1" s="65" t="s">
        <v>14137</v>
      </c>
      <c r="TJM1" s="65" t="s">
        <v>14138</v>
      </c>
      <c r="TJN1" s="65" t="s">
        <v>14139</v>
      </c>
      <c r="TJO1" s="65" t="s">
        <v>14140</v>
      </c>
      <c r="TJP1" s="65" t="s">
        <v>14141</v>
      </c>
      <c r="TJQ1" s="65" t="s">
        <v>14142</v>
      </c>
      <c r="TJR1" s="65" t="s">
        <v>14143</v>
      </c>
      <c r="TJS1" s="65" t="s">
        <v>14144</v>
      </c>
      <c r="TJT1" s="65" t="s">
        <v>14145</v>
      </c>
      <c r="TJU1" s="65" t="s">
        <v>14146</v>
      </c>
      <c r="TJV1" s="65" t="s">
        <v>14147</v>
      </c>
      <c r="TJW1" s="65" t="s">
        <v>14148</v>
      </c>
      <c r="TJX1" s="65" t="s">
        <v>14149</v>
      </c>
      <c r="TJY1" s="65" t="s">
        <v>14150</v>
      </c>
      <c r="TJZ1" s="65" t="s">
        <v>14151</v>
      </c>
      <c r="TKA1" s="65" t="s">
        <v>14152</v>
      </c>
      <c r="TKB1" s="65" t="s">
        <v>14153</v>
      </c>
      <c r="TKC1" s="65" t="s">
        <v>14154</v>
      </c>
      <c r="TKD1" s="65" t="s">
        <v>14155</v>
      </c>
      <c r="TKE1" s="65" t="s">
        <v>14156</v>
      </c>
      <c r="TKF1" s="65" t="s">
        <v>14157</v>
      </c>
      <c r="TKG1" s="65" t="s">
        <v>14158</v>
      </c>
      <c r="TKH1" s="65" t="s">
        <v>14159</v>
      </c>
      <c r="TKI1" s="65" t="s">
        <v>14160</v>
      </c>
      <c r="TKJ1" s="65" t="s">
        <v>14161</v>
      </c>
      <c r="TKK1" s="65" t="s">
        <v>14162</v>
      </c>
      <c r="TKL1" s="65" t="s">
        <v>14163</v>
      </c>
      <c r="TKM1" s="65" t="s">
        <v>14164</v>
      </c>
      <c r="TKN1" s="65" t="s">
        <v>14165</v>
      </c>
      <c r="TKO1" s="65" t="s">
        <v>14166</v>
      </c>
      <c r="TKP1" s="65" t="s">
        <v>14167</v>
      </c>
      <c r="TKQ1" s="65" t="s">
        <v>14168</v>
      </c>
      <c r="TKR1" s="65" t="s">
        <v>14169</v>
      </c>
      <c r="TKS1" s="65" t="s">
        <v>14170</v>
      </c>
      <c r="TKT1" s="65" t="s">
        <v>14171</v>
      </c>
      <c r="TKU1" s="65" t="s">
        <v>14172</v>
      </c>
      <c r="TKV1" s="65" t="s">
        <v>14173</v>
      </c>
      <c r="TKW1" s="65" t="s">
        <v>14174</v>
      </c>
      <c r="TKX1" s="65" t="s">
        <v>14175</v>
      </c>
      <c r="TKY1" s="65" t="s">
        <v>14176</v>
      </c>
      <c r="TKZ1" s="65" t="s">
        <v>14177</v>
      </c>
      <c r="TLA1" s="65" t="s">
        <v>14178</v>
      </c>
      <c r="TLB1" s="65" t="s">
        <v>14179</v>
      </c>
      <c r="TLC1" s="65" t="s">
        <v>14180</v>
      </c>
      <c r="TLD1" s="65" t="s">
        <v>14181</v>
      </c>
      <c r="TLE1" s="65" t="s">
        <v>14182</v>
      </c>
      <c r="TLF1" s="65" t="s">
        <v>14183</v>
      </c>
      <c r="TLG1" s="65" t="s">
        <v>14184</v>
      </c>
      <c r="TLH1" s="65" t="s">
        <v>14185</v>
      </c>
      <c r="TLI1" s="65" t="s">
        <v>14186</v>
      </c>
      <c r="TLJ1" s="65" t="s">
        <v>14187</v>
      </c>
      <c r="TLK1" s="65" t="s">
        <v>14188</v>
      </c>
      <c r="TLL1" s="65" t="s">
        <v>14189</v>
      </c>
      <c r="TLM1" s="65" t="s">
        <v>14190</v>
      </c>
      <c r="TLN1" s="65" t="s">
        <v>14191</v>
      </c>
      <c r="TLO1" s="65" t="s">
        <v>14192</v>
      </c>
      <c r="TLP1" s="65" t="s">
        <v>14193</v>
      </c>
      <c r="TLQ1" s="65" t="s">
        <v>14194</v>
      </c>
      <c r="TLR1" s="65" t="s">
        <v>14195</v>
      </c>
      <c r="TLS1" s="65" t="s">
        <v>14196</v>
      </c>
      <c r="TLT1" s="65" t="s">
        <v>14197</v>
      </c>
      <c r="TLU1" s="65" t="s">
        <v>14198</v>
      </c>
      <c r="TLV1" s="65" t="s">
        <v>14199</v>
      </c>
      <c r="TLW1" s="65" t="s">
        <v>14200</v>
      </c>
      <c r="TLX1" s="65" t="s">
        <v>14201</v>
      </c>
      <c r="TLY1" s="65" t="s">
        <v>14202</v>
      </c>
      <c r="TLZ1" s="65" t="s">
        <v>14203</v>
      </c>
      <c r="TMA1" s="65" t="s">
        <v>14204</v>
      </c>
      <c r="TMB1" s="65" t="s">
        <v>14205</v>
      </c>
      <c r="TMC1" s="65" t="s">
        <v>14206</v>
      </c>
      <c r="TMD1" s="65" t="s">
        <v>14207</v>
      </c>
      <c r="TME1" s="65" t="s">
        <v>14208</v>
      </c>
      <c r="TMF1" s="65" t="s">
        <v>14209</v>
      </c>
      <c r="TMG1" s="65" t="s">
        <v>14210</v>
      </c>
      <c r="TMH1" s="65" t="s">
        <v>14211</v>
      </c>
      <c r="TMI1" s="65" t="s">
        <v>14212</v>
      </c>
      <c r="TMJ1" s="65" t="s">
        <v>14213</v>
      </c>
      <c r="TMK1" s="65" t="s">
        <v>14214</v>
      </c>
      <c r="TML1" s="65" t="s">
        <v>14215</v>
      </c>
      <c r="TMM1" s="65" t="s">
        <v>14216</v>
      </c>
      <c r="TMN1" s="65" t="s">
        <v>14217</v>
      </c>
      <c r="TMO1" s="65" t="s">
        <v>14218</v>
      </c>
      <c r="TMP1" s="65" t="s">
        <v>14219</v>
      </c>
      <c r="TMQ1" s="65" t="s">
        <v>14220</v>
      </c>
      <c r="TMR1" s="65" t="s">
        <v>14221</v>
      </c>
      <c r="TMS1" s="65" t="s">
        <v>14222</v>
      </c>
      <c r="TMT1" s="65" t="s">
        <v>14223</v>
      </c>
      <c r="TMU1" s="65" t="s">
        <v>14224</v>
      </c>
      <c r="TMV1" s="65" t="s">
        <v>14225</v>
      </c>
      <c r="TMW1" s="65" t="s">
        <v>14226</v>
      </c>
      <c r="TMX1" s="65" t="s">
        <v>14227</v>
      </c>
      <c r="TMY1" s="65" t="s">
        <v>14228</v>
      </c>
      <c r="TMZ1" s="65" t="s">
        <v>14229</v>
      </c>
      <c r="TNA1" s="65" t="s">
        <v>14230</v>
      </c>
      <c r="TNB1" s="65" t="s">
        <v>14231</v>
      </c>
      <c r="TNC1" s="65" t="s">
        <v>14232</v>
      </c>
      <c r="TND1" s="65" t="s">
        <v>14233</v>
      </c>
      <c r="TNE1" s="65" t="s">
        <v>14234</v>
      </c>
      <c r="TNF1" s="65" t="s">
        <v>14235</v>
      </c>
      <c r="TNG1" s="65" t="s">
        <v>14236</v>
      </c>
      <c r="TNH1" s="65" t="s">
        <v>14237</v>
      </c>
      <c r="TNI1" s="65" t="s">
        <v>14238</v>
      </c>
      <c r="TNJ1" s="65" t="s">
        <v>14239</v>
      </c>
      <c r="TNK1" s="65" t="s">
        <v>14240</v>
      </c>
      <c r="TNL1" s="65" t="s">
        <v>14241</v>
      </c>
      <c r="TNM1" s="65" t="s">
        <v>14242</v>
      </c>
      <c r="TNN1" s="65" t="s">
        <v>14243</v>
      </c>
      <c r="TNO1" s="65" t="s">
        <v>14244</v>
      </c>
      <c r="TNP1" s="65" t="s">
        <v>14245</v>
      </c>
      <c r="TNQ1" s="65" t="s">
        <v>14246</v>
      </c>
      <c r="TNR1" s="65" t="s">
        <v>14247</v>
      </c>
      <c r="TNS1" s="65" t="s">
        <v>14248</v>
      </c>
      <c r="TNT1" s="65" t="s">
        <v>14249</v>
      </c>
      <c r="TNU1" s="65" t="s">
        <v>14250</v>
      </c>
      <c r="TNV1" s="65" t="s">
        <v>14251</v>
      </c>
      <c r="TNW1" s="65" t="s">
        <v>14252</v>
      </c>
      <c r="TNX1" s="65" t="s">
        <v>14253</v>
      </c>
      <c r="TNY1" s="65" t="s">
        <v>14254</v>
      </c>
      <c r="TNZ1" s="65" t="s">
        <v>14255</v>
      </c>
      <c r="TOA1" s="65" t="s">
        <v>14256</v>
      </c>
      <c r="TOB1" s="65" t="s">
        <v>14257</v>
      </c>
      <c r="TOC1" s="65" t="s">
        <v>14258</v>
      </c>
      <c r="TOD1" s="65" t="s">
        <v>14259</v>
      </c>
      <c r="TOE1" s="65" t="s">
        <v>14260</v>
      </c>
      <c r="TOF1" s="65" t="s">
        <v>14261</v>
      </c>
      <c r="TOG1" s="65" t="s">
        <v>14262</v>
      </c>
      <c r="TOH1" s="65" t="s">
        <v>14263</v>
      </c>
      <c r="TOI1" s="65" t="s">
        <v>14264</v>
      </c>
      <c r="TOJ1" s="65" t="s">
        <v>14265</v>
      </c>
      <c r="TOK1" s="65" t="s">
        <v>14266</v>
      </c>
      <c r="TOL1" s="65" t="s">
        <v>14267</v>
      </c>
      <c r="TOM1" s="65" t="s">
        <v>14268</v>
      </c>
      <c r="TON1" s="65" t="s">
        <v>14269</v>
      </c>
      <c r="TOO1" s="65" t="s">
        <v>14270</v>
      </c>
      <c r="TOP1" s="65" t="s">
        <v>14271</v>
      </c>
      <c r="TOQ1" s="65" t="s">
        <v>14272</v>
      </c>
      <c r="TOR1" s="65" t="s">
        <v>14273</v>
      </c>
      <c r="TOS1" s="65" t="s">
        <v>14274</v>
      </c>
      <c r="TOT1" s="65" t="s">
        <v>14275</v>
      </c>
      <c r="TOU1" s="65" t="s">
        <v>14276</v>
      </c>
      <c r="TOV1" s="65" t="s">
        <v>14277</v>
      </c>
      <c r="TOW1" s="65" t="s">
        <v>14278</v>
      </c>
      <c r="TOX1" s="65" t="s">
        <v>14279</v>
      </c>
      <c r="TOY1" s="65" t="s">
        <v>14280</v>
      </c>
      <c r="TOZ1" s="65" t="s">
        <v>14281</v>
      </c>
      <c r="TPA1" s="65" t="s">
        <v>14282</v>
      </c>
      <c r="TPB1" s="65" t="s">
        <v>14283</v>
      </c>
      <c r="TPC1" s="65" t="s">
        <v>14284</v>
      </c>
      <c r="TPD1" s="65" t="s">
        <v>14285</v>
      </c>
      <c r="TPE1" s="65" t="s">
        <v>14286</v>
      </c>
      <c r="TPF1" s="65" t="s">
        <v>14287</v>
      </c>
      <c r="TPG1" s="65" t="s">
        <v>14288</v>
      </c>
      <c r="TPH1" s="65" t="s">
        <v>14289</v>
      </c>
      <c r="TPI1" s="65" t="s">
        <v>14290</v>
      </c>
      <c r="TPJ1" s="65" t="s">
        <v>14291</v>
      </c>
      <c r="TPK1" s="65" t="s">
        <v>14292</v>
      </c>
      <c r="TPL1" s="65" t="s">
        <v>14293</v>
      </c>
      <c r="TPM1" s="65" t="s">
        <v>14294</v>
      </c>
      <c r="TPN1" s="65" t="s">
        <v>14295</v>
      </c>
      <c r="TPO1" s="65" t="s">
        <v>14296</v>
      </c>
      <c r="TPP1" s="65" t="s">
        <v>14297</v>
      </c>
      <c r="TPQ1" s="65" t="s">
        <v>14298</v>
      </c>
      <c r="TPR1" s="65" t="s">
        <v>14299</v>
      </c>
      <c r="TPS1" s="65" t="s">
        <v>14300</v>
      </c>
      <c r="TPT1" s="65" t="s">
        <v>14301</v>
      </c>
      <c r="TPU1" s="65" t="s">
        <v>14302</v>
      </c>
      <c r="TPV1" s="65" t="s">
        <v>14303</v>
      </c>
      <c r="TPW1" s="65" t="s">
        <v>14304</v>
      </c>
      <c r="TPX1" s="65" t="s">
        <v>14305</v>
      </c>
      <c r="TPY1" s="65" t="s">
        <v>14306</v>
      </c>
      <c r="TPZ1" s="65" t="s">
        <v>14307</v>
      </c>
      <c r="TQA1" s="65" t="s">
        <v>14308</v>
      </c>
      <c r="TQB1" s="65" t="s">
        <v>14309</v>
      </c>
      <c r="TQC1" s="65" t="s">
        <v>14310</v>
      </c>
      <c r="TQD1" s="65" t="s">
        <v>14311</v>
      </c>
      <c r="TQE1" s="65" t="s">
        <v>14312</v>
      </c>
      <c r="TQF1" s="65" t="s">
        <v>14313</v>
      </c>
      <c r="TQG1" s="65" t="s">
        <v>14314</v>
      </c>
      <c r="TQH1" s="65" t="s">
        <v>14315</v>
      </c>
      <c r="TQI1" s="65" t="s">
        <v>14316</v>
      </c>
      <c r="TQJ1" s="65" t="s">
        <v>14317</v>
      </c>
      <c r="TQK1" s="65" t="s">
        <v>14318</v>
      </c>
      <c r="TQL1" s="65" t="s">
        <v>14319</v>
      </c>
      <c r="TQM1" s="65" t="s">
        <v>14320</v>
      </c>
      <c r="TQN1" s="65" t="s">
        <v>14321</v>
      </c>
      <c r="TQO1" s="65" t="s">
        <v>14322</v>
      </c>
      <c r="TQP1" s="65" t="s">
        <v>14323</v>
      </c>
      <c r="TQQ1" s="65" t="s">
        <v>14324</v>
      </c>
      <c r="TQR1" s="65" t="s">
        <v>14325</v>
      </c>
      <c r="TQS1" s="65" t="s">
        <v>14326</v>
      </c>
      <c r="TQT1" s="65" t="s">
        <v>14327</v>
      </c>
      <c r="TQU1" s="65" t="s">
        <v>14328</v>
      </c>
      <c r="TQV1" s="65" t="s">
        <v>14329</v>
      </c>
      <c r="TQW1" s="65" t="s">
        <v>14330</v>
      </c>
      <c r="TQX1" s="65" t="s">
        <v>14331</v>
      </c>
      <c r="TQY1" s="65" t="s">
        <v>14332</v>
      </c>
      <c r="TQZ1" s="65" t="s">
        <v>14333</v>
      </c>
      <c r="TRA1" s="65" t="s">
        <v>14334</v>
      </c>
      <c r="TRB1" s="65" t="s">
        <v>14335</v>
      </c>
      <c r="TRC1" s="65" t="s">
        <v>14336</v>
      </c>
      <c r="TRD1" s="65" t="s">
        <v>14337</v>
      </c>
      <c r="TRE1" s="65" t="s">
        <v>14338</v>
      </c>
      <c r="TRF1" s="65" t="s">
        <v>14339</v>
      </c>
      <c r="TRG1" s="65" t="s">
        <v>14340</v>
      </c>
      <c r="TRH1" s="65" t="s">
        <v>14341</v>
      </c>
      <c r="TRI1" s="65" t="s">
        <v>14342</v>
      </c>
      <c r="TRJ1" s="65" t="s">
        <v>14343</v>
      </c>
      <c r="TRK1" s="65" t="s">
        <v>14344</v>
      </c>
      <c r="TRL1" s="65" t="s">
        <v>14345</v>
      </c>
      <c r="TRM1" s="65" t="s">
        <v>14346</v>
      </c>
      <c r="TRN1" s="65" t="s">
        <v>14347</v>
      </c>
      <c r="TRO1" s="65" t="s">
        <v>14348</v>
      </c>
      <c r="TRP1" s="65" t="s">
        <v>14349</v>
      </c>
      <c r="TRQ1" s="65" t="s">
        <v>14350</v>
      </c>
      <c r="TRR1" s="65" t="s">
        <v>14351</v>
      </c>
      <c r="TRS1" s="65" t="s">
        <v>14352</v>
      </c>
      <c r="TRT1" s="65" t="s">
        <v>14353</v>
      </c>
      <c r="TRU1" s="65" t="s">
        <v>14354</v>
      </c>
      <c r="TRV1" s="65" t="s">
        <v>14355</v>
      </c>
      <c r="TRW1" s="65" t="s">
        <v>14356</v>
      </c>
      <c r="TRX1" s="65" t="s">
        <v>14357</v>
      </c>
      <c r="TRY1" s="65" t="s">
        <v>14358</v>
      </c>
      <c r="TRZ1" s="65" t="s">
        <v>14359</v>
      </c>
      <c r="TSA1" s="65" t="s">
        <v>14360</v>
      </c>
      <c r="TSB1" s="65" t="s">
        <v>14361</v>
      </c>
      <c r="TSC1" s="65" t="s">
        <v>14362</v>
      </c>
      <c r="TSD1" s="65" t="s">
        <v>14363</v>
      </c>
      <c r="TSE1" s="65" t="s">
        <v>14364</v>
      </c>
      <c r="TSF1" s="65" t="s">
        <v>14365</v>
      </c>
      <c r="TSG1" s="65" t="s">
        <v>14366</v>
      </c>
      <c r="TSH1" s="65" t="s">
        <v>14367</v>
      </c>
      <c r="TSI1" s="65" t="s">
        <v>14368</v>
      </c>
      <c r="TSJ1" s="65" t="s">
        <v>14369</v>
      </c>
      <c r="TSK1" s="65" t="s">
        <v>14370</v>
      </c>
      <c r="TSL1" s="65" t="s">
        <v>14371</v>
      </c>
      <c r="TSM1" s="65" t="s">
        <v>14372</v>
      </c>
      <c r="TSN1" s="65" t="s">
        <v>14373</v>
      </c>
      <c r="TSO1" s="65" t="s">
        <v>14374</v>
      </c>
      <c r="TSP1" s="65" t="s">
        <v>14375</v>
      </c>
      <c r="TSQ1" s="65" t="s">
        <v>14376</v>
      </c>
      <c r="TSR1" s="65" t="s">
        <v>14377</v>
      </c>
      <c r="TSS1" s="65" t="s">
        <v>14378</v>
      </c>
      <c r="TST1" s="65" t="s">
        <v>14379</v>
      </c>
      <c r="TSU1" s="65" t="s">
        <v>14380</v>
      </c>
      <c r="TSV1" s="65" t="s">
        <v>14381</v>
      </c>
      <c r="TSW1" s="65" t="s">
        <v>14382</v>
      </c>
      <c r="TSX1" s="65" t="s">
        <v>14383</v>
      </c>
      <c r="TSY1" s="65" t="s">
        <v>14384</v>
      </c>
      <c r="TSZ1" s="65" t="s">
        <v>14385</v>
      </c>
      <c r="TTA1" s="65" t="s">
        <v>14386</v>
      </c>
      <c r="TTB1" s="65" t="s">
        <v>14387</v>
      </c>
      <c r="TTC1" s="65" t="s">
        <v>14388</v>
      </c>
      <c r="TTD1" s="65" t="s">
        <v>14389</v>
      </c>
      <c r="TTE1" s="65" t="s">
        <v>14390</v>
      </c>
      <c r="TTF1" s="65" t="s">
        <v>14391</v>
      </c>
      <c r="TTG1" s="65" t="s">
        <v>14392</v>
      </c>
      <c r="TTH1" s="65" t="s">
        <v>14393</v>
      </c>
      <c r="TTI1" s="65" t="s">
        <v>14394</v>
      </c>
      <c r="TTJ1" s="65" t="s">
        <v>14395</v>
      </c>
      <c r="TTK1" s="65" t="s">
        <v>14396</v>
      </c>
      <c r="TTL1" s="65" t="s">
        <v>14397</v>
      </c>
      <c r="TTM1" s="65" t="s">
        <v>14398</v>
      </c>
      <c r="TTN1" s="65" t="s">
        <v>14399</v>
      </c>
      <c r="TTO1" s="65" t="s">
        <v>14400</v>
      </c>
      <c r="TTP1" s="65" t="s">
        <v>14401</v>
      </c>
      <c r="TTQ1" s="65" t="s">
        <v>14402</v>
      </c>
      <c r="TTR1" s="65" t="s">
        <v>14403</v>
      </c>
      <c r="TTS1" s="65" t="s">
        <v>14404</v>
      </c>
      <c r="TTT1" s="65" t="s">
        <v>14405</v>
      </c>
      <c r="TTU1" s="65" t="s">
        <v>14406</v>
      </c>
      <c r="TTV1" s="65" t="s">
        <v>14407</v>
      </c>
      <c r="TTW1" s="65" t="s">
        <v>14408</v>
      </c>
      <c r="TTX1" s="65" t="s">
        <v>14409</v>
      </c>
      <c r="TTY1" s="65" t="s">
        <v>14410</v>
      </c>
      <c r="TTZ1" s="65" t="s">
        <v>14411</v>
      </c>
      <c r="TUA1" s="65" t="s">
        <v>14412</v>
      </c>
      <c r="TUB1" s="65" t="s">
        <v>14413</v>
      </c>
      <c r="TUC1" s="65" t="s">
        <v>14414</v>
      </c>
      <c r="TUD1" s="65" t="s">
        <v>14415</v>
      </c>
      <c r="TUE1" s="65" t="s">
        <v>14416</v>
      </c>
      <c r="TUF1" s="65" t="s">
        <v>14417</v>
      </c>
      <c r="TUG1" s="65" t="s">
        <v>14418</v>
      </c>
      <c r="TUH1" s="65" t="s">
        <v>14419</v>
      </c>
      <c r="TUI1" s="65" t="s">
        <v>14420</v>
      </c>
      <c r="TUJ1" s="65" t="s">
        <v>14421</v>
      </c>
      <c r="TUK1" s="65" t="s">
        <v>14422</v>
      </c>
      <c r="TUL1" s="65" t="s">
        <v>14423</v>
      </c>
      <c r="TUM1" s="65" t="s">
        <v>14424</v>
      </c>
      <c r="TUN1" s="65" t="s">
        <v>14425</v>
      </c>
      <c r="TUO1" s="65" t="s">
        <v>14426</v>
      </c>
      <c r="TUP1" s="65" t="s">
        <v>14427</v>
      </c>
      <c r="TUQ1" s="65" t="s">
        <v>14428</v>
      </c>
      <c r="TUR1" s="65" t="s">
        <v>14429</v>
      </c>
      <c r="TUS1" s="65" t="s">
        <v>14430</v>
      </c>
      <c r="TUT1" s="65" t="s">
        <v>14431</v>
      </c>
      <c r="TUU1" s="65" t="s">
        <v>14432</v>
      </c>
      <c r="TUV1" s="65" t="s">
        <v>14433</v>
      </c>
      <c r="TUW1" s="65" t="s">
        <v>14434</v>
      </c>
      <c r="TUX1" s="65" t="s">
        <v>14435</v>
      </c>
      <c r="TUY1" s="65" t="s">
        <v>14436</v>
      </c>
      <c r="TUZ1" s="65" t="s">
        <v>14437</v>
      </c>
      <c r="TVA1" s="65" t="s">
        <v>14438</v>
      </c>
      <c r="TVB1" s="65" t="s">
        <v>14439</v>
      </c>
      <c r="TVC1" s="65" t="s">
        <v>14440</v>
      </c>
      <c r="TVD1" s="65" t="s">
        <v>14441</v>
      </c>
      <c r="TVE1" s="65" t="s">
        <v>14442</v>
      </c>
      <c r="TVF1" s="65" t="s">
        <v>14443</v>
      </c>
      <c r="TVG1" s="65" t="s">
        <v>14444</v>
      </c>
      <c r="TVH1" s="65" t="s">
        <v>14445</v>
      </c>
      <c r="TVI1" s="65" t="s">
        <v>14446</v>
      </c>
      <c r="TVJ1" s="65" t="s">
        <v>14447</v>
      </c>
      <c r="TVK1" s="65" t="s">
        <v>14448</v>
      </c>
      <c r="TVL1" s="65" t="s">
        <v>14449</v>
      </c>
      <c r="TVM1" s="65" t="s">
        <v>14450</v>
      </c>
      <c r="TVN1" s="65" t="s">
        <v>14451</v>
      </c>
      <c r="TVO1" s="65" t="s">
        <v>14452</v>
      </c>
      <c r="TVP1" s="65" t="s">
        <v>14453</v>
      </c>
      <c r="TVQ1" s="65" t="s">
        <v>14454</v>
      </c>
      <c r="TVR1" s="65" t="s">
        <v>14455</v>
      </c>
      <c r="TVS1" s="65" t="s">
        <v>14456</v>
      </c>
      <c r="TVT1" s="65" t="s">
        <v>14457</v>
      </c>
      <c r="TVU1" s="65" t="s">
        <v>14458</v>
      </c>
      <c r="TVV1" s="65" t="s">
        <v>14459</v>
      </c>
      <c r="TVW1" s="65" t="s">
        <v>14460</v>
      </c>
      <c r="TVX1" s="65" t="s">
        <v>14461</v>
      </c>
      <c r="TVY1" s="65" t="s">
        <v>14462</v>
      </c>
      <c r="TVZ1" s="65" t="s">
        <v>14463</v>
      </c>
      <c r="TWA1" s="65" t="s">
        <v>14464</v>
      </c>
      <c r="TWB1" s="65" t="s">
        <v>14465</v>
      </c>
      <c r="TWC1" s="65" t="s">
        <v>14466</v>
      </c>
      <c r="TWD1" s="65" t="s">
        <v>14467</v>
      </c>
      <c r="TWE1" s="65" t="s">
        <v>14468</v>
      </c>
      <c r="TWF1" s="65" t="s">
        <v>14469</v>
      </c>
      <c r="TWG1" s="65" t="s">
        <v>14470</v>
      </c>
      <c r="TWH1" s="65" t="s">
        <v>14471</v>
      </c>
      <c r="TWI1" s="65" t="s">
        <v>14472</v>
      </c>
      <c r="TWJ1" s="65" t="s">
        <v>14473</v>
      </c>
      <c r="TWK1" s="65" t="s">
        <v>14474</v>
      </c>
      <c r="TWL1" s="65" t="s">
        <v>14475</v>
      </c>
      <c r="TWM1" s="65" t="s">
        <v>14476</v>
      </c>
      <c r="TWN1" s="65" t="s">
        <v>14477</v>
      </c>
      <c r="TWO1" s="65" t="s">
        <v>14478</v>
      </c>
      <c r="TWP1" s="65" t="s">
        <v>14479</v>
      </c>
      <c r="TWQ1" s="65" t="s">
        <v>14480</v>
      </c>
      <c r="TWR1" s="65" t="s">
        <v>14481</v>
      </c>
      <c r="TWS1" s="65" t="s">
        <v>14482</v>
      </c>
      <c r="TWT1" s="65" t="s">
        <v>14483</v>
      </c>
      <c r="TWU1" s="65" t="s">
        <v>14484</v>
      </c>
      <c r="TWV1" s="65" t="s">
        <v>14485</v>
      </c>
      <c r="TWW1" s="65" t="s">
        <v>14486</v>
      </c>
      <c r="TWX1" s="65" t="s">
        <v>14487</v>
      </c>
      <c r="TWY1" s="65" t="s">
        <v>14488</v>
      </c>
      <c r="TWZ1" s="65" t="s">
        <v>14489</v>
      </c>
      <c r="TXA1" s="65" t="s">
        <v>14490</v>
      </c>
      <c r="TXB1" s="65" t="s">
        <v>14491</v>
      </c>
      <c r="TXC1" s="65" t="s">
        <v>14492</v>
      </c>
      <c r="TXD1" s="65" t="s">
        <v>14493</v>
      </c>
      <c r="TXE1" s="65" t="s">
        <v>14494</v>
      </c>
      <c r="TXF1" s="65" t="s">
        <v>14495</v>
      </c>
      <c r="TXG1" s="65" t="s">
        <v>14496</v>
      </c>
      <c r="TXH1" s="65" t="s">
        <v>14497</v>
      </c>
      <c r="TXI1" s="65" t="s">
        <v>14498</v>
      </c>
      <c r="TXJ1" s="65" t="s">
        <v>14499</v>
      </c>
      <c r="TXK1" s="65" t="s">
        <v>14500</v>
      </c>
      <c r="TXL1" s="65" t="s">
        <v>14501</v>
      </c>
      <c r="TXM1" s="65" t="s">
        <v>14502</v>
      </c>
      <c r="TXN1" s="65" t="s">
        <v>14503</v>
      </c>
      <c r="TXO1" s="65" t="s">
        <v>14504</v>
      </c>
      <c r="TXP1" s="65" t="s">
        <v>14505</v>
      </c>
      <c r="TXQ1" s="65" t="s">
        <v>14506</v>
      </c>
      <c r="TXR1" s="65" t="s">
        <v>14507</v>
      </c>
      <c r="TXS1" s="65" t="s">
        <v>14508</v>
      </c>
      <c r="TXT1" s="65" t="s">
        <v>14509</v>
      </c>
      <c r="TXU1" s="65" t="s">
        <v>14510</v>
      </c>
      <c r="TXV1" s="65" t="s">
        <v>14511</v>
      </c>
      <c r="TXW1" s="65" t="s">
        <v>14512</v>
      </c>
      <c r="TXX1" s="65" t="s">
        <v>14513</v>
      </c>
      <c r="TXY1" s="65" t="s">
        <v>14514</v>
      </c>
      <c r="TXZ1" s="65" t="s">
        <v>14515</v>
      </c>
      <c r="TYA1" s="65" t="s">
        <v>14516</v>
      </c>
      <c r="TYB1" s="65" t="s">
        <v>14517</v>
      </c>
      <c r="TYC1" s="65" t="s">
        <v>14518</v>
      </c>
      <c r="TYD1" s="65" t="s">
        <v>14519</v>
      </c>
      <c r="TYE1" s="65" t="s">
        <v>14520</v>
      </c>
      <c r="TYF1" s="65" t="s">
        <v>14521</v>
      </c>
      <c r="TYG1" s="65" t="s">
        <v>14522</v>
      </c>
      <c r="TYH1" s="65" t="s">
        <v>14523</v>
      </c>
      <c r="TYI1" s="65" t="s">
        <v>14524</v>
      </c>
      <c r="TYJ1" s="65" t="s">
        <v>14525</v>
      </c>
      <c r="TYK1" s="65" t="s">
        <v>14526</v>
      </c>
      <c r="TYL1" s="65" t="s">
        <v>14527</v>
      </c>
      <c r="TYM1" s="65" t="s">
        <v>14528</v>
      </c>
      <c r="TYN1" s="65" t="s">
        <v>14529</v>
      </c>
      <c r="TYO1" s="65" t="s">
        <v>14530</v>
      </c>
      <c r="TYP1" s="65" t="s">
        <v>14531</v>
      </c>
      <c r="TYQ1" s="65" t="s">
        <v>14532</v>
      </c>
      <c r="TYR1" s="65" t="s">
        <v>14533</v>
      </c>
      <c r="TYS1" s="65" t="s">
        <v>14534</v>
      </c>
      <c r="TYT1" s="65" t="s">
        <v>14535</v>
      </c>
      <c r="TYU1" s="65" t="s">
        <v>14536</v>
      </c>
      <c r="TYV1" s="65" t="s">
        <v>14537</v>
      </c>
      <c r="TYW1" s="65" t="s">
        <v>14538</v>
      </c>
      <c r="TYX1" s="65" t="s">
        <v>14539</v>
      </c>
      <c r="TYY1" s="65" t="s">
        <v>14540</v>
      </c>
      <c r="TYZ1" s="65" t="s">
        <v>14541</v>
      </c>
      <c r="TZA1" s="65" t="s">
        <v>14542</v>
      </c>
      <c r="TZB1" s="65" t="s">
        <v>14543</v>
      </c>
      <c r="TZC1" s="65" t="s">
        <v>14544</v>
      </c>
      <c r="TZD1" s="65" t="s">
        <v>14545</v>
      </c>
      <c r="TZE1" s="65" t="s">
        <v>14546</v>
      </c>
      <c r="TZF1" s="65" t="s">
        <v>14547</v>
      </c>
      <c r="TZG1" s="65" t="s">
        <v>14548</v>
      </c>
      <c r="TZH1" s="65" t="s">
        <v>14549</v>
      </c>
      <c r="TZI1" s="65" t="s">
        <v>14550</v>
      </c>
      <c r="TZJ1" s="65" t="s">
        <v>14551</v>
      </c>
      <c r="TZK1" s="65" t="s">
        <v>14552</v>
      </c>
      <c r="TZL1" s="65" t="s">
        <v>14553</v>
      </c>
      <c r="TZM1" s="65" t="s">
        <v>14554</v>
      </c>
      <c r="TZN1" s="65" t="s">
        <v>14555</v>
      </c>
      <c r="TZO1" s="65" t="s">
        <v>14556</v>
      </c>
      <c r="TZP1" s="65" t="s">
        <v>14557</v>
      </c>
      <c r="TZQ1" s="65" t="s">
        <v>14558</v>
      </c>
      <c r="TZR1" s="65" t="s">
        <v>14559</v>
      </c>
      <c r="TZS1" s="65" t="s">
        <v>14560</v>
      </c>
      <c r="TZT1" s="65" t="s">
        <v>14561</v>
      </c>
      <c r="TZU1" s="65" t="s">
        <v>14562</v>
      </c>
      <c r="TZV1" s="65" t="s">
        <v>14563</v>
      </c>
      <c r="TZW1" s="65" t="s">
        <v>14564</v>
      </c>
      <c r="TZX1" s="65" t="s">
        <v>14565</v>
      </c>
      <c r="TZY1" s="65" t="s">
        <v>14566</v>
      </c>
      <c r="TZZ1" s="65" t="s">
        <v>14567</v>
      </c>
      <c r="UAA1" s="65" t="s">
        <v>14568</v>
      </c>
      <c r="UAB1" s="65" t="s">
        <v>14569</v>
      </c>
      <c r="UAC1" s="65" t="s">
        <v>14570</v>
      </c>
      <c r="UAD1" s="65" t="s">
        <v>14571</v>
      </c>
      <c r="UAE1" s="65" t="s">
        <v>14572</v>
      </c>
      <c r="UAF1" s="65" t="s">
        <v>14573</v>
      </c>
      <c r="UAG1" s="65" t="s">
        <v>14574</v>
      </c>
      <c r="UAH1" s="65" t="s">
        <v>14575</v>
      </c>
      <c r="UAI1" s="65" t="s">
        <v>14576</v>
      </c>
      <c r="UAJ1" s="65" t="s">
        <v>14577</v>
      </c>
      <c r="UAK1" s="65" t="s">
        <v>14578</v>
      </c>
      <c r="UAL1" s="65" t="s">
        <v>14579</v>
      </c>
      <c r="UAM1" s="65" t="s">
        <v>14580</v>
      </c>
      <c r="UAN1" s="65" t="s">
        <v>14581</v>
      </c>
      <c r="UAO1" s="65" t="s">
        <v>14582</v>
      </c>
      <c r="UAP1" s="65" t="s">
        <v>14583</v>
      </c>
      <c r="UAQ1" s="65" t="s">
        <v>14584</v>
      </c>
      <c r="UAR1" s="65" t="s">
        <v>14585</v>
      </c>
      <c r="UAS1" s="65" t="s">
        <v>14586</v>
      </c>
      <c r="UAT1" s="65" t="s">
        <v>14587</v>
      </c>
      <c r="UAU1" s="65" t="s">
        <v>14588</v>
      </c>
      <c r="UAV1" s="65" t="s">
        <v>14589</v>
      </c>
      <c r="UAW1" s="65" t="s">
        <v>14590</v>
      </c>
      <c r="UAX1" s="65" t="s">
        <v>14591</v>
      </c>
      <c r="UAY1" s="65" t="s">
        <v>14592</v>
      </c>
      <c r="UAZ1" s="65" t="s">
        <v>14593</v>
      </c>
      <c r="UBA1" s="65" t="s">
        <v>14594</v>
      </c>
      <c r="UBB1" s="65" t="s">
        <v>14595</v>
      </c>
      <c r="UBC1" s="65" t="s">
        <v>14596</v>
      </c>
      <c r="UBD1" s="65" t="s">
        <v>14597</v>
      </c>
      <c r="UBE1" s="65" t="s">
        <v>14598</v>
      </c>
      <c r="UBF1" s="65" t="s">
        <v>14599</v>
      </c>
      <c r="UBG1" s="65" t="s">
        <v>14600</v>
      </c>
      <c r="UBH1" s="65" t="s">
        <v>14601</v>
      </c>
      <c r="UBI1" s="65" t="s">
        <v>14602</v>
      </c>
      <c r="UBJ1" s="65" t="s">
        <v>14603</v>
      </c>
      <c r="UBK1" s="65" t="s">
        <v>14604</v>
      </c>
      <c r="UBL1" s="65" t="s">
        <v>14605</v>
      </c>
      <c r="UBM1" s="65" t="s">
        <v>14606</v>
      </c>
      <c r="UBN1" s="65" t="s">
        <v>14607</v>
      </c>
      <c r="UBO1" s="65" t="s">
        <v>14608</v>
      </c>
      <c r="UBP1" s="65" t="s">
        <v>14609</v>
      </c>
      <c r="UBQ1" s="65" t="s">
        <v>14610</v>
      </c>
      <c r="UBR1" s="65" t="s">
        <v>14611</v>
      </c>
      <c r="UBS1" s="65" t="s">
        <v>14612</v>
      </c>
      <c r="UBT1" s="65" t="s">
        <v>14613</v>
      </c>
      <c r="UBU1" s="65" t="s">
        <v>14614</v>
      </c>
      <c r="UBV1" s="65" t="s">
        <v>14615</v>
      </c>
      <c r="UBW1" s="65" t="s">
        <v>14616</v>
      </c>
      <c r="UBX1" s="65" t="s">
        <v>14617</v>
      </c>
      <c r="UBY1" s="65" t="s">
        <v>14618</v>
      </c>
      <c r="UBZ1" s="65" t="s">
        <v>14619</v>
      </c>
      <c r="UCA1" s="65" t="s">
        <v>14620</v>
      </c>
      <c r="UCB1" s="65" t="s">
        <v>14621</v>
      </c>
      <c r="UCC1" s="65" t="s">
        <v>14622</v>
      </c>
      <c r="UCD1" s="65" t="s">
        <v>14623</v>
      </c>
      <c r="UCE1" s="65" t="s">
        <v>14624</v>
      </c>
      <c r="UCF1" s="65" t="s">
        <v>14625</v>
      </c>
      <c r="UCG1" s="65" t="s">
        <v>14626</v>
      </c>
      <c r="UCH1" s="65" t="s">
        <v>14627</v>
      </c>
      <c r="UCI1" s="65" t="s">
        <v>14628</v>
      </c>
      <c r="UCJ1" s="65" t="s">
        <v>14629</v>
      </c>
      <c r="UCK1" s="65" t="s">
        <v>14630</v>
      </c>
      <c r="UCL1" s="65" t="s">
        <v>14631</v>
      </c>
      <c r="UCM1" s="65" t="s">
        <v>14632</v>
      </c>
      <c r="UCN1" s="65" t="s">
        <v>14633</v>
      </c>
      <c r="UCO1" s="65" t="s">
        <v>14634</v>
      </c>
      <c r="UCP1" s="65" t="s">
        <v>14635</v>
      </c>
      <c r="UCQ1" s="65" t="s">
        <v>14636</v>
      </c>
      <c r="UCR1" s="65" t="s">
        <v>14637</v>
      </c>
      <c r="UCS1" s="65" t="s">
        <v>14638</v>
      </c>
      <c r="UCT1" s="65" t="s">
        <v>14639</v>
      </c>
      <c r="UCU1" s="65" t="s">
        <v>14640</v>
      </c>
      <c r="UCV1" s="65" t="s">
        <v>14641</v>
      </c>
      <c r="UCW1" s="65" t="s">
        <v>14642</v>
      </c>
      <c r="UCX1" s="65" t="s">
        <v>14643</v>
      </c>
      <c r="UCY1" s="65" t="s">
        <v>14644</v>
      </c>
      <c r="UCZ1" s="65" t="s">
        <v>14645</v>
      </c>
      <c r="UDA1" s="65" t="s">
        <v>14646</v>
      </c>
      <c r="UDB1" s="65" t="s">
        <v>14647</v>
      </c>
      <c r="UDC1" s="65" t="s">
        <v>14648</v>
      </c>
      <c r="UDD1" s="65" t="s">
        <v>14649</v>
      </c>
      <c r="UDE1" s="65" t="s">
        <v>14650</v>
      </c>
      <c r="UDF1" s="65" t="s">
        <v>14651</v>
      </c>
      <c r="UDG1" s="65" t="s">
        <v>14652</v>
      </c>
      <c r="UDH1" s="65" t="s">
        <v>14653</v>
      </c>
      <c r="UDI1" s="65" t="s">
        <v>14654</v>
      </c>
      <c r="UDJ1" s="65" t="s">
        <v>14655</v>
      </c>
      <c r="UDK1" s="65" t="s">
        <v>14656</v>
      </c>
      <c r="UDL1" s="65" t="s">
        <v>14657</v>
      </c>
      <c r="UDM1" s="65" t="s">
        <v>14658</v>
      </c>
      <c r="UDN1" s="65" t="s">
        <v>14659</v>
      </c>
      <c r="UDO1" s="65" t="s">
        <v>14660</v>
      </c>
      <c r="UDP1" s="65" t="s">
        <v>14661</v>
      </c>
      <c r="UDQ1" s="65" t="s">
        <v>14662</v>
      </c>
      <c r="UDR1" s="65" t="s">
        <v>14663</v>
      </c>
      <c r="UDS1" s="65" t="s">
        <v>14664</v>
      </c>
      <c r="UDT1" s="65" t="s">
        <v>14665</v>
      </c>
      <c r="UDU1" s="65" t="s">
        <v>14666</v>
      </c>
      <c r="UDV1" s="65" t="s">
        <v>14667</v>
      </c>
      <c r="UDW1" s="65" t="s">
        <v>14668</v>
      </c>
      <c r="UDX1" s="65" t="s">
        <v>14669</v>
      </c>
      <c r="UDY1" s="65" t="s">
        <v>14670</v>
      </c>
      <c r="UDZ1" s="65" t="s">
        <v>14671</v>
      </c>
      <c r="UEA1" s="65" t="s">
        <v>14672</v>
      </c>
      <c r="UEB1" s="65" t="s">
        <v>14673</v>
      </c>
      <c r="UEC1" s="65" t="s">
        <v>14674</v>
      </c>
      <c r="UED1" s="65" t="s">
        <v>14675</v>
      </c>
      <c r="UEE1" s="65" t="s">
        <v>14676</v>
      </c>
      <c r="UEF1" s="65" t="s">
        <v>14677</v>
      </c>
      <c r="UEG1" s="65" t="s">
        <v>14678</v>
      </c>
      <c r="UEH1" s="65" t="s">
        <v>14679</v>
      </c>
      <c r="UEI1" s="65" t="s">
        <v>14680</v>
      </c>
      <c r="UEJ1" s="65" t="s">
        <v>14681</v>
      </c>
      <c r="UEK1" s="65" t="s">
        <v>14682</v>
      </c>
      <c r="UEL1" s="65" t="s">
        <v>14683</v>
      </c>
      <c r="UEM1" s="65" t="s">
        <v>14684</v>
      </c>
      <c r="UEN1" s="65" t="s">
        <v>14685</v>
      </c>
      <c r="UEO1" s="65" t="s">
        <v>14686</v>
      </c>
      <c r="UEP1" s="65" t="s">
        <v>14687</v>
      </c>
      <c r="UEQ1" s="65" t="s">
        <v>14688</v>
      </c>
      <c r="UER1" s="65" t="s">
        <v>14689</v>
      </c>
      <c r="UES1" s="65" t="s">
        <v>14690</v>
      </c>
      <c r="UET1" s="65" t="s">
        <v>14691</v>
      </c>
      <c r="UEU1" s="65" t="s">
        <v>14692</v>
      </c>
      <c r="UEV1" s="65" t="s">
        <v>14693</v>
      </c>
      <c r="UEW1" s="65" t="s">
        <v>14694</v>
      </c>
      <c r="UEX1" s="65" t="s">
        <v>14695</v>
      </c>
      <c r="UEY1" s="65" t="s">
        <v>14696</v>
      </c>
      <c r="UEZ1" s="65" t="s">
        <v>14697</v>
      </c>
      <c r="UFA1" s="65" t="s">
        <v>14698</v>
      </c>
      <c r="UFB1" s="65" t="s">
        <v>14699</v>
      </c>
      <c r="UFC1" s="65" t="s">
        <v>14700</v>
      </c>
      <c r="UFD1" s="65" t="s">
        <v>14701</v>
      </c>
      <c r="UFE1" s="65" t="s">
        <v>14702</v>
      </c>
      <c r="UFF1" s="65" t="s">
        <v>14703</v>
      </c>
      <c r="UFG1" s="65" t="s">
        <v>14704</v>
      </c>
      <c r="UFH1" s="65" t="s">
        <v>14705</v>
      </c>
      <c r="UFI1" s="65" t="s">
        <v>14706</v>
      </c>
      <c r="UFJ1" s="65" t="s">
        <v>14707</v>
      </c>
      <c r="UFK1" s="65" t="s">
        <v>14708</v>
      </c>
      <c r="UFL1" s="65" t="s">
        <v>14709</v>
      </c>
      <c r="UFM1" s="65" t="s">
        <v>14710</v>
      </c>
      <c r="UFN1" s="65" t="s">
        <v>14711</v>
      </c>
      <c r="UFO1" s="65" t="s">
        <v>14712</v>
      </c>
      <c r="UFP1" s="65" t="s">
        <v>14713</v>
      </c>
      <c r="UFQ1" s="65" t="s">
        <v>14714</v>
      </c>
      <c r="UFR1" s="65" t="s">
        <v>14715</v>
      </c>
      <c r="UFS1" s="65" t="s">
        <v>14716</v>
      </c>
      <c r="UFT1" s="65" t="s">
        <v>14717</v>
      </c>
      <c r="UFU1" s="65" t="s">
        <v>14718</v>
      </c>
      <c r="UFV1" s="65" t="s">
        <v>14719</v>
      </c>
      <c r="UFW1" s="65" t="s">
        <v>14720</v>
      </c>
      <c r="UFX1" s="65" t="s">
        <v>14721</v>
      </c>
      <c r="UFY1" s="65" t="s">
        <v>14722</v>
      </c>
      <c r="UFZ1" s="65" t="s">
        <v>14723</v>
      </c>
      <c r="UGA1" s="65" t="s">
        <v>14724</v>
      </c>
      <c r="UGB1" s="65" t="s">
        <v>14725</v>
      </c>
      <c r="UGC1" s="65" t="s">
        <v>14726</v>
      </c>
      <c r="UGD1" s="65" t="s">
        <v>14727</v>
      </c>
      <c r="UGE1" s="65" t="s">
        <v>14728</v>
      </c>
      <c r="UGF1" s="65" t="s">
        <v>14729</v>
      </c>
      <c r="UGG1" s="65" t="s">
        <v>14730</v>
      </c>
      <c r="UGH1" s="65" t="s">
        <v>14731</v>
      </c>
      <c r="UGI1" s="65" t="s">
        <v>14732</v>
      </c>
      <c r="UGJ1" s="65" t="s">
        <v>14733</v>
      </c>
      <c r="UGK1" s="65" t="s">
        <v>14734</v>
      </c>
      <c r="UGL1" s="65" t="s">
        <v>14735</v>
      </c>
      <c r="UGM1" s="65" t="s">
        <v>14736</v>
      </c>
      <c r="UGN1" s="65" t="s">
        <v>14737</v>
      </c>
      <c r="UGO1" s="65" t="s">
        <v>14738</v>
      </c>
      <c r="UGP1" s="65" t="s">
        <v>14739</v>
      </c>
      <c r="UGQ1" s="65" t="s">
        <v>14740</v>
      </c>
      <c r="UGR1" s="65" t="s">
        <v>14741</v>
      </c>
      <c r="UGS1" s="65" t="s">
        <v>14742</v>
      </c>
      <c r="UGT1" s="65" t="s">
        <v>14743</v>
      </c>
      <c r="UGU1" s="65" t="s">
        <v>14744</v>
      </c>
      <c r="UGV1" s="65" t="s">
        <v>14745</v>
      </c>
      <c r="UGW1" s="65" t="s">
        <v>14746</v>
      </c>
      <c r="UGX1" s="65" t="s">
        <v>14747</v>
      </c>
      <c r="UGY1" s="65" t="s">
        <v>14748</v>
      </c>
      <c r="UGZ1" s="65" t="s">
        <v>14749</v>
      </c>
      <c r="UHA1" s="65" t="s">
        <v>14750</v>
      </c>
      <c r="UHB1" s="65" t="s">
        <v>14751</v>
      </c>
      <c r="UHC1" s="65" t="s">
        <v>14752</v>
      </c>
      <c r="UHD1" s="65" t="s">
        <v>14753</v>
      </c>
      <c r="UHE1" s="65" t="s">
        <v>14754</v>
      </c>
      <c r="UHF1" s="65" t="s">
        <v>14755</v>
      </c>
      <c r="UHG1" s="65" t="s">
        <v>14756</v>
      </c>
      <c r="UHH1" s="65" t="s">
        <v>14757</v>
      </c>
      <c r="UHI1" s="65" t="s">
        <v>14758</v>
      </c>
      <c r="UHJ1" s="65" t="s">
        <v>14759</v>
      </c>
      <c r="UHK1" s="65" t="s">
        <v>14760</v>
      </c>
      <c r="UHL1" s="65" t="s">
        <v>14761</v>
      </c>
      <c r="UHM1" s="65" t="s">
        <v>14762</v>
      </c>
      <c r="UHN1" s="65" t="s">
        <v>14763</v>
      </c>
      <c r="UHO1" s="65" t="s">
        <v>14764</v>
      </c>
      <c r="UHP1" s="65" t="s">
        <v>14765</v>
      </c>
      <c r="UHQ1" s="65" t="s">
        <v>14766</v>
      </c>
      <c r="UHR1" s="65" t="s">
        <v>14767</v>
      </c>
      <c r="UHS1" s="65" t="s">
        <v>14768</v>
      </c>
      <c r="UHT1" s="65" t="s">
        <v>14769</v>
      </c>
      <c r="UHU1" s="65" t="s">
        <v>14770</v>
      </c>
      <c r="UHV1" s="65" t="s">
        <v>14771</v>
      </c>
      <c r="UHW1" s="65" t="s">
        <v>14772</v>
      </c>
      <c r="UHX1" s="65" t="s">
        <v>14773</v>
      </c>
      <c r="UHY1" s="65" t="s">
        <v>14774</v>
      </c>
      <c r="UHZ1" s="65" t="s">
        <v>14775</v>
      </c>
      <c r="UIA1" s="65" t="s">
        <v>14776</v>
      </c>
      <c r="UIB1" s="65" t="s">
        <v>14777</v>
      </c>
      <c r="UIC1" s="65" t="s">
        <v>14778</v>
      </c>
      <c r="UID1" s="65" t="s">
        <v>14779</v>
      </c>
      <c r="UIE1" s="65" t="s">
        <v>14780</v>
      </c>
      <c r="UIF1" s="65" t="s">
        <v>14781</v>
      </c>
      <c r="UIG1" s="65" t="s">
        <v>14782</v>
      </c>
      <c r="UIH1" s="65" t="s">
        <v>14783</v>
      </c>
      <c r="UII1" s="65" t="s">
        <v>14784</v>
      </c>
      <c r="UIJ1" s="65" t="s">
        <v>14785</v>
      </c>
      <c r="UIK1" s="65" t="s">
        <v>14786</v>
      </c>
      <c r="UIL1" s="65" t="s">
        <v>14787</v>
      </c>
      <c r="UIM1" s="65" t="s">
        <v>14788</v>
      </c>
      <c r="UIN1" s="65" t="s">
        <v>14789</v>
      </c>
      <c r="UIO1" s="65" t="s">
        <v>14790</v>
      </c>
      <c r="UIP1" s="65" t="s">
        <v>14791</v>
      </c>
      <c r="UIQ1" s="65" t="s">
        <v>14792</v>
      </c>
      <c r="UIR1" s="65" t="s">
        <v>14793</v>
      </c>
      <c r="UIS1" s="65" t="s">
        <v>14794</v>
      </c>
      <c r="UIT1" s="65" t="s">
        <v>14795</v>
      </c>
      <c r="UIU1" s="65" t="s">
        <v>14796</v>
      </c>
      <c r="UIV1" s="65" t="s">
        <v>14797</v>
      </c>
      <c r="UIW1" s="65" t="s">
        <v>14798</v>
      </c>
      <c r="UIX1" s="65" t="s">
        <v>14799</v>
      </c>
      <c r="UIY1" s="65" t="s">
        <v>14800</v>
      </c>
      <c r="UIZ1" s="65" t="s">
        <v>14801</v>
      </c>
      <c r="UJA1" s="65" t="s">
        <v>14802</v>
      </c>
      <c r="UJB1" s="65" t="s">
        <v>14803</v>
      </c>
      <c r="UJC1" s="65" t="s">
        <v>14804</v>
      </c>
      <c r="UJD1" s="65" t="s">
        <v>14805</v>
      </c>
      <c r="UJE1" s="65" t="s">
        <v>14806</v>
      </c>
      <c r="UJF1" s="65" t="s">
        <v>14807</v>
      </c>
      <c r="UJG1" s="65" t="s">
        <v>14808</v>
      </c>
      <c r="UJH1" s="65" t="s">
        <v>14809</v>
      </c>
      <c r="UJI1" s="65" t="s">
        <v>14810</v>
      </c>
      <c r="UJJ1" s="65" t="s">
        <v>14811</v>
      </c>
      <c r="UJK1" s="65" t="s">
        <v>14812</v>
      </c>
      <c r="UJL1" s="65" t="s">
        <v>14813</v>
      </c>
      <c r="UJM1" s="65" t="s">
        <v>14814</v>
      </c>
      <c r="UJN1" s="65" t="s">
        <v>14815</v>
      </c>
      <c r="UJO1" s="65" t="s">
        <v>14816</v>
      </c>
      <c r="UJP1" s="65" t="s">
        <v>14817</v>
      </c>
      <c r="UJQ1" s="65" t="s">
        <v>14818</v>
      </c>
      <c r="UJR1" s="65" t="s">
        <v>14819</v>
      </c>
      <c r="UJS1" s="65" t="s">
        <v>14820</v>
      </c>
      <c r="UJT1" s="65" t="s">
        <v>14821</v>
      </c>
      <c r="UJU1" s="65" t="s">
        <v>14822</v>
      </c>
      <c r="UJV1" s="65" t="s">
        <v>14823</v>
      </c>
      <c r="UJW1" s="65" t="s">
        <v>14824</v>
      </c>
      <c r="UJX1" s="65" t="s">
        <v>14825</v>
      </c>
      <c r="UJY1" s="65" t="s">
        <v>14826</v>
      </c>
      <c r="UJZ1" s="65" t="s">
        <v>14827</v>
      </c>
      <c r="UKA1" s="65" t="s">
        <v>14828</v>
      </c>
      <c r="UKB1" s="65" t="s">
        <v>14829</v>
      </c>
      <c r="UKC1" s="65" t="s">
        <v>14830</v>
      </c>
      <c r="UKD1" s="65" t="s">
        <v>14831</v>
      </c>
      <c r="UKE1" s="65" t="s">
        <v>14832</v>
      </c>
      <c r="UKF1" s="65" t="s">
        <v>14833</v>
      </c>
      <c r="UKG1" s="65" t="s">
        <v>14834</v>
      </c>
      <c r="UKH1" s="65" t="s">
        <v>14835</v>
      </c>
      <c r="UKI1" s="65" t="s">
        <v>14836</v>
      </c>
      <c r="UKJ1" s="65" t="s">
        <v>14837</v>
      </c>
      <c r="UKK1" s="65" t="s">
        <v>14838</v>
      </c>
      <c r="UKL1" s="65" t="s">
        <v>14839</v>
      </c>
      <c r="UKM1" s="65" t="s">
        <v>14840</v>
      </c>
      <c r="UKN1" s="65" t="s">
        <v>14841</v>
      </c>
      <c r="UKO1" s="65" t="s">
        <v>14842</v>
      </c>
      <c r="UKP1" s="65" t="s">
        <v>14843</v>
      </c>
      <c r="UKQ1" s="65" t="s">
        <v>14844</v>
      </c>
      <c r="UKR1" s="65" t="s">
        <v>14845</v>
      </c>
      <c r="UKS1" s="65" t="s">
        <v>14846</v>
      </c>
      <c r="UKT1" s="65" t="s">
        <v>14847</v>
      </c>
      <c r="UKU1" s="65" t="s">
        <v>14848</v>
      </c>
      <c r="UKV1" s="65" t="s">
        <v>14849</v>
      </c>
      <c r="UKW1" s="65" t="s">
        <v>14850</v>
      </c>
      <c r="UKX1" s="65" t="s">
        <v>14851</v>
      </c>
      <c r="UKY1" s="65" t="s">
        <v>14852</v>
      </c>
      <c r="UKZ1" s="65" t="s">
        <v>14853</v>
      </c>
      <c r="ULA1" s="65" t="s">
        <v>14854</v>
      </c>
      <c r="ULB1" s="65" t="s">
        <v>14855</v>
      </c>
      <c r="ULC1" s="65" t="s">
        <v>14856</v>
      </c>
      <c r="ULD1" s="65" t="s">
        <v>14857</v>
      </c>
      <c r="ULE1" s="65" t="s">
        <v>14858</v>
      </c>
      <c r="ULF1" s="65" t="s">
        <v>14859</v>
      </c>
      <c r="ULG1" s="65" t="s">
        <v>14860</v>
      </c>
      <c r="ULH1" s="65" t="s">
        <v>14861</v>
      </c>
      <c r="ULI1" s="65" t="s">
        <v>14862</v>
      </c>
      <c r="ULJ1" s="65" t="s">
        <v>14863</v>
      </c>
      <c r="ULK1" s="65" t="s">
        <v>14864</v>
      </c>
      <c r="ULL1" s="65" t="s">
        <v>14865</v>
      </c>
      <c r="ULM1" s="65" t="s">
        <v>14866</v>
      </c>
      <c r="ULN1" s="65" t="s">
        <v>14867</v>
      </c>
      <c r="ULO1" s="65" t="s">
        <v>14868</v>
      </c>
      <c r="ULP1" s="65" t="s">
        <v>14869</v>
      </c>
      <c r="ULQ1" s="65" t="s">
        <v>14870</v>
      </c>
      <c r="ULR1" s="65" t="s">
        <v>14871</v>
      </c>
      <c r="ULS1" s="65" t="s">
        <v>14872</v>
      </c>
      <c r="ULT1" s="65" t="s">
        <v>14873</v>
      </c>
      <c r="ULU1" s="65" t="s">
        <v>14874</v>
      </c>
      <c r="ULV1" s="65" t="s">
        <v>14875</v>
      </c>
      <c r="ULW1" s="65" t="s">
        <v>14876</v>
      </c>
      <c r="ULX1" s="65" t="s">
        <v>14877</v>
      </c>
      <c r="ULY1" s="65" t="s">
        <v>14878</v>
      </c>
      <c r="ULZ1" s="65" t="s">
        <v>14879</v>
      </c>
      <c r="UMA1" s="65" t="s">
        <v>14880</v>
      </c>
      <c r="UMB1" s="65" t="s">
        <v>14881</v>
      </c>
      <c r="UMC1" s="65" t="s">
        <v>14882</v>
      </c>
      <c r="UMD1" s="65" t="s">
        <v>14883</v>
      </c>
      <c r="UME1" s="65" t="s">
        <v>14884</v>
      </c>
      <c r="UMF1" s="65" t="s">
        <v>14885</v>
      </c>
      <c r="UMG1" s="65" t="s">
        <v>14886</v>
      </c>
      <c r="UMH1" s="65" t="s">
        <v>14887</v>
      </c>
      <c r="UMI1" s="65" t="s">
        <v>14888</v>
      </c>
      <c r="UMJ1" s="65" t="s">
        <v>14889</v>
      </c>
      <c r="UMK1" s="65" t="s">
        <v>14890</v>
      </c>
      <c r="UML1" s="65" t="s">
        <v>14891</v>
      </c>
      <c r="UMM1" s="65" t="s">
        <v>14892</v>
      </c>
      <c r="UMN1" s="65" t="s">
        <v>14893</v>
      </c>
      <c r="UMO1" s="65" t="s">
        <v>14894</v>
      </c>
      <c r="UMP1" s="65" t="s">
        <v>14895</v>
      </c>
      <c r="UMQ1" s="65" t="s">
        <v>14896</v>
      </c>
      <c r="UMR1" s="65" t="s">
        <v>14897</v>
      </c>
      <c r="UMS1" s="65" t="s">
        <v>14898</v>
      </c>
      <c r="UMT1" s="65" t="s">
        <v>14899</v>
      </c>
      <c r="UMU1" s="65" t="s">
        <v>14900</v>
      </c>
      <c r="UMV1" s="65" t="s">
        <v>14901</v>
      </c>
      <c r="UMW1" s="65" t="s">
        <v>14902</v>
      </c>
      <c r="UMX1" s="65" t="s">
        <v>14903</v>
      </c>
      <c r="UMY1" s="65" t="s">
        <v>14904</v>
      </c>
      <c r="UMZ1" s="65" t="s">
        <v>14905</v>
      </c>
      <c r="UNA1" s="65" t="s">
        <v>14906</v>
      </c>
      <c r="UNB1" s="65" t="s">
        <v>14907</v>
      </c>
      <c r="UNC1" s="65" t="s">
        <v>14908</v>
      </c>
      <c r="UND1" s="65" t="s">
        <v>14909</v>
      </c>
      <c r="UNE1" s="65" t="s">
        <v>14910</v>
      </c>
      <c r="UNF1" s="65" t="s">
        <v>14911</v>
      </c>
      <c r="UNG1" s="65" t="s">
        <v>14912</v>
      </c>
      <c r="UNH1" s="65" t="s">
        <v>14913</v>
      </c>
      <c r="UNI1" s="65" t="s">
        <v>14914</v>
      </c>
      <c r="UNJ1" s="65" t="s">
        <v>14915</v>
      </c>
      <c r="UNK1" s="65" t="s">
        <v>14916</v>
      </c>
      <c r="UNL1" s="65" t="s">
        <v>14917</v>
      </c>
      <c r="UNM1" s="65" t="s">
        <v>14918</v>
      </c>
      <c r="UNN1" s="65" t="s">
        <v>14919</v>
      </c>
      <c r="UNO1" s="65" t="s">
        <v>14920</v>
      </c>
      <c r="UNP1" s="65" t="s">
        <v>14921</v>
      </c>
      <c r="UNQ1" s="65" t="s">
        <v>14922</v>
      </c>
      <c r="UNR1" s="65" t="s">
        <v>14923</v>
      </c>
      <c r="UNS1" s="65" t="s">
        <v>14924</v>
      </c>
      <c r="UNT1" s="65" t="s">
        <v>14925</v>
      </c>
      <c r="UNU1" s="65" t="s">
        <v>14926</v>
      </c>
      <c r="UNV1" s="65" t="s">
        <v>14927</v>
      </c>
      <c r="UNW1" s="65" t="s">
        <v>14928</v>
      </c>
      <c r="UNX1" s="65" t="s">
        <v>14929</v>
      </c>
      <c r="UNY1" s="65" t="s">
        <v>14930</v>
      </c>
      <c r="UNZ1" s="65" t="s">
        <v>14931</v>
      </c>
      <c r="UOA1" s="65" t="s">
        <v>14932</v>
      </c>
      <c r="UOB1" s="65" t="s">
        <v>14933</v>
      </c>
      <c r="UOC1" s="65" t="s">
        <v>14934</v>
      </c>
      <c r="UOD1" s="65" t="s">
        <v>14935</v>
      </c>
      <c r="UOE1" s="65" t="s">
        <v>14936</v>
      </c>
      <c r="UOF1" s="65" t="s">
        <v>14937</v>
      </c>
      <c r="UOG1" s="65" t="s">
        <v>14938</v>
      </c>
      <c r="UOH1" s="65" t="s">
        <v>14939</v>
      </c>
      <c r="UOI1" s="65" t="s">
        <v>14940</v>
      </c>
      <c r="UOJ1" s="65" t="s">
        <v>14941</v>
      </c>
      <c r="UOK1" s="65" t="s">
        <v>14942</v>
      </c>
      <c r="UOL1" s="65" t="s">
        <v>14943</v>
      </c>
      <c r="UOM1" s="65" t="s">
        <v>14944</v>
      </c>
      <c r="UON1" s="65" t="s">
        <v>14945</v>
      </c>
      <c r="UOO1" s="65" t="s">
        <v>14946</v>
      </c>
      <c r="UOP1" s="65" t="s">
        <v>14947</v>
      </c>
      <c r="UOQ1" s="65" t="s">
        <v>14948</v>
      </c>
      <c r="UOR1" s="65" t="s">
        <v>14949</v>
      </c>
      <c r="UOS1" s="65" t="s">
        <v>14950</v>
      </c>
      <c r="UOT1" s="65" t="s">
        <v>14951</v>
      </c>
      <c r="UOU1" s="65" t="s">
        <v>14952</v>
      </c>
      <c r="UOV1" s="65" t="s">
        <v>14953</v>
      </c>
      <c r="UOW1" s="65" t="s">
        <v>14954</v>
      </c>
      <c r="UOX1" s="65" t="s">
        <v>14955</v>
      </c>
      <c r="UOY1" s="65" t="s">
        <v>14956</v>
      </c>
      <c r="UOZ1" s="65" t="s">
        <v>14957</v>
      </c>
      <c r="UPA1" s="65" t="s">
        <v>14958</v>
      </c>
      <c r="UPB1" s="65" t="s">
        <v>14959</v>
      </c>
      <c r="UPC1" s="65" t="s">
        <v>14960</v>
      </c>
      <c r="UPD1" s="65" t="s">
        <v>14961</v>
      </c>
      <c r="UPE1" s="65" t="s">
        <v>14962</v>
      </c>
      <c r="UPF1" s="65" t="s">
        <v>14963</v>
      </c>
      <c r="UPG1" s="65" t="s">
        <v>14964</v>
      </c>
      <c r="UPH1" s="65" t="s">
        <v>14965</v>
      </c>
      <c r="UPI1" s="65" t="s">
        <v>14966</v>
      </c>
      <c r="UPJ1" s="65" t="s">
        <v>14967</v>
      </c>
      <c r="UPK1" s="65" t="s">
        <v>14968</v>
      </c>
      <c r="UPL1" s="65" t="s">
        <v>14969</v>
      </c>
      <c r="UPM1" s="65" t="s">
        <v>14970</v>
      </c>
      <c r="UPN1" s="65" t="s">
        <v>14971</v>
      </c>
      <c r="UPO1" s="65" t="s">
        <v>14972</v>
      </c>
      <c r="UPP1" s="65" t="s">
        <v>14973</v>
      </c>
      <c r="UPQ1" s="65" t="s">
        <v>14974</v>
      </c>
      <c r="UPR1" s="65" t="s">
        <v>14975</v>
      </c>
      <c r="UPS1" s="65" t="s">
        <v>14976</v>
      </c>
      <c r="UPT1" s="65" t="s">
        <v>14977</v>
      </c>
      <c r="UPU1" s="65" t="s">
        <v>14978</v>
      </c>
      <c r="UPV1" s="65" t="s">
        <v>14979</v>
      </c>
      <c r="UPW1" s="65" t="s">
        <v>14980</v>
      </c>
      <c r="UPX1" s="65" t="s">
        <v>14981</v>
      </c>
      <c r="UPY1" s="65" t="s">
        <v>14982</v>
      </c>
      <c r="UPZ1" s="65" t="s">
        <v>14983</v>
      </c>
      <c r="UQA1" s="65" t="s">
        <v>14984</v>
      </c>
      <c r="UQB1" s="65" t="s">
        <v>14985</v>
      </c>
      <c r="UQC1" s="65" t="s">
        <v>14986</v>
      </c>
      <c r="UQD1" s="65" t="s">
        <v>14987</v>
      </c>
      <c r="UQE1" s="65" t="s">
        <v>14988</v>
      </c>
      <c r="UQF1" s="65" t="s">
        <v>14989</v>
      </c>
      <c r="UQG1" s="65" t="s">
        <v>14990</v>
      </c>
      <c r="UQH1" s="65" t="s">
        <v>14991</v>
      </c>
      <c r="UQI1" s="65" t="s">
        <v>14992</v>
      </c>
      <c r="UQJ1" s="65" t="s">
        <v>14993</v>
      </c>
      <c r="UQK1" s="65" t="s">
        <v>14994</v>
      </c>
      <c r="UQL1" s="65" t="s">
        <v>14995</v>
      </c>
      <c r="UQM1" s="65" t="s">
        <v>14996</v>
      </c>
      <c r="UQN1" s="65" t="s">
        <v>14997</v>
      </c>
      <c r="UQO1" s="65" t="s">
        <v>14998</v>
      </c>
      <c r="UQP1" s="65" t="s">
        <v>14999</v>
      </c>
      <c r="UQQ1" s="65" t="s">
        <v>15000</v>
      </c>
      <c r="UQR1" s="65" t="s">
        <v>15001</v>
      </c>
      <c r="UQS1" s="65" t="s">
        <v>15002</v>
      </c>
      <c r="UQT1" s="65" t="s">
        <v>15003</v>
      </c>
      <c r="UQU1" s="65" t="s">
        <v>15004</v>
      </c>
      <c r="UQV1" s="65" t="s">
        <v>15005</v>
      </c>
      <c r="UQW1" s="65" t="s">
        <v>15006</v>
      </c>
      <c r="UQX1" s="65" t="s">
        <v>15007</v>
      </c>
      <c r="UQY1" s="65" t="s">
        <v>15008</v>
      </c>
      <c r="UQZ1" s="65" t="s">
        <v>15009</v>
      </c>
      <c r="URA1" s="65" t="s">
        <v>15010</v>
      </c>
      <c r="URB1" s="65" t="s">
        <v>15011</v>
      </c>
      <c r="URC1" s="65" t="s">
        <v>15012</v>
      </c>
      <c r="URD1" s="65" t="s">
        <v>15013</v>
      </c>
      <c r="URE1" s="65" t="s">
        <v>15014</v>
      </c>
      <c r="URF1" s="65" t="s">
        <v>15015</v>
      </c>
      <c r="URG1" s="65" t="s">
        <v>15016</v>
      </c>
      <c r="URH1" s="65" t="s">
        <v>15017</v>
      </c>
      <c r="URI1" s="65" t="s">
        <v>15018</v>
      </c>
      <c r="URJ1" s="65" t="s">
        <v>15019</v>
      </c>
      <c r="URK1" s="65" t="s">
        <v>15020</v>
      </c>
      <c r="URL1" s="65" t="s">
        <v>15021</v>
      </c>
      <c r="URM1" s="65" t="s">
        <v>15022</v>
      </c>
      <c r="URN1" s="65" t="s">
        <v>15023</v>
      </c>
      <c r="URO1" s="65" t="s">
        <v>15024</v>
      </c>
      <c r="URP1" s="65" t="s">
        <v>15025</v>
      </c>
      <c r="URQ1" s="65" t="s">
        <v>15026</v>
      </c>
      <c r="URR1" s="65" t="s">
        <v>15027</v>
      </c>
      <c r="URS1" s="65" t="s">
        <v>15028</v>
      </c>
      <c r="URT1" s="65" t="s">
        <v>15029</v>
      </c>
      <c r="URU1" s="65" t="s">
        <v>15030</v>
      </c>
      <c r="URV1" s="65" t="s">
        <v>15031</v>
      </c>
      <c r="URW1" s="65" t="s">
        <v>15032</v>
      </c>
      <c r="URX1" s="65" t="s">
        <v>15033</v>
      </c>
      <c r="URY1" s="65" t="s">
        <v>15034</v>
      </c>
      <c r="URZ1" s="65" t="s">
        <v>15035</v>
      </c>
      <c r="USA1" s="65" t="s">
        <v>15036</v>
      </c>
      <c r="USB1" s="65" t="s">
        <v>15037</v>
      </c>
      <c r="USC1" s="65" t="s">
        <v>15038</v>
      </c>
      <c r="USD1" s="65" t="s">
        <v>15039</v>
      </c>
      <c r="USE1" s="65" t="s">
        <v>15040</v>
      </c>
      <c r="USF1" s="65" t="s">
        <v>15041</v>
      </c>
      <c r="USG1" s="65" t="s">
        <v>15042</v>
      </c>
      <c r="USH1" s="65" t="s">
        <v>15043</v>
      </c>
      <c r="USI1" s="65" t="s">
        <v>15044</v>
      </c>
      <c r="USJ1" s="65" t="s">
        <v>15045</v>
      </c>
      <c r="USK1" s="65" t="s">
        <v>15046</v>
      </c>
      <c r="USL1" s="65" t="s">
        <v>15047</v>
      </c>
      <c r="USM1" s="65" t="s">
        <v>15048</v>
      </c>
      <c r="USN1" s="65" t="s">
        <v>15049</v>
      </c>
      <c r="USO1" s="65" t="s">
        <v>15050</v>
      </c>
      <c r="USP1" s="65" t="s">
        <v>15051</v>
      </c>
      <c r="USQ1" s="65" t="s">
        <v>15052</v>
      </c>
      <c r="USR1" s="65" t="s">
        <v>15053</v>
      </c>
      <c r="USS1" s="65" t="s">
        <v>15054</v>
      </c>
      <c r="UST1" s="65" t="s">
        <v>15055</v>
      </c>
      <c r="USU1" s="65" t="s">
        <v>15056</v>
      </c>
      <c r="USV1" s="65" t="s">
        <v>15057</v>
      </c>
      <c r="USW1" s="65" t="s">
        <v>15058</v>
      </c>
      <c r="USX1" s="65" t="s">
        <v>15059</v>
      </c>
      <c r="USY1" s="65" t="s">
        <v>15060</v>
      </c>
      <c r="USZ1" s="65" t="s">
        <v>15061</v>
      </c>
      <c r="UTA1" s="65" t="s">
        <v>15062</v>
      </c>
      <c r="UTB1" s="65" t="s">
        <v>15063</v>
      </c>
      <c r="UTC1" s="65" t="s">
        <v>15064</v>
      </c>
      <c r="UTD1" s="65" t="s">
        <v>15065</v>
      </c>
      <c r="UTE1" s="65" t="s">
        <v>15066</v>
      </c>
      <c r="UTF1" s="65" t="s">
        <v>15067</v>
      </c>
      <c r="UTG1" s="65" t="s">
        <v>15068</v>
      </c>
      <c r="UTH1" s="65" t="s">
        <v>15069</v>
      </c>
      <c r="UTI1" s="65" t="s">
        <v>15070</v>
      </c>
      <c r="UTJ1" s="65" t="s">
        <v>15071</v>
      </c>
      <c r="UTK1" s="65" t="s">
        <v>15072</v>
      </c>
      <c r="UTL1" s="65" t="s">
        <v>15073</v>
      </c>
      <c r="UTM1" s="65" t="s">
        <v>15074</v>
      </c>
      <c r="UTN1" s="65" t="s">
        <v>15075</v>
      </c>
      <c r="UTO1" s="65" t="s">
        <v>15076</v>
      </c>
      <c r="UTP1" s="65" t="s">
        <v>15077</v>
      </c>
      <c r="UTQ1" s="65" t="s">
        <v>15078</v>
      </c>
      <c r="UTR1" s="65" t="s">
        <v>15079</v>
      </c>
      <c r="UTS1" s="65" t="s">
        <v>15080</v>
      </c>
      <c r="UTT1" s="65" t="s">
        <v>15081</v>
      </c>
      <c r="UTU1" s="65" t="s">
        <v>15082</v>
      </c>
      <c r="UTV1" s="65" t="s">
        <v>15083</v>
      </c>
      <c r="UTW1" s="65" t="s">
        <v>15084</v>
      </c>
      <c r="UTX1" s="65" t="s">
        <v>15085</v>
      </c>
      <c r="UTY1" s="65" t="s">
        <v>15086</v>
      </c>
      <c r="UTZ1" s="65" t="s">
        <v>15087</v>
      </c>
      <c r="UUA1" s="65" t="s">
        <v>15088</v>
      </c>
      <c r="UUB1" s="65" t="s">
        <v>15089</v>
      </c>
      <c r="UUC1" s="65" t="s">
        <v>15090</v>
      </c>
      <c r="UUD1" s="65" t="s">
        <v>15091</v>
      </c>
      <c r="UUE1" s="65" t="s">
        <v>15092</v>
      </c>
      <c r="UUF1" s="65" t="s">
        <v>15093</v>
      </c>
      <c r="UUG1" s="65" t="s">
        <v>15094</v>
      </c>
      <c r="UUH1" s="65" t="s">
        <v>15095</v>
      </c>
      <c r="UUI1" s="65" t="s">
        <v>15096</v>
      </c>
      <c r="UUJ1" s="65" t="s">
        <v>15097</v>
      </c>
      <c r="UUK1" s="65" t="s">
        <v>15098</v>
      </c>
      <c r="UUL1" s="65" t="s">
        <v>15099</v>
      </c>
      <c r="UUM1" s="65" t="s">
        <v>15100</v>
      </c>
      <c r="UUN1" s="65" t="s">
        <v>15101</v>
      </c>
      <c r="UUO1" s="65" t="s">
        <v>15102</v>
      </c>
      <c r="UUP1" s="65" t="s">
        <v>15103</v>
      </c>
      <c r="UUQ1" s="65" t="s">
        <v>15104</v>
      </c>
      <c r="UUR1" s="65" t="s">
        <v>15105</v>
      </c>
      <c r="UUS1" s="65" t="s">
        <v>15106</v>
      </c>
      <c r="UUT1" s="65" t="s">
        <v>15107</v>
      </c>
      <c r="UUU1" s="65" t="s">
        <v>15108</v>
      </c>
      <c r="UUV1" s="65" t="s">
        <v>15109</v>
      </c>
      <c r="UUW1" s="65" t="s">
        <v>15110</v>
      </c>
      <c r="UUX1" s="65" t="s">
        <v>15111</v>
      </c>
      <c r="UUY1" s="65" t="s">
        <v>15112</v>
      </c>
      <c r="UUZ1" s="65" t="s">
        <v>15113</v>
      </c>
      <c r="UVA1" s="65" t="s">
        <v>15114</v>
      </c>
      <c r="UVB1" s="65" t="s">
        <v>15115</v>
      </c>
      <c r="UVC1" s="65" t="s">
        <v>15116</v>
      </c>
      <c r="UVD1" s="65" t="s">
        <v>15117</v>
      </c>
      <c r="UVE1" s="65" t="s">
        <v>15118</v>
      </c>
      <c r="UVF1" s="65" t="s">
        <v>15119</v>
      </c>
      <c r="UVG1" s="65" t="s">
        <v>15120</v>
      </c>
      <c r="UVH1" s="65" t="s">
        <v>15121</v>
      </c>
      <c r="UVI1" s="65" t="s">
        <v>15122</v>
      </c>
      <c r="UVJ1" s="65" t="s">
        <v>15123</v>
      </c>
      <c r="UVK1" s="65" t="s">
        <v>15124</v>
      </c>
      <c r="UVL1" s="65" t="s">
        <v>15125</v>
      </c>
      <c r="UVM1" s="65" t="s">
        <v>15126</v>
      </c>
      <c r="UVN1" s="65" t="s">
        <v>15127</v>
      </c>
      <c r="UVO1" s="65" t="s">
        <v>15128</v>
      </c>
      <c r="UVP1" s="65" t="s">
        <v>15129</v>
      </c>
      <c r="UVQ1" s="65" t="s">
        <v>15130</v>
      </c>
      <c r="UVR1" s="65" t="s">
        <v>15131</v>
      </c>
      <c r="UVS1" s="65" t="s">
        <v>15132</v>
      </c>
      <c r="UVT1" s="65" t="s">
        <v>15133</v>
      </c>
      <c r="UVU1" s="65" t="s">
        <v>15134</v>
      </c>
      <c r="UVV1" s="65" t="s">
        <v>15135</v>
      </c>
      <c r="UVW1" s="65" t="s">
        <v>15136</v>
      </c>
      <c r="UVX1" s="65" t="s">
        <v>15137</v>
      </c>
      <c r="UVY1" s="65" t="s">
        <v>15138</v>
      </c>
      <c r="UVZ1" s="65" t="s">
        <v>15139</v>
      </c>
      <c r="UWA1" s="65" t="s">
        <v>15140</v>
      </c>
      <c r="UWB1" s="65" t="s">
        <v>15141</v>
      </c>
      <c r="UWC1" s="65" t="s">
        <v>15142</v>
      </c>
      <c r="UWD1" s="65" t="s">
        <v>15143</v>
      </c>
      <c r="UWE1" s="65" t="s">
        <v>15144</v>
      </c>
      <c r="UWF1" s="65" t="s">
        <v>15145</v>
      </c>
      <c r="UWG1" s="65" t="s">
        <v>15146</v>
      </c>
      <c r="UWH1" s="65" t="s">
        <v>15147</v>
      </c>
      <c r="UWI1" s="65" t="s">
        <v>15148</v>
      </c>
      <c r="UWJ1" s="65" t="s">
        <v>15149</v>
      </c>
      <c r="UWK1" s="65" t="s">
        <v>15150</v>
      </c>
      <c r="UWL1" s="65" t="s">
        <v>15151</v>
      </c>
      <c r="UWM1" s="65" t="s">
        <v>15152</v>
      </c>
      <c r="UWN1" s="65" t="s">
        <v>15153</v>
      </c>
      <c r="UWO1" s="65" t="s">
        <v>15154</v>
      </c>
      <c r="UWP1" s="65" t="s">
        <v>15155</v>
      </c>
      <c r="UWQ1" s="65" t="s">
        <v>15156</v>
      </c>
      <c r="UWR1" s="65" t="s">
        <v>15157</v>
      </c>
      <c r="UWS1" s="65" t="s">
        <v>15158</v>
      </c>
      <c r="UWT1" s="65" t="s">
        <v>15159</v>
      </c>
      <c r="UWU1" s="65" t="s">
        <v>15160</v>
      </c>
      <c r="UWV1" s="65" t="s">
        <v>15161</v>
      </c>
      <c r="UWW1" s="65" t="s">
        <v>15162</v>
      </c>
      <c r="UWX1" s="65" t="s">
        <v>15163</v>
      </c>
      <c r="UWY1" s="65" t="s">
        <v>15164</v>
      </c>
      <c r="UWZ1" s="65" t="s">
        <v>15165</v>
      </c>
      <c r="UXA1" s="65" t="s">
        <v>15166</v>
      </c>
      <c r="UXB1" s="65" t="s">
        <v>15167</v>
      </c>
      <c r="UXC1" s="65" t="s">
        <v>15168</v>
      </c>
      <c r="UXD1" s="65" t="s">
        <v>15169</v>
      </c>
      <c r="UXE1" s="65" t="s">
        <v>15170</v>
      </c>
      <c r="UXF1" s="65" t="s">
        <v>15171</v>
      </c>
      <c r="UXG1" s="65" t="s">
        <v>15172</v>
      </c>
      <c r="UXH1" s="65" t="s">
        <v>15173</v>
      </c>
      <c r="UXI1" s="65" t="s">
        <v>15174</v>
      </c>
      <c r="UXJ1" s="65" t="s">
        <v>15175</v>
      </c>
      <c r="UXK1" s="65" t="s">
        <v>15176</v>
      </c>
      <c r="UXL1" s="65" t="s">
        <v>15177</v>
      </c>
      <c r="UXM1" s="65" t="s">
        <v>15178</v>
      </c>
      <c r="UXN1" s="65" t="s">
        <v>15179</v>
      </c>
      <c r="UXO1" s="65" t="s">
        <v>15180</v>
      </c>
      <c r="UXP1" s="65" t="s">
        <v>15181</v>
      </c>
      <c r="UXQ1" s="65" t="s">
        <v>15182</v>
      </c>
      <c r="UXR1" s="65" t="s">
        <v>15183</v>
      </c>
      <c r="UXS1" s="65" t="s">
        <v>15184</v>
      </c>
      <c r="UXT1" s="65" t="s">
        <v>15185</v>
      </c>
      <c r="UXU1" s="65" t="s">
        <v>15186</v>
      </c>
      <c r="UXV1" s="65" t="s">
        <v>15187</v>
      </c>
      <c r="UXW1" s="65" t="s">
        <v>15188</v>
      </c>
      <c r="UXX1" s="65" t="s">
        <v>15189</v>
      </c>
      <c r="UXY1" s="65" t="s">
        <v>15190</v>
      </c>
      <c r="UXZ1" s="65" t="s">
        <v>15191</v>
      </c>
      <c r="UYA1" s="65" t="s">
        <v>15192</v>
      </c>
      <c r="UYB1" s="65" t="s">
        <v>15193</v>
      </c>
      <c r="UYC1" s="65" t="s">
        <v>15194</v>
      </c>
      <c r="UYD1" s="65" t="s">
        <v>15195</v>
      </c>
      <c r="UYE1" s="65" t="s">
        <v>15196</v>
      </c>
      <c r="UYF1" s="65" t="s">
        <v>15197</v>
      </c>
      <c r="UYG1" s="65" t="s">
        <v>15198</v>
      </c>
      <c r="UYH1" s="65" t="s">
        <v>15199</v>
      </c>
      <c r="UYI1" s="65" t="s">
        <v>15200</v>
      </c>
      <c r="UYJ1" s="65" t="s">
        <v>15201</v>
      </c>
      <c r="UYK1" s="65" t="s">
        <v>15202</v>
      </c>
      <c r="UYL1" s="65" t="s">
        <v>15203</v>
      </c>
      <c r="UYM1" s="65" t="s">
        <v>15204</v>
      </c>
      <c r="UYN1" s="65" t="s">
        <v>15205</v>
      </c>
      <c r="UYO1" s="65" t="s">
        <v>15206</v>
      </c>
      <c r="UYP1" s="65" t="s">
        <v>15207</v>
      </c>
      <c r="UYQ1" s="65" t="s">
        <v>15208</v>
      </c>
      <c r="UYR1" s="65" t="s">
        <v>15209</v>
      </c>
      <c r="UYS1" s="65" t="s">
        <v>15210</v>
      </c>
      <c r="UYT1" s="65" t="s">
        <v>15211</v>
      </c>
      <c r="UYU1" s="65" t="s">
        <v>15212</v>
      </c>
      <c r="UYV1" s="65" t="s">
        <v>15213</v>
      </c>
      <c r="UYW1" s="65" t="s">
        <v>15214</v>
      </c>
      <c r="UYX1" s="65" t="s">
        <v>15215</v>
      </c>
      <c r="UYY1" s="65" t="s">
        <v>15216</v>
      </c>
      <c r="UYZ1" s="65" t="s">
        <v>15217</v>
      </c>
      <c r="UZA1" s="65" t="s">
        <v>15218</v>
      </c>
      <c r="UZB1" s="65" t="s">
        <v>15219</v>
      </c>
      <c r="UZC1" s="65" t="s">
        <v>15220</v>
      </c>
      <c r="UZD1" s="65" t="s">
        <v>15221</v>
      </c>
      <c r="UZE1" s="65" t="s">
        <v>15222</v>
      </c>
      <c r="UZF1" s="65" t="s">
        <v>15223</v>
      </c>
      <c r="UZG1" s="65" t="s">
        <v>15224</v>
      </c>
      <c r="UZH1" s="65" t="s">
        <v>15225</v>
      </c>
      <c r="UZI1" s="65" t="s">
        <v>15226</v>
      </c>
      <c r="UZJ1" s="65" t="s">
        <v>15227</v>
      </c>
      <c r="UZK1" s="65" t="s">
        <v>15228</v>
      </c>
      <c r="UZL1" s="65" t="s">
        <v>15229</v>
      </c>
      <c r="UZM1" s="65" t="s">
        <v>15230</v>
      </c>
      <c r="UZN1" s="65" t="s">
        <v>15231</v>
      </c>
      <c r="UZO1" s="65" t="s">
        <v>15232</v>
      </c>
      <c r="UZP1" s="65" t="s">
        <v>15233</v>
      </c>
      <c r="UZQ1" s="65" t="s">
        <v>15234</v>
      </c>
      <c r="UZR1" s="65" t="s">
        <v>15235</v>
      </c>
      <c r="UZS1" s="65" t="s">
        <v>15236</v>
      </c>
      <c r="UZT1" s="65" t="s">
        <v>15237</v>
      </c>
      <c r="UZU1" s="65" t="s">
        <v>15238</v>
      </c>
      <c r="UZV1" s="65" t="s">
        <v>15239</v>
      </c>
      <c r="UZW1" s="65" t="s">
        <v>15240</v>
      </c>
      <c r="UZX1" s="65" t="s">
        <v>15241</v>
      </c>
      <c r="UZY1" s="65" t="s">
        <v>15242</v>
      </c>
      <c r="UZZ1" s="65" t="s">
        <v>15243</v>
      </c>
      <c r="VAA1" s="65" t="s">
        <v>15244</v>
      </c>
      <c r="VAB1" s="65" t="s">
        <v>15245</v>
      </c>
      <c r="VAC1" s="65" t="s">
        <v>15246</v>
      </c>
      <c r="VAD1" s="65" t="s">
        <v>15247</v>
      </c>
      <c r="VAE1" s="65" t="s">
        <v>15248</v>
      </c>
      <c r="VAF1" s="65" t="s">
        <v>15249</v>
      </c>
      <c r="VAG1" s="65" t="s">
        <v>15250</v>
      </c>
      <c r="VAH1" s="65" t="s">
        <v>15251</v>
      </c>
      <c r="VAI1" s="65" t="s">
        <v>15252</v>
      </c>
      <c r="VAJ1" s="65" t="s">
        <v>15253</v>
      </c>
      <c r="VAK1" s="65" t="s">
        <v>15254</v>
      </c>
      <c r="VAL1" s="65" t="s">
        <v>15255</v>
      </c>
      <c r="VAM1" s="65" t="s">
        <v>15256</v>
      </c>
      <c r="VAN1" s="65" t="s">
        <v>15257</v>
      </c>
      <c r="VAO1" s="65" t="s">
        <v>15258</v>
      </c>
      <c r="VAP1" s="65" t="s">
        <v>15259</v>
      </c>
      <c r="VAQ1" s="65" t="s">
        <v>15260</v>
      </c>
      <c r="VAR1" s="65" t="s">
        <v>15261</v>
      </c>
      <c r="VAS1" s="65" t="s">
        <v>15262</v>
      </c>
      <c r="VAT1" s="65" t="s">
        <v>15263</v>
      </c>
      <c r="VAU1" s="65" t="s">
        <v>15264</v>
      </c>
      <c r="VAV1" s="65" t="s">
        <v>15265</v>
      </c>
      <c r="VAW1" s="65" t="s">
        <v>15266</v>
      </c>
      <c r="VAX1" s="65" t="s">
        <v>15267</v>
      </c>
      <c r="VAY1" s="65" t="s">
        <v>15268</v>
      </c>
      <c r="VAZ1" s="65" t="s">
        <v>15269</v>
      </c>
      <c r="VBA1" s="65" t="s">
        <v>15270</v>
      </c>
      <c r="VBB1" s="65" t="s">
        <v>15271</v>
      </c>
      <c r="VBC1" s="65" t="s">
        <v>15272</v>
      </c>
      <c r="VBD1" s="65" t="s">
        <v>15273</v>
      </c>
      <c r="VBE1" s="65" t="s">
        <v>15274</v>
      </c>
      <c r="VBF1" s="65" t="s">
        <v>15275</v>
      </c>
      <c r="VBG1" s="65" t="s">
        <v>15276</v>
      </c>
      <c r="VBH1" s="65" t="s">
        <v>15277</v>
      </c>
      <c r="VBI1" s="65" t="s">
        <v>15278</v>
      </c>
      <c r="VBJ1" s="65" t="s">
        <v>15279</v>
      </c>
      <c r="VBK1" s="65" t="s">
        <v>15280</v>
      </c>
      <c r="VBL1" s="65" t="s">
        <v>15281</v>
      </c>
      <c r="VBM1" s="65" t="s">
        <v>15282</v>
      </c>
      <c r="VBN1" s="65" t="s">
        <v>15283</v>
      </c>
      <c r="VBO1" s="65" t="s">
        <v>15284</v>
      </c>
      <c r="VBP1" s="65" t="s">
        <v>15285</v>
      </c>
      <c r="VBQ1" s="65" t="s">
        <v>15286</v>
      </c>
      <c r="VBR1" s="65" t="s">
        <v>15287</v>
      </c>
      <c r="VBS1" s="65" t="s">
        <v>15288</v>
      </c>
      <c r="VBT1" s="65" t="s">
        <v>15289</v>
      </c>
      <c r="VBU1" s="65" t="s">
        <v>15290</v>
      </c>
      <c r="VBV1" s="65" t="s">
        <v>15291</v>
      </c>
      <c r="VBW1" s="65" t="s">
        <v>15292</v>
      </c>
      <c r="VBX1" s="65" t="s">
        <v>15293</v>
      </c>
      <c r="VBY1" s="65" t="s">
        <v>15294</v>
      </c>
      <c r="VBZ1" s="65" t="s">
        <v>15295</v>
      </c>
      <c r="VCA1" s="65" t="s">
        <v>15296</v>
      </c>
      <c r="VCB1" s="65" t="s">
        <v>15297</v>
      </c>
      <c r="VCC1" s="65" t="s">
        <v>15298</v>
      </c>
      <c r="VCD1" s="65" t="s">
        <v>15299</v>
      </c>
      <c r="VCE1" s="65" t="s">
        <v>15300</v>
      </c>
      <c r="VCF1" s="65" t="s">
        <v>15301</v>
      </c>
      <c r="VCG1" s="65" t="s">
        <v>15302</v>
      </c>
      <c r="VCH1" s="65" t="s">
        <v>15303</v>
      </c>
      <c r="VCI1" s="65" t="s">
        <v>15304</v>
      </c>
      <c r="VCJ1" s="65" t="s">
        <v>15305</v>
      </c>
      <c r="VCK1" s="65" t="s">
        <v>15306</v>
      </c>
      <c r="VCL1" s="65" t="s">
        <v>15307</v>
      </c>
      <c r="VCM1" s="65" t="s">
        <v>15308</v>
      </c>
      <c r="VCN1" s="65" t="s">
        <v>15309</v>
      </c>
      <c r="VCO1" s="65" t="s">
        <v>15310</v>
      </c>
      <c r="VCP1" s="65" t="s">
        <v>15311</v>
      </c>
      <c r="VCQ1" s="65" t="s">
        <v>15312</v>
      </c>
      <c r="VCR1" s="65" t="s">
        <v>15313</v>
      </c>
      <c r="VCS1" s="65" t="s">
        <v>15314</v>
      </c>
      <c r="VCT1" s="65" t="s">
        <v>15315</v>
      </c>
      <c r="VCU1" s="65" t="s">
        <v>15316</v>
      </c>
      <c r="VCV1" s="65" t="s">
        <v>15317</v>
      </c>
      <c r="VCW1" s="65" t="s">
        <v>15318</v>
      </c>
      <c r="VCX1" s="65" t="s">
        <v>15319</v>
      </c>
      <c r="VCY1" s="65" t="s">
        <v>15320</v>
      </c>
      <c r="VCZ1" s="65" t="s">
        <v>15321</v>
      </c>
      <c r="VDA1" s="65" t="s">
        <v>15322</v>
      </c>
      <c r="VDB1" s="65" t="s">
        <v>15323</v>
      </c>
      <c r="VDC1" s="65" t="s">
        <v>15324</v>
      </c>
      <c r="VDD1" s="65" t="s">
        <v>15325</v>
      </c>
      <c r="VDE1" s="65" t="s">
        <v>15326</v>
      </c>
      <c r="VDF1" s="65" t="s">
        <v>15327</v>
      </c>
      <c r="VDG1" s="65" t="s">
        <v>15328</v>
      </c>
      <c r="VDH1" s="65" t="s">
        <v>15329</v>
      </c>
      <c r="VDI1" s="65" t="s">
        <v>15330</v>
      </c>
      <c r="VDJ1" s="65" t="s">
        <v>15331</v>
      </c>
      <c r="VDK1" s="65" t="s">
        <v>15332</v>
      </c>
      <c r="VDL1" s="65" t="s">
        <v>15333</v>
      </c>
      <c r="VDM1" s="65" t="s">
        <v>15334</v>
      </c>
      <c r="VDN1" s="65" t="s">
        <v>15335</v>
      </c>
      <c r="VDO1" s="65" t="s">
        <v>15336</v>
      </c>
      <c r="VDP1" s="65" t="s">
        <v>15337</v>
      </c>
      <c r="VDQ1" s="65" t="s">
        <v>15338</v>
      </c>
      <c r="VDR1" s="65" t="s">
        <v>15339</v>
      </c>
      <c r="VDS1" s="65" t="s">
        <v>15340</v>
      </c>
      <c r="VDT1" s="65" t="s">
        <v>15341</v>
      </c>
      <c r="VDU1" s="65" t="s">
        <v>15342</v>
      </c>
      <c r="VDV1" s="65" t="s">
        <v>15343</v>
      </c>
      <c r="VDW1" s="65" t="s">
        <v>15344</v>
      </c>
      <c r="VDX1" s="65" t="s">
        <v>15345</v>
      </c>
      <c r="VDY1" s="65" t="s">
        <v>15346</v>
      </c>
      <c r="VDZ1" s="65" t="s">
        <v>15347</v>
      </c>
      <c r="VEA1" s="65" t="s">
        <v>15348</v>
      </c>
      <c r="VEB1" s="65" t="s">
        <v>15349</v>
      </c>
      <c r="VEC1" s="65" t="s">
        <v>15350</v>
      </c>
      <c r="VED1" s="65" t="s">
        <v>15351</v>
      </c>
      <c r="VEE1" s="65" t="s">
        <v>15352</v>
      </c>
      <c r="VEF1" s="65" t="s">
        <v>15353</v>
      </c>
      <c r="VEG1" s="65" t="s">
        <v>15354</v>
      </c>
      <c r="VEH1" s="65" t="s">
        <v>15355</v>
      </c>
      <c r="VEI1" s="65" t="s">
        <v>15356</v>
      </c>
      <c r="VEJ1" s="65" t="s">
        <v>15357</v>
      </c>
      <c r="VEK1" s="65" t="s">
        <v>15358</v>
      </c>
      <c r="VEL1" s="65" t="s">
        <v>15359</v>
      </c>
      <c r="VEM1" s="65" t="s">
        <v>15360</v>
      </c>
      <c r="VEN1" s="65" t="s">
        <v>15361</v>
      </c>
      <c r="VEO1" s="65" t="s">
        <v>15362</v>
      </c>
      <c r="VEP1" s="65" t="s">
        <v>15363</v>
      </c>
      <c r="VEQ1" s="65" t="s">
        <v>15364</v>
      </c>
      <c r="VER1" s="65" t="s">
        <v>15365</v>
      </c>
      <c r="VES1" s="65" t="s">
        <v>15366</v>
      </c>
      <c r="VET1" s="65" t="s">
        <v>15367</v>
      </c>
      <c r="VEU1" s="65" t="s">
        <v>15368</v>
      </c>
      <c r="VEV1" s="65" t="s">
        <v>15369</v>
      </c>
      <c r="VEW1" s="65" t="s">
        <v>15370</v>
      </c>
      <c r="VEX1" s="65" t="s">
        <v>15371</v>
      </c>
      <c r="VEY1" s="65" t="s">
        <v>15372</v>
      </c>
      <c r="VEZ1" s="65" t="s">
        <v>15373</v>
      </c>
      <c r="VFA1" s="65" t="s">
        <v>15374</v>
      </c>
      <c r="VFB1" s="65" t="s">
        <v>15375</v>
      </c>
      <c r="VFC1" s="65" t="s">
        <v>15376</v>
      </c>
      <c r="VFD1" s="65" t="s">
        <v>15377</v>
      </c>
      <c r="VFE1" s="65" t="s">
        <v>15378</v>
      </c>
      <c r="VFF1" s="65" t="s">
        <v>15379</v>
      </c>
      <c r="VFG1" s="65" t="s">
        <v>15380</v>
      </c>
      <c r="VFH1" s="65" t="s">
        <v>15381</v>
      </c>
      <c r="VFI1" s="65" t="s">
        <v>15382</v>
      </c>
      <c r="VFJ1" s="65" t="s">
        <v>15383</v>
      </c>
      <c r="VFK1" s="65" t="s">
        <v>15384</v>
      </c>
      <c r="VFL1" s="65" t="s">
        <v>15385</v>
      </c>
      <c r="VFM1" s="65" t="s">
        <v>15386</v>
      </c>
      <c r="VFN1" s="65" t="s">
        <v>15387</v>
      </c>
      <c r="VFO1" s="65" t="s">
        <v>15388</v>
      </c>
      <c r="VFP1" s="65" t="s">
        <v>15389</v>
      </c>
      <c r="VFQ1" s="65" t="s">
        <v>15390</v>
      </c>
      <c r="VFR1" s="65" t="s">
        <v>15391</v>
      </c>
      <c r="VFS1" s="65" t="s">
        <v>15392</v>
      </c>
      <c r="VFT1" s="65" t="s">
        <v>15393</v>
      </c>
      <c r="VFU1" s="65" t="s">
        <v>15394</v>
      </c>
      <c r="VFV1" s="65" t="s">
        <v>15395</v>
      </c>
      <c r="VFW1" s="65" t="s">
        <v>15396</v>
      </c>
      <c r="VFX1" s="65" t="s">
        <v>15397</v>
      </c>
      <c r="VFY1" s="65" t="s">
        <v>15398</v>
      </c>
      <c r="VFZ1" s="65" t="s">
        <v>15399</v>
      </c>
      <c r="VGA1" s="65" t="s">
        <v>15400</v>
      </c>
      <c r="VGB1" s="65" t="s">
        <v>15401</v>
      </c>
      <c r="VGC1" s="65" t="s">
        <v>15402</v>
      </c>
      <c r="VGD1" s="65" t="s">
        <v>15403</v>
      </c>
      <c r="VGE1" s="65" t="s">
        <v>15404</v>
      </c>
      <c r="VGF1" s="65" t="s">
        <v>15405</v>
      </c>
      <c r="VGG1" s="65" t="s">
        <v>15406</v>
      </c>
      <c r="VGH1" s="65" t="s">
        <v>15407</v>
      </c>
      <c r="VGI1" s="65" t="s">
        <v>15408</v>
      </c>
      <c r="VGJ1" s="65" t="s">
        <v>15409</v>
      </c>
      <c r="VGK1" s="65" t="s">
        <v>15410</v>
      </c>
      <c r="VGL1" s="65" t="s">
        <v>15411</v>
      </c>
      <c r="VGM1" s="65" t="s">
        <v>15412</v>
      </c>
      <c r="VGN1" s="65" t="s">
        <v>15413</v>
      </c>
      <c r="VGO1" s="65" t="s">
        <v>15414</v>
      </c>
      <c r="VGP1" s="65" t="s">
        <v>15415</v>
      </c>
      <c r="VGQ1" s="65" t="s">
        <v>15416</v>
      </c>
      <c r="VGR1" s="65" t="s">
        <v>15417</v>
      </c>
      <c r="VGS1" s="65" t="s">
        <v>15418</v>
      </c>
      <c r="VGT1" s="65" t="s">
        <v>15419</v>
      </c>
      <c r="VGU1" s="65" t="s">
        <v>15420</v>
      </c>
      <c r="VGV1" s="65" t="s">
        <v>15421</v>
      </c>
      <c r="VGW1" s="65" t="s">
        <v>15422</v>
      </c>
      <c r="VGX1" s="65" t="s">
        <v>15423</v>
      </c>
      <c r="VGY1" s="65" t="s">
        <v>15424</v>
      </c>
      <c r="VGZ1" s="65" t="s">
        <v>15425</v>
      </c>
      <c r="VHA1" s="65" t="s">
        <v>15426</v>
      </c>
      <c r="VHB1" s="65" t="s">
        <v>15427</v>
      </c>
      <c r="VHC1" s="65" t="s">
        <v>15428</v>
      </c>
      <c r="VHD1" s="65" t="s">
        <v>15429</v>
      </c>
      <c r="VHE1" s="65" t="s">
        <v>15430</v>
      </c>
      <c r="VHF1" s="65" t="s">
        <v>15431</v>
      </c>
      <c r="VHG1" s="65" t="s">
        <v>15432</v>
      </c>
      <c r="VHH1" s="65" t="s">
        <v>15433</v>
      </c>
      <c r="VHI1" s="65" t="s">
        <v>15434</v>
      </c>
      <c r="VHJ1" s="65" t="s">
        <v>15435</v>
      </c>
      <c r="VHK1" s="65" t="s">
        <v>15436</v>
      </c>
      <c r="VHL1" s="65" t="s">
        <v>15437</v>
      </c>
      <c r="VHM1" s="65" t="s">
        <v>15438</v>
      </c>
      <c r="VHN1" s="65" t="s">
        <v>15439</v>
      </c>
      <c r="VHO1" s="65" t="s">
        <v>15440</v>
      </c>
      <c r="VHP1" s="65" t="s">
        <v>15441</v>
      </c>
      <c r="VHQ1" s="65" t="s">
        <v>15442</v>
      </c>
      <c r="VHR1" s="65" t="s">
        <v>15443</v>
      </c>
      <c r="VHS1" s="65" t="s">
        <v>15444</v>
      </c>
      <c r="VHT1" s="65" t="s">
        <v>15445</v>
      </c>
      <c r="VHU1" s="65" t="s">
        <v>15446</v>
      </c>
      <c r="VHV1" s="65" t="s">
        <v>15447</v>
      </c>
      <c r="VHW1" s="65" t="s">
        <v>15448</v>
      </c>
      <c r="VHX1" s="65" t="s">
        <v>15449</v>
      </c>
      <c r="VHY1" s="65" t="s">
        <v>15450</v>
      </c>
      <c r="VHZ1" s="65" t="s">
        <v>15451</v>
      </c>
      <c r="VIA1" s="65" t="s">
        <v>15452</v>
      </c>
      <c r="VIB1" s="65" t="s">
        <v>15453</v>
      </c>
      <c r="VIC1" s="65" t="s">
        <v>15454</v>
      </c>
      <c r="VID1" s="65" t="s">
        <v>15455</v>
      </c>
      <c r="VIE1" s="65" t="s">
        <v>15456</v>
      </c>
      <c r="VIF1" s="65" t="s">
        <v>15457</v>
      </c>
      <c r="VIG1" s="65" t="s">
        <v>15458</v>
      </c>
      <c r="VIH1" s="65" t="s">
        <v>15459</v>
      </c>
      <c r="VII1" s="65" t="s">
        <v>15460</v>
      </c>
      <c r="VIJ1" s="65" t="s">
        <v>15461</v>
      </c>
      <c r="VIK1" s="65" t="s">
        <v>15462</v>
      </c>
      <c r="VIL1" s="65" t="s">
        <v>15463</v>
      </c>
      <c r="VIM1" s="65" t="s">
        <v>15464</v>
      </c>
      <c r="VIN1" s="65" t="s">
        <v>15465</v>
      </c>
      <c r="VIO1" s="65" t="s">
        <v>15466</v>
      </c>
      <c r="VIP1" s="65" t="s">
        <v>15467</v>
      </c>
      <c r="VIQ1" s="65" t="s">
        <v>15468</v>
      </c>
      <c r="VIR1" s="65" t="s">
        <v>15469</v>
      </c>
      <c r="VIS1" s="65" t="s">
        <v>15470</v>
      </c>
      <c r="VIT1" s="65" t="s">
        <v>15471</v>
      </c>
      <c r="VIU1" s="65" t="s">
        <v>15472</v>
      </c>
      <c r="VIV1" s="65" t="s">
        <v>15473</v>
      </c>
      <c r="VIW1" s="65" t="s">
        <v>15474</v>
      </c>
      <c r="VIX1" s="65" t="s">
        <v>15475</v>
      </c>
      <c r="VIY1" s="65" t="s">
        <v>15476</v>
      </c>
      <c r="VIZ1" s="65" t="s">
        <v>15477</v>
      </c>
      <c r="VJA1" s="65" t="s">
        <v>15478</v>
      </c>
      <c r="VJB1" s="65" t="s">
        <v>15479</v>
      </c>
      <c r="VJC1" s="65" t="s">
        <v>15480</v>
      </c>
      <c r="VJD1" s="65" t="s">
        <v>15481</v>
      </c>
      <c r="VJE1" s="65" t="s">
        <v>15482</v>
      </c>
      <c r="VJF1" s="65" t="s">
        <v>15483</v>
      </c>
      <c r="VJG1" s="65" t="s">
        <v>15484</v>
      </c>
      <c r="VJH1" s="65" t="s">
        <v>15485</v>
      </c>
      <c r="VJI1" s="65" t="s">
        <v>15486</v>
      </c>
      <c r="VJJ1" s="65" t="s">
        <v>15487</v>
      </c>
      <c r="VJK1" s="65" t="s">
        <v>15488</v>
      </c>
      <c r="VJL1" s="65" t="s">
        <v>15489</v>
      </c>
      <c r="VJM1" s="65" t="s">
        <v>15490</v>
      </c>
      <c r="VJN1" s="65" t="s">
        <v>15491</v>
      </c>
      <c r="VJO1" s="65" t="s">
        <v>15492</v>
      </c>
      <c r="VJP1" s="65" t="s">
        <v>15493</v>
      </c>
      <c r="VJQ1" s="65" t="s">
        <v>15494</v>
      </c>
      <c r="VJR1" s="65" t="s">
        <v>15495</v>
      </c>
      <c r="VJS1" s="65" t="s">
        <v>15496</v>
      </c>
      <c r="VJT1" s="65" t="s">
        <v>15497</v>
      </c>
      <c r="VJU1" s="65" t="s">
        <v>15498</v>
      </c>
      <c r="VJV1" s="65" t="s">
        <v>15499</v>
      </c>
      <c r="VJW1" s="65" t="s">
        <v>15500</v>
      </c>
      <c r="VJX1" s="65" t="s">
        <v>15501</v>
      </c>
      <c r="VJY1" s="65" t="s">
        <v>15502</v>
      </c>
      <c r="VJZ1" s="65" t="s">
        <v>15503</v>
      </c>
      <c r="VKA1" s="65" t="s">
        <v>15504</v>
      </c>
      <c r="VKB1" s="65" t="s">
        <v>15505</v>
      </c>
      <c r="VKC1" s="65" t="s">
        <v>15506</v>
      </c>
      <c r="VKD1" s="65" t="s">
        <v>15507</v>
      </c>
      <c r="VKE1" s="65" t="s">
        <v>15508</v>
      </c>
      <c r="VKF1" s="65" t="s">
        <v>15509</v>
      </c>
      <c r="VKG1" s="65" t="s">
        <v>15510</v>
      </c>
      <c r="VKH1" s="65" t="s">
        <v>15511</v>
      </c>
      <c r="VKI1" s="65" t="s">
        <v>15512</v>
      </c>
      <c r="VKJ1" s="65" t="s">
        <v>15513</v>
      </c>
      <c r="VKK1" s="65" t="s">
        <v>15514</v>
      </c>
      <c r="VKL1" s="65" t="s">
        <v>15515</v>
      </c>
      <c r="VKM1" s="65" t="s">
        <v>15516</v>
      </c>
      <c r="VKN1" s="65" t="s">
        <v>15517</v>
      </c>
      <c r="VKO1" s="65" t="s">
        <v>15518</v>
      </c>
      <c r="VKP1" s="65" t="s">
        <v>15519</v>
      </c>
      <c r="VKQ1" s="65" t="s">
        <v>15520</v>
      </c>
      <c r="VKR1" s="65" t="s">
        <v>15521</v>
      </c>
      <c r="VKS1" s="65" t="s">
        <v>15522</v>
      </c>
      <c r="VKT1" s="65" t="s">
        <v>15523</v>
      </c>
      <c r="VKU1" s="65" t="s">
        <v>15524</v>
      </c>
      <c r="VKV1" s="65" t="s">
        <v>15525</v>
      </c>
      <c r="VKW1" s="65" t="s">
        <v>15526</v>
      </c>
      <c r="VKX1" s="65" t="s">
        <v>15527</v>
      </c>
      <c r="VKY1" s="65" t="s">
        <v>15528</v>
      </c>
      <c r="VKZ1" s="65" t="s">
        <v>15529</v>
      </c>
      <c r="VLA1" s="65" t="s">
        <v>15530</v>
      </c>
      <c r="VLB1" s="65" t="s">
        <v>15531</v>
      </c>
      <c r="VLC1" s="65" t="s">
        <v>15532</v>
      </c>
      <c r="VLD1" s="65" t="s">
        <v>15533</v>
      </c>
      <c r="VLE1" s="65" t="s">
        <v>15534</v>
      </c>
      <c r="VLF1" s="65" t="s">
        <v>15535</v>
      </c>
      <c r="VLG1" s="65" t="s">
        <v>15536</v>
      </c>
      <c r="VLH1" s="65" t="s">
        <v>15537</v>
      </c>
      <c r="VLI1" s="65" t="s">
        <v>15538</v>
      </c>
      <c r="VLJ1" s="65" t="s">
        <v>15539</v>
      </c>
      <c r="VLK1" s="65" t="s">
        <v>15540</v>
      </c>
      <c r="VLL1" s="65" t="s">
        <v>15541</v>
      </c>
      <c r="VLM1" s="65" t="s">
        <v>15542</v>
      </c>
      <c r="VLN1" s="65" t="s">
        <v>15543</v>
      </c>
      <c r="VLO1" s="65" t="s">
        <v>15544</v>
      </c>
      <c r="VLP1" s="65" t="s">
        <v>15545</v>
      </c>
      <c r="VLQ1" s="65" t="s">
        <v>15546</v>
      </c>
      <c r="VLR1" s="65" t="s">
        <v>15547</v>
      </c>
      <c r="VLS1" s="65" t="s">
        <v>15548</v>
      </c>
      <c r="VLT1" s="65" t="s">
        <v>15549</v>
      </c>
      <c r="VLU1" s="65" t="s">
        <v>15550</v>
      </c>
      <c r="VLV1" s="65" t="s">
        <v>15551</v>
      </c>
      <c r="VLW1" s="65" t="s">
        <v>15552</v>
      </c>
      <c r="VLX1" s="65" t="s">
        <v>15553</v>
      </c>
      <c r="VLY1" s="65" t="s">
        <v>15554</v>
      </c>
      <c r="VLZ1" s="65" t="s">
        <v>15555</v>
      </c>
      <c r="VMA1" s="65" t="s">
        <v>15556</v>
      </c>
      <c r="VMB1" s="65" t="s">
        <v>15557</v>
      </c>
      <c r="VMC1" s="65" t="s">
        <v>15558</v>
      </c>
      <c r="VMD1" s="65" t="s">
        <v>15559</v>
      </c>
      <c r="VME1" s="65" t="s">
        <v>15560</v>
      </c>
      <c r="VMF1" s="65" t="s">
        <v>15561</v>
      </c>
      <c r="VMG1" s="65" t="s">
        <v>15562</v>
      </c>
      <c r="VMH1" s="65" t="s">
        <v>15563</v>
      </c>
      <c r="VMI1" s="65" t="s">
        <v>15564</v>
      </c>
      <c r="VMJ1" s="65" t="s">
        <v>15565</v>
      </c>
      <c r="VMK1" s="65" t="s">
        <v>15566</v>
      </c>
      <c r="VML1" s="65" t="s">
        <v>15567</v>
      </c>
      <c r="VMM1" s="65" t="s">
        <v>15568</v>
      </c>
      <c r="VMN1" s="65" t="s">
        <v>15569</v>
      </c>
      <c r="VMO1" s="65" t="s">
        <v>15570</v>
      </c>
      <c r="VMP1" s="65" t="s">
        <v>15571</v>
      </c>
      <c r="VMQ1" s="65" t="s">
        <v>15572</v>
      </c>
      <c r="VMR1" s="65" t="s">
        <v>15573</v>
      </c>
      <c r="VMS1" s="65" t="s">
        <v>15574</v>
      </c>
      <c r="VMT1" s="65" t="s">
        <v>15575</v>
      </c>
      <c r="VMU1" s="65" t="s">
        <v>15576</v>
      </c>
      <c r="VMV1" s="65" t="s">
        <v>15577</v>
      </c>
      <c r="VMW1" s="65" t="s">
        <v>15578</v>
      </c>
      <c r="VMX1" s="65" t="s">
        <v>15579</v>
      </c>
      <c r="VMY1" s="65" t="s">
        <v>15580</v>
      </c>
      <c r="VMZ1" s="65" t="s">
        <v>15581</v>
      </c>
      <c r="VNA1" s="65" t="s">
        <v>15582</v>
      </c>
      <c r="VNB1" s="65" t="s">
        <v>15583</v>
      </c>
      <c r="VNC1" s="65" t="s">
        <v>15584</v>
      </c>
      <c r="VND1" s="65" t="s">
        <v>15585</v>
      </c>
      <c r="VNE1" s="65" t="s">
        <v>15586</v>
      </c>
      <c r="VNF1" s="65" t="s">
        <v>15587</v>
      </c>
      <c r="VNG1" s="65" t="s">
        <v>15588</v>
      </c>
      <c r="VNH1" s="65" t="s">
        <v>15589</v>
      </c>
      <c r="VNI1" s="65" t="s">
        <v>15590</v>
      </c>
      <c r="VNJ1" s="65" t="s">
        <v>15591</v>
      </c>
      <c r="VNK1" s="65" t="s">
        <v>15592</v>
      </c>
      <c r="VNL1" s="65" t="s">
        <v>15593</v>
      </c>
      <c r="VNM1" s="65" t="s">
        <v>15594</v>
      </c>
      <c r="VNN1" s="65" t="s">
        <v>15595</v>
      </c>
      <c r="VNO1" s="65" t="s">
        <v>15596</v>
      </c>
      <c r="VNP1" s="65" t="s">
        <v>15597</v>
      </c>
      <c r="VNQ1" s="65" t="s">
        <v>15598</v>
      </c>
      <c r="VNR1" s="65" t="s">
        <v>15599</v>
      </c>
      <c r="VNS1" s="65" t="s">
        <v>15600</v>
      </c>
      <c r="VNT1" s="65" t="s">
        <v>15601</v>
      </c>
      <c r="VNU1" s="65" t="s">
        <v>15602</v>
      </c>
      <c r="VNV1" s="65" t="s">
        <v>15603</v>
      </c>
      <c r="VNW1" s="65" t="s">
        <v>15604</v>
      </c>
      <c r="VNX1" s="65" t="s">
        <v>15605</v>
      </c>
      <c r="VNY1" s="65" t="s">
        <v>15606</v>
      </c>
      <c r="VNZ1" s="65" t="s">
        <v>15607</v>
      </c>
      <c r="VOA1" s="65" t="s">
        <v>15608</v>
      </c>
      <c r="VOB1" s="65" t="s">
        <v>15609</v>
      </c>
      <c r="VOC1" s="65" t="s">
        <v>15610</v>
      </c>
      <c r="VOD1" s="65" t="s">
        <v>15611</v>
      </c>
      <c r="VOE1" s="65" t="s">
        <v>15612</v>
      </c>
      <c r="VOF1" s="65" t="s">
        <v>15613</v>
      </c>
      <c r="VOG1" s="65" t="s">
        <v>15614</v>
      </c>
      <c r="VOH1" s="65" t="s">
        <v>15615</v>
      </c>
      <c r="VOI1" s="65" t="s">
        <v>15616</v>
      </c>
      <c r="VOJ1" s="65" t="s">
        <v>15617</v>
      </c>
      <c r="VOK1" s="65" t="s">
        <v>15618</v>
      </c>
      <c r="VOL1" s="65" t="s">
        <v>15619</v>
      </c>
      <c r="VOM1" s="65" t="s">
        <v>15620</v>
      </c>
      <c r="VON1" s="65" t="s">
        <v>15621</v>
      </c>
      <c r="VOO1" s="65" t="s">
        <v>15622</v>
      </c>
      <c r="VOP1" s="65" t="s">
        <v>15623</v>
      </c>
      <c r="VOQ1" s="65" t="s">
        <v>15624</v>
      </c>
      <c r="VOR1" s="65" t="s">
        <v>15625</v>
      </c>
      <c r="VOS1" s="65" t="s">
        <v>15626</v>
      </c>
      <c r="VOT1" s="65" t="s">
        <v>15627</v>
      </c>
      <c r="VOU1" s="65" t="s">
        <v>15628</v>
      </c>
      <c r="VOV1" s="65" t="s">
        <v>15629</v>
      </c>
      <c r="VOW1" s="65" t="s">
        <v>15630</v>
      </c>
      <c r="VOX1" s="65" t="s">
        <v>15631</v>
      </c>
      <c r="VOY1" s="65" t="s">
        <v>15632</v>
      </c>
      <c r="VOZ1" s="65" t="s">
        <v>15633</v>
      </c>
      <c r="VPA1" s="65" t="s">
        <v>15634</v>
      </c>
      <c r="VPB1" s="65" t="s">
        <v>15635</v>
      </c>
      <c r="VPC1" s="65" t="s">
        <v>15636</v>
      </c>
      <c r="VPD1" s="65" t="s">
        <v>15637</v>
      </c>
      <c r="VPE1" s="65" t="s">
        <v>15638</v>
      </c>
      <c r="VPF1" s="65" t="s">
        <v>15639</v>
      </c>
      <c r="VPG1" s="65" t="s">
        <v>15640</v>
      </c>
      <c r="VPH1" s="65" t="s">
        <v>15641</v>
      </c>
      <c r="VPI1" s="65" t="s">
        <v>15642</v>
      </c>
      <c r="VPJ1" s="65" t="s">
        <v>15643</v>
      </c>
      <c r="VPK1" s="65" t="s">
        <v>15644</v>
      </c>
      <c r="VPL1" s="65" t="s">
        <v>15645</v>
      </c>
      <c r="VPM1" s="65" t="s">
        <v>15646</v>
      </c>
      <c r="VPN1" s="65" t="s">
        <v>15647</v>
      </c>
      <c r="VPO1" s="65" t="s">
        <v>15648</v>
      </c>
      <c r="VPP1" s="65" t="s">
        <v>15649</v>
      </c>
      <c r="VPQ1" s="65" t="s">
        <v>15650</v>
      </c>
      <c r="VPR1" s="65" t="s">
        <v>15651</v>
      </c>
      <c r="VPS1" s="65" t="s">
        <v>15652</v>
      </c>
      <c r="VPT1" s="65" t="s">
        <v>15653</v>
      </c>
      <c r="VPU1" s="65" t="s">
        <v>15654</v>
      </c>
      <c r="VPV1" s="65" t="s">
        <v>15655</v>
      </c>
      <c r="VPW1" s="65" t="s">
        <v>15656</v>
      </c>
      <c r="VPX1" s="65" t="s">
        <v>15657</v>
      </c>
      <c r="VPY1" s="65" t="s">
        <v>15658</v>
      </c>
      <c r="VPZ1" s="65" t="s">
        <v>15659</v>
      </c>
      <c r="VQA1" s="65" t="s">
        <v>15660</v>
      </c>
      <c r="VQB1" s="65" t="s">
        <v>15661</v>
      </c>
      <c r="VQC1" s="65" t="s">
        <v>15662</v>
      </c>
      <c r="VQD1" s="65" t="s">
        <v>15663</v>
      </c>
      <c r="VQE1" s="65" t="s">
        <v>15664</v>
      </c>
      <c r="VQF1" s="65" t="s">
        <v>15665</v>
      </c>
      <c r="VQG1" s="65" t="s">
        <v>15666</v>
      </c>
      <c r="VQH1" s="65" t="s">
        <v>15667</v>
      </c>
      <c r="VQI1" s="65" t="s">
        <v>15668</v>
      </c>
      <c r="VQJ1" s="65" t="s">
        <v>15669</v>
      </c>
      <c r="VQK1" s="65" t="s">
        <v>15670</v>
      </c>
      <c r="VQL1" s="65" t="s">
        <v>15671</v>
      </c>
      <c r="VQM1" s="65" t="s">
        <v>15672</v>
      </c>
      <c r="VQN1" s="65" t="s">
        <v>15673</v>
      </c>
      <c r="VQO1" s="65" t="s">
        <v>15674</v>
      </c>
      <c r="VQP1" s="65" t="s">
        <v>15675</v>
      </c>
      <c r="VQQ1" s="65" t="s">
        <v>15676</v>
      </c>
      <c r="VQR1" s="65" t="s">
        <v>15677</v>
      </c>
      <c r="VQS1" s="65" t="s">
        <v>15678</v>
      </c>
      <c r="VQT1" s="65" t="s">
        <v>15679</v>
      </c>
      <c r="VQU1" s="65" t="s">
        <v>15680</v>
      </c>
      <c r="VQV1" s="65" t="s">
        <v>15681</v>
      </c>
      <c r="VQW1" s="65" t="s">
        <v>15682</v>
      </c>
      <c r="VQX1" s="65" t="s">
        <v>15683</v>
      </c>
      <c r="VQY1" s="65" t="s">
        <v>15684</v>
      </c>
      <c r="VQZ1" s="65" t="s">
        <v>15685</v>
      </c>
      <c r="VRA1" s="65" t="s">
        <v>15686</v>
      </c>
      <c r="VRB1" s="65" t="s">
        <v>15687</v>
      </c>
      <c r="VRC1" s="65" t="s">
        <v>15688</v>
      </c>
      <c r="VRD1" s="65" t="s">
        <v>15689</v>
      </c>
      <c r="VRE1" s="65" t="s">
        <v>15690</v>
      </c>
      <c r="VRF1" s="65" t="s">
        <v>15691</v>
      </c>
      <c r="VRG1" s="65" t="s">
        <v>15692</v>
      </c>
      <c r="VRH1" s="65" t="s">
        <v>15693</v>
      </c>
      <c r="VRI1" s="65" t="s">
        <v>15694</v>
      </c>
      <c r="VRJ1" s="65" t="s">
        <v>15695</v>
      </c>
      <c r="VRK1" s="65" t="s">
        <v>15696</v>
      </c>
      <c r="VRL1" s="65" t="s">
        <v>15697</v>
      </c>
      <c r="VRM1" s="65" t="s">
        <v>15698</v>
      </c>
      <c r="VRN1" s="65" t="s">
        <v>15699</v>
      </c>
      <c r="VRO1" s="65" t="s">
        <v>15700</v>
      </c>
      <c r="VRP1" s="65" t="s">
        <v>15701</v>
      </c>
      <c r="VRQ1" s="65" t="s">
        <v>15702</v>
      </c>
      <c r="VRR1" s="65" t="s">
        <v>15703</v>
      </c>
      <c r="VRS1" s="65" t="s">
        <v>15704</v>
      </c>
      <c r="VRT1" s="65" t="s">
        <v>15705</v>
      </c>
      <c r="VRU1" s="65" t="s">
        <v>15706</v>
      </c>
      <c r="VRV1" s="65" t="s">
        <v>15707</v>
      </c>
      <c r="VRW1" s="65" t="s">
        <v>15708</v>
      </c>
      <c r="VRX1" s="65" t="s">
        <v>15709</v>
      </c>
      <c r="VRY1" s="65" t="s">
        <v>15710</v>
      </c>
      <c r="VRZ1" s="65" t="s">
        <v>15711</v>
      </c>
      <c r="VSA1" s="65" t="s">
        <v>15712</v>
      </c>
      <c r="VSB1" s="65" t="s">
        <v>15713</v>
      </c>
      <c r="VSC1" s="65" t="s">
        <v>15714</v>
      </c>
      <c r="VSD1" s="65" t="s">
        <v>15715</v>
      </c>
      <c r="VSE1" s="65" t="s">
        <v>15716</v>
      </c>
      <c r="VSF1" s="65" t="s">
        <v>15717</v>
      </c>
      <c r="VSG1" s="65" t="s">
        <v>15718</v>
      </c>
      <c r="VSH1" s="65" t="s">
        <v>15719</v>
      </c>
      <c r="VSI1" s="65" t="s">
        <v>15720</v>
      </c>
      <c r="VSJ1" s="65" t="s">
        <v>15721</v>
      </c>
      <c r="VSK1" s="65" t="s">
        <v>15722</v>
      </c>
      <c r="VSL1" s="65" t="s">
        <v>15723</v>
      </c>
      <c r="VSM1" s="65" t="s">
        <v>15724</v>
      </c>
      <c r="VSN1" s="65" t="s">
        <v>15725</v>
      </c>
      <c r="VSO1" s="65" t="s">
        <v>15726</v>
      </c>
      <c r="VSP1" s="65" t="s">
        <v>15727</v>
      </c>
      <c r="VSQ1" s="65" t="s">
        <v>15728</v>
      </c>
      <c r="VSR1" s="65" t="s">
        <v>15729</v>
      </c>
      <c r="VSS1" s="65" t="s">
        <v>15730</v>
      </c>
      <c r="VST1" s="65" t="s">
        <v>15731</v>
      </c>
      <c r="VSU1" s="65" t="s">
        <v>15732</v>
      </c>
      <c r="VSV1" s="65" t="s">
        <v>15733</v>
      </c>
      <c r="VSW1" s="65" t="s">
        <v>15734</v>
      </c>
      <c r="VSX1" s="65" t="s">
        <v>15735</v>
      </c>
      <c r="VSY1" s="65" t="s">
        <v>15736</v>
      </c>
      <c r="VSZ1" s="65" t="s">
        <v>15737</v>
      </c>
      <c r="VTA1" s="65" t="s">
        <v>15738</v>
      </c>
      <c r="VTB1" s="65" t="s">
        <v>15739</v>
      </c>
      <c r="VTC1" s="65" t="s">
        <v>15740</v>
      </c>
      <c r="VTD1" s="65" t="s">
        <v>15741</v>
      </c>
      <c r="VTE1" s="65" t="s">
        <v>15742</v>
      </c>
      <c r="VTF1" s="65" t="s">
        <v>15743</v>
      </c>
      <c r="VTG1" s="65" t="s">
        <v>15744</v>
      </c>
      <c r="VTH1" s="65" t="s">
        <v>15745</v>
      </c>
      <c r="VTI1" s="65" t="s">
        <v>15746</v>
      </c>
      <c r="VTJ1" s="65" t="s">
        <v>15747</v>
      </c>
      <c r="VTK1" s="65" t="s">
        <v>15748</v>
      </c>
      <c r="VTL1" s="65" t="s">
        <v>15749</v>
      </c>
      <c r="VTM1" s="65" t="s">
        <v>15750</v>
      </c>
      <c r="VTN1" s="65" t="s">
        <v>15751</v>
      </c>
      <c r="VTO1" s="65" t="s">
        <v>15752</v>
      </c>
      <c r="VTP1" s="65" t="s">
        <v>15753</v>
      </c>
      <c r="VTQ1" s="65" t="s">
        <v>15754</v>
      </c>
      <c r="VTR1" s="65" t="s">
        <v>15755</v>
      </c>
      <c r="VTS1" s="65" t="s">
        <v>15756</v>
      </c>
      <c r="VTT1" s="65" t="s">
        <v>15757</v>
      </c>
      <c r="VTU1" s="65" t="s">
        <v>15758</v>
      </c>
      <c r="VTV1" s="65" t="s">
        <v>15759</v>
      </c>
      <c r="VTW1" s="65" t="s">
        <v>15760</v>
      </c>
      <c r="VTX1" s="65" t="s">
        <v>15761</v>
      </c>
      <c r="VTY1" s="65" t="s">
        <v>15762</v>
      </c>
      <c r="VTZ1" s="65" t="s">
        <v>15763</v>
      </c>
      <c r="VUA1" s="65" t="s">
        <v>15764</v>
      </c>
      <c r="VUB1" s="65" t="s">
        <v>15765</v>
      </c>
      <c r="VUC1" s="65" t="s">
        <v>15766</v>
      </c>
      <c r="VUD1" s="65" t="s">
        <v>15767</v>
      </c>
      <c r="VUE1" s="65" t="s">
        <v>15768</v>
      </c>
      <c r="VUF1" s="65" t="s">
        <v>15769</v>
      </c>
      <c r="VUG1" s="65" t="s">
        <v>15770</v>
      </c>
      <c r="VUH1" s="65" t="s">
        <v>15771</v>
      </c>
      <c r="VUI1" s="65" t="s">
        <v>15772</v>
      </c>
      <c r="VUJ1" s="65" t="s">
        <v>15773</v>
      </c>
      <c r="VUK1" s="65" t="s">
        <v>15774</v>
      </c>
      <c r="VUL1" s="65" t="s">
        <v>15775</v>
      </c>
      <c r="VUM1" s="65" t="s">
        <v>15776</v>
      </c>
      <c r="VUN1" s="65" t="s">
        <v>15777</v>
      </c>
      <c r="VUO1" s="65" t="s">
        <v>15778</v>
      </c>
      <c r="VUP1" s="65" t="s">
        <v>15779</v>
      </c>
      <c r="VUQ1" s="65" t="s">
        <v>15780</v>
      </c>
      <c r="VUR1" s="65" t="s">
        <v>15781</v>
      </c>
      <c r="VUS1" s="65" t="s">
        <v>15782</v>
      </c>
      <c r="VUT1" s="65" t="s">
        <v>15783</v>
      </c>
      <c r="VUU1" s="65" t="s">
        <v>15784</v>
      </c>
      <c r="VUV1" s="65" t="s">
        <v>15785</v>
      </c>
      <c r="VUW1" s="65" t="s">
        <v>15786</v>
      </c>
      <c r="VUX1" s="65" t="s">
        <v>15787</v>
      </c>
      <c r="VUY1" s="65" t="s">
        <v>15788</v>
      </c>
      <c r="VUZ1" s="65" t="s">
        <v>15789</v>
      </c>
      <c r="VVA1" s="65" t="s">
        <v>15790</v>
      </c>
      <c r="VVB1" s="65" t="s">
        <v>15791</v>
      </c>
      <c r="VVC1" s="65" t="s">
        <v>15792</v>
      </c>
      <c r="VVD1" s="65" t="s">
        <v>15793</v>
      </c>
      <c r="VVE1" s="65" t="s">
        <v>15794</v>
      </c>
      <c r="VVF1" s="65" t="s">
        <v>15795</v>
      </c>
      <c r="VVG1" s="65" t="s">
        <v>15796</v>
      </c>
      <c r="VVH1" s="65" t="s">
        <v>15797</v>
      </c>
      <c r="VVI1" s="65" t="s">
        <v>15798</v>
      </c>
      <c r="VVJ1" s="65" t="s">
        <v>15799</v>
      </c>
      <c r="VVK1" s="65" t="s">
        <v>15800</v>
      </c>
      <c r="VVL1" s="65" t="s">
        <v>15801</v>
      </c>
      <c r="VVM1" s="65" t="s">
        <v>15802</v>
      </c>
      <c r="VVN1" s="65" t="s">
        <v>15803</v>
      </c>
      <c r="VVO1" s="65" t="s">
        <v>15804</v>
      </c>
      <c r="VVP1" s="65" t="s">
        <v>15805</v>
      </c>
      <c r="VVQ1" s="65" t="s">
        <v>15806</v>
      </c>
      <c r="VVR1" s="65" t="s">
        <v>15807</v>
      </c>
      <c r="VVS1" s="65" t="s">
        <v>15808</v>
      </c>
      <c r="VVT1" s="65" t="s">
        <v>15809</v>
      </c>
      <c r="VVU1" s="65" t="s">
        <v>15810</v>
      </c>
      <c r="VVV1" s="65" t="s">
        <v>15811</v>
      </c>
      <c r="VVW1" s="65" t="s">
        <v>15812</v>
      </c>
      <c r="VVX1" s="65" t="s">
        <v>15813</v>
      </c>
      <c r="VVY1" s="65" t="s">
        <v>15814</v>
      </c>
      <c r="VVZ1" s="65" t="s">
        <v>15815</v>
      </c>
      <c r="VWA1" s="65" t="s">
        <v>15816</v>
      </c>
      <c r="VWB1" s="65" t="s">
        <v>15817</v>
      </c>
      <c r="VWC1" s="65" t="s">
        <v>15818</v>
      </c>
      <c r="VWD1" s="65" t="s">
        <v>15819</v>
      </c>
      <c r="VWE1" s="65" t="s">
        <v>15820</v>
      </c>
      <c r="VWF1" s="65" t="s">
        <v>15821</v>
      </c>
      <c r="VWG1" s="65" t="s">
        <v>15822</v>
      </c>
      <c r="VWH1" s="65" t="s">
        <v>15823</v>
      </c>
      <c r="VWI1" s="65" t="s">
        <v>15824</v>
      </c>
      <c r="VWJ1" s="65" t="s">
        <v>15825</v>
      </c>
      <c r="VWK1" s="65" t="s">
        <v>15826</v>
      </c>
      <c r="VWL1" s="65" t="s">
        <v>15827</v>
      </c>
      <c r="VWM1" s="65" t="s">
        <v>15828</v>
      </c>
      <c r="VWN1" s="65" t="s">
        <v>15829</v>
      </c>
      <c r="VWO1" s="65" t="s">
        <v>15830</v>
      </c>
      <c r="VWP1" s="65" t="s">
        <v>15831</v>
      </c>
      <c r="VWQ1" s="65" t="s">
        <v>15832</v>
      </c>
      <c r="VWR1" s="65" t="s">
        <v>15833</v>
      </c>
      <c r="VWS1" s="65" t="s">
        <v>15834</v>
      </c>
      <c r="VWT1" s="65" t="s">
        <v>15835</v>
      </c>
      <c r="VWU1" s="65" t="s">
        <v>15836</v>
      </c>
      <c r="VWV1" s="65" t="s">
        <v>15837</v>
      </c>
      <c r="VWW1" s="65" t="s">
        <v>15838</v>
      </c>
      <c r="VWX1" s="65" t="s">
        <v>15839</v>
      </c>
      <c r="VWY1" s="65" t="s">
        <v>15840</v>
      </c>
      <c r="VWZ1" s="65" t="s">
        <v>15841</v>
      </c>
      <c r="VXA1" s="65" t="s">
        <v>15842</v>
      </c>
      <c r="VXB1" s="65" t="s">
        <v>15843</v>
      </c>
      <c r="VXC1" s="65" t="s">
        <v>15844</v>
      </c>
      <c r="VXD1" s="65" t="s">
        <v>15845</v>
      </c>
      <c r="VXE1" s="65" t="s">
        <v>15846</v>
      </c>
      <c r="VXF1" s="65" t="s">
        <v>15847</v>
      </c>
      <c r="VXG1" s="65" t="s">
        <v>15848</v>
      </c>
      <c r="VXH1" s="65" t="s">
        <v>15849</v>
      </c>
      <c r="VXI1" s="65" t="s">
        <v>15850</v>
      </c>
      <c r="VXJ1" s="65" t="s">
        <v>15851</v>
      </c>
      <c r="VXK1" s="65" t="s">
        <v>15852</v>
      </c>
      <c r="VXL1" s="65" t="s">
        <v>15853</v>
      </c>
      <c r="VXM1" s="65" t="s">
        <v>15854</v>
      </c>
      <c r="VXN1" s="65" t="s">
        <v>15855</v>
      </c>
      <c r="VXO1" s="65" t="s">
        <v>15856</v>
      </c>
      <c r="VXP1" s="65" t="s">
        <v>15857</v>
      </c>
      <c r="VXQ1" s="65" t="s">
        <v>15858</v>
      </c>
      <c r="VXR1" s="65" t="s">
        <v>15859</v>
      </c>
      <c r="VXS1" s="65" t="s">
        <v>15860</v>
      </c>
      <c r="VXT1" s="65" t="s">
        <v>15861</v>
      </c>
      <c r="VXU1" s="65" t="s">
        <v>15862</v>
      </c>
      <c r="VXV1" s="65" t="s">
        <v>15863</v>
      </c>
      <c r="VXW1" s="65" t="s">
        <v>15864</v>
      </c>
      <c r="VXX1" s="65" t="s">
        <v>15865</v>
      </c>
      <c r="VXY1" s="65" t="s">
        <v>15866</v>
      </c>
      <c r="VXZ1" s="65" t="s">
        <v>15867</v>
      </c>
      <c r="VYA1" s="65" t="s">
        <v>15868</v>
      </c>
      <c r="VYB1" s="65" t="s">
        <v>15869</v>
      </c>
      <c r="VYC1" s="65" t="s">
        <v>15870</v>
      </c>
      <c r="VYD1" s="65" t="s">
        <v>15871</v>
      </c>
      <c r="VYE1" s="65" t="s">
        <v>15872</v>
      </c>
      <c r="VYF1" s="65" t="s">
        <v>15873</v>
      </c>
      <c r="VYG1" s="65" t="s">
        <v>15874</v>
      </c>
      <c r="VYH1" s="65" t="s">
        <v>15875</v>
      </c>
      <c r="VYI1" s="65" t="s">
        <v>15876</v>
      </c>
      <c r="VYJ1" s="65" t="s">
        <v>15877</v>
      </c>
      <c r="VYK1" s="65" t="s">
        <v>15878</v>
      </c>
      <c r="VYL1" s="65" t="s">
        <v>15879</v>
      </c>
      <c r="VYM1" s="65" t="s">
        <v>15880</v>
      </c>
      <c r="VYN1" s="65" t="s">
        <v>15881</v>
      </c>
      <c r="VYO1" s="65" t="s">
        <v>15882</v>
      </c>
      <c r="VYP1" s="65" t="s">
        <v>15883</v>
      </c>
      <c r="VYQ1" s="65" t="s">
        <v>15884</v>
      </c>
      <c r="VYR1" s="65" t="s">
        <v>15885</v>
      </c>
      <c r="VYS1" s="65" t="s">
        <v>15886</v>
      </c>
      <c r="VYT1" s="65" t="s">
        <v>15887</v>
      </c>
      <c r="VYU1" s="65" t="s">
        <v>15888</v>
      </c>
      <c r="VYV1" s="65" t="s">
        <v>15889</v>
      </c>
      <c r="VYW1" s="65" t="s">
        <v>15890</v>
      </c>
      <c r="VYX1" s="65" t="s">
        <v>15891</v>
      </c>
      <c r="VYY1" s="65" t="s">
        <v>15892</v>
      </c>
      <c r="VYZ1" s="65" t="s">
        <v>15893</v>
      </c>
      <c r="VZA1" s="65" t="s">
        <v>15894</v>
      </c>
      <c r="VZB1" s="65" t="s">
        <v>15895</v>
      </c>
      <c r="VZC1" s="65" t="s">
        <v>15896</v>
      </c>
      <c r="VZD1" s="65" t="s">
        <v>15897</v>
      </c>
      <c r="VZE1" s="65" t="s">
        <v>15898</v>
      </c>
      <c r="VZF1" s="65" t="s">
        <v>15899</v>
      </c>
      <c r="VZG1" s="65" t="s">
        <v>15900</v>
      </c>
      <c r="VZH1" s="65" t="s">
        <v>15901</v>
      </c>
      <c r="VZI1" s="65" t="s">
        <v>15902</v>
      </c>
      <c r="VZJ1" s="65" t="s">
        <v>15903</v>
      </c>
      <c r="VZK1" s="65" t="s">
        <v>15904</v>
      </c>
      <c r="VZL1" s="65" t="s">
        <v>15905</v>
      </c>
      <c r="VZM1" s="65" t="s">
        <v>15906</v>
      </c>
      <c r="VZN1" s="65" t="s">
        <v>15907</v>
      </c>
      <c r="VZO1" s="65" t="s">
        <v>15908</v>
      </c>
      <c r="VZP1" s="65" t="s">
        <v>15909</v>
      </c>
      <c r="VZQ1" s="65" t="s">
        <v>15910</v>
      </c>
      <c r="VZR1" s="65" t="s">
        <v>15911</v>
      </c>
      <c r="VZS1" s="65" t="s">
        <v>15912</v>
      </c>
      <c r="VZT1" s="65" t="s">
        <v>15913</v>
      </c>
      <c r="VZU1" s="65" t="s">
        <v>15914</v>
      </c>
      <c r="VZV1" s="65" t="s">
        <v>15915</v>
      </c>
      <c r="VZW1" s="65" t="s">
        <v>15916</v>
      </c>
      <c r="VZX1" s="65" t="s">
        <v>15917</v>
      </c>
      <c r="VZY1" s="65" t="s">
        <v>15918</v>
      </c>
      <c r="VZZ1" s="65" t="s">
        <v>15919</v>
      </c>
      <c r="WAA1" s="65" t="s">
        <v>15920</v>
      </c>
      <c r="WAB1" s="65" t="s">
        <v>15921</v>
      </c>
      <c r="WAC1" s="65" t="s">
        <v>15922</v>
      </c>
      <c r="WAD1" s="65" t="s">
        <v>15923</v>
      </c>
      <c r="WAE1" s="65" t="s">
        <v>15924</v>
      </c>
      <c r="WAF1" s="65" t="s">
        <v>15925</v>
      </c>
      <c r="WAG1" s="65" t="s">
        <v>15926</v>
      </c>
      <c r="WAH1" s="65" t="s">
        <v>15927</v>
      </c>
      <c r="WAI1" s="65" t="s">
        <v>15928</v>
      </c>
      <c r="WAJ1" s="65" t="s">
        <v>15929</v>
      </c>
      <c r="WAK1" s="65" t="s">
        <v>15930</v>
      </c>
      <c r="WAL1" s="65" t="s">
        <v>15931</v>
      </c>
      <c r="WAM1" s="65" t="s">
        <v>15932</v>
      </c>
      <c r="WAN1" s="65" t="s">
        <v>15933</v>
      </c>
      <c r="WAO1" s="65" t="s">
        <v>15934</v>
      </c>
      <c r="WAP1" s="65" t="s">
        <v>15935</v>
      </c>
      <c r="WAQ1" s="65" t="s">
        <v>15936</v>
      </c>
      <c r="WAR1" s="65" t="s">
        <v>15937</v>
      </c>
      <c r="WAS1" s="65" t="s">
        <v>15938</v>
      </c>
      <c r="WAT1" s="65" t="s">
        <v>15939</v>
      </c>
      <c r="WAU1" s="65" t="s">
        <v>15940</v>
      </c>
      <c r="WAV1" s="65" t="s">
        <v>15941</v>
      </c>
      <c r="WAW1" s="65" t="s">
        <v>15942</v>
      </c>
      <c r="WAX1" s="65" t="s">
        <v>15943</v>
      </c>
      <c r="WAY1" s="65" t="s">
        <v>15944</v>
      </c>
      <c r="WAZ1" s="65" t="s">
        <v>15945</v>
      </c>
      <c r="WBA1" s="65" t="s">
        <v>15946</v>
      </c>
      <c r="WBB1" s="65" t="s">
        <v>15947</v>
      </c>
      <c r="WBC1" s="65" t="s">
        <v>15948</v>
      </c>
      <c r="WBD1" s="65" t="s">
        <v>15949</v>
      </c>
      <c r="WBE1" s="65" t="s">
        <v>15950</v>
      </c>
      <c r="WBF1" s="65" t="s">
        <v>15951</v>
      </c>
      <c r="WBG1" s="65" t="s">
        <v>15952</v>
      </c>
      <c r="WBH1" s="65" t="s">
        <v>15953</v>
      </c>
      <c r="WBI1" s="65" t="s">
        <v>15954</v>
      </c>
      <c r="WBJ1" s="65" t="s">
        <v>15955</v>
      </c>
      <c r="WBK1" s="65" t="s">
        <v>15956</v>
      </c>
      <c r="WBL1" s="65" t="s">
        <v>15957</v>
      </c>
      <c r="WBM1" s="65" t="s">
        <v>15958</v>
      </c>
      <c r="WBN1" s="65" t="s">
        <v>15959</v>
      </c>
      <c r="WBO1" s="65" t="s">
        <v>15960</v>
      </c>
      <c r="WBP1" s="65" t="s">
        <v>15961</v>
      </c>
      <c r="WBQ1" s="65" t="s">
        <v>15962</v>
      </c>
      <c r="WBR1" s="65" t="s">
        <v>15963</v>
      </c>
      <c r="WBS1" s="65" t="s">
        <v>15964</v>
      </c>
      <c r="WBT1" s="65" t="s">
        <v>15965</v>
      </c>
      <c r="WBU1" s="65" t="s">
        <v>15966</v>
      </c>
      <c r="WBV1" s="65" t="s">
        <v>15967</v>
      </c>
      <c r="WBW1" s="65" t="s">
        <v>15968</v>
      </c>
      <c r="WBX1" s="65" t="s">
        <v>15969</v>
      </c>
      <c r="WBY1" s="65" t="s">
        <v>15970</v>
      </c>
      <c r="WBZ1" s="65" t="s">
        <v>15971</v>
      </c>
      <c r="WCA1" s="65" t="s">
        <v>15972</v>
      </c>
      <c r="WCB1" s="65" t="s">
        <v>15973</v>
      </c>
      <c r="WCC1" s="65" t="s">
        <v>15974</v>
      </c>
      <c r="WCD1" s="65" t="s">
        <v>15975</v>
      </c>
      <c r="WCE1" s="65" t="s">
        <v>15976</v>
      </c>
      <c r="WCF1" s="65" t="s">
        <v>15977</v>
      </c>
      <c r="WCG1" s="65" t="s">
        <v>15978</v>
      </c>
      <c r="WCH1" s="65" t="s">
        <v>15979</v>
      </c>
      <c r="WCI1" s="65" t="s">
        <v>15980</v>
      </c>
      <c r="WCJ1" s="65" t="s">
        <v>15981</v>
      </c>
      <c r="WCK1" s="65" t="s">
        <v>15982</v>
      </c>
      <c r="WCL1" s="65" t="s">
        <v>15983</v>
      </c>
      <c r="WCM1" s="65" t="s">
        <v>15984</v>
      </c>
      <c r="WCN1" s="65" t="s">
        <v>15985</v>
      </c>
      <c r="WCO1" s="65" t="s">
        <v>15986</v>
      </c>
      <c r="WCP1" s="65" t="s">
        <v>15987</v>
      </c>
      <c r="WCQ1" s="65" t="s">
        <v>15988</v>
      </c>
      <c r="WCR1" s="65" t="s">
        <v>15989</v>
      </c>
      <c r="WCS1" s="65" t="s">
        <v>15990</v>
      </c>
      <c r="WCT1" s="65" t="s">
        <v>15991</v>
      </c>
      <c r="WCU1" s="65" t="s">
        <v>15992</v>
      </c>
      <c r="WCV1" s="65" t="s">
        <v>15993</v>
      </c>
      <c r="WCW1" s="65" t="s">
        <v>15994</v>
      </c>
      <c r="WCX1" s="65" t="s">
        <v>15995</v>
      </c>
      <c r="WCY1" s="65" t="s">
        <v>15996</v>
      </c>
      <c r="WCZ1" s="65" t="s">
        <v>15997</v>
      </c>
      <c r="WDA1" s="65" t="s">
        <v>15998</v>
      </c>
      <c r="WDB1" s="65" t="s">
        <v>15999</v>
      </c>
      <c r="WDC1" s="65" t="s">
        <v>16000</v>
      </c>
      <c r="WDD1" s="65" t="s">
        <v>16001</v>
      </c>
      <c r="WDE1" s="65" t="s">
        <v>16002</v>
      </c>
      <c r="WDF1" s="65" t="s">
        <v>16003</v>
      </c>
      <c r="WDG1" s="65" t="s">
        <v>16004</v>
      </c>
      <c r="WDH1" s="65" t="s">
        <v>16005</v>
      </c>
      <c r="WDI1" s="65" t="s">
        <v>16006</v>
      </c>
      <c r="WDJ1" s="65" t="s">
        <v>16007</v>
      </c>
      <c r="WDK1" s="65" t="s">
        <v>16008</v>
      </c>
      <c r="WDL1" s="65" t="s">
        <v>16009</v>
      </c>
      <c r="WDM1" s="65" t="s">
        <v>16010</v>
      </c>
      <c r="WDN1" s="65" t="s">
        <v>16011</v>
      </c>
      <c r="WDO1" s="65" t="s">
        <v>16012</v>
      </c>
      <c r="WDP1" s="65" t="s">
        <v>16013</v>
      </c>
      <c r="WDQ1" s="65" t="s">
        <v>16014</v>
      </c>
      <c r="WDR1" s="65" t="s">
        <v>16015</v>
      </c>
      <c r="WDS1" s="65" t="s">
        <v>16016</v>
      </c>
      <c r="WDT1" s="65" t="s">
        <v>16017</v>
      </c>
      <c r="WDU1" s="65" t="s">
        <v>16018</v>
      </c>
      <c r="WDV1" s="65" t="s">
        <v>16019</v>
      </c>
      <c r="WDW1" s="65" t="s">
        <v>16020</v>
      </c>
      <c r="WDX1" s="65" t="s">
        <v>16021</v>
      </c>
      <c r="WDY1" s="65" t="s">
        <v>16022</v>
      </c>
      <c r="WDZ1" s="65" t="s">
        <v>16023</v>
      </c>
      <c r="WEA1" s="65" t="s">
        <v>16024</v>
      </c>
      <c r="WEB1" s="65" t="s">
        <v>16025</v>
      </c>
      <c r="WEC1" s="65" t="s">
        <v>16026</v>
      </c>
      <c r="WED1" s="65" t="s">
        <v>16027</v>
      </c>
      <c r="WEE1" s="65" t="s">
        <v>16028</v>
      </c>
      <c r="WEF1" s="65" t="s">
        <v>16029</v>
      </c>
      <c r="WEG1" s="65" t="s">
        <v>16030</v>
      </c>
      <c r="WEH1" s="65" t="s">
        <v>16031</v>
      </c>
      <c r="WEI1" s="65" t="s">
        <v>16032</v>
      </c>
      <c r="WEJ1" s="65" t="s">
        <v>16033</v>
      </c>
      <c r="WEK1" s="65" t="s">
        <v>16034</v>
      </c>
      <c r="WEL1" s="65" t="s">
        <v>16035</v>
      </c>
      <c r="WEM1" s="65" t="s">
        <v>16036</v>
      </c>
      <c r="WEN1" s="65" t="s">
        <v>16037</v>
      </c>
      <c r="WEO1" s="65" t="s">
        <v>16038</v>
      </c>
      <c r="WEP1" s="65" t="s">
        <v>16039</v>
      </c>
      <c r="WEQ1" s="65" t="s">
        <v>16040</v>
      </c>
      <c r="WER1" s="65" t="s">
        <v>16041</v>
      </c>
      <c r="WES1" s="65" t="s">
        <v>16042</v>
      </c>
      <c r="WET1" s="65" t="s">
        <v>16043</v>
      </c>
      <c r="WEU1" s="65" t="s">
        <v>16044</v>
      </c>
      <c r="WEV1" s="65" t="s">
        <v>16045</v>
      </c>
      <c r="WEW1" s="65" t="s">
        <v>16046</v>
      </c>
      <c r="WEX1" s="65" t="s">
        <v>16047</v>
      </c>
      <c r="WEY1" s="65" t="s">
        <v>16048</v>
      </c>
      <c r="WEZ1" s="65" t="s">
        <v>16049</v>
      </c>
      <c r="WFA1" s="65" t="s">
        <v>16050</v>
      </c>
      <c r="WFB1" s="65" t="s">
        <v>16051</v>
      </c>
      <c r="WFC1" s="65" t="s">
        <v>16052</v>
      </c>
      <c r="WFD1" s="65" t="s">
        <v>16053</v>
      </c>
      <c r="WFE1" s="65" t="s">
        <v>16054</v>
      </c>
      <c r="WFF1" s="65" t="s">
        <v>16055</v>
      </c>
      <c r="WFG1" s="65" t="s">
        <v>16056</v>
      </c>
      <c r="WFH1" s="65" t="s">
        <v>16057</v>
      </c>
      <c r="WFI1" s="65" t="s">
        <v>16058</v>
      </c>
      <c r="WFJ1" s="65" t="s">
        <v>16059</v>
      </c>
      <c r="WFK1" s="65" t="s">
        <v>16060</v>
      </c>
      <c r="WFL1" s="65" t="s">
        <v>16061</v>
      </c>
      <c r="WFM1" s="65" t="s">
        <v>16062</v>
      </c>
      <c r="WFN1" s="65" t="s">
        <v>16063</v>
      </c>
      <c r="WFO1" s="65" t="s">
        <v>16064</v>
      </c>
      <c r="WFP1" s="65" t="s">
        <v>16065</v>
      </c>
      <c r="WFQ1" s="65" t="s">
        <v>16066</v>
      </c>
      <c r="WFR1" s="65" t="s">
        <v>16067</v>
      </c>
      <c r="WFS1" s="65" t="s">
        <v>16068</v>
      </c>
      <c r="WFT1" s="65" t="s">
        <v>16069</v>
      </c>
      <c r="WFU1" s="65" t="s">
        <v>16070</v>
      </c>
      <c r="WFV1" s="65" t="s">
        <v>16071</v>
      </c>
      <c r="WFW1" s="65" t="s">
        <v>16072</v>
      </c>
      <c r="WFX1" s="65" t="s">
        <v>16073</v>
      </c>
      <c r="WFY1" s="65" t="s">
        <v>16074</v>
      </c>
      <c r="WFZ1" s="65" t="s">
        <v>16075</v>
      </c>
      <c r="WGA1" s="65" t="s">
        <v>16076</v>
      </c>
      <c r="WGB1" s="65" t="s">
        <v>16077</v>
      </c>
      <c r="WGC1" s="65" t="s">
        <v>16078</v>
      </c>
      <c r="WGD1" s="65" t="s">
        <v>16079</v>
      </c>
      <c r="WGE1" s="65" t="s">
        <v>16080</v>
      </c>
      <c r="WGF1" s="65" t="s">
        <v>16081</v>
      </c>
      <c r="WGG1" s="65" t="s">
        <v>16082</v>
      </c>
      <c r="WGH1" s="65" t="s">
        <v>16083</v>
      </c>
      <c r="WGI1" s="65" t="s">
        <v>16084</v>
      </c>
      <c r="WGJ1" s="65" t="s">
        <v>16085</v>
      </c>
      <c r="WGK1" s="65" t="s">
        <v>16086</v>
      </c>
      <c r="WGL1" s="65" t="s">
        <v>16087</v>
      </c>
      <c r="WGM1" s="65" t="s">
        <v>16088</v>
      </c>
      <c r="WGN1" s="65" t="s">
        <v>16089</v>
      </c>
      <c r="WGO1" s="65" t="s">
        <v>16090</v>
      </c>
      <c r="WGP1" s="65" t="s">
        <v>16091</v>
      </c>
      <c r="WGQ1" s="65" t="s">
        <v>16092</v>
      </c>
      <c r="WGR1" s="65" t="s">
        <v>16093</v>
      </c>
      <c r="WGS1" s="65" t="s">
        <v>16094</v>
      </c>
      <c r="WGT1" s="65" t="s">
        <v>16095</v>
      </c>
      <c r="WGU1" s="65" t="s">
        <v>16096</v>
      </c>
      <c r="WGV1" s="65" t="s">
        <v>16097</v>
      </c>
      <c r="WGW1" s="65" t="s">
        <v>16098</v>
      </c>
      <c r="WGX1" s="65" t="s">
        <v>16099</v>
      </c>
      <c r="WGY1" s="65" t="s">
        <v>16100</v>
      </c>
      <c r="WGZ1" s="65" t="s">
        <v>16101</v>
      </c>
      <c r="WHA1" s="65" t="s">
        <v>16102</v>
      </c>
      <c r="WHB1" s="65" t="s">
        <v>16103</v>
      </c>
      <c r="WHC1" s="65" t="s">
        <v>16104</v>
      </c>
      <c r="WHD1" s="65" t="s">
        <v>16105</v>
      </c>
      <c r="WHE1" s="65" t="s">
        <v>16106</v>
      </c>
      <c r="WHF1" s="65" t="s">
        <v>16107</v>
      </c>
      <c r="WHG1" s="65" t="s">
        <v>16108</v>
      </c>
      <c r="WHH1" s="65" t="s">
        <v>16109</v>
      </c>
      <c r="WHI1" s="65" t="s">
        <v>16110</v>
      </c>
      <c r="WHJ1" s="65" t="s">
        <v>16111</v>
      </c>
      <c r="WHK1" s="65" t="s">
        <v>16112</v>
      </c>
      <c r="WHL1" s="65" t="s">
        <v>16113</v>
      </c>
      <c r="WHM1" s="65" t="s">
        <v>16114</v>
      </c>
      <c r="WHN1" s="65" t="s">
        <v>16115</v>
      </c>
      <c r="WHO1" s="65" t="s">
        <v>16116</v>
      </c>
      <c r="WHP1" s="65" t="s">
        <v>16117</v>
      </c>
      <c r="WHQ1" s="65" t="s">
        <v>16118</v>
      </c>
      <c r="WHR1" s="65" t="s">
        <v>16119</v>
      </c>
      <c r="WHS1" s="65" t="s">
        <v>16120</v>
      </c>
      <c r="WHT1" s="65" t="s">
        <v>16121</v>
      </c>
      <c r="WHU1" s="65" t="s">
        <v>16122</v>
      </c>
      <c r="WHV1" s="65" t="s">
        <v>16123</v>
      </c>
      <c r="WHW1" s="65" t="s">
        <v>16124</v>
      </c>
      <c r="WHX1" s="65" t="s">
        <v>16125</v>
      </c>
      <c r="WHY1" s="65" t="s">
        <v>16126</v>
      </c>
      <c r="WHZ1" s="65" t="s">
        <v>16127</v>
      </c>
      <c r="WIA1" s="65" t="s">
        <v>16128</v>
      </c>
      <c r="WIB1" s="65" t="s">
        <v>16129</v>
      </c>
      <c r="WIC1" s="65" t="s">
        <v>16130</v>
      </c>
      <c r="WID1" s="65" t="s">
        <v>16131</v>
      </c>
      <c r="WIE1" s="65" t="s">
        <v>16132</v>
      </c>
      <c r="WIF1" s="65" t="s">
        <v>16133</v>
      </c>
      <c r="WIG1" s="65" t="s">
        <v>16134</v>
      </c>
      <c r="WIH1" s="65" t="s">
        <v>16135</v>
      </c>
      <c r="WII1" s="65" t="s">
        <v>16136</v>
      </c>
      <c r="WIJ1" s="65" t="s">
        <v>16137</v>
      </c>
      <c r="WIK1" s="65" t="s">
        <v>16138</v>
      </c>
      <c r="WIL1" s="65" t="s">
        <v>16139</v>
      </c>
      <c r="WIM1" s="65" t="s">
        <v>16140</v>
      </c>
      <c r="WIN1" s="65" t="s">
        <v>16141</v>
      </c>
      <c r="WIO1" s="65" t="s">
        <v>16142</v>
      </c>
      <c r="WIP1" s="65" t="s">
        <v>16143</v>
      </c>
      <c r="WIQ1" s="65" t="s">
        <v>16144</v>
      </c>
      <c r="WIR1" s="65" t="s">
        <v>16145</v>
      </c>
      <c r="WIS1" s="65" t="s">
        <v>16146</v>
      </c>
      <c r="WIT1" s="65" t="s">
        <v>16147</v>
      </c>
      <c r="WIU1" s="65" t="s">
        <v>16148</v>
      </c>
      <c r="WIV1" s="65" t="s">
        <v>16149</v>
      </c>
      <c r="WIW1" s="65" t="s">
        <v>16150</v>
      </c>
      <c r="WIX1" s="65" t="s">
        <v>16151</v>
      </c>
      <c r="WIY1" s="65" t="s">
        <v>16152</v>
      </c>
      <c r="WIZ1" s="65" t="s">
        <v>16153</v>
      </c>
      <c r="WJA1" s="65" t="s">
        <v>16154</v>
      </c>
      <c r="WJB1" s="65" t="s">
        <v>16155</v>
      </c>
      <c r="WJC1" s="65" t="s">
        <v>16156</v>
      </c>
      <c r="WJD1" s="65" t="s">
        <v>16157</v>
      </c>
      <c r="WJE1" s="65" t="s">
        <v>16158</v>
      </c>
      <c r="WJF1" s="65" t="s">
        <v>16159</v>
      </c>
      <c r="WJG1" s="65" t="s">
        <v>16160</v>
      </c>
      <c r="WJH1" s="65" t="s">
        <v>16161</v>
      </c>
      <c r="WJI1" s="65" t="s">
        <v>16162</v>
      </c>
      <c r="WJJ1" s="65" t="s">
        <v>16163</v>
      </c>
      <c r="WJK1" s="65" t="s">
        <v>16164</v>
      </c>
      <c r="WJL1" s="65" t="s">
        <v>16165</v>
      </c>
      <c r="WJM1" s="65" t="s">
        <v>16166</v>
      </c>
      <c r="WJN1" s="65" t="s">
        <v>16167</v>
      </c>
      <c r="WJO1" s="65" t="s">
        <v>16168</v>
      </c>
      <c r="WJP1" s="65" t="s">
        <v>16169</v>
      </c>
      <c r="WJQ1" s="65" t="s">
        <v>16170</v>
      </c>
      <c r="WJR1" s="65" t="s">
        <v>16171</v>
      </c>
      <c r="WJS1" s="65" t="s">
        <v>16172</v>
      </c>
      <c r="WJT1" s="65" t="s">
        <v>16173</v>
      </c>
      <c r="WJU1" s="65" t="s">
        <v>16174</v>
      </c>
      <c r="WJV1" s="65" t="s">
        <v>16175</v>
      </c>
      <c r="WJW1" s="65" t="s">
        <v>16176</v>
      </c>
      <c r="WJX1" s="65" t="s">
        <v>16177</v>
      </c>
      <c r="WJY1" s="65" t="s">
        <v>16178</v>
      </c>
      <c r="WJZ1" s="65" t="s">
        <v>16179</v>
      </c>
      <c r="WKA1" s="65" t="s">
        <v>16180</v>
      </c>
      <c r="WKB1" s="65" t="s">
        <v>16181</v>
      </c>
      <c r="WKC1" s="65" t="s">
        <v>16182</v>
      </c>
      <c r="WKD1" s="65" t="s">
        <v>16183</v>
      </c>
      <c r="WKE1" s="65" t="s">
        <v>16184</v>
      </c>
      <c r="WKF1" s="65" t="s">
        <v>16185</v>
      </c>
      <c r="WKG1" s="65" t="s">
        <v>16186</v>
      </c>
      <c r="WKH1" s="65" t="s">
        <v>16187</v>
      </c>
      <c r="WKI1" s="65" t="s">
        <v>16188</v>
      </c>
      <c r="WKJ1" s="65" t="s">
        <v>16189</v>
      </c>
      <c r="WKK1" s="65" t="s">
        <v>16190</v>
      </c>
      <c r="WKL1" s="65" t="s">
        <v>16191</v>
      </c>
      <c r="WKM1" s="65" t="s">
        <v>16192</v>
      </c>
      <c r="WKN1" s="65" t="s">
        <v>16193</v>
      </c>
      <c r="WKO1" s="65" t="s">
        <v>16194</v>
      </c>
      <c r="WKP1" s="65" t="s">
        <v>16195</v>
      </c>
      <c r="WKQ1" s="65" t="s">
        <v>16196</v>
      </c>
      <c r="WKR1" s="65" t="s">
        <v>16197</v>
      </c>
      <c r="WKS1" s="65" t="s">
        <v>16198</v>
      </c>
      <c r="WKT1" s="65" t="s">
        <v>16199</v>
      </c>
      <c r="WKU1" s="65" t="s">
        <v>16200</v>
      </c>
      <c r="WKV1" s="65" t="s">
        <v>16201</v>
      </c>
      <c r="WKW1" s="65" t="s">
        <v>16202</v>
      </c>
      <c r="WKX1" s="65" t="s">
        <v>16203</v>
      </c>
      <c r="WKY1" s="65" t="s">
        <v>16204</v>
      </c>
      <c r="WKZ1" s="65" t="s">
        <v>16205</v>
      </c>
      <c r="WLA1" s="65" t="s">
        <v>16206</v>
      </c>
      <c r="WLB1" s="65" t="s">
        <v>16207</v>
      </c>
      <c r="WLC1" s="65" t="s">
        <v>16208</v>
      </c>
      <c r="WLD1" s="65" t="s">
        <v>16209</v>
      </c>
      <c r="WLE1" s="65" t="s">
        <v>16210</v>
      </c>
      <c r="WLF1" s="65" t="s">
        <v>16211</v>
      </c>
      <c r="WLG1" s="65" t="s">
        <v>16212</v>
      </c>
      <c r="WLH1" s="65" t="s">
        <v>16213</v>
      </c>
      <c r="WLI1" s="65" t="s">
        <v>16214</v>
      </c>
      <c r="WLJ1" s="65" t="s">
        <v>16215</v>
      </c>
      <c r="WLK1" s="65" t="s">
        <v>16216</v>
      </c>
      <c r="WLL1" s="65" t="s">
        <v>16217</v>
      </c>
      <c r="WLM1" s="65" t="s">
        <v>16218</v>
      </c>
      <c r="WLN1" s="65" t="s">
        <v>16219</v>
      </c>
      <c r="WLO1" s="65" t="s">
        <v>16220</v>
      </c>
      <c r="WLP1" s="65" t="s">
        <v>16221</v>
      </c>
      <c r="WLQ1" s="65" t="s">
        <v>16222</v>
      </c>
      <c r="WLR1" s="65" t="s">
        <v>16223</v>
      </c>
      <c r="WLS1" s="65" t="s">
        <v>16224</v>
      </c>
      <c r="WLT1" s="65" t="s">
        <v>16225</v>
      </c>
      <c r="WLU1" s="65" t="s">
        <v>16226</v>
      </c>
      <c r="WLV1" s="65" t="s">
        <v>16227</v>
      </c>
      <c r="WLW1" s="65" t="s">
        <v>16228</v>
      </c>
      <c r="WLX1" s="65" t="s">
        <v>16229</v>
      </c>
      <c r="WLY1" s="65" t="s">
        <v>16230</v>
      </c>
      <c r="WLZ1" s="65" t="s">
        <v>16231</v>
      </c>
      <c r="WMA1" s="65" t="s">
        <v>16232</v>
      </c>
      <c r="WMB1" s="65" t="s">
        <v>16233</v>
      </c>
      <c r="WMC1" s="65" t="s">
        <v>16234</v>
      </c>
      <c r="WMD1" s="65" t="s">
        <v>16235</v>
      </c>
      <c r="WME1" s="65" t="s">
        <v>16236</v>
      </c>
      <c r="WMF1" s="65" t="s">
        <v>16237</v>
      </c>
      <c r="WMG1" s="65" t="s">
        <v>16238</v>
      </c>
      <c r="WMH1" s="65" t="s">
        <v>16239</v>
      </c>
      <c r="WMI1" s="65" t="s">
        <v>16240</v>
      </c>
      <c r="WMJ1" s="65" t="s">
        <v>16241</v>
      </c>
      <c r="WMK1" s="65" t="s">
        <v>16242</v>
      </c>
      <c r="WML1" s="65" t="s">
        <v>16243</v>
      </c>
      <c r="WMM1" s="65" t="s">
        <v>16244</v>
      </c>
      <c r="WMN1" s="65" t="s">
        <v>16245</v>
      </c>
      <c r="WMO1" s="65" t="s">
        <v>16246</v>
      </c>
      <c r="WMP1" s="65" t="s">
        <v>16247</v>
      </c>
      <c r="WMQ1" s="65" t="s">
        <v>16248</v>
      </c>
      <c r="WMR1" s="65" t="s">
        <v>16249</v>
      </c>
      <c r="WMS1" s="65" t="s">
        <v>16250</v>
      </c>
      <c r="WMT1" s="65" t="s">
        <v>16251</v>
      </c>
      <c r="WMU1" s="65" t="s">
        <v>16252</v>
      </c>
      <c r="WMV1" s="65" t="s">
        <v>16253</v>
      </c>
      <c r="WMW1" s="65" t="s">
        <v>16254</v>
      </c>
      <c r="WMX1" s="65" t="s">
        <v>16255</v>
      </c>
      <c r="WMY1" s="65" t="s">
        <v>16256</v>
      </c>
      <c r="WMZ1" s="65" t="s">
        <v>16257</v>
      </c>
      <c r="WNA1" s="65" t="s">
        <v>16258</v>
      </c>
      <c r="WNB1" s="65" t="s">
        <v>16259</v>
      </c>
      <c r="WNC1" s="65" t="s">
        <v>16260</v>
      </c>
      <c r="WND1" s="65" t="s">
        <v>16261</v>
      </c>
      <c r="WNE1" s="65" t="s">
        <v>16262</v>
      </c>
      <c r="WNF1" s="65" t="s">
        <v>16263</v>
      </c>
      <c r="WNG1" s="65" t="s">
        <v>16264</v>
      </c>
      <c r="WNH1" s="65" t="s">
        <v>16265</v>
      </c>
      <c r="WNI1" s="65" t="s">
        <v>16266</v>
      </c>
      <c r="WNJ1" s="65" t="s">
        <v>16267</v>
      </c>
      <c r="WNK1" s="65" t="s">
        <v>16268</v>
      </c>
      <c r="WNL1" s="65" t="s">
        <v>16269</v>
      </c>
      <c r="WNM1" s="65" t="s">
        <v>16270</v>
      </c>
      <c r="WNN1" s="65" t="s">
        <v>16271</v>
      </c>
      <c r="WNO1" s="65" t="s">
        <v>16272</v>
      </c>
      <c r="WNP1" s="65" t="s">
        <v>16273</v>
      </c>
      <c r="WNQ1" s="65" t="s">
        <v>16274</v>
      </c>
      <c r="WNR1" s="65" t="s">
        <v>16275</v>
      </c>
      <c r="WNS1" s="65" t="s">
        <v>16276</v>
      </c>
      <c r="WNT1" s="65" t="s">
        <v>16277</v>
      </c>
      <c r="WNU1" s="65" t="s">
        <v>16278</v>
      </c>
      <c r="WNV1" s="65" t="s">
        <v>16279</v>
      </c>
      <c r="WNW1" s="65" t="s">
        <v>16280</v>
      </c>
      <c r="WNX1" s="65" t="s">
        <v>16281</v>
      </c>
      <c r="WNY1" s="65" t="s">
        <v>16282</v>
      </c>
      <c r="WNZ1" s="65" t="s">
        <v>16283</v>
      </c>
      <c r="WOA1" s="65" t="s">
        <v>16284</v>
      </c>
      <c r="WOB1" s="65" t="s">
        <v>16285</v>
      </c>
      <c r="WOC1" s="65" t="s">
        <v>16286</v>
      </c>
      <c r="WOD1" s="65" t="s">
        <v>16287</v>
      </c>
      <c r="WOE1" s="65" t="s">
        <v>16288</v>
      </c>
      <c r="WOF1" s="65" t="s">
        <v>16289</v>
      </c>
      <c r="WOG1" s="65" t="s">
        <v>16290</v>
      </c>
      <c r="WOH1" s="65" t="s">
        <v>16291</v>
      </c>
      <c r="WOI1" s="65" t="s">
        <v>16292</v>
      </c>
      <c r="WOJ1" s="65" t="s">
        <v>16293</v>
      </c>
      <c r="WOK1" s="65" t="s">
        <v>16294</v>
      </c>
      <c r="WOL1" s="65" t="s">
        <v>16295</v>
      </c>
      <c r="WOM1" s="65" t="s">
        <v>16296</v>
      </c>
      <c r="WON1" s="65" t="s">
        <v>16297</v>
      </c>
      <c r="WOO1" s="65" t="s">
        <v>16298</v>
      </c>
      <c r="WOP1" s="65" t="s">
        <v>16299</v>
      </c>
      <c r="WOQ1" s="65" t="s">
        <v>16300</v>
      </c>
      <c r="WOR1" s="65" t="s">
        <v>16301</v>
      </c>
      <c r="WOS1" s="65" t="s">
        <v>16302</v>
      </c>
      <c r="WOT1" s="65" t="s">
        <v>16303</v>
      </c>
      <c r="WOU1" s="65" t="s">
        <v>16304</v>
      </c>
      <c r="WOV1" s="65" t="s">
        <v>16305</v>
      </c>
      <c r="WOW1" s="65" t="s">
        <v>16306</v>
      </c>
      <c r="WOX1" s="65" t="s">
        <v>16307</v>
      </c>
      <c r="WOY1" s="65" t="s">
        <v>16308</v>
      </c>
      <c r="WOZ1" s="65" t="s">
        <v>16309</v>
      </c>
      <c r="WPA1" s="65" t="s">
        <v>16310</v>
      </c>
      <c r="WPB1" s="65" t="s">
        <v>16311</v>
      </c>
      <c r="WPC1" s="65" t="s">
        <v>16312</v>
      </c>
      <c r="WPD1" s="65" t="s">
        <v>16313</v>
      </c>
      <c r="WPE1" s="65" t="s">
        <v>16314</v>
      </c>
      <c r="WPF1" s="65" t="s">
        <v>16315</v>
      </c>
      <c r="WPG1" s="65" t="s">
        <v>16316</v>
      </c>
      <c r="WPH1" s="65" t="s">
        <v>16317</v>
      </c>
      <c r="WPI1" s="65" t="s">
        <v>16318</v>
      </c>
      <c r="WPJ1" s="65" t="s">
        <v>16319</v>
      </c>
      <c r="WPK1" s="65" t="s">
        <v>16320</v>
      </c>
      <c r="WPL1" s="65" t="s">
        <v>16321</v>
      </c>
      <c r="WPM1" s="65" t="s">
        <v>16322</v>
      </c>
      <c r="WPN1" s="65" t="s">
        <v>16323</v>
      </c>
      <c r="WPO1" s="65" t="s">
        <v>16324</v>
      </c>
      <c r="WPP1" s="65" t="s">
        <v>16325</v>
      </c>
      <c r="WPQ1" s="65" t="s">
        <v>16326</v>
      </c>
      <c r="WPR1" s="65" t="s">
        <v>16327</v>
      </c>
      <c r="WPS1" s="65" t="s">
        <v>16328</v>
      </c>
      <c r="WPT1" s="65" t="s">
        <v>16329</v>
      </c>
      <c r="WPU1" s="65" t="s">
        <v>16330</v>
      </c>
      <c r="WPV1" s="65" t="s">
        <v>16331</v>
      </c>
      <c r="WPW1" s="65" t="s">
        <v>16332</v>
      </c>
      <c r="WPX1" s="65" t="s">
        <v>16333</v>
      </c>
      <c r="WPY1" s="65" t="s">
        <v>16334</v>
      </c>
      <c r="WPZ1" s="65" t="s">
        <v>16335</v>
      </c>
      <c r="WQA1" s="65" t="s">
        <v>16336</v>
      </c>
      <c r="WQB1" s="65" t="s">
        <v>16337</v>
      </c>
      <c r="WQC1" s="65" t="s">
        <v>16338</v>
      </c>
      <c r="WQD1" s="65" t="s">
        <v>16339</v>
      </c>
      <c r="WQE1" s="65" t="s">
        <v>16340</v>
      </c>
      <c r="WQF1" s="65" t="s">
        <v>16341</v>
      </c>
      <c r="WQG1" s="65" t="s">
        <v>16342</v>
      </c>
      <c r="WQH1" s="65" t="s">
        <v>16343</v>
      </c>
      <c r="WQI1" s="65" t="s">
        <v>16344</v>
      </c>
      <c r="WQJ1" s="65" t="s">
        <v>16345</v>
      </c>
      <c r="WQK1" s="65" t="s">
        <v>16346</v>
      </c>
      <c r="WQL1" s="65" t="s">
        <v>16347</v>
      </c>
      <c r="WQM1" s="65" t="s">
        <v>16348</v>
      </c>
      <c r="WQN1" s="65" t="s">
        <v>16349</v>
      </c>
      <c r="WQO1" s="65" t="s">
        <v>16350</v>
      </c>
      <c r="WQP1" s="65" t="s">
        <v>16351</v>
      </c>
      <c r="WQQ1" s="65" t="s">
        <v>16352</v>
      </c>
      <c r="WQR1" s="65" t="s">
        <v>16353</v>
      </c>
      <c r="WQS1" s="65" t="s">
        <v>16354</v>
      </c>
      <c r="WQT1" s="65" t="s">
        <v>16355</v>
      </c>
      <c r="WQU1" s="65" t="s">
        <v>16356</v>
      </c>
      <c r="WQV1" s="65" t="s">
        <v>16357</v>
      </c>
      <c r="WQW1" s="65" t="s">
        <v>16358</v>
      </c>
      <c r="WQX1" s="65" t="s">
        <v>16359</v>
      </c>
      <c r="WQY1" s="65" t="s">
        <v>16360</v>
      </c>
      <c r="WQZ1" s="65" t="s">
        <v>16361</v>
      </c>
      <c r="WRA1" s="65" t="s">
        <v>16362</v>
      </c>
      <c r="WRB1" s="65" t="s">
        <v>16363</v>
      </c>
      <c r="WRC1" s="65" t="s">
        <v>16364</v>
      </c>
      <c r="WRD1" s="65" t="s">
        <v>16365</v>
      </c>
      <c r="WRE1" s="65" t="s">
        <v>16366</v>
      </c>
      <c r="WRF1" s="65" t="s">
        <v>16367</v>
      </c>
      <c r="WRG1" s="65" t="s">
        <v>16368</v>
      </c>
      <c r="WRH1" s="65" t="s">
        <v>16369</v>
      </c>
      <c r="WRI1" s="65" t="s">
        <v>16370</v>
      </c>
      <c r="WRJ1" s="65" t="s">
        <v>16371</v>
      </c>
      <c r="WRK1" s="65" t="s">
        <v>16372</v>
      </c>
      <c r="WRL1" s="65" t="s">
        <v>16373</v>
      </c>
      <c r="WRM1" s="65" t="s">
        <v>16374</v>
      </c>
      <c r="WRN1" s="65" t="s">
        <v>16375</v>
      </c>
      <c r="WRO1" s="65" t="s">
        <v>16376</v>
      </c>
      <c r="WRP1" s="65" t="s">
        <v>16377</v>
      </c>
      <c r="WRQ1" s="65" t="s">
        <v>16378</v>
      </c>
      <c r="WRR1" s="65" t="s">
        <v>16379</v>
      </c>
      <c r="WRS1" s="65" t="s">
        <v>16380</v>
      </c>
      <c r="WRT1" s="65" t="s">
        <v>16381</v>
      </c>
      <c r="WRU1" s="65" t="s">
        <v>16382</v>
      </c>
      <c r="WRV1" s="65" t="s">
        <v>16383</v>
      </c>
      <c r="WRW1" s="65" t="s">
        <v>16384</v>
      </c>
      <c r="WRX1" s="65" t="s">
        <v>16385</v>
      </c>
      <c r="WRY1" s="65" t="s">
        <v>16386</v>
      </c>
      <c r="WRZ1" s="65" t="s">
        <v>16387</v>
      </c>
      <c r="WSA1" s="65" t="s">
        <v>16388</v>
      </c>
      <c r="WSB1" s="65" t="s">
        <v>16389</v>
      </c>
      <c r="WSC1" s="65" t="s">
        <v>16390</v>
      </c>
      <c r="WSD1" s="65" t="s">
        <v>16391</v>
      </c>
      <c r="WSE1" s="65" t="s">
        <v>16392</v>
      </c>
      <c r="WSF1" s="65" t="s">
        <v>16393</v>
      </c>
      <c r="WSG1" s="65" t="s">
        <v>16394</v>
      </c>
      <c r="WSH1" s="65" t="s">
        <v>16395</v>
      </c>
      <c r="WSI1" s="65" t="s">
        <v>16396</v>
      </c>
      <c r="WSJ1" s="65" t="s">
        <v>16397</v>
      </c>
      <c r="WSK1" s="65" t="s">
        <v>16398</v>
      </c>
      <c r="WSL1" s="65" t="s">
        <v>16399</v>
      </c>
      <c r="WSM1" s="65" t="s">
        <v>16400</v>
      </c>
      <c r="WSN1" s="65" t="s">
        <v>16401</v>
      </c>
      <c r="WSO1" s="65" t="s">
        <v>16402</v>
      </c>
      <c r="WSP1" s="65" t="s">
        <v>16403</v>
      </c>
      <c r="WSQ1" s="65" t="s">
        <v>16404</v>
      </c>
      <c r="WSR1" s="65" t="s">
        <v>16405</v>
      </c>
      <c r="WSS1" s="65" t="s">
        <v>16406</v>
      </c>
      <c r="WST1" s="65" t="s">
        <v>16407</v>
      </c>
      <c r="WSU1" s="65" t="s">
        <v>16408</v>
      </c>
      <c r="WSV1" s="65" t="s">
        <v>16409</v>
      </c>
      <c r="WSW1" s="65" t="s">
        <v>16410</v>
      </c>
      <c r="WSX1" s="65" t="s">
        <v>16411</v>
      </c>
      <c r="WSY1" s="65" t="s">
        <v>16412</v>
      </c>
      <c r="WSZ1" s="65" t="s">
        <v>16413</v>
      </c>
      <c r="WTA1" s="65" t="s">
        <v>16414</v>
      </c>
      <c r="WTB1" s="65" t="s">
        <v>16415</v>
      </c>
      <c r="WTC1" s="65" t="s">
        <v>16416</v>
      </c>
      <c r="WTD1" s="65" t="s">
        <v>16417</v>
      </c>
      <c r="WTE1" s="65" t="s">
        <v>16418</v>
      </c>
      <c r="WTF1" s="65" t="s">
        <v>16419</v>
      </c>
      <c r="WTG1" s="65" t="s">
        <v>16420</v>
      </c>
      <c r="WTH1" s="65" t="s">
        <v>16421</v>
      </c>
      <c r="WTI1" s="65" t="s">
        <v>16422</v>
      </c>
      <c r="WTJ1" s="65" t="s">
        <v>16423</v>
      </c>
      <c r="WTK1" s="65" t="s">
        <v>16424</v>
      </c>
      <c r="WTL1" s="65" t="s">
        <v>16425</v>
      </c>
      <c r="WTM1" s="65" t="s">
        <v>16426</v>
      </c>
      <c r="WTN1" s="65" t="s">
        <v>16427</v>
      </c>
      <c r="WTO1" s="65" t="s">
        <v>16428</v>
      </c>
      <c r="WTP1" s="65" t="s">
        <v>16429</v>
      </c>
      <c r="WTQ1" s="65" t="s">
        <v>16430</v>
      </c>
      <c r="WTR1" s="65" t="s">
        <v>16431</v>
      </c>
      <c r="WTS1" s="65" t="s">
        <v>16432</v>
      </c>
      <c r="WTT1" s="65" t="s">
        <v>16433</v>
      </c>
      <c r="WTU1" s="65" t="s">
        <v>16434</v>
      </c>
      <c r="WTV1" s="65" t="s">
        <v>16435</v>
      </c>
      <c r="WTW1" s="65" t="s">
        <v>16436</v>
      </c>
      <c r="WTX1" s="65" t="s">
        <v>16437</v>
      </c>
      <c r="WTY1" s="65" t="s">
        <v>16438</v>
      </c>
      <c r="WTZ1" s="65" t="s">
        <v>16439</v>
      </c>
      <c r="WUA1" s="65" t="s">
        <v>16440</v>
      </c>
      <c r="WUB1" s="65" t="s">
        <v>16441</v>
      </c>
      <c r="WUC1" s="65" t="s">
        <v>16442</v>
      </c>
      <c r="WUD1" s="65" t="s">
        <v>16443</v>
      </c>
      <c r="WUE1" s="65" t="s">
        <v>16444</v>
      </c>
      <c r="WUF1" s="65" t="s">
        <v>16445</v>
      </c>
      <c r="WUG1" s="65" t="s">
        <v>16446</v>
      </c>
      <c r="WUH1" s="65" t="s">
        <v>16447</v>
      </c>
      <c r="WUI1" s="65" t="s">
        <v>16448</v>
      </c>
      <c r="WUJ1" s="65" t="s">
        <v>16449</v>
      </c>
      <c r="WUK1" s="65" t="s">
        <v>16450</v>
      </c>
      <c r="WUL1" s="65" t="s">
        <v>16451</v>
      </c>
      <c r="WUM1" s="65" t="s">
        <v>16452</v>
      </c>
      <c r="WUN1" s="65" t="s">
        <v>16453</v>
      </c>
      <c r="WUO1" s="65" t="s">
        <v>16454</v>
      </c>
      <c r="WUP1" s="65" t="s">
        <v>16455</v>
      </c>
      <c r="WUQ1" s="65" t="s">
        <v>16456</v>
      </c>
      <c r="WUR1" s="65" t="s">
        <v>16457</v>
      </c>
      <c r="WUS1" s="65" t="s">
        <v>16458</v>
      </c>
      <c r="WUT1" s="65" t="s">
        <v>16459</v>
      </c>
      <c r="WUU1" s="65" t="s">
        <v>16460</v>
      </c>
      <c r="WUV1" s="65" t="s">
        <v>16461</v>
      </c>
      <c r="WUW1" s="65" t="s">
        <v>16462</v>
      </c>
      <c r="WUX1" s="65" t="s">
        <v>16463</v>
      </c>
      <c r="WUY1" s="65" t="s">
        <v>16464</v>
      </c>
      <c r="WUZ1" s="65" t="s">
        <v>16465</v>
      </c>
      <c r="WVA1" s="65" t="s">
        <v>16466</v>
      </c>
      <c r="WVB1" s="65" t="s">
        <v>16467</v>
      </c>
      <c r="WVC1" s="65" t="s">
        <v>16468</v>
      </c>
      <c r="WVD1" s="65" t="s">
        <v>16469</v>
      </c>
      <c r="WVE1" s="65" t="s">
        <v>16470</v>
      </c>
      <c r="WVF1" s="65" t="s">
        <v>16471</v>
      </c>
      <c r="WVG1" s="65" t="s">
        <v>16472</v>
      </c>
      <c r="WVH1" s="65" t="s">
        <v>16473</v>
      </c>
      <c r="WVI1" s="65" t="s">
        <v>16474</v>
      </c>
      <c r="WVJ1" s="65" t="s">
        <v>16475</v>
      </c>
      <c r="WVK1" s="65" t="s">
        <v>16476</v>
      </c>
      <c r="WVL1" s="65" t="s">
        <v>16477</v>
      </c>
      <c r="WVM1" s="65" t="s">
        <v>16478</v>
      </c>
      <c r="WVN1" s="65" t="s">
        <v>16479</v>
      </c>
      <c r="WVO1" s="65" t="s">
        <v>16480</v>
      </c>
      <c r="WVP1" s="65" t="s">
        <v>16481</v>
      </c>
      <c r="WVQ1" s="65" t="s">
        <v>16482</v>
      </c>
      <c r="WVR1" s="65" t="s">
        <v>16483</v>
      </c>
      <c r="WVS1" s="65" t="s">
        <v>16484</v>
      </c>
      <c r="WVT1" s="65" t="s">
        <v>16485</v>
      </c>
      <c r="WVU1" s="65" t="s">
        <v>16486</v>
      </c>
      <c r="WVV1" s="65" t="s">
        <v>16487</v>
      </c>
      <c r="WVW1" s="65" t="s">
        <v>16488</v>
      </c>
      <c r="WVX1" s="65" t="s">
        <v>16489</v>
      </c>
      <c r="WVY1" s="65" t="s">
        <v>16490</v>
      </c>
      <c r="WVZ1" s="65" t="s">
        <v>16491</v>
      </c>
      <c r="WWA1" s="65" t="s">
        <v>16492</v>
      </c>
      <c r="WWB1" s="65" t="s">
        <v>16493</v>
      </c>
      <c r="WWC1" s="65" t="s">
        <v>16494</v>
      </c>
      <c r="WWD1" s="65" t="s">
        <v>16495</v>
      </c>
      <c r="WWE1" s="65" t="s">
        <v>16496</v>
      </c>
      <c r="WWF1" s="65" t="s">
        <v>16497</v>
      </c>
      <c r="WWG1" s="65" t="s">
        <v>16498</v>
      </c>
      <c r="WWH1" s="65" t="s">
        <v>16499</v>
      </c>
      <c r="WWI1" s="65" t="s">
        <v>16500</v>
      </c>
      <c r="WWJ1" s="65" t="s">
        <v>16501</v>
      </c>
      <c r="WWK1" s="65" t="s">
        <v>16502</v>
      </c>
      <c r="WWL1" s="65" t="s">
        <v>16503</v>
      </c>
      <c r="WWM1" s="65" t="s">
        <v>16504</v>
      </c>
      <c r="WWN1" s="65" t="s">
        <v>16505</v>
      </c>
      <c r="WWO1" s="65" t="s">
        <v>16506</v>
      </c>
      <c r="WWP1" s="65" t="s">
        <v>16507</v>
      </c>
      <c r="WWQ1" s="65" t="s">
        <v>16508</v>
      </c>
      <c r="WWR1" s="65" t="s">
        <v>16509</v>
      </c>
      <c r="WWS1" s="65" t="s">
        <v>16510</v>
      </c>
      <c r="WWT1" s="65" t="s">
        <v>16511</v>
      </c>
      <c r="WWU1" s="65" t="s">
        <v>16512</v>
      </c>
      <c r="WWV1" s="65" t="s">
        <v>16513</v>
      </c>
      <c r="WWW1" s="65" t="s">
        <v>16514</v>
      </c>
      <c r="WWX1" s="65" t="s">
        <v>16515</v>
      </c>
      <c r="WWY1" s="65" t="s">
        <v>16516</v>
      </c>
      <c r="WWZ1" s="65" t="s">
        <v>16517</v>
      </c>
      <c r="WXA1" s="65" t="s">
        <v>16518</v>
      </c>
      <c r="WXB1" s="65" t="s">
        <v>16519</v>
      </c>
      <c r="WXC1" s="65" t="s">
        <v>16520</v>
      </c>
      <c r="WXD1" s="65" t="s">
        <v>16521</v>
      </c>
      <c r="WXE1" s="65" t="s">
        <v>16522</v>
      </c>
      <c r="WXF1" s="65" t="s">
        <v>16523</v>
      </c>
      <c r="WXG1" s="65" t="s">
        <v>16524</v>
      </c>
      <c r="WXH1" s="65" t="s">
        <v>16525</v>
      </c>
      <c r="WXI1" s="65" t="s">
        <v>16526</v>
      </c>
      <c r="WXJ1" s="65" t="s">
        <v>16527</v>
      </c>
      <c r="WXK1" s="65" t="s">
        <v>16528</v>
      </c>
      <c r="WXL1" s="65" t="s">
        <v>16529</v>
      </c>
      <c r="WXM1" s="65" t="s">
        <v>16530</v>
      </c>
      <c r="WXN1" s="65" t="s">
        <v>16531</v>
      </c>
      <c r="WXO1" s="65" t="s">
        <v>16532</v>
      </c>
      <c r="WXP1" s="65" t="s">
        <v>16533</v>
      </c>
      <c r="WXQ1" s="65" t="s">
        <v>16534</v>
      </c>
      <c r="WXR1" s="65" t="s">
        <v>16535</v>
      </c>
      <c r="WXS1" s="65" t="s">
        <v>16536</v>
      </c>
      <c r="WXT1" s="65" t="s">
        <v>16537</v>
      </c>
      <c r="WXU1" s="65" t="s">
        <v>16538</v>
      </c>
      <c r="WXV1" s="65" t="s">
        <v>16539</v>
      </c>
      <c r="WXW1" s="65" t="s">
        <v>16540</v>
      </c>
      <c r="WXX1" s="65" t="s">
        <v>16541</v>
      </c>
      <c r="WXY1" s="65" t="s">
        <v>16542</v>
      </c>
      <c r="WXZ1" s="65" t="s">
        <v>16543</v>
      </c>
      <c r="WYA1" s="65" t="s">
        <v>16544</v>
      </c>
      <c r="WYB1" s="65" t="s">
        <v>16545</v>
      </c>
      <c r="WYC1" s="65" t="s">
        <v>16546</v>
      </c>
      <c r="WYD1" s="65" t="s">
        <v>16547</v>
      </c>
      <c r="WYE1" s="65" t="s">
        <v>16548</v>
      </c>
      <c r="WYF1" s="65" t="s">
        <v>16549</v>
      </c>
      <c r="WYG1" s="65" t="s">
        <v>16550</v>
      </c>
      <c r="WYH1" s="65" t="s">
        <v>16551</v>
      </c>
      <c r="WYI1" s="65" t="s">
        <v>16552</v>
      </c>
      <c r="WYJ1" s="65" t="s">
        <v>16553</v>
      </c>
      <c r="WYK1" s="65" t="s">
        <v>16554</v>
      </c>
      <c r="WYL1" s="65" t="s">
        <v>16555</v>
      </c>
      <c r="WYM1" s="65" t="s">
        <v>16556</v>
      </c>
      <c r="WYN1" s="65" t="s">
        <v>16557</v>
      </c>
      <c r="WYO1" s="65" t="s">
        <v>16558</v>
      </c>
      <c r="WYP1" s="65" t="s">
        <v>16559</v>
      </c>
      <c r="WYQ1" s="65" t="s">
        <v>16560</v>
      </c>
      <c r="WYR1" s="65" t="s">
        <v>16561</v>
      </c>
      <c r="WYS1" s="65" t="s">
        <v>16562</v>
      </c>
      <c r="WYT1" s="65" t="s">
        <v>16563</v>
      </c>
      <c r="WYU1" s="65" t="s">
        <v>16564</v>
      </c>
      <c r="WYV1" s="65" t="s">
        <v>16565</v>
      </c>
      <c r="WYW1" s="65" t="s">
        <v>16566</v>
      </c>
      <c r="WYX1" s="65" t="s">
        <v>16567</v>
      </c>
      <c r="WYY1" s="65" t="s">
        <v>16568</v>
      </c>
      <c r="WYZ1" s="65" t="s">
        <v>16569</v>
      </c>
      <c r="WZA1" s="65" t="s">
        <v>16570</v>
      </c>
      <c r="WZB1" s="65" t="s">
        <v>16571</v>
      </c>
      <c r="WZC1" s="65" t="s">
        <v>16572</v>
      </c>
      <c r="WZD1" s="65" t="s">
        <v>16573</v>
      </c>
      <c r="WZE1" s="65" t="s">
        <v>16574</v>
      </c>
      <c r="WZF1" s="65" t="s">
        <v>16575</v>
      </c>
      <c r="WZG1" s="65" t="s">
        <v>16576</v>
      </c>
      <c r="WZH1" s="65" t="s">
        <v>16577</v>
      </c>
      <c r="WZI1" s="65" t="s">
        <v>16578</v>
      </c>
      <c r="WZJ1" s="65" t="s">
        <v>16579</v>
      </c>
      <c r="WZK1" s="65" t="s">
        <v>16580</v>
      </c>
      <c r="WZL1" s="65" t="s">
        <v>16581</v>
      </c>
      <c r="WZM1" s="65" t="s">
        <v>16582</v>
      </c>
      <c r="WZN1" s="65" t="s">
        <v>16583</v>
      </c>
      <c r="WZO1" s="65" t="s">
        <v>16584</v>
      </c>
      <c r="WZP1" s="65" t="s">
        <v>16585</v>
      </c>
      <c r="WZQ1" s="65" t="s">
        <v>16586</v>
      </c>
      <c r="WZR1" s="65" t="s">
        <v>16587</v>
      </c>
      <c r="WZS1" s="65" t="s">
        <v>16588</v>
      </c>
      <c r="WZT1" s="65" t="s">
        <v>16589</v>
      </c>
      <c r="WZU1" s="65" t="s">
        <v>16590</v>
      </c>
      <c r="WZV1" s="65" t="s">
        <v>16591</v>
      </c>
      <c r="WZW1" s="65" t="s">
        <v>16592</v>
      </c>
      <c r="WZX1" s="65" t="s">
        <v>16593</v>
      </c>
      <c r="WZY1" s="65" t="s">
        <v>16594</v>
      </c>
      <c r="WZZ1" s="65" t="s">
        <v>16595</v>
      </c>
      <c r="XAA1" s="65" t="s">
        <v>16596</v>
      </c>
      <c r="XAB1" s="65" t="s">
        <v>16597</v>
      </c>
      <c r="XAC1" s="65" t="s">
        <v>16598</v>
      </c>
      <c r="XAD1" s="65" t="s">
        <v>16599</v>
      </c>
      <c r="XAE1" s="65" t="s">
        <v>16600</v>
      </c>
      <c r="XAF1" s="65" t="s">
        <v>16601</v>
      </c>
      <c r="XAG1" s="65" t="s">
        <v>16602</v>
      </c>
      <c r="XAH1" s="65" t="s">
        <v>16603</v>
      </c>
      <c r="XAI1" s="65" t="s">
        <v>16604</v>
      </c>
      <c r="XAJ1" s="65" t="s">
        <v>16605</v>
      </c>
      <c r="XAK1" s="65" t="s">
        <v>16606</v>
      </c>
      <c r="XAL1" s="65" t="s">
        <v>16607</v>
      </c>
      <c r="XAM1" s="65" t="s">
        <v>16608</v>
      </c>
      <c r="XAN1" s="65" t="s">
        <v>16609</v>
      </c>
      <c r="XAO1" s="65" t="s">
        <v>16610</v>
      </c>
      <c r="XAP1" s="65" t="s">
        <v>16611</v>
      </c>
      <c r="XAQ1" s="65" t="s">
        <v>16612</v>
      </c>
      <c r="XAR1" s="65" t="s">
        <v>16613</v>
      </c>
      <c r="XAS1" s="65" t="s">
        <v>16614</v>
      </c>
      <c r="XAT1" s="65" t="s">
        <v>16615</v>
      </c>
      <c r="XAU1" s="65" t="s">
        <v>16616</v>
      </c>
      <c r="XAV1" s="65" t="s">
        <v>16617</v>
      </c>
      <c r="XAW1" s="65" t="s">
        <v>16618</v>
      </c>
      <c r="XAX1" s="65" t="s">
        <v>16619</v>
      </c>
      <c r="XAY1" s="65" t="s">
        <v>16620</v>
      </c>
      <c r="XAZ1" s="65" t="s">
        <v>16621</v>
      </c>
      <c r="XBA1" s="65" t="s">
        <v>16622</v>
      </c>
      <c r="XBB1" s="65" t="s">
        <v>16623</v>
      </c>
      <c r="XBC1" s="65" t="s">
        <v>16624</v>
      </c>
      <c r="XBD1" s="65" t="s">
        <v>16625</v>
      </c>
      <c r="XBE1" s="65" t="s">
        <v>16626</v>
      </c>
      <c r="XBF1" s="65" t="s">
        <v>16627</v>
      </c>
      <c r="XBG1" s="65" t="s">
        <v>16628</v>
      </c>
      <c r="XBH1" s="65" t="s">
        <v>16629</v>
      </c>
      <c r="XBI1" s="65" t="s">
        <v>16630</v>
      </c>
      <c r="XBJ1" s="65" t="s">
        <v>16631</v>
      </c>
      <c r="XBK1" s="65" t="s">
        <v>16632</v>
      </c>
      <c r="XBL1" s="65" t="s">
        <v>16633</v>
      </c>
      <c r="XBM1" s="65" t="s">
        <v>16634</v>
      </c>
      <c r="XBN1" s="65" t="s">
        <v>16635</v>
      </c>
      <c r="XBO1" s="65" t="s">
        <v>16636</v>
      </c>
      <c r="XBP1" s="65" t="s">
        <v>16637</v>
      </c>
      <c r="XBQ1" s="65" t="s">
        <v>16638</v>
      </c>
      <c r="XBR1" s="65" t="s">
        <v>16639</v>
      </c>
      <c r="XBS1" s="65" t="s">
        <v>16640</v>
      </c>
      <c r="XBT1" s="65" t="s">
        <v>16641</v>
      </c>
      <c r="XBU1" s="65" t="s">
        <v>16642</v>
      </c>
      <c r="XBV1" s="65" t="s">
        <v>16643</v>
      </c>
      <c r="XBW1" s="65" t="s">
        <v>16644</v>
      </c>
      <c r="XBX1" s="65" t="s">
        <v>16645</v>
      </c>
      <c r="XBY1" s="65" t="s">
        <v>16646</v>
      </c>
      <c r="XBZ1" s="65" t="s">
        <v>16647</v>
      </c>
      <c r="XCA1" s="65" t="s">
        <v>16648</v>
      </c>
      <c r="XCB1" s="65" t="s">
        <v>16649</v>
      </c>
      <c r="XCC1" s="65" t="s">
        <v>16650</v>
      </c>
      <c r="XCD1" s="65" t="s">
        <v>16651</v>
      </c>
      <c r="XCE1" s="65" t="s">
        <v>16652</v>
      </c>
      <c r="XCF1" s="65" t="s">
        <v>16653</v>
      </c>
      <c r="XCG1" s="65" t="s">
        <v>16654</v>
      </c>
      <c r="XCH1" s="65" t="s">
        <v>16655</v>
      </c>
      <c r="XCI1" s="65" t="s">
        <v>16656</v>
      </c>
      <c r="XCJ1" s="65" t="s">
        <v>16657</v>
      </c>
      <c r="XCK1" s="65" t="s">
        <v>16658</v>
      </c>
      <c r="XCL1" s="65" t="s">
        <v>16659</v>
      </c>
      <c r="XCM1" s="65" t="s">
        <v>16660</v>
      </c>
      <c r="XCN1" s="65" t="s">
        <v>16661</v>
      </c>
      <c r="XCO1" s="65" t="s">
        <v>16662</v>
      </c>
      <c r="XCP1" s="65" t="s">
        <v>16663</v>
      </c>
      <c r="XCQ1" s="65" t="s">
        <v>16664</v>
      </c>
      <c r="XCR1" s="65" t="s">
        <v>16665</v>
      </c>
      <c r="XCS1" s="65" t="s">
        <v>16666</v>
      </c>
      <c r="XCT1" s="65" t="s">
        <v>16667</v>
      </c>
      <c r="XCU1" s="65" t="s">
        <v>16668</v>
      </c>
      <c r="XCV1" s="65" t="s">
        <v>16669</v>
      </c>
      <c r="XCW1" s="65" t="s">
        <v>16670</v>
      </c>
      <c r="XCX1" s="65" t="s">
        <v>16671</v>
      </c>
      <c r="XCY1" s="65" t="s">
        <v>16672</v>
      </c>
      <c r="XCZ1" s="65" t="s">
        <v>16673</v>
      </c>
      <c r="XDA1" s="65" t="s">
        <v>16674</v>
      </c>
      <c r="XDB1" s="65" t="s">
        <v>16675</v>
      </c>
      <c r="XDC1" s="65" t="s">
        <v>16676</v>
      </c>
      <c r="XDD1" s="65" t="s">
        <v>16677</v>
      </c>
      <c r="XDE1" s="65" t="s">
        <v>16678</v>
      </c>
      <c r="XDF1" s="65" t="s">
        <v>16679</v>
      </c>
      <c r="XDG1" s="65" t="s">
        <v>16680</v>
      </c>
      <c r="XDH1" s="65" t="s">
        <v>16681</v>
      </c>
      <c r="XDI1" s="65" t="s">
        <v>16682</v>
      </c>
      <c r="XDJ1" s="65" t="s">
        <v>16683</v>
      </c>
      <c r="XDK1" s="65" t="s">
        <v>16684</v>
      </c>
      <c r="XDL1" s="65" t="s">
        <v>16685</v>
      </c>
      <c r="XDM1" s="65" t="s">
        <v>16686</v>
      </c>
      <c r="XDN1" s="65" t="s">
        <v>16687</v>
      </c>
      <c r="XDO1" s="65" t="s">
        <v>16688</v>
      </c>
      <c r="XDP1" s="65" t="s">
        <v>16689</v>
      </c>
      <c r="XDQ1" s="65" t="s">
        <v>16690</v>
      </c>
      <c r="XDR1" s="65" t="s">
        <v>16691</v>
      </c>
      <c r="XDS1" s="65" t="s">
        <v>16692</v>
      </c>
      <c r="XDT1" s="65" t="s">
        <v>16693</v>
      </c>
      <c r="XDU1" s="65" t="s">
        <v>16694</v>
      </c>
      <c r="XDV1" s="65" t="s">
        <v>16695</v>
      </c>
      <c r="XDW1" s="65" t="s">
        <v>16696</v>
      </c>
      <c r="XDX1" s="65" t="s">
        <v>16697</v>
      </c>
      <c r="XDY1" s="65" t="s">
        <v>16698</v>
      </c>
      <c r="XDZ1" s="65" t="s">
        <v>16699</v>
      </c>
      <c r="XEA1" s="65" t="s">
        <v>16700</v>
      </c>
      <c r="XEB1" s="65" t="s">
        <v>16701</v>
      </c>
      <c r="XEC1" s="65" t="s">
        <v>16702</v>
      </c>
      <c r="XED1" s="65" t="s">
        <v>16703</v>
      </c>
      <c r="XEE1" s="65" t="s">
        <v>16704</v>
      </c>
      <c r="XEF1" s="65" t="s">
        <v>16705</v>
      </c>
      <c r="XEG1" s="65" t="s">
        <v>16706</v>
      </c>
      <c r="XEH1" s="65" t="s">
        <v>16707</v>
      </c>
      <c r="XEI1" s="65" t="s">
        <v>16708</v>
      </c>
      <c r="XEJ1" s="65" t="s">
        <v>16709</v>
      </c>
      <c r="XEK1" s="65" t="s">
        <v>16710</v>
      </c>
      <c r="XEL1" s="65" t="s">
        <v>16711</v>
      </c>
      <c r="XEM1" s="65" t="s">
        <v>16712</v>
      </c>
      <c r="XEN1" s="65" t="s">
        <v>16713</v>
      </c>
      <c r="XEO1" s="65" t="s">
        <v>16714</v>
      </c>
      <c r="XEP1" s="65" t="s">
        <v>16715</v>
      </c>
      <c r="XEQ1" s="65" t="s">
        <v>16716</v>
      </c>
      <c r="XER1" s="65" t="s">
        <v>16717</v>
      </c>
      <c r="XES1" s="65" t="s">
        <v>16718</v>
      </c>
      <c r="XET1" s="65" t="s">
        <v>16719</v>
      </c>
      <c r="XEU1" s="65" t="s">
        <v>16720</v>
      </c>
      <c r="XEV1" s="65" t="s">
        <v>16721</v>
      </c>
      <c r="XEW1" s="65" t="s">
        <v>16722</v>
      </c>
      <c r="XEX1" s="65" t="s">
        <v>16723</v>
      </c>
      <c r="XEY1" s="65" t="s">
        <v>16724</v>
      </c>
      <c r="XEZ1" s="65" t="s">
        <v>16725</v>
      </c>
      <c r="XFA1" s="65" t="s">
        <v>16726</v>
      </c>
      <c r="XFB1" s="65" t="s">
        <v>16727</v>
      </c>
      <c r="XFC1" s="65" t="s">
        <v>16728</v>
      </c>
      <c r="XFD1" s="65" t="s">
        <v>16729</v>
      </c>
    </row>
    <row r="2" spans="1:16384" s="65" customFormat="1">
      <c r="A2" s="64">
        <v>45159</v>
      </c>
      <c r="B2" s="14" t="s">
        <v>337</v>
      </c>
      <c r="C2" s="2">
        <v>114500</v>
      </c>
      <c r="D2" s="18" t="s">
        <v>265</v>
      </c>
    </row>
    <row r="3" spans="1:16384" s="2" customFormat="1">
      <c r="A3" s="64">
        <v>45160</v>
      </c>
      <c r="B3" s="2" t="s">
        <v>338</v>
      </c>
      <c r="C3" s="2">
        <v>19000</v>
      </c>
      <c r="D3" s="18" t="s">
        <v>265</v>
      </c>
    </row>
    <row r="4" spans="1:16384" s="2" customFormat="1">
      <c r="A4" s="1"/>
      <c r="B4" s="2" t="s">
        <v>339</v>
      </c>
      <c r="C4" s="2">
        <v>150000</v>
      </c>
      <c r="D4" s="18" t="s">
        <v>317</v>
      </c>
    </row>
    <row r="5" spans="1:16384" s="2" customFormat="1">
      <c r="A5" s="86">
        <v>45162</v>
      </c>
      <c r="B5" s="19" t="s">
        <v>340</v>
      </c>
      <c r="C5" s="19">
        <v>74500</v>
      </c>
      <c r="D5" s="20" t="s">
        <v>341</v>
      </c>
    </row>
    <row r="6" spans="1:16384" s="2" customFormat="1">
      <c r="A6" s="86">
        <v>45163</v>
      </c>
      <c r="B6" s="19" t="s">
        <v>342</v>
      </c>
      <c r="C6" s="2">
        <v>72904</v>
      </c>
      <c r="D6" s="20" t="s">
        <v>343</v>
      </c>
    </row>
    <row r="7" spans="1:16384" s="2" customFormat="1">
      <c r="A7" s="64">
        <v>45163</v>
      </c>
      <c r="B7" s="2" t="s">
        <v>344</v>
      </c>
      <c r="C7" s="2">
        <v>100000</v>
      </c>
      <c r="D7" s="18" t="s">
        <v>343</v>
      </c>
    </row>
    <row r="8" spans="1:16384" s="2" customFormat="1">
      <c r="A8" s="86">
        <v>45164</v>
      </c>
      <c r="B8" s="19" t="s">
        <v>345</v>
      </c>
      <c r="C8" s="19">
        <v>530000</v>
      </c>
      <c r="D8" s="20" t="s">
        <v>265</v>
      </c>
    </row>
    <row r="9" spans="1:16384" s="2" customFormat="1">
      <c r="A9" s="86">
        <v>45165</v>
      </c>
      <c r="B9" s="19" t="s">
        <v>308</v>
      </c>
      <c r="C9" s="19">
        <v>492648</v>
      </c>
      <c r="D9" s="20" t="s">
        <v>304</v>
      </c>
      <c r="E9" s="2" t="s">
        <v>347</v>
      </c>
    </row>
    <row r="10" spans="1:16384" s="2" customFormat="1">
      <c r="A10" s="86">
        <v>45166</v>
      </c>
      <c r="B10" s="19" t="s">
        <v>267</v>
      </c>
      <c r="C10" s="19">
        <v>7400</v>
      </c>
      <c r="D10" s="19" t="s">
        <v>252</v>
      </c>
    </row>
    <row r="11" spans="1:16384" s="2" customFormat="1">
      <c r="A11" s="86">
        <v>45166</v>
      </c>
      <c r="B11" s="19" t="s">
        <v>308</v>
      </c>
      <c r="C11" s="19">
        <v>187472</v>
      </c>
      <c r="D11" s="20" t="s">
        <v>304</v>
      </c>
    </row>
    <row r="12" spans="1:16384" s="2" customFormat="1">
      <c r="A12" s="86">
        <v>45172</v>
      </c>
      <c r="B12" s="2" t="s">
        <v>346</v>
      </c>
      <c r="C12" s="19">
        <f>96816</f>
        <v>96816</v>
      </c>
      <c r="D12" s="20" t="s">
        <v>343</v>
      </c>
    </row>
    <row r="13" spans="1:16384" s="2" customFormat="1">
      <c r="A13" s="86">
        <v>45172</v>
      </c>
      <c r="B13" s="19" t="s">
        <v>146</v>
      </c>
      <c r="C13" s="19">
        <v>149634</v>
      </c>
      <c r="D13" s="20" t="s">
        <v>343</v>
      </c>
    </row>
    <row r="14" spans="1:16384" s="2" customFormat="1">
      <c r="A14" s="86">
        <v>45171</v>
      </c>
      <c r="B14" s="19" t="s">
        <v>146</v>
      </c>
      <c r="C14" s="19">
        <v>125645</v>
      </c>
      <c r="D14" s="20" t="s">
        <v>343</v>
      </c>
    </row>
    <row r="15" spans="1:16384" s="2" customFormat="1">
      <c r="A15" s="86">
        <v>45173</v>
      </c>
      <c r="B15" s="19" t="s">
        <v>322</v>
      </c>
      <c r="C15" s="19">
        <v>71826</v>
      </c>
      <c r="D15" s="20" t="s">
        <v>304</v>
      </c>
      <c r="E15" s="19" t="s">
        <v>347</v>
      </c>
    </row>
    <row r="16" spans="1:16384" s="2" customFormat="1">
      <c r="A16" s="86">
        <v>45176</v>
      </c>
      <c r="B16" s="19" t="s">
        <v>327</v>
      </c>
      <c r="C16" s="19">
        <v>100000</v>
      </c>
      <c r="D16" s="20"/>
      <c r="E16" s="19"/>
    </row>
    <row r="17" spans="1:16384" s="2" customFormat="1">
      <c r="A17" s="86">
        <v>45177</v>
      </c>
      <c r="B17" s="19" t="s">
        <v>255</v>
      </c>
      <c r="C17" s="19">
        <v>39000</v>
      </c>
      <c r="D17" s="20" t="s">
        <v>265</v>
      </c>
      <c r="E17" s="19"/>
    </row>
    <row r="18" spans="1:16384" s="2" customFormat="1">
      <c r="A18" s="86"/>
      <c r="B18" s="19" t="s">
        <v>348</v>
      </c>
      <c r="C18" s="19">
        <v>100000</v>
      </c>
      <c r="D18" s="20" t="s">
        <v>265</v>
      </c>
      <c r="E18" s="19"/>
    </row>
    <row r="19" spans="1:16384" s="2" customFormat="1">
      <c r="A19" s="86">
        <v>45183</v>
      </c>
      <c r="B19" s="19" t="s">
        <v>146</v>
      </c>
      <c r="C19" s="19">
        <v>486528</v>
      </c>
      <c r="D19" s="20" t="s">
        <v>343</v>
      </c>
      <c r="E19" s="19" t="s">
        <v>347</v>
      </c>
    </row>
    <row r="20" spans="1:16384" s="2" customFormat="1">
      <c r="A20" s="86">
        <v>45113</v>
      </c>
      <c r="B20" s="2" t="s">
        <v>318</v>
      </c>
      <c r="C20" s="19">
        <v>832000</v>
      </c>
      <c r="D20" s="20"/>
      <c r="E20" s="19"/>
    </row>
    <row r="21" spans="1:16384" s="19" customFormat="1">
      <c r="A21" s="86">
        <v>45188</v>
      </c>
      <c r="B21" s="2" t="s">
        <v>318</v>
      </c>
      <c r="C21" s="18">
        <v>117343</v>
      </c>
      <c r="D21" s="20" t="s">
        <v>304</v>
      </c>
      <c r="E21" s="20" t="s">
        <v>347</v>
      </c>
    </row>
    <row r="22" spans="1:16384" s="19" customFormat="1">
      <c r="A22" s="64">
        <v>45189</v>
      </c>
      <c r="B22" s="2" t="s">
        <v>350</v>
      </c>
      <c r="C22" s="2">
        <v>20000</v>
      </c>
      <c r="D22" s="18" t="s">
        <v>351</v>
      </c>
      <c r="E22" s="19">
        <v>9928111474</v>
      </c>
    </row>
    <row r="23" spans="1:16384">
      <c r="A23" s="64">
        <v>45189</v>
      </c>
      <c r="B23" s="2" t="s">
        <v>332</v>
      </c>
      <c r="C23" s="2">
        <v>125100</v>
      </c>
      <c r="D23" s="2" t="s">
        <v>265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  <c r="AMK23" s="2"/>
      <c r="AML23" s="2"/>
      <c r="AMM23" s="2"/>
      <c r="AMN23" s="2"/>
      <c r="AMO23" s="2"/>
      <c r="AMP23" s="2"/>
      <c r="AMQ23" s="2"/>
      <c r="AMR23" s="2"/>
      <c r="AMS23" s="2"/>
      <c r="AMT23" s="2"/>
      <c r="AMU23" s="2"/>
      <c r="AMV23" s="2"/>
      <c r="AMW23" s="2"/>
      <c r="AMX23" s="2"/>
      <c r="AMY23" s="2"/>
      <c r="AMZ23" s="2"/>
      <c r="ANA23" s="2"/>
      <c r="ANB23" s="2"/>
      <c r="ANC23" s="2"/>
      <c r="AND23" s="2"/>
      <c r="ANE23" s="2"/>
      <c r="ANF23" s="2"/>
      <c r="ANG23" s="2"/>
      <c r="ANH23" s="2"/>
      <c r="ANI23" s="2"/>
      <c r="ANJ23" s="2"/>
      <c r="ANK23" s="2"/>
      <c r="ANL23" s="2"/>
      <c r="ANM23" s="2"/>
      <c r="ANN23" s="2"/>
      <c r="ANO23" s="2"/>
      <c r="ANP23" s="2"/>
      <c r="ANQ23" s="2"/>
      <c r="ANR23" s="2"/>
      <c r="ANS23" s="2"/>
      <c r="ANT23" s="2"/>
      <c r="ANU23" s="2"/>
      <c r="ANV23" s="2"/>
      <c r="ANW23" s="2"/>
      <c r="ANX23" s="2"/>
      <c r="ANY23" s="2"/>
      <c r="ANZ23" s="2"/>
      <c r="AOA23" s="2"/>
      <c r="AOB23" s="2"/>
      <c r="AOC23" s="2"/>
      <c r="AOD23" s="2"/>
      <c r="AOE23" s="2"/>
      <c r="AOF23" s="2"/>
      <c r="AOG23" s="2"/>
      <c r="AOH23" s="2"/>
      <c r="AOI23" s="2"/>
      <c r="AOJ23" s="2"/>
      <c r="AOK23" s="2"/>
      <c r="AOL23" s="2"/>
      <c r="AOM23" s="2"/>
      <c r="AON23" s="2"/>
      <c r="AOO23" s="2"/>
      <c r="AOP23" s="2"/>
      <c r="AOQ23" s="2"/>
      <c r="AOR23" s="2"/>
      <c r="AOS23" s="2"/>
      <c r="AOT23" s="2"/>
      <c r="AOU23" s="2"/>
      <c r="AOV23" s="2"/>
      <c r="AOW23" s="2"/>
      <c r="AOX23" s="2"/>
      <c r="AOY23" s="2"/>
      <c r="AOZ23" s="2"/>
      <c r="APA23" s="2"/>
      <c r="APB23" s="2"/>
      <c r="APC23" s="2"/>
      <c r="APD23" s="2"/>
      <c r="APE23" s="2"/>
      <c r="APF23" s="2"/>
      <c r="APG23" s="2"/>
      <c r="APH23" s="2"/>
      <c r="API23" s="2"/>
      <c r="APJ23" s="2"/>
      <c r="APK23" s="2"/>
      <c r="APL23" s="2"/>
      <c r="APM23" s="2"/>
      <c r="APN23" s="2"/>
      <c r="APO23" s="2"/>
      <c r="APP23" s="2"/>
      <c r="APQ23" s="2"/>
      <c r="APR23" s="2"/>
      <c r="APS23" s="2"/>
      <c r="APT23" s="2"/>
      <c r="APU23" s="2"/>
      <c r="APV23" s="2"/>
      <c r="APW23" s="2"/>
      <c r="APX23" s="2"/>
      <c r="APY23" s="2"/>
      <c r="APZ23" s="2"/>
      <c r="AQA23" s="2"/>
      <c r="AQB23" s="2"/>
      <c r="AQC23" s="2"/>
      <c r="AQD23" s="2"/>
      <c r="AQE23" s="2"/>
      <c r="AQF23" s="2"/>
      <c r="AQG23" s="2"/>
      <c r="AQH23" s="2"/>
      <c r="AQI23" s="2"/>
      <c r="AQJ23" s="2"/>
      <c r="AQK23" s="2"/>
      <c r="AQL23" s="2"/>
      <c r="AQM23" s="2"/>
      <c r="AQN23" s="2"/>
      <c r="AQO23" s="2"/>
      <c r="AQP23" s="2"/>
      <c r="AQQ23" s="2"/>
      <c r="AQR23" s="2"/>
      <c r="AQS23" s="2"/>
      <c r="AQT23" s="2"/>
      <c r="AQU23" s="2"/>
      <c r="AQV23" s="2"/>
      <c r="AQW23" s="2"/>
      <c r="AQX23" s="2"/>
      <c r="AQY23" s="2"/>
      <c r="AQZ23" s="2"/>
      <c r="ARA23" s="2"/>
      <c r="ARB23" s="2"/>
      <c r="ARC23" s="2"/>
      <c r="ARD23" s="2"/>
      <c r="ARE23" s="2"/>
      <c r="ARF23" s="2"/>
      <c r="ARG23" s="2"/>
      <c r="ARH23" s="2"/>
      <c r="ARI23" s="2"/>
      <c r="ARJ23" s="2"/>
      <c r="ARK23" s="2"/>
      <c r="ARL23" s="2"/>
      <c r="ARM23" s="2"/>
      <c r="ARN23" s="2"/>
      <c r="ARO23" s="2"/>
      <c r="ARP23" s="2"/>
      <c r="ARQ23" s="2"/>
      <c r="ARR23" s="2"/>
      <c r="ARS23" s="2"/>
      <c r="ART23" s="2"/>
      <c r="ARU23" s="2"/>
      <c r="ARV23" s="2"/>
      <c r="ARW23" s="2"/>
      <c r="ARX23" s="2"/>
      <c r="ARY23" s="2"/>
      <c r="ARZ23" s="2"/>
      <c r="ASA23" s="2"/>
      <c r="ASB23" s="2"/>
      <c r="ASC23" s="2"/>
      <c r="ASD23" s="2"/>
      <c r="ASE23" s="2"/>
      <c r="ASF23" s="2"/>
      <c r="ASG23" s="2"/>
      <c r="ASH23" s="2"/>
      <c r="ASI23" s="2"/>
      <c r="ASJ23" s="2"/>
      <c r="ASK23" s="2"/>
      <c r="ASL23" s="2"/>
      <c r="ASM23" s="2"/>
      <c r="ASN23" s="2"/>
      <c r="ASO23" s="2"/>
      <c r="ASP23" s="2"/>
      <c r="ASQ23" s="2"/>
      <c r="ASR23" s="2"/>
      <c r="ASS23" s="2"/>
      <c r="AST23" s="2"/>
      <c r="ASU23" s="2"/>
      <c r="ASV23" s="2"/>
      <c r="ASW23" s="2"/>
      <c r="ASX23" s="2"/>
      <c r="ASY23" s="2"/>
      <c r="ASZ23" s="2"/>
      <c r="ATA23" s="2"/>
      <c r="ATB23" s="2"/>
      <c r="ATC23" s="2"/>
      <c r="ATD23" s="2"/>
      <c r="ATE23" s="2"/>
      <c r="ATF23" s="2"/>
      <c r="ATG23" s="2"/>
      <c r="ATH23" s="2"/>
      <c r="ATI23" s="2"/>
      <c r="ATJ23" s="2"/>
      <c r="ATK23" s="2"/>
      <c r="ATL23" s="2"/>
      <c r="ATM23" s="2"/>
      <c r="ATN23" s="2"/>
      <c r="ATO23" s="2"/>
      <c r="ATP23" s="2"/>
      <c r="ATQ23" s="2"/>
      <c r="ATR23" s="2"/>
      <c r="ATS23" s="2"/>
      <c r="ATT23" s="2"/>
      <c r="ATU23" s="2"/>
      <c r="ATV23" s="2"/>
      <c r="ATW23" s="2"/>
      <c r="ATX23" s="2"/>
      <c r="ATY23" s="2"/>
      <c r="ATZ23" s="2"/>
      <c r="AUA23" s="2"/>
      <c r="AUB23" s="2"/>
      <c r="AUC23" s="2"/>
      <c r="AUD23" s="2"/>
      <c r="AUE23" s="2"/>
      <c r="AUF23" s="2"/>
      <c r="AUG23" s="2"/>
      <c r="AUH23" s="2"/>
      <c r="AUI23" s="2"/>
      <c r="AUJ23" s="2"/>
      <c r="AUK23" s="2"/>
      <c r="AUL23" s="2"/>
      <c r="AUM23" s="2"/>
      <c r="AUN23" s="2"/>
      <c r="AUO23" s="2"/>
      <c r="AUP23" s="2"/>
      <c r="AUQ23" s="2"/>
      <c r="AUR23" s="2"/>
      <c r="AUS23" s="2"/>
      <c r="AUT23" s="2"/>
      <c r="AUU23" s="2"/>
      <c r="AUV23" s="2"/>
      <c r="AUW23" s="2"/>
      <c r="AUX23" s="2"/>
      <c r="AUY23" s="2"/>
      <c r="AUZ23" s="2"/>
      <c r="AVA23" s="2"/>
      <c r="AVB23" s="2"/>
      <c r="AVC23" s="2"/>
      <c r="AVD23" s="2"/>
      <c r="AVE23" s="2"/>
      <c r="AVF23" s="2"/>
      <c r="AVG23" s="2"/>
      <c r="AVH23" s="2"/>
      <c r="AVI23" s="2"/>
      <c r="AVJ23" s="2"/>
      <c r="AVK23" s="2"/>
      <c r="AVL23" s="2"/>
      <c r="AVM23" s="2"/>
      <c r="AVN23" s="2"/>
      <c r="AVO23" s="2"/>
      <c r="AVP23" s="2"/>
      <c r="AVQ23" s="2"/>
      <c r="AVR23" s="2"/>
      <c r="AVS23" s="2"/>
      <c r="AVT23" s="2"/>
      <c r="AVU23" s="2"/>
      <c r="AVV23" s="2"/>
      <c r="AVW23" s="2"/>
      <c r="AVX23" s="2"/>
      <c r="AVY23" s="2"/>
      <c r="AVZ23" s="2"/>
      <c r="AWA23" s="2"/>
      <c r="AWB23" s="2"/>
      <c r="AWC23" s="2"/>
      <c r="AWD23" s="2"/>
      <c r="AWE23" s="2"/>
      <c r="AWF23" s="2"/>
      <c r="AWG23" s="2"/>
      <c r="AWH23" s="2"/>
      <c r="AWI23" s="2"/>
      <c r="AWJ23" s="2"/>
      <c r="AWK23" s="2"/>
      <c r="AWL23" s="2"/>
      <c r="AWM23" s="2"/>
      <c r="AWN23" s="2"/>
      <c r="AWO23" s="2"/>
      <c r="AWP23" s="2"/>
      <c r="AWQ23" s="2"/>
      <c r="AWR23" s="2"/>
      <c r="AWS23" s="2"/>
      <c r="AWT23" s="2"/>
      <c r="AWU23" s="2"/>
      <c r="AWV23" s="2"/>
      <c r="AWW23" s="2"/>
      <c r="AWX23" s="2"/>
      <c r="AWY23" s="2"/>
      <c r="AWZ23" s="2"/>
      <c r="AXA23" s="2"/>
      <c r="AXB23" s="2"/>
      <c r="AXC23" s="2"/>
      <c r="AXD23" s="2"/>
      <c r="AXE23" s="2"/>
      <c r="AXF23" s="2"/>
      <c r="AXG23" s="2"/>
      <c r="AXH23" s="2"/>
      <c r="AXI23" s="2"/>
      <c r="AXJ23" s="2"/>
      <c r="AXK23" s="2"/>
      <c r="AXL23" s="2"/>
      <c r="AXM23" s="2"/>
      <c r="AXN23" s="2"/>
      <c r="AXO23" s="2"/>
      <c r="AXP23" s="2"/>
      <c r="AXQ23" s="2"/>
      <c r="AXR23" s="2"/>
      <c r="AXS23" s="2"/>
      <c r="AXT23" s="2"/>
      <c r="AXU23" s="2"/>
      <c r="AXV23" s="2"/>
      <c r="AXW23" s="2"/>
      <c r="AXX23" s="2"/>
      <c r="AXY23" s="2"/>
      <c r="AXZ23" s="2"/>
      <c r="AYA23" s="2"/>
      <c r="AYB23" s="2"/>
      <c r="AYC23" s="2"/>
      <c r="AYD23" s="2"/>
      <c r="AYE23" s="2"/>
      <c r="AYF23" s="2"/>
      <c r="AYG23" s="2"/>
      <c r="AYH23" s="2"/>
      <c r="AYI23" s="2"/>
      <c r="AYJ23" s="2"/>
      <c r="AYK23" s="2"/>
      <c r="AYL23" s="2"/>
      <c r="AYM23" s="2"/>
      <c r="AYN23" s="2"/>
      <c r="AYO23" s="2"/>
      <c r="AYP23" s="2"/>
      <c r="AYQ23" s="2"/>
      <c r="AYR23" s="2"/>
      <c r="AYS23" s="2"/>
      <c r="AYT23" s="2"/>
      <c r="AYU23" s="2"/>
      <c r="AYV23" s="2"/>
      <c r="AYW23" s="2"/>
      <c r="AYX23" s="2"/>
      <c r="AYY23" s="2"/>
      <c r="AYZ23" s="2"/>
      <c r="AZA23" s="2"/>
      <c r="AZB23" s="2"/>
      <c r="AZC23" s="2"/>
      <c r="AZD23" s="2"/>
      <c r="AZE23" s="2"/>
      <c r="AZF23" s="2"/>
      <c r="AZG23" s="2"/>
      <c r="AZH23" s="2"/>
      <c r="AZI23" s="2"/>
      <c r="AZJ23" s="2"/>
      <c r="AZK23" s="2"/>
      <c r="AZL23" s="2"/>
      <c r="AZM23" s="2"/>
      <c r="AZN23" s="2"/>
      <c r="AZO23" s="2"/>
      <c r="AZP23" s="2"/>
      <c r="AZQ23" s="2"/>
      <c r="AZR23" s="2"/>
      <c r="AZS23" s="2"/>
      <c r="AZT23" s="2"/>
      <c r="AZU23" s="2"/>
      <c r="AZV23" s="2"/>
      <c r="AZW23" s="2"/>
      <c r="AZX23" s="2"/>
      <c r="AZY23" s="2"/>
      <c r="AZZ23" s="2"/>
      <c r="BAA23" s="2"/>
      <c r="BAB23" s="2"/>
      <c r="BAC23" s="2"/>
      <c r="BAD23" s="2"/>
      <c r="BAE23" s="2"/>
      <c r="BAF23" s="2"/>
      <c r="BAG23" s="2"/>
      <c r="BAH23" s="2"/>
      <c r="BAI23" s="2"/>
      <c r="BAJ23" s="2"/>
      <c r="BAK23" s="2"/>
      <c r="BAL23" s="2"/>
      <c r="BAM23" s="2"/>
      <c r="BAN23" s="2"/>
      <c r="BAO23" s="2"/>
      <c r="BAP23" s="2"/>
      <c r="BAQ23" s="2"/>
      <c r="BAR23" s="2"/>
      <c r="BAS23" s="2"/>
      <c r="BAT23" s="2"/>
      <c r="BAU23" s="2"/>
      <c r="BAV23" s="2"/>
      <c r="BAW23" s="2"/>
      <c r="BAX23" s="2"/>
      <c r="BAY23" s="2"/>
      <c r="BAZ23" s="2"/>
      <c r="BBA23" s="2"/>
      <c r="BBB23" s="2"/>
      <c r="BBC23" s="2"/>
      <c r="BBD23" s="2"/>
      <c r="BBE23" s="2"/>
      <c r="BBF23" s="2"/>
      <c r="BBG23" s="2"/>
      <c r="BBH23" s="2"/>
      <c r="BBI23" s="2"/>
      <c r="BBJ23" s="2"/>
      <c r="BBK23" s="2"/>
      <c r="BBL23" s="2"/>
      <c r="BBM23" s="2"/>
      <c r="BBN23" s="2"/>
      <c r="BBO23" s="2"/>
      <c r="BBP23" s="2"/>
      <c r="BBQ23" s="2"/>
      <c r="BBR23" s="2"/>
      <c r="BBS23" s="2"/>
      <c r="BBT23" s="2"/>
      <c r="BBU23" s="2"/>
      <c r="BBV23" s="2"/>
      <c r="BBW23" s="2"/>
      <c r="BBX23" s="2"/>
      <c r="BBY23" s="2"/>
      <c r="BBZ23" s="2"/>
      <c r="BCA23" s="2"/>
      <c r="BCB23" s="2"/>
      <c r="BCC23" s="2"/>
      <c r="BCD23" s="2"/>
      <c r="BCE23" s="2"/>
      <c r="BCF23" s="2"/>
      <c r="BCG23" s="2"/>
      <c r="BCH23" s="2"/>
      <c r="BCI23" s="2"/>
      <c r="BCJ23" s="2"/>
      <c r="BCK23" s="2"/>
      <c r="BCL23" s="2"/>
      <c r="BCM23" s="2"/>
      <c r="BCN23" s="2"/>
      <c r="BCO23" s="2"/>
      <c r="BCP23" s="2"/>
      <c r="BCQ23" s="2"/>
      <c r="BCR23" s="2"/>
      <c r="BCS23" s="2"/>
      <c r="BCT23" s="2"/>
      <c r="BCU23" s="2"/>
      <c r="BCV23" s="2"/>
      <c r="BCW23" s="2"/>
      <c r="BCX23" s="2"/>
      <c r="BCY23" s="2"/>
      <c r="BCZ23" s="2"/>
      <c r="BDA23" s="2"/>
      <c r="BDB23" s="2"/>
      <c r="BDC23" s="2"/>
      <c r="BDD23" s="2"/>
      <c r="BDE23" s="2"/>
      <c r="BDF23" s="2"/>
      <c r="BDG23" s="2"/>
      <c r="BDH23" s="2"/>
      <c r="BDI23" s="2"/>
      <c r="BDJ23" s="2"/>
      <c r="BDK23" s="2"/>
      <c r="BDL23" s="2"/>
      <c r="BDM23" s="2"/>
      <c r="BDN23" s="2"/>
      <c r="BDO23" s="2"/>
      <c r="BDP23" s="2"/>
      <c r="BDQ23" s="2"/>
      <c r="BDR23" s="2"/>
      <c r="BDS23" s="2"/>
      <c r="BDT23" s="2"/>
      <c r="BDU23" s="2"/>
      <c r="BDV23" s="2"/>
      <c r="BDW23" s="2"/>
      <c r="BDX23" s="2"/>
      <c r="BDY23" s="2"/>
      <c r="BDZ23" s="2"/>
      <c r="BEA23" s="2"/>
      <c r="BEB23" s="2"/>
      <c r="BEC23" s="2"/>
      <c r="BED23" s="2"/>
      <c r="BEE23" s="2"/>
      <c r="BEF23" s="2"/>
      <c r="BEG23" s="2"/>
      <c r="BEH23" s="2"/>
      <c r="BEI23" s="2"/>
      <c r="BEJ23" s="2"/>
      <c r="BEK23" s="2"/>
      <c r="BEL23" s="2"/>
      <c r="BEM23" s="2"/>
      <c r="BEN23" s="2"/>
      <c r="BEO23" s="2"/>
      <c r="BEP23" s="2"/>
      <c r="BEQ23" s="2"/>
      <c r="BER23" s="2"/>
      <c r="BES23" s="2"/>
      <c r="BET23" s="2"/>
      <c r="BEU23" s="2"/>
      <c r="BEV23" s="2"/>
      <c r="BEW23" s="2"/>
      <c r="BEX23" s="2"/>
      <c r="BEY23" s="2"/>
      <c r="BEZ23" s="2"/>
      <c r="BFA23" s="2"/>
      <c r="BFB23" s="2"/>
      <c r="BFC23" s="2"/>
      <c r="BFD23" s="2"/>
      <c r="BFE23" s="2"/>
      <c r="BFF23" s="2"/>
      <c r="BFG23" s="2"/>
      <c r="BFH23" s="2"/>
      <c r="BFI23" s="2"/>
      <c r="BFJ23" s="2"/>
      <c r="BFK23" s="2"/>
      <c r="BFL23" s="2"/>
      <c r="BFM23" s="2"/>
      <c r="BFN23" s="2"/>
      <c r="BFO23" s="2"/>
      <c r="BFP23" s="2"/>
      <c r="BFQ23" s="2"/>
      <c r="BFR23" s="2"/>
      <c r="BFS23" s="2"/>
      <c r="BFT23" s="2"/>
      <c r="BFU23" s="2"/>
      <c r="BFV23" s="2"/>
      <c r="BFW23" s="2"/>
      <c r="BFX23" s="2"/>
      <c r="BFY23" s="2"/>
      <c r="BFZ23" s="2"/>
      <c r="BGA23" s="2"/>
      <c r="BGB23" s="2"/>
      <c r="BGC23" s="2"/>
      <c r="BGD23" s="2"/>
      <c r="BGE23" s="2"/>
      <c r="BGF23" s="2"/>
      <c r="BGG23" s="2"/>
      <c r="BGH23" s="2"/>
      <c r="BGI23" s="2"/>
      <c r="BGJ23" s="2"/>
      <c r="BGK23" s="2"/>
      <c r="BGL23" s="2"/>
      <c r="BGM23" s="2"/>
      <c r="BGN23" s="2"/>
      <c r="BGO23" s="2"/>
      <c r="BGP23" s="2"/>
      <c r="BGQ23" s="2"/>
      <c r="BGR23" s="2"/>
      <c r="BGS23" s="2"/>
      <c r="BGT23" s="2"/>
      <c r="BGU23" s="2"/>
      <c r="BGV23" s="2"/>
      <c r="BGW23" s="2"/>
      <c r="BGX23" s="2"/>
      <c r="BGY23" s="2"/>
      <c r="BGZ23" s="2"/>
      <c r="BHA23" s="2"/>
      <c r="BHB23" s="2"/>
      <c r="BHC23" s="2"/>
      <c r="BHD23" s="2"/>
      <c r="BHE23" s="2"/>
      <c r="BHF23" s="2"/>
      <c r="BHG23" s="2"/>
      <c r="BHH23" s="2"/>
      <c r="BHI23" s="2"/>
      <c r="BHJ23" s="2"/>
      <c r="BHK23" s="2"/>
      <c r="BHL23" s="2"/>
      <c r="BHM23" s="2"/>
      <c r="BHN23" s="2"/>
      <c r="BHO23" s="2"/>
      <c r="BHP23" s="2"/>
      <c r="BHQ23" s="2"/>
      <c r="BHR23" s="2"/>
      <c r="BHS23" s="2"/>
      <c r="BHT23" s="2"/>
      <c r="BHU23" s="2"/>
      <c r="BHV23" s="2"/>
      <c r="BHW23" s="2"/>
      <c r="BHX23" s="2"/>
      <c r="BHY23" s="2"/>
      <c r="BHZ23" s="2"/>
      <c r="BIA23" s="2"/>
      <c r="BIB23" s="2"/>
      <c r="BIC23" s="2"/>
      <c r="BID23" s="2"/>
      <c r="BIE23" s="2"/>
      <c r="BIF23" s="2"/>
      <c r="BIG23" s="2"/>
      <c r="BIH23" s="2"/>
      <c r="BII23" s="2"/>
      <c r="BIJ23" s="2"/>
      <c r="BIK23" s="2"/>
      <c r="BIL23" s="2"/>
      <c r="BIM23" s="2"/>
      <c r="BIN23" s="2"/>
      <c r="BIO23" s="2"/>
      <c r="BIP23" s="2"/>
      <c r="BIQ23" s="2"/>
      <c r="BIR23" s="2"/>
      <c r="BIS23" s="2"/>
      <c r="BIT23" s="2"/>
      <c r="BIU23" s="2"/>
      <c r="BIV23" s="2"/>
      <c r="BIW23" s="2"/>
      <c r="BIX23" s="2"/>
      <c r="BIY23" s="2"/>
      <c r="BIZ23" s="2"/>
      <c r="BJA23" s="2"/>
      <c r="BJB23" s="2"/>
      <c r="BJC23" s="2"/>
      <c r="BJD23" s="2"/>
      <c r="BJE23" s="2"/>
      <c r="BJF23" s="2"/>
      <c r="BJG23" s="2"/>
      <c r="BJH23" s="2"/>
      <c r="BJI23" s="2"/>
      <c r="BJJ23" s="2"/>
      <c r="BJK23" s="2"/>
      <c r="BJL23" s="2"/>
      <c r="BJM23" s="2"/>
      <c r="BJN23" s="2"/>
      <c r="BJO23" s="2"/>
      <c r="BJP23" s="2"/>
      <c r="BJQ23" s="2"/>
      <c r="BJR23" s="2"/>
      <c r="BJS23" s="2"/>
      <c r="BJT23" s="2"/>
      <c r="BJU23" s="2"/>
      <c r="BJV23" s="2"/>
      <c r="BJW23" s="2"/>
      <c r="BJX23" s="2"/>
      <c r="BJY23" s="2"/>
      <c r="BJZ23" s="2"/>
      <c r="BKA23" s="2"/>
      <c r="BKB23" s="2"/>
      <c r="BKC23" s="2"/>
      <c r="BKD23" s="2"/>
      <c r="BKE23" s="2"/>
      <c r="BKF23" s="2"/>
      <c r="BKG23" s="2"/>
      <c r="BKH23" s="2"/>
      <c r="BKI23" s="2"/>
      <c r="BKJ23" s="2"/>
      <c r="BKK23" s="2"/>
      <c r="BKL23" s="2"/>
      <c r="BKM23" s="2"/>
      <c r="BKN23" s="2"/>
      <c r="BKO23" s="2"/>
      <c r="BKP23" s="2"/>
      <c r="BKQ23" s="2"/>
      <c r="BKR23" s="2"/>
      <c r="BKS23" s="2"/>
      <c r="BKT23" s="2"/>
      <c r="BKU23" s="2"/>
      <c r="BKV23" s="2"/>
      <c r="BKW23" s="2"/>
      <c r="BKX23" s="2"/>
      <c r="BKY23" s="2"/>
      <c r="BKZ23" s="2"/>
      <c r="BLA23" s="2"/>
      <c r="BLB23" s="2"/>
      <c r="BLC23" s="2"/>
      <c r="BLD23" s="2"/>
      <c r="BLE23" s="2"/>
      <c r="BLF23" s="2"/>
      <c r="BLG23" s="2"/>
      <c r="BLH23" s="2"/>
      <c r="BLI23" s="2"/>
      <c r="BLJ23" s="2"/>
      <c r="BLK23" s="2"/>
      <c r="BLL23" s="2"/>
      <c r="BLM23" s="2"/>
      <c r="BLN23" s="2"/>
      <c r="BLO23" s="2"/>
      <c r="BLP23" s="2"/>
      <c r="BLQ23" s="2"/>
      <c r="BLR23" s="2"/>
      <c r="BLS23" s="2"/>
      <c r="BLT23" s="2"/>
      <c r="BLU23" s="2"/>
      <c r="BLV23" s="2"/>
      <c r="BLW23" s="2"/>
      <c r="BLX23" s="2"/>
      <c r="BLY23" s="2"/>
      <c r="BLZ23" s="2"/>
      <c r="BMA23" s="2"/>
      <c r="BMB23" s="2"/>
      <c r="BMC23" s="2"/>
      <c r="BMD23" s="2"/>
      <c r="BME23" s="2"/>
      <c r="BMF23" s="2"/>
      <c r="BMG23" s="2"/>
      <c r="BMH23" s="2"/>
      <c r="BMI23" s="2"/>
      <c r="BMJ23" s="2"/>
      <c r="BMK23" s="2"/>
      <c r="BML23" s="2"/>
      <c r="BMM23" s="2"/>
      <c r="BMN23" s="2"/>
      <c r="BMO23" s="2"/>
      <c r="BMP23" s="2"/>
      <c r="BMQ23" s="2"/>
      <c r="BMR23" s="2"/>
      <c r="BMS23" s="2"/>
      <c r="BMT23" s="2"/>
      <c r="BMU23" s="2"/>
      <c r="BMV23" s="2"/>
      <c r="BMW23" s="2"/>
      <c r="BMX23" s="2"/>
      <c r="BMY23" s="2"/>
      <c r="BMZ23" s="2"/>
      <c r="BNA23" s="2"/>
      <c r="BNB23" s="2"/>
      <c r="BNC23" s="2"/>
      <c r="BND23" s="2"/>
      <c r="BNE23" s="2"/>
      <c r="BNF23" s="2"/>
      <c r="BNG23" s="2"/>
      <c r="BNH23" s="2"/>
      <c r="BNI23" s="2"/>
      <c r="BNJ23" s="2"/>
      <c r="BNK23" s="2"/>
      <c r="BNL23" s="2"/>
      <c r="BNM23" s="2"/>
      <c r="BNN23" s="2"/>
      <c r="BNO23" s="2"/>
      <c r="BNP23" s="2"/>
      <c r="BNQ23" s="2"/>
      <c r="BNR23" s="2"/>
      <c r="BNS23" s="2"/>
      <c r="BNT23" s="2"/>
      <c r="BNU23" s="2"/>
      <c r="BNV23" s="2"/>
      <c r="BNW23" s="2"/>
      <c r="BNX23" s="2"/>
      <c r="BNY23" s="2"/>
      <c r="BNZ23" s="2"/>
      <c r="BOA23" s="2"/>
      <c r="BOB23" s="2"/>
      <c r="BOC23" s="2"/>
      <c r="BOD23" s="2"/>
      <c r="BOE23" s="2"/>
      <c r="BOF23" s="2"/>
      <c r="BOG23" s="2"/>
      <c r="BOH23" s="2"/>
      <c r="BOI23" s="2"/>
      <c r="BOJ23" s="2"/>
      <c r="BOK23" s="2"/>
      <c r="BOL23" s="2"/>
      <c r="BOM23" s="2"/>
      <c r="BON23" s="2"/>
      <c r="BOO23" s="2"/>
      <c r="BOP23" s="2"/>
      <c r="BOQ23" s="2"/>
      <c r="BOR23" s="2"/>
      <c r="BOS23" s="2"/>
      <c r="BOT23" s="2"/>
      <c r="BOU23" s="2"/>
      <c r="BOV23" s="2"/>
      <c r="BOW23" s="2"/>
      <c r="BOX23" s="2"/>
      <c r="BOY23" s="2"/>
      <c r="BOZ23" s="2"/>
      <c r="BPA23" s="2"/>
      <c r="BPB23" s="2"/>
      <c r="BPC23" s="2"/>
      <c r="BPD23" s="2"/>
      <c r="BPE23" s="2"/>
      <c r="BPF23" s="2"/>
      <c r="BPG23" s="2"/>
      <c r="BPH23" s="2"/>
      <c r="BPI23" s="2"/>
      <c r="BPJ23" s="2"/>
      <c r="BPK23" s="2"/>
      <c r="BPL23" s="2"/>
      <c r="BPM23" s="2"/>
      <c r="BPN23" s="2"/>
      <c r="BPO23" s="2"/>
      <c r="BPP23" s="2"/>
      <c r="BPQ23" s="2"/>
      <c r="BPR23" s="2"/>
      <c r="BPS23" s="2"/>
      <c r="BPT23" s="2"/>
      <c r="BPU23" s="2"/>
      <c r="BPV23" s="2"/>
      <c r="BPW23" s="2"/>
      <c r="BPX23" s="2"/>
      <c r="BPY23" s="2"/>
      <c r="BPZ23" s="2"/>
      <c r="BQA23" s="2"/>
      <c r="BQB23" s="2"/>
      <c r="BQC23" s="2"/>
      <c r="BQD23" s="2"/>
      <c r="BQE23" s="2"/>
      <c r="BQF23" s="2"/>
      <c r="BQG23" s="2"/>
      <c r="BQH23" s="2"/>
      <c r="BQI23" s="2"/>
      <c r="BQJ23" s="2"/>
      <c r="BQK23" s="2"/>
      <c r="BQL23" s="2"/>
      <c r="BQM23" s="2"/>
      <c r="BQN23" s="2"/>
      <c r="BQO23" s="2"/>
      <c r="BQP23" s="2"/>
      <c r="BQQ23" s="2"/>
      <c r="BQR23" s="2"/>
      <c r="BQS23" s="2"/>
      <c r="BQT23" s="2"/>
      <c r="BQU23" s="2"/>
      <c r="BQV23" s="2"/>
      <c r="BQW23" s="2"/>
      <c r="BQX23" s="2"/>
      <c r="BQY23" s="2"/>
      <c r="BQZ23" s="2"/>
      <c r="BRA23" s="2"/>
      <c r="BRB23" s="2"/>
      <c r="BRC23" s="2"/>
      <c r="BRD23" s="2"/>
      <c r="BRE23" s="2"/>
      <c r="BRF23" s="2"/>
      <c r="BRG23" s="2"/>
      <c r="BRH23" s="2"/>
      <c r="BRI23" s="2"/>
      <c r="BRJ23" s="2"/>
      <c r="BRK23" s="2"/>
      <c r="BRL23" s="2"/>
      <c r="BRM23" s="2"/>
      <c r="BRN23" s="2"/>
      <c r="BRO23" s="2"/>
      <c r="BRP23" s="2"/>
      <c r="BRQ23" s="2"/>
      <c r="BRR23" s="2"/>
      <c r="BRS23" s="2"/>
      <c r="BRT23" s="2"/>
      <c r="BRU23" s="2"/>
      <c r="BRV23" s="2"/>
      <c r="BRW23" s="2"/>
      <c r="BRX23" s="2"/>
      <c r="BRY23" s="2"/>
      <c r="BRZ23" s="2"/>
      <c r="BSA23" s="2"/>
      <c r="BSB23" s="2"/>
      <c r="BSC23" s="2"/>
      <c r="BSD23" s="2"/>
      <c r="BSE23" s="2"/>
      <c r="BSF23" s="2"/>
      <c r="BSG23" s="2"/>
      <c r="BSH23" s="2"/>
      <c r="BSI23" s="2"/>
      <c r="BSJ23" s="2"/>
      <c r="BSK23" s="2"/>
      <c r="BSL23" s="2"/>
      <c r="BSM23" s="2"/>
      <c r="BSN23" s="2"/>
      <c r="BSO23" s="2"/>
      <c r="BSP23" s="2"/>
      <c r="BSQ23" s="2"/>
      <c r="BSR23" s="2"/>
      <c r="BSS23" s="2"/>
      <c r="BST23" s="2"/>
      <c r="BSU23" s="2"/>
      <c r="BSV23" s="2"/>
      <c r="BSW23" s="2"/>
      <c r="BSX23" s="2"/>
      <c r="BSY23" s="2"/>
      <c r="BSZ23" s="2"/>
      <c r="BTA23" s="2"/>
      <c r="BTB23" s="2"/>
      <c r="BTC23" s="2"/>
      <c r="BTD23" s="2"/>
      <c r="BTE23" s="2"/>
      <c r="BTF23" s="2"/>
      <c r="BTG23" s="2"/>
      <c r="BTH23" s="2"/>
      <c r="BTI23" s="2"/>
      <c r="BTJ23" s="2"/>
      <c r="BTK23" s="2"/>
      <c r="BTL23" s="2"/>
      <c r="BTM23" s="2"/>
      <c r="BTN23" s="2"/>
      <c r="BTO23" s="2"/>
      <c r="BTP23" s="2"/>
      <c r="BTQ23" s="2"/>
      <c r="BTR23" s="2"/>
      <c r="BTS23" s="2"/>
      <c r="BTT23" s="2"/>
      <c r="BTU23" s="2"/>
      <c r="BTV23" s="2"/>
      <c r="BTW23" s="2"/>
      <c r="BTX23" s="2"/>
      <c r="BTY23" s="2"/>
      <c r="BTZ23" s="2"/>
      <c r="BUA23" s="2"/>
      <c r="BUB23" s="2"/>
      <c r="BUC23" s="2"/>
      <c r="BUD23" s="2"/>
      <c r="BUE23" s="2"/>
      <c r="BUF23" s="2"/>
      <c r="BUG23" s="2"/>
      <c r="BUH23" s="2"/>
      <c r="BUI23" s="2"/>
      <c r="BUJ23" s="2"/>
      <c r="BUK23" s="2"/>
      <c r="BUL23" s="2"/>
      <c r="BUM23" s="2"/>
      <c r="BUN23" s="2"/>
      <c r="BUO23" s="2"/>
      <c r="BUP23" s="2"/>
      <c r="BUQ23" s="2"/>
      <c r="BUR23" s="2"/>
      <c r="BUS23" s="2"/>
      <c r="BUT23" s="2"/>
      <c r="BUU23" s="2"/>
      <c r="BUV23" s="2"/>
      <c r="BUW23" s="2"/>
      <c r="BUX23" s="2"/>
      <c r="BUY23" s="2"/>
      <c r="BUZ23" s="2"/>
      <c r="BVA23" s="2"/>
      <c r="BVB23" s="2"/>
      <c r="BVC23" s="2"/>
      <c r="BVD23" s="2"/>
      <c r="BVE23" s="2"/>
      <c r="BVF23" s="2"/>
      <c r="BVG23" s="2"/>
      <c r="BVH23" s="2"/>
      <c r="BVI23" s="2"/>
      <c r="BVJ23" s="2"/>
      <c r="BVK23" s="2"/>
      <c r="BVL23" s="2"/>
      <c r="BVM23" s="2"/>
      <c r="BVN23" s="2"/>
      <c r="BVO23" s="2"/>
      <c r="BVP23" s="2"/>
      <c r="BVQ23" s="2"/>
      <c r="BVR23" s="2"/>
      <c r="BVS23" s="2"/>
      <c r="BVT23" s="2"/>
      <c r="BVU23" s="2"/>
      <c r="BVV23" s="2"/>
      <c r="BVW23" s="2"/>
      <c r="BVX23" s="2"/>
      <c r="BVY23" s="2"/>
      <c r="BVZ23" s="2"/>
      <c r="BWA23" s="2"/>
      <c r="BWB23" s="2"/>
      <c r="BWC23" s="2"/>
      <c r="BWD23" s="2"/>
      <c r="BWE23" s="2"/>
      <c r="BWF23" s="2"/>
      <c r="BWG23" s="2"/>
      <c r="BWH23" s="2"/>
      <c r="BWI23" s="2"/>
      <c r="BWJ23" s="2"/>
      <c r="BWK23" s="2"/>
      <c r="BWL23" s="2"/>
      <c r="BWM23" s="2"/>
      <c r="BWN23" s="2"/>
      <c r="BWO23" s="2"/>
      <c r="BWP23" s="2"/>
      <c r="BWQ23" s="2"/>
      <c r="BWR23" s="2"/>
      <c r="BWS23" s="2"/>
      <c r="BWT23" s="2"/>
      <c r="BWU23" s="2"/>
      <c r="BWV23" s="2"/>
      <c r="BWW23" s="2"/>
      <c r="BWX23" s="2"/>
      <c r="BWY23" s="2"/>
      <c r="BWZ23" s="2"/>
      <c r="BXA23" s="2"/>
      <c r="BXB23" s="2"/>
      <c r="BXC23" s="2"/>
      <c r="BXD23" s="2"/>
      <c r="BXE23" s="2"/>
      <c r="BXF23" s="2"/>
      <c r="BXG23" s="2"/>
      <c r="BXH23" s="2"/>
      <c r="BXI23" s="2"/>
      <c r="BXJ23" s="2"/>
      <c r="BXK23" s="2"/>
      <c r="BXL23" s="2"/>
      <c r="BXM23" s="2"/>
      <c r="BXN23" s="2"/>
      <c r="BXO23" s="2"/>
      <c r="BXP23" s="2"/>
      <c r="BXQ23" s="2"/>
      <c r="BXR23" s="2"/>
      <c r="BXS23" s="2"/>
      <c r="BXT23" s="2"/>
      <c r="BXU23" s="2"/>
      <c r="BXV23" s="2"/>
      <c r="BXW23" s="2"/>
      <c r="BXX23" s="2"/>
      <c r="BXY23" s="2"/>
      <c r="BXZ23" s="2"/>
      <c r="BYA23" s="2"/>
      <c r="BYB23" s="2"/>
      <c r="BYC23" s="2"/>
      <c r="BYD23" s="2"/>
      <c r="BYE23" s="2"/>
      <c r="BYF23" s="2"/>
      <c r="BYG23" s="2"/>
      <c r="BYH23" s="2"/>
      <c r="BYI23" s="2"/>
      <c r="BYJ23" s="2"/>
      <c r="BYK23" s="2"/>
      <c r="BYL23" s="2"/>
      <c r="BYM23" s="2"/>
      <c r="BYN23" s="2"/>
      <c r="BYO23" s="2"/>
      <c r="BYP23" s="2"/>
      <c r="BYQ23" s="2"/>
      <c r="BYR23" s="2"/>
      <c r="BYS23" s="2"/>
      <c r="BYT23" s="2"/>
      <c r="BYU23" s="2"/>
      <c r="BYV23" s="2"/>
      <c r="BYW23" s="2"/>
      <c r="BYX23" s="2"/>
      <c r="BYY23" s="2"/>
      <c r="BYZ23" s="2"/>
      <c r="BZA23" s="2"/>
      <c r="BZB23" s="2"/>
      <c r="BZC23" s="2"/>
      <c r="BZD23" s="2"/>
      <c r="BZE23" s="2"/>
      <c r="BZF23" s="2"/>
      <c r="BZG23" s="2"/>
      <c r="BZH23" s="2"/>
      <c r="BZI23" s="2"/>
      <c r="BZJ23" s="2"/>
      <c r="BZK23" s="2"/>
      <c r="BZL23" s="2"/>
      <c r="BZM23" s="2"/>
      <c r="BZN23" s="2"/>
      <c r="BZO23" s="2"/>
      <c r="BZP23" s="2"/>
      <c r="BZQ23" s="2"/>
      <c r="BZR23" s="2"/>
      <c r="BZS23" s="2"/>
      <c r="BZT23" s="2"/>
      <c r="BZU23" s="2"/>
      <c r="BZV23" s="2"/>
      <c r="BZW23" s="2"/>
      <c r="BZX23" s="2"/>
      <c r="BZY23" s="2"/>
      <c r="BZZ23" s="2"/>
      <c r="CAA23" s="2"/>
      <c r="CAB23" s="2"/>
      <c r="CAC23" s="2"/>
      <c r="CAD23" s="2"/>
      <c r="CAE23" s="2"/>
      <c r="CAF23" s="2"/>
      <c r="CAG23" s="2"/>
      <c r="CAH23" s="2"/>
      <c r="CAI23" s="2"/>
      <c r="CAJ23" s="2"/>
      <c r="CAK23" s="2"/>
      <c r="CAL23" s="2"/>
      <c r="CAM23" s="2"/>
      <c r="CAN23" s="2"/>
      <c r="CAO23" s="2"/>
      <c r="CAP23" s="2"/>
      <c r="CAQ23" s="2"/>
      <c r="CAR23" s="2"/>
      <c r="CAS23" s="2"/>
      <c r="CAT23" s="2"/>
      <c r="CAU23" s="2"/>
      <c r="CAV23" s="2"/>
      <c r="CAW23" s="2"/>
      <c r="CAX23" s="2"/>
      <c r="CAY23" s="2"/>
      <c r="CAZ23" s="2"/>
      <c r="CBA23" s="2"/>
      <c r="CBB23" s="2"/>
      <c r="CBC23" s="2"/>
      <c r="CBD23" s="2"/>
      <c r="CBE23" s="2"/>
      <c r="CBF23" s="2"/>
      <c r="CBG23" s="2"/>
      <c r="CBH23" s="2"/>
      <c r="CBI23" s="2"/>
      <c r="CBJ23" s="2"/>
      <c r="CBK23" s="2"/>
      <c r="CBL23" s="2"/>
      <c r="CBM23" s="2"/>
      <c r="CBN23" s="2"/>
      <c r="CBO23" s="2"/>
      <c r="CBP23" s="2"/>
      <c r="CBQ23" s="2"/>
      <c r="CBR23" s="2"/>
      <c r="CBS23" s="2"/>
      <c r="CBT23" s="2"/>
      <c r="CBU23" s="2"/>
      <c r="CBV23" s="2"/>
      <c r="CBW23" s="2"/>
      <c r="CBX23" s="2"/>
      <c r="CBY23" s="2"/>
      <c r="CBZ23" s="2"/>
      <c r="CCA23" s="2"/>
      <c r="CCB23" s="2"/>
      <c r="CCC23" s="2"/>
      <c r="CCD23" s="2"/>
      <c r="CCE23" s="2"/>
      <c r="CCF23" s="2"/>
      <c r="CCG23" s="2"/>
      <c r="CCH23" s="2"/>
      <c r="CCI23" s="2"/>
      <c r="CCJ23" s="2"/>
      <c r="CCK23" s="2"/>
      <c r="CCL23" s="2"/>
      <c r="CCM23" s="2"/>
      <c r="CCN23" s="2"/>
      <c r="CCO23" s="2"/>
      <c r="CCP23" s="2"/>
      <c r="CCQ23" s="2"/>
      <c r="CCR23" s="2"/>
      <c r="CCS23" s="2"/>
      <c r="CCT23" s="2"/>
      <c r="CCU23" s="2"/>
      <c r="CCV23" s="2"/>
      <c r="CCW23" s="2"/>
      <c r="CCX23" s="2"/>
      <c r="CCY23" s="2"/>
      <c r="CCZ23" s="2"/>
      <c r="CDA23" s="2"/>
      <c r="CDB23" s="2"/>
      <c r="CDC23" s="2"/>
      <c r="CDD23" s="2"/>
      <c r="CDE23" s="2"/>
      <c r="CDF23" s="2"/>
      <c r="CDG23" s="2"/>
      <c r="CDH23" s="2"/>
      <c r="CDI23" s="2"/>
      <c r="CDJ23" s="2"/>
      <c r="CDK23" s="2"/>
      <c r="CDL23" s="2"/>
      <c r="CDM23" s="2"/>
      <c r="CDN23" s="2"/>
      <c r="CDO23" s="2"/>
      <c r="CDP23" s="2"/>
      <c r="CDQ23" s="2"/>
      <c r="CDR23" s="2"/>
      <c r="CDS23" s="2"/>
      <c r="CDT23" s="2"/>
      <c r="CDU23" s="2"/>
      <c r="CDV23" s="2"/>
      <c r="CDW23" s="2"/>
      <c r="CDX23" s="2"/>
      <c r="CDY23" s="2"/>
      <c r="CDZ23" s="2"/>
      <c r="CEA23" s="2"/>
      <c r="CEB23" s="2"/>
      <c r="CEC23" s="2"/>
      <c r="CED23" s="2"/>
      <c r="CEE23" s="2"/>
      <c r="CEF23" s="2"/>
      <c r="CEG23" s="2"/>
      <c r="CEH23" s="2"/>
      <c r="CEI23" s="2"/>
      <c r="CEJ23" s="2"/>
      <c r="CEK23" s="2"/>
      <c r="CEL23" s="2"/>
      <c r="CEM23" s="2"/>
      <c r="CEN23" s="2"/>
      <c r="CEO23" s="2"/>
      <c r="CEP23" s="2"/>
      <c r="CEQ23" s="2"/>
      <c r="CER23" s="2"/>
      <c r="CES23" s="2"/>
      <c r="CET23" s="2"/>
      <c r="CEU23" s="2"/>
      <c r="CEV23" s="2"/>
      <c r="CEW23" s="2"/>
      <c r="CEX23" s="2"/>
      <c r="CEY23" s="2"/>
      <c r="CEZ23" s="2"/>
      <c r="CFA23" s="2"/>
      <c r="CFB23" s="2"/>
      <c r="CFC23" s="2"/>
      <c r="CFD23" s="2"/>
      <c r="CFE23" s="2"/>
      <c r="CFF23" s="2"/>
      <c r="CFG23" s="2"/>
      <c r="CFH23" s="2"/>
      <c r="CFI23" s="2"/>
      <c r="CFJ23" s="2"/>
      <c r="CFK23" s="2"/>
      <c r="CFL23" s="2"/>
      <c r="CFM23" s="2"/>
      <c r="CFN23" s="2"/>
      <c r="CFO23" s="2"/>
      <c r="CFP23" s="2"/>
      <c r="CFQ23" s="2"/>
      <c r="CFR23" s="2"/>
      <c r="CFS23" s="2"/>
      <c r="CFT23" s="2"/>
      <c r="CFU23" s="2"/>
      <c r="CFV23" s="2"/>
      <c r="CFW23" s="2"/>
      <c r="CFX23" s="2"/>
      <c r="CFY23" s="2"/>
      <c r="CFZ23" s="2"/>
      <c r="CGA23" s="2"/>
      <c r="CGB23" s="2"/>
      <c r="CGC23" s="2"/>
      <c r="CGD23" s="2"/>
      <c r="CGE23" s="2"/>
      <c r="CGF23" s="2"/>
      <c r="CGG23" s="2"/>
      <c r="CGH23" s="2"/>
      <c r="CGI23" s="2"/>
      <c r="CGJ23" s="2"/>
      <c r="CGK23" s="2"/>
      <c r="CGL23" s="2"/>
      <c r="CGM23" s="2"/>
      <c r="CGN23" s="2"/>
      <c r="CGO23" s="2"/>
      <c r="CGP23" s="2"/>
      <c r="CGQ23" s="2"/>
      <c r="CGR23" s="2"/>
      <c r="CGS23" s="2"/>
      <c r="CGT23" s="2"/>
      <c r="CGU23" s="2"/>
      <c r="CGV23" s="2"/>
      <c r="CGW23" s="2"/>
      <c r="CGX23" s="2"/>
      <c r="CGY23" s="2"/>
      <c r="CGZ23" s="2"/>
      <c r="CHA23" s="2"/>
      <c r="CHB23" s="2"/>
      <c r="CHC23" s="2"/>
      <c r="CHD23" s="2"/>
      <c r="CHE23" s="2"/>
      <c r="CHF23" s="2"/>
      <c r="CHG23" s="2"/>
      <c r="CHH23" s="2"/>
      <c r="CHI23" s="2"/>
      <c r="CHJ23" s="2"/>
      <c r="CHK23" s="2"/>
      <c r="CHL23" s="2"/>
      <c r="CHM23" s="2"/>
      <c r="CHN23" s="2"/>
      <c r="CHO23" s="2"/>
      <c r="CHP23" s="2"/>
      <c r="CHQ23" s="2"/>
      <c r="CHR23" s="2"/>
      <c r="CHS23" s="2"/>
      <c r="CHT23" s="2"/>
      <c r="CHU23" s="2"/>
      <c r="CHV23" s="2"/>
      <c r="CHW23" s="2"/>
      <c r="CHX23" s="2"/>
      <c r="CHY23" s="2"/>
      <c r="CHZ23" s="2"/>
      <c r="CIA23" s="2"/>
      <c r="CIB23" s="2"/>
      <c r="CIC23" s="2"/>
      <c r="CID23" s="2"/>
      <c r="CIE23" s="2"/>
      <c r="CIF23" s="2"/>
      <c r="CIG23" s="2"/>
      <c r="CIH23" s="2"/>
      <c r="CII23" s="2"/>
      <c r="CIJ23" s="2"/>
      <c r="CIK23" s="2"/>
      <c r="CIL23" s="2"/>
      <c r="CIM23" s="2"/>
      <c r="CIN23" s="2"/>
      <c r="CIO23" s="2"/>
      <c r="CIP23" s="2"/>
      <c r="CIQ23" s="2"/>
      <c r="CIR23" s="2"/>
      <c r="CIS23" s="2"/>
      <c r="CIT23" s="2"/>
      <c r="CIU23" s="2"/>
      <c r="CIV23" s="2"/>
      <c r="CIW23" s="2"/>
      <c r="CIX23" s="2"/>
      <c r="CIY23" s="2"/>
      <c r="CIZ23" s="2"/>
      <c r="CJA23" s="2"/>
      <c r="CJB23" s="2"/>
      <c r="CJC23" s="2"/>
      <c r="CJD23" s="2"/>
      <c r="CJE23" s="2"/>
      <c r="CJF23" s="2"/>
      <c r="CJG23" s="2"/>
      <c r="CJH23" s="2"/>
      <c r="CJI23" s="2"/>
      <c r="CJJ23" s="2"/>
      <c r="CJK23" s="2"/>
      <c r="CJL23" s="2"/>
      <c r="CJM23" s="2"/>
      <c r="CJN23" s="2"/>
      <c r="CJO23" s="2"/>
      <c r="CJP23" s="2"/>
      <c r="CJQ23" s="2"/>
      <c r="CJR23" s="2"/>
      <c r="CJS23" s="2"/>
      <c r="CJT23" s="2"/>
      <c r="CJU23" s="2"/>
      <c r="CJV23" s="2"/>
      <c r="CJW23" s="2"/>
      <c r="CJX23" s="2"/>
      <c r="CJY23" s="2"/>
      <c r="CJZ23" s="2"/>
      <c r="CKA23" s="2"/>
      <c r="CKB23" s="2"/>
      <c r="CKC23" s="2"/>
      <c r="CKD23" s="2"/>
      <c r="CKE23" s="2"/>
      <c r="CKF23" s="2"/>
      <c r="CKG23" s="2"/>
      <c r="CKH23" s="2"/>
      <c r="CKI23" s="2"/>
      <c r="CKJ23" s="2"/>
      <c r="CKK23" s="2"/>
      <c r="CKL23" s="2"/>
      <c r="CKM23" s="2"/>
      <c r="CKN23" s="2"/>
      <c r="CKO23" s="2"/>
      <c r="CKP23" s="2"/>
      <c r="CKQ23" s="2"/>
      <c r="CKR23" s="2"/>
      <c r="CKS23" s="2"/>
      <c r="CKT23" s="2"/>
      <c r="CKU23" s="2"/>
      <c r="CKV23" s="2"/>
      <c r="CKW23" s="2"/>
      <c r="CKX23" s="2"/>
      <c r="CKY23" s="2"/>
      <c r="CKZ23" s="2"/>
      <c r="CLA23" s="2"/>
      <c r="CLB23" s="2"/>
      <c r="CLC23" s="2"/>
      <c r="CLD23" s="2"/>
      <c r="CLE23" s="2"/>
      <c r="CLF23" s="2"/>
      <c r="CLG23" s="2"/>
      <c r="CLH23" s="2"/>
      <c r="CLI23" s="2"/>
      <c r="CLJ23" s="2"/>
      <c r="CLK23" s="2"/>
      <c r="CLL23" s="2"/>
      <c r="CLM23" s="2"/>
      <c r="CLN23" s="2"/>
      <c r="CLO23" s="2"/>
      <c r="CLP23" s="2"/>
      <c r="CLQ23" s="2"/>
      <c r="CLR23" s="2"/>
      <c r="CLS23" s="2"/>
      <c r="CLT23" s="2"/>
      <c r="CLU23" s="2"/>
      <c r="CLV23" s="2"/>
      <c r="CLW23" s="2"/>
      <c r="CLX23" s="2"/>
      <c r="CLY23" s="2"/>
      <c r="CLZ23" s="2"/>
      <c r="CMA23" s="2"/>
      <c r="CMB23" s="2"/>
      <c r="CMC23" s="2"/>
      <c r="CMD23" s="2"/>
      <c r="CME23" s="2"/>
      <c r="CMF23" s="2"/>
      <c r="CMG23" s="2"/>
      <c r="CMH23" s="2"/>
      <c r="CMI23" s="2"/>
      <c r="CMJ23" s="2"/>
      <c r="CMK23" s="2"/>
      <c r="CML23" s="2"/>
      <c r="CMM23" s="2"/>
      <c r="CMN23" s="2"/>
      <c r="CMO23" s="2"/>
      <c r="CMP23" s="2"/>
      <c r="CMQ23" s="2"/>
      <c r="CMR23" s="2"/>
      <c r="CMS23" s="2"/>
      <c r="CMT23" s="2"/>
      <c r="CMU23" s="2"/>
      <c r="CMV23" s="2"/>
      <c r="CMW23" s="2"/>
      <c r="CMX23" s="2"/>
      <c r="CMY23" s="2"/>
      <c r="CMZ23" s="2"/>
      <c r="CNA23" s="2"/>
      <c r="CNB23" s="2"/>
      <c r="CNC23" s="2"/>
      <c r="CND23" s="2"/>
      <c r="CNE23" s="2"/>
      <c r="CNF23" s="2"/>
      <c r="CNG23" s="2"/>
      <c r="CNH23" s="2"/>
      <c r="CNI23" s="2"/>
      <c r="CNJ23" s="2"/>
      <c r="CNK23" s="2"/>
      <c r="CNL23" s="2"/>
      <c r="CNM23" s="2"/>
      <c r="CNN23" s="2"/>
      <c r="CNO23" s="2"/>
      <c r="CNP23" s="2"/>
      <c r="CNQ23" s="2"/>
      <c r="CNR23" s="2"/>
      <c r="CNS23" s="2"/>
      <c r="CNT23" s="2"/>
      <c r="CNU23" s="2"/>
      <c r="CNV23" s="2"/>
      <c r="CNW23" s="2"/>
      <c r="CNX23" s="2"/>
      <c r="CNY23" s="2"/>
      <c r="CNZ23" s="2"/>
      <c r="COA23" s="2"/>
      <c r="COB23" s="2"/>
      <c r="COC23" s="2"/>
      <c r="COD23" s="2"/>
      <c r="COE23" s="2"/>
      <c r="COF23" s="2"/>
      <c r="COG23" s="2"/>
      <c r="COH23" s="2"/>
      <c r="COI23" s="2"/>
      <c r="COJ23" s="2"/>
      <c r="COK23" s="2"/>
      <c r="COL23" s="2"/>
      <c r="COM23" s="2"/>
      <c r="CON23" s="2"/>
      <c r="COO23" s="2"/>
      <c r="COP23" s="2"/>
      <c r="COQ23" s="2"/>
      <c r="COR23" s="2"/>
      <c r="COS23" s="2"/>
      <c r="COT23" s="2"/>
      <c r="COU23" s="2"/>
      <c r="COV23" s="2"/>
      <c r="COW23" s="2"/>
      <c r="COX23" s="2"/>
      <c r="COY23" s="2"/>
      <c r="COZ23" s="2"/>
      <c r="CPA23" s="2"/>
      <c r="CPB23" s="2"/>
      <c r="CPC23" s="2"/>
      <c r="CPD23" s="2"/>
      <c r="CPE23" s="2"/>
      <c r="CPF23" s="2"/>
      <c r="CPG23" s="2"/>
      <c r="CPH23" s="2"/>
      <c r="CPI23" s="2"/>
      <c r="CPJ23" s="2"/>
      <c r="CPK23" s="2"/>
      <c r="CPL23" s="2"/>
      <c r="CPM23" s="2"/>
      <c r="CPN23" s="2"/>
      <c r="CPO23" s="2"/>
      <c r="CPP23" s="2"/>
      <c r="CPQ23" s="2"/>
      <c r="CPR23" s="2"/>
      <c r="CPS23" s="2"/>
      <c r="CPT23" s="2"/>
      <c r="CPU23" s="2"/>
      <c r="CPV23" s="2"/>
      <c r="CPW23" s="2"/>
      <c r="CPX23" s="2"/>
      <c r="CPY23" s="2"/>
      <c r="CPZ23" s="2"/>
      <c r="CQA23" s="2"/>
      <c r="CQB23" s="2"/>
      <c r="CQC23" s="2"/>
      <c r="CQD23" s="2"/>
      <c r="CQE23" s="2"/>
      <c r="CQF23" s="2"/>
      <c r="CQG23" s="2"/>
      <c r="CQH23" s="2"/>
      <c r="CQI23" s="2"/>
      <c r="CQJ23" s="2"/>
      <c r="CQK23" s="2"/>
      <c r="CQL23" s="2"/>
      <c r="CQM23" s="2"/>
      <c r="CQN23" s="2"/>
      <c r="CQO23" s="2"/>
      <c r="CQP23" s="2"/>
      <c r="CQQ23" s="2"/>
      <c r="CQR23" s="2"/>
      <c r="CQS23" s="2"/>
      <c r="CQT23" s="2"/>
      <c r="CQU23" s="2"/>
      <c r="CQV23" s="2"/>
      <c r="CQW23" s="2"/>
      <c r="CQX23" s="2"/>
      <c r="CQY23" s="2"/>
      <c r="CQZ23" s="2"/>
      <c r="CRA23" s="2"/>
      <c r="CRB23" s="2"/>
      <c r="CRC23" s="2"/>
      <c r="CRD23" s="2"/>
      <c r="CRE23" s="2"/>
      <c r="CRF23" s="2"/>
      <c r="CRG23" s="2"/>
      <c r="CRH23" s="2"/>
      <c r="CRI23" s="2"/>
      <c r="CRJ23" s="2"/>
      <c r="CRK23" s="2"/>
      <c r="CRL23" s="2"/>
      <c r="CRM23" s="2"/>
      <c r="CRN23" s="2"/>
      <c r="CRO23" s="2"/>
      <c r="CRP23" s="2"/>
      <c r="CRQ23" s="2"/>
      <c r="CRR23" s="2"/>
      <c r="CRS23" s="2"/>
      <c r="CRT23" s="2"/>
      <c r="CRU23" s="2"/>
      <c r="CRV23" s="2"/>
      <c r="CRW23" s="2"/>
      <c r="CRX23" s="2"/>
      <c r="CRY23" s="2"/>
      <c r="CRZ23" s="2"/>
      <c r="CSA23" s="2"/>
      <c r="CSB23" s="2"/>
      <c r="CSC23" s="2"/>
      <c r="CSD23" s="2"/>
      <c r="CSE23" s="2"/>
      <c r="CSF23" s="2"/>
      <c r="CSG23" s="2"/>
      <c r="CSH23" s="2"/>
      <c r="CSI23" s="2"/>
      <c r="CSJ23" s="2"/>
      <c r="CSK23" s="2"/>
      <c r="CSL23" s="2"/>
      <c r="CSM23" s="2"/>
      <c r="CSN23" s="2"/>
      <c r="CSO23" s="2"/>
      <c r="CSP23" s="2"/>
      <c r="CSQ23" s="2"/>
      <c r="CSR23" s="2"/>
      <c r="CSS23" s="2"/>
      <c r="CST23" s="2"/>
      <c r="CSU23" s="2"/>
      <c r="CSV23" s="2"/>
      <c r="CSW23" s="2"/>
      <c r="CSX23" s="2"/>
      <c r="CSY23" s="2"/>
      <c r="CSZ23" s="2"/>
      <c r="CTA23" s="2"/>
      <c r="CTB23" s="2"/>
      <c r="CTC23" s="2"/>
      <c r="CTD23" s="2"/>
      <c r="CTE23" s="2"/>
      <c r="CTF23" s="2"/>
      <c r="CTG23" s="2"/>
      <c r="CTH23" s="2"/>
      <c r="CTI23" s="2"/>
      <c r="CTJ23" s="2"/>
      <c r="CTK23" s="2"/>
      <c r="CTL23" s="2"/>
      <c r="CTM23" s="2"/>
      <c r="CTN23" s="2"/>
      <c r="CTO23" s="2"/>
      <c r="CTP23" s="2"/>
      <c r="CTQ23" s="2"/>
      <c r="CTR23" s="2"/>
      <c r="CTS23" s="2"/>
      <c r="CTT23" s="2"/>
      <c r="CTU23" s="2"/>
      <c r="CTV23" s="2"/>
      <c r="CTW23" s="2"/>
      <c r="CTX23" s="2"/>
      <c r="CTY23" s="2"/>
      <c r="CTZ23" s="2"/>
      <c r="CUA23" s="2"/>
      <c r="CUB23" s="2"/>
      <c r="CUC23" s="2"/>
      <c r="CUD23" s="2"/>
      <c r="CUE23" s="2"/>
      <c r="CUF23" s="2"/>
      <c r="CUG23" s="2"/>
      <c r="CUH23" s="2"/>
      <c r="CUI23" s="2"/>
      <c r="CUJ23" s="2"/>
      <c r="CUK23" s="2"/>
      <c r="CUL23" s="2"/>
      <c r="CUM23" s="2"/>
      <c r="CUN23" s="2"/>
      <c r="CUO23" s="2"/>
      <c r="CUP23" s="2"/>
      <c r="CUQ23" s="2"/>
      <c r="CUR23" s="2"/>
      <c r="CUS23" s="2"/>
      <c r="CUT23" s="2"/>
      <c r="CUU23" s="2"/>
      <c r="CUV23" s="2"/>
      <c r="CUW23" s="2"/>
      <c r="CUX23" s="2"/>
      <c r="CUY23" s="2"/>
      <c r="CUZ23" s="2"/>
      <c r="CVA23" s="2"/>
      <c r="CVB23" s="2"/>
      <c r="CVC23" s="2"/>
      <c r="CVD23" s="2"/>
      <c r="CVE23" s="2"/>
      <c r="CVF23" s="2"/>
      <c r="CVG23" s="2"/>
      <c r="CVH23" s="2"/>
      <c r="CVI23" s="2"/>
      <c r="CVJ23" s="2"/>
      <c r="CVK23" s="2"/>
      <c r="CVL23" s="2"/>
      <c r="CVM23" s="2"/>
      <c r="CVN23" s="2"/>
      <c r="CVO23" s="2"/>
      <c r="CVP23" s="2"/>
      <c r="CVQ23" s="2"/>
      <c r="CVR23" s="2"/>
      <c r="CVS23" s="2"/>
      <c r="CVT23" s="2"/>
      <c r="CVU23" s="2"/>
      <c r="CVV23" s="2"/>
      <c r="CVW23" s="2"/>
      <c r="CVX23" s="2"/>
      <c r="CVY23" s="2"/>
      <c r="CVZ23" s="2"/>
      <c r="CWA23" s="2"/>
      <c r="CWB23" s="2"/>
      <c r="CWC23" s="2"/>
      <c r="CWD23" s="2"/>
      <c r="CWE23" s="2"/>
      <c r="CWF23" s="2"/>
      <c r="CWG23" s="2"/>
      <c r="CWH23" s="2"/>
      <c r="CWI23" s="2"/>
      <c r="CWJ23" s="2"/>
      <c r="CWK23" s="2"/>
      <c r="CWL23" s="2"/>
      <c r="CWM23" s="2"/>
      <c r="CWN23" s="2"/>
      <c r="CWO23" s="2"/>
      <c r="CWP23" s="2"/>
      <c r="CWQ23" s="2"/>
      <c r="CWR23" s="2"/>
      <c r="CWS23" s="2"/>
      <c r="CWT23" s="2"/>
      <c r="CWU23" s="2"/>
      <c r="CWV23" s="2"/>
      <c r="CWW23" s="2"/>
      <c r="CWX23" s="2"/>
      <c r="CWY23" s="2"/>
      <c r="CWZ23" s="2"/>
      <c r="CXA23" s="2"/>
      <c r="CXB23" s="2"/>
      <c r="CXC23" s="2"/>
      <c r="CXD23" s="2"/>
      <c r="CXE23" s="2"/>
      <c r="CXF23" s="2"/>
      <c r="CXG23" s="2"/>
      <c r="CXH23" s="2"/>
      <c r="CXI23" s="2"/>
      <c r="CXJ23" s="2"/>
      <c r="CXK23" s="2"/>
      <c r="CXL23" s="2"/>
      <c r="CXM23" s="2"/>
      <c r="CXN23" s="2"/>
      <c r="CXO23" s="2"/>
      <c r="CXP23" s="2"/>
      <c r="CXQ23" s="2"/>
      <c r="CXR23" s="2"/>
      <c r="CXS23" s="2"/>
      <c r="CXT23" s="2"/>
      <c r="CXU23" s="2"/>
      <c r="CXV23" s="2"/>
      <c r="CXW23" s="2"/>
      <c r="CXX23" s="2"/>
      <c r="CXY23" s="2"/>
      <c r="CXZ23" s="2"/>
      <c r="CYA23" s="2"/>
      <c r="CYB23" s="2"/>
      <c r="CYC23" s="2"/>
      <c r="CYD23" s="2"/>
      <c r="CYE23" s="2"/>
      <c r="CYF23" s="2"/>
      <c r="CYG23" s="2"/>
      <c r="CYH23" s="2"/>
      <c r="CYI23" s="2"/>
      <c r="CYJ23" s="2"/>
      <c r="CYK23" s="2"/>
      <c r="CYL23" s="2"/>
      <c r="CYM23" s="2"/>
      <c r="CYN23" s="2"/>
      <c r="CYO23" s="2"/>
      <c r="CYP23" s="2"/>
      <c r="CYQ23" s="2"/>
      <c r="CYR23" s="2"/>
      <c r="CYS23" s="2"/>
      <c r="CYT23" s="2"/>
      <c r="CYU23" s="2"/>
      <c r="CYV23" s="2"/>
      <c r="CYW23" s="2"/>
      <c r="CYX23" s="2"/>
      <c r="CYY23" s="2"/>
      <c r="CYZ23" s="2"/>
      <c r="CZA23" s="2"/>
      <c r="CZB23" s="2"/>
      <c r="CZC23" s="2"/>
      <c r="CZD23" s="2"/>
      <c r="CZE23" s="2"/>
      <c r="CZF23" s="2"/>
      <c r="CZG23" s="2"/>
      <c r="CZH23" s="2"/>
      <c r="CZI23" s="2"/>
      <c r="CZJ23" s="2"/>
      <c r="CZK23" s="2"/>
      <c r="CZL23" s="2"/>
      <c r="CZM23" s="2"/>
      <c r="CZN23" s="2"/>
      <c r="CZO23" s="2"/>
      <c r="CZP23" s="2"/>
      <c r="CZQ23" s="2"/>
      <c r="CZR23" s="2"/>
      <c r="CZS23" s="2"/>
      <c r="CZT23" s="2"/>
      <c r="CZU23" s="2"/>
      <c r="CZV23" s="2"/>
      <c r="CZW23" s="2"/>
      <c r="CZX23" s="2"/>
      <c r="CZY23" s="2"/>
      <c r="CZZ23" s="2"/>
      <c r="DAA23" s="2"/>
      <c r="DAB23" s="2"/>
      <c r="DAC23" s="2"/>
      <c r="DAD23" s="2"/>
      <c r="DAE23" s="2"/>
      <c r="DAF23" s="2"/>
      <c r="DAG23" s="2"/>
      <c r="DAH23" s="2"/>
      <c r="DAI23" s="2"/>
      <c r="DAJ23" s="2"/>
      <c r="DAK23" s="2"/>
      <c r="DAL23" s="2"/>
      <c r="DAM23" s="2"/>
      <c r="DAN23" s="2"/>
      <c r="DAO23" s="2"/>
      <c r="DAP23" s="2"/>
      <c r="DAQ23" s="2"/>
      <c r="DAR23" s="2"/>
      <c r="DAS23" s="2"/>
      <c r="DAT23" s="2"/>
      <c r="DAU23" s="2"/>
      <c r="DAV23" s="2"/>
      <c r="DAW23" s="2"/>
      <c r="DAX23" s="2"/>
      <c r="DAY23" s="2"/>
      <c r="DAZ23" s="2"/>
      <c r="DBA23" s="2"/>
      <c r="DBB23" s="2"/>
      <c r="DBC23" s="2"/>
      <c r="DBD23" s="2"/>
      <c r="DBE23" s="2"/>
      <c r="DBF23" s="2"/>
      <c r="DBG23" s="2"/>
      <c r="DBH23" s="2"/>
      <c r="DBI23" s="2"/>
      <c r="DBJ23" s="2"/>
      <c r="DBK23" s="2"/>
      <c r="DBL23" s="2"/>
      <c r="DBM23" s="2"/>
      <c r="DBN23" s="2"/>
      <c r="DBO23" s="2"/>
      <c r="DBP23" s="2"/>
      <c r="DBQ23" s="2"/>
      <c r="DBR23" s="2"/>
      <c r="DBS23" s="2"/>
      <c r="DBT23" s="2"/>
      <c r="DBU23" s="2"/>
      <c r="DBV23" s="2"/>
      <c r="DBW23" s="2"/>
      <c r="DBX23" s="2"/>
      <c r="DBY23" s="2"/>
      <c r="DBZ23" s="2"/>
      <c r="DCA23" s="2"/>
      <c r="DCB23" s="2"/>
      <c r="DCC23" s="2"/>
      <c r="DCD23" s="2"/>
      <c r="DCE23" s="2"/>
      <c r="DCF23" s="2"/>
      <c r="DCG23" s="2"/>
      <c r="DCH23" s="2"/>
      <c r="DCI23" s="2"/>
      <c r="DCJ23" s="2"/>
      <c r="DCK23" s="2"/>
      <c r="DCL23" s="2"/>
      <c r="DCM23" s="2"/>
      <c r="DCN23" s="2"/>
      <c r="DCO23" s="2"/>
      <c r="DCP23" s="2"/>
      <c r="DCQ23" s="2"/>
      <c r="DCR23" s="2"/>
      <c r="DCS23" s="2"/>
      <c r="DCT23" s="2"/>
      <c r="DCU23" s="2"/>
      <c r="DCV23" s="2"/>
      <c r="DCW23" s="2"/>
      <c r="DCX23" s="2"/>
      <c r="DCY23" s="2"/>
      <c r="DCZ23" s="2"/>
      <c r="DDA23" s="2"/>
      <c r="DDB23" s="2"/>
      <c r="DDC23" s="2"/>
      <c r="DDD23" s="2"/>
      <c r="DDE23" s="2"/>
      <c r="DDF23" s="2"/>
      <c r="DDG23" s="2"/>
      <c r="DDH23" s="2"/>
      <c r="DDI23" s="2"/>
      <c r="DDJ23" s="2"/>
      <c r="DDK23" s="2"/>
      <c r="DDL23" s="2"/>
      <c r="DDM23" s="2"/>
      <c r="DDN23" s="2"/>
      <c r="DDO23" s="2"/>
      <c r="DDP23" s="2"/>
      <c r="DDQ23" s="2"/>
      <c r="DDR23" s="2"/>
      <c r="DDS23" s="2"/>
      <c r="DDT23" s="2"/>
      <c r="DDU23" s="2"/>
      <c r="DDV23" s="2"/>
      <c r="DDW23" s="2"/>
      <c r="DDX23" s="2"/>
      <c r="DDY23" s="2"/>
      <c r="DDZ23" s="2"/>
      <c r="DEA23" s="2"/>
      <c r="DEB23" s="2"/>
      <c r="DEC23" s="2"/>
      <c r="DED23" s="2"/>
      <c r="DEE23" s="2"/>
      <c r="DEF23" s="2"/>
      <c r="DEG23" s="2"/>
      <c r="DEH23" s="2"/>
      <c r="DEI23" s="2"/>
      <c r="DEJ23" s="2"/>
      <c r="DEK23" s="2"/>
      <c r="DEL23" s="2"/>
      <c r="DEM23" s="2"/>
      <c r="DEN23" s="2"/>
      <c r="DEO23" s="2"/>
      <c r="DEP23" s="2"/>
      <c r="DEQ23" s="2"/>
      <c r="DER23" s="2"/>
      <c r="DES23" s="2"/>
      <c r="DET23" s="2"/>
      <c r="DEU23" s="2"/>
      <c r="DEV23" s="2"/>
      <c r="DEW23" s="2"/>
      <c r="DEX23" s="2"/>
      <c r="DEY23" s="2"/>
      <c r="DEZ23" s="2"/>
      <c r="DFA23" s="2"/>
      <c r="DFB23" s="2"/>
      <c r="DFC23" s="2"/>
      <c r="DFD23" s="2"/>
      <c r="DFE23" s="2"/>
      <c r="DFF23" s="2"/>
      <c r="DFG23" s="2"/>
      <c r="DFH23" s="2"/>
      <c r="DFI23" s="2"/>
      <c r="DFJ23" s="2"/>
      <c r="DFK23" s="2"/>
      <c r="DFL23" s="2"/>
      <c r="DFM23" s="2"/>
      <c r="DFN23" s="2"/>
      <c r="DFO23" s="2"/>
      <c r="DFP23" s="2"/>
      <c r="DFQ23" s="2"/>
      <c r="DFR23" s="2"/>
      <c r="DFS23" s="2"/>
      <c r="DFT23" s="2"/>
      <c r="DFU23" s="2"/>
      <c r="DFV23" s="2"/>
      <c r="DFW23" s="2"/>
      <c r="DFX23" s="2"/>
      <c r="DFY23" s="2"/>
      <c r="DFZ23" s="2"/>
      <c r="DGA23" s="2"/>
      <c r="DGB23" s="2"/>
      <c r="DGC23" s="2"/>
      <c r="DGD23" s="2"/>
      <c r="DGE23" s="2"/>
      <c r="DGF23" s="2"/>
      <c r="DGG23" s="2"/>
      <c r="DGH23" s="2"/>
      <c r="DGI23" s="2"/>
      <c r="DGJ23" s="2"/>
      <c r="DGK23" s="2"/>
      <c r="DGL23" s="2"/>
      <c r="DGM23" s="2"/>
      <c r="DGN23" s="2"/>
      <c r="DGO23" s="2"/>
      <c r="DGP23" s="2"/>
      <c r="DGQ23" s="2"/>
      <c r="DGR23" s="2"/>
      <c r="DGS23" s="2"/>
      <c r="DGT23" s="2"/>
      <c r="DGU23" s="2"/>
      <c r="DGV23" s="2"/>
      <c r="DGW23" s="2"/>
      <c r="DGX23" s="2"/>
      <c r="DGY23" s="2"/>
      <c r="DGZ23" s="2"/>
      <c r="DHA23" s="2"/>
      <c r="DHB23" s="2"/>
      <c r="DHC23" s="2"/>
      <c r="DHD23" s="2"/>
      <c r="DHE23" s="2"/>
      <c r="DHF23" s="2"/>
      <c r="DHG23" s="2"/>
      <c r="DHH23" s="2"/>
      <c r="DHI23" s="2"/>
      <c r="DHJ23" s="2"/>
      <c r="DHK23" s="2"/>
      <c r="DHL23" s="2"/>
      <c r="DHM23" s="2"/>
      <c r="DHN23" s="2"/>
      <c r="DHO23" s="2"/>
      <c r="DHP23" s="2"/>
      <c r="DHQ23" s="2"/>
      <c r="DHR23" s="2"/>
      <c r="DHS23" s="2"/>
      <c r="DHT23" s="2"/>
      <c r="DHU23" s="2"/>
      <c r="DHV23" s="2"/>
      <c r="DHW23" s="2"/>
      <c r="DHX23" s="2"/>
      <c r="DHY23" s="2"/>
      <c r="DHZ23" s="2"/>
      <c r="DIA23" s="2"/>
      <c r="DIB23" s="2"/>
      <c r="DIC23" s="2"/>
      <c r="DID23" s="2"/>
      <c r="DIE23" s="2"/>
      <c r="DIF23" s="2"/>
      <c r="DIG23" s="2"/>
      <c r="DIH23" s="2"/>
      <c r="DII23" s="2"/>
      <c r="DIJ23" s="2"/>
      <c r="DIK23" s="2"/>
      <c r="DIL23" s="2"/>
      <c r="DIM23" s="2"/>
      <c r="DIN23" s="2"/>
      <c r="DIO23" s="2"/>
      <c r="DIP23" s="2"/>
      <c r="DIQ23" s="2"/>
      <c r="DIR23" s="2"/>
      <c r="DIS23" s="2"/>
      <c r="DIT23" s="2"/>
      <c r="DIU23" s="2"/>
      <c r="DIV23" s="2"/>
      <c r="DIW23" s="2"/>
      <c r="DIX23" s="2"/>
      <c r="DIY23" s="2"/>
      <c r="DIZ23" s="2"/>
      <c r="DJA23" s="2"/>
      <c r="DJB23" s="2"/>
      <c r="DJC23" s="2"/>
      <c r="DJD23" s="2"/>
      <c r="DJE23" s="2"/>
      <c r="DJF23" s="2"/>
      <c r="DJG23" s="2"/>
      <c r="DJH23" s="2"/>
      <c r="DJI23" s="2"/>
      <c r="DJJ23" s="2"/>
      <c r="DJK23" s="2"/>
      <c r="DJL23" s="2"/>
      <c r="DJM23" s="2"/>
      <c r="DJN23" s="2"/>
      <c r="DJO23" s="2"/>
      <c r="DJP23" s="2"/>
      <c r="DJQ23" s="2"/>
      <c r="DJR23" s="2"/>
      <c r="DJS23" s="2"/>
      <c r="DJT23" s="2"/>
      <c r="DJU23" s="2"/>
      <c r="DJV23" s="2"/>
      <c r="DJW23" s="2"/>
      <c r="DJX23" s="2"/>
      <c r="DJY23" s="2"/>
      <c r="DJZ23" s="2"/>
      <c r="DKA23" s="2"/>
      <c r="DKB23" s="2"/>
      <c r="DKC23" s="2"/>
      <c r="DKD23" s="2"/>
      <c r="DKE23" s="2"/>
      <c r="DKF23" s="2"/>
      <c r="DKG23" s="2"/>
      <c r="DKH23" s="2"/>
      <c r="DKI23" s="2"/>
      <c r="DKJ23" s="2"/>
      <c r="DKK23" s="2"/>
      <c r="DKL23" s="2"/>
      <c r="DKM23" s="2"/>
      <c r="DKN23" s="2"/>
      <c r="DKO23" s="2"/>
      <c r="DKP23" s="2"/>
      <c r="DKQ23" s="2"/>
      <c r="DKR23" s="2"/>
      <c r="DKS23" s="2"/>
      <c r="DKT23" s="2"/>
      <c r="DKU23" s="2"/>
      <c r="DKV23" s="2"/>
      <c r="DKW23" s="2"/>
      <c r="DKX23" s="2"/>
      <c r="DKY23" s="2"/>
      <c r="DKZ23" s="2"/>
      <c r="DLA23" s="2"/>
      <c r="DLB23" s="2"/>
      <c r="DLC23" s="2"/>
      <c r="DLD23" s="2"/>
      <c r="DLE23" s="2"/>
      <c r="DLF23" s="2"/>
      <c r="DLG23" s="2"/>
      <c r="DLH23" s="2"/>
      <c r="DLI23" s="2"/>
      <c r="DLJ23" s="2"/>
      <c r="DLK23" s="2"/>
      <c r="DLL23" s="2"/>
      <c r="DLM23" s="2"/>
      <c r="DLN23" s="2"/>
      <c r="DLO23" s="2"/>
      <c r="DLP23" s="2"/>
      <c r="DLQ23" s="2"/>
      <c r="DLR23" s="2"/>
      <c r="DLS23" s="2"/>
      <c r="DLT23" s="2"/>
      <c r="DLU23" s="2"/>
      <c r="DLV23" s="2"/>
      <c r="DLW23" s="2"/>
      <c r="DLX23" s="2"/>
      <c r="DLY23" s="2"/>
      <c r="DLZ23" s="2"/>
      <c r="DMA23" s="2"/>
      <c r="DMB23" s="2"/>
      <c r="DMC23" s="2"/>
      <c r="DMD23" s="2"/>
      <c r="DME23" s="2"/>
      <c r="DMF23" s="2"/>
      <c r="DMG23" s="2"/>
      <c r="DMH23" s="2"/>
      <c r="DMI23" s="2"/>
      <c r="DMJ23" s="2"/>
      <c r="DMK23" s="2"/>
      <c r="DML23" s="2"/>
      <c r="DMM23" s="2"/>
      <c r="DMN23" s="2"/>
      <c r="DMO23" s="2"/>
      <c r="DMP23" s="2"/>
      <c r="DMQ23" s="2"/>
      <c r="DMR23" s="2"/>
      <c r="DMS23" s="2"/>
      <c r="DMT23" s="2"/>
      <c r="DMU23" s="2"/>
      <c r="DMV23" s="2"/>
      <c r="DMW23" s="2"/>
      <c r="DMX23" s="2"/>
      <c r="DMY23" s="2"/>
      <c r="DMZ23" s="2"/>
      <c r="DNA23" s="2"/>
      <c r="DNB23" s="2"/>
      <c r="DNC23" s="2"/>
      <c r="DND23" s="2"/>
      <c r="DNE23" s="2"/>
      <c r="DNF23" s="2"/>
      <c r="DNG23" s="2"/>
      <c r="DNH23" s="2"/>
      <c r="DNI23" s="2"/>
      <c r="DNJ23" s="2"/>
      <c r="DNK23" s="2"/>
      <c r="DNL23" s="2"/>
      <c r="DNM23" s="2"/>
      <c r="DNN23" s="2"/>
      <c r="DNO23" s="2"/>
      <c r="DNP23" s="2"/>
      <c r="DNQ23" s="2"/>
      <c r="DNR23" s="2"/>
      <c r="DNS23" s="2"/>
      <c r="DNT23" s="2"/>
      <c r="DNU23" s="2"/>
      <c r="DNV23" s="2"/>
      <c r="DNW23" s="2"/>
      <c r="DNX23" s="2"/>
      <c r="DNY23" s="2"/>
      <c r="DNZ23" s="2"/>
      <c r="DOA23" s="2"/>
      <c r="DOB23" s="2"/>
      <c r="DOC23" s="2"/>
      <c r="DOD23" s="2"/>
      <c r="DOE23" s="2"/>
      <c r="DOF23" s="2"/>
      <c r="DOG23" s="2"/>
      <c r="DOH23" s="2"/>
      <c r="DOI23" s="2"/>
      <c r="DOJ23" s="2"/>
      <c r="DOK23" s="2"/>
      <c r="DOL23" s="2"/>
      <c r="DOM23" s="2"/>
      <c r="DON23" s="2"/>
      <c r="DOO23" s="2"/>
      <c r="DOP23" s="2"/>
      <c r="DOQ23" s="2"/>
      <c r="DOR23" s="2"/>
      <c r="DOS23" s="2"/>
      <c r="DOT23" s="2"/>
      <c r="DOU23" s="2"/>
      <c r="DOV23" s="2"/>
      <c r="DOW23" s="2"/>
      <c r="DOX23" s="2"/>
      <c r="DOY23" s="2"/>
      <c r="DOZ23" s="2"/>
      <c r="DPA23" s="2"/>
      <c r="DPB23" s="2"/>
      <c r="DPC23" s="2"/>
      <c r="DPD23" s="2"/>
      <c r="DPE23" s="2"/>
      <c r="DPF23" s="2"/>
      <c r="DPG23" s="2"/>
      <c r="DPH23" s="2"/>
      <c r="DPI23" s="2"/>
      <c r="DPJ23" s="2"/>
      <c r="DPK23" s="2"/>
      <c r="DPL23" s="2"/>
      <c r="DPM23" s="2"/>
      <c r="DPN23" s="2"/>
      <c r="DPO23" s="2"/>
      <c r="DPP23" s="2"/>
      <c r="DPQ23" s="2"/>
      <c r="DPR23" s="2"/>
      <c r="DPS23" s="2"/>
      <c r="DPT23" s="2"/>
      <c r="DPU23" s="2"/>
      <c r="DPV23" s="2"/>
      <c r="DPW23" s="2"/>
      <c r="DPX23" s="2"/>
      <c r="DPY23" s="2"/>
      <c r="DPZ23" s="2"/>
      <c r="DQA23" s="2"/>
      <c r="DQB23" s="2"/>
      <c r="DQC23" s="2"/>
      <c r="DQD23" s="2"/>
      <c r="DQE23" s="2"/>
      <c r="DQF23" s="2"/>
      <c r="DQG23" s="2"/>
      <c r="DQH23" s="2"/>
      <c r="DQI23" s="2"/>
      <c r="DQJ23" s="2"/>
      <c r="DQK23" s="2"/>
      <c r="DQL23" s="2"/>
      <c r="DQM23" s="2"/>
      <c r="DQN23" s="2"/>
      <c r="DQO23" s="2"/>
      <c r="DQP23" s="2"/>
      <c r="DQQ23" s="2"/>
      <c r="DQR23" s="2"/>
      <c r="DQS23" s="2"/>
      <c r="DQT23" s="2"/>
      <c r="DQU23" s="2"/>
      <c r="DQV23" s="2"/>
      <c r="DQW23" s="2"/>
      <c r="DQX23" s="2"/>
      <c r="DQY23" s="2"/>
      <c r="DQZ23" s="2"/>
      <c r="DRA23" s="2"/>
      <c r="DRB23" s="2"/>
      <c r="DRC23" s="2"/>
      <c r="DRD23" s="2"/>
      <c r="DRE23" s="2"/>
      <c r="DRF23" s="2"/>
      <c r="DRG23" s="2"/>
      <c r="DRH23" s="2"/>
      <c r="DRI23" s="2"/>
      <c r="DRJ23" s="2"/>
      <c r="DRK23" s="2"/>
      <c r="DRL23" s="2"/>
      <c r="DRM23" s="2"/>
      <c r="DRN23" s="2"/>
      <c r="DRO23" s="2"/>
      <c r="DRP23" s="2"/>
      <c r="DRQ23" s="2"/>
      <c r="DRR23" s="2"/>
      <c r="DRS23" s="2"/>
      <c r="DRT23" s="2"/>
      <c r="DRU23" s="2"/>
      <c r="DRV23" s="2"/>
      <c r="DRW23" s="2"/>
      <c r="DRX23" s="2"/>
      <c r="DRY23" s="2"/>
      <c r="DRZ23" s="2"/>
      <c r="DSA23" s="2"/>
      <c r="DSB23" s="2"/>
      <c r="DSC23" s="2"/>
      <c r="DSD23" s="2"/>
      <c r="DSE23" s="2"/>
      <c r="DSF23" s="2"/>
      <c r="DSG23" s="2"/>
      <c r="DSH23" s="2"/>
      <c r="DSI23" s="2"/>
      <c r="DSJ23" s="2"/>
      <c r="DSK23" s="2"/>
      <c r="DSL23" s="2"/>
      <c r="DSM23" s="2"/>
      <c r="DSN23" s="2"/>
      <c r="DSO23" s="2"/>
      <c r="DSP23" s="2"/>
      <c r="DSQ23" s="2"/>
      <c r="DSR23" s="2"/>
      <c r="DSS23" s="2"/>
      <c r="DST23" s="2"/>
      <c r="DSU23" s="2"/>
      <c r="DSV23" s="2"/>
      <c r="DSW23" s="2"/>
      <c r="DSX23" s="2"/>
      <c r="DSY23" s="2"/>
      <c r="DSZ23" s="2"/>
      <c r="DTA23" s="2"/>
      <c r="DTB23" s="2"/>
      <c r="DTC23" s="2"/>
      <c r="DTD23" s="2"/>
      <c r="DTE23" s="2"/>
      <c r="DTF23" s="2"/>
      <c r="DTG23" s="2"/>
      <c r="DTH23" s="2"/>
      <c r="DTI23" s="2"/>
      <c r="DTJ23" s="2"/>
      <c r="DTK23" s="2"/>
      <c r="DTL23" s="2"/>
      <c r="DTM23" s="2"/>
      <c r="DTN23" s="2"/>
      <c r="DTO23" s="2"/>
      <c r="DTP23" s="2"/>
      <c r="DTQ23" s="2"/>
      <c r="DTR23" s="2"/>
      <c r="DTS23" s="2"/>
      <c r="DTT23" s="2"/>
      <c r="DTU23" s="2"/>
      <c r="DTV23" s="2"/>
      <c r="DTW23" s="2"/>
      <c r="DTX23" s="2"/>
      <c r="DTY23" s="2"/>
      <c r="DTZ23" s="2"/>
      <c r="DUA23" s="2"/>
      <c r="DUB23" s="2"/>
      <c r="DUC23" s="2"/>
      <c r="DUD23" s="2"/>
      <c r="DUE23" s="2"/>
      <c r="DUF23" s="2"/>
      <c r="DUG23" s="2"/>
      <c r="DUH23" s="2"/>
      <c r="DUI23" s="2"/>
      <c r="DUJ23" s="2"/>
      <c r="DUK23" s="2"/>
      <c r="DUL23" s="2"/>
      <c r="DUM23" s="2"/>
      <c r="DUN23" s="2"/>
      <c r="DUO23" s="2"/>
      <c r="DUP23" s="2"/>
      <c r="DUQ23" s="2"/>
      <c r="DUR23" s="2"/>
      <c r="DUS23" s="2"/>
      <c r="DUT23" s="2"/>
      <c r="DUU23" s="2"/>
      <c r="DUV23" s="2"/>
      <c r="DUW23" s="2"/>
      <c r="DUX23" s="2"/>
      <c r="DUY23" s="2"/>
      <c r="DUZ23" s="2"/>
      <c r="DVA23" s="2"/>
      <c r="DVB23" s="2"/>
      <c r="DVC23" s="2"/>
      <c r="DVD23" s="2"/>
      <c r="DVE23" s="2"/>
      <c r="DVF23" s="2"/>
      <c r="DVG23" s="2"/>
      <c r="DVH23" s="2"/>
      <c r="DVI23" s="2"/>
      <c r="DVJ23" s="2"/>
      <c r="DVK23" s="2"/>
      <c r="DVL23" s="2"/>
      <c r="DVM23" s="2"/>
      <c r="DVN23" s="2"/>
      <c r="DVO23" s="2"/>
      <c r="DVP23" s="2"/>
      <c r="DVQ23" s="2"/>
      <c r="DVR23" s="2"/>
      <c r="DVS23" s="2"/>
      <c r="DVT23" s="2"/>
      <c r="DVU23" s="2"/>
      <c r="DVV23" s="2"/>
      <c r="DVW23" s="2"/>
      <c r="DVX23" s="2"/>
      <c r="DVY23" s="2"/>
      <c r="DVZ23" s="2"/>
      <c r="DWA23" s="2"/>
      <c r="DWB23" s="2"/>
      <c r="DWC23" s="2"/>
      <c r="DWD23" s="2"/>
      <c r="DWE23" s="2"/>
      <c r="DWF23" s="2"/>
      <c r="DWG23" s="2"/>
      <c r="DWH23" s="2"/>
      <c r="DWI23" s="2"/>
      <c r="DWJ23" s="2"/>
      <c r="DWK23" s="2"/>
      <c r="DWL23" s="2"/>
      <c r="DWM23" s="2"/>
      <c r="DWN23" s="2"/>
      <c r="DWO23" s="2"/>
      <c r="DWP23" s="2"/>
      <c r="DWQ23" s="2"/>
      <c r="DWR23" s="2"/>
      <c r="DWS23" s="2"/>
      <c r="DWT23" s="2"/>
      <c r="DWU23" s="2"/>
      <c r="DWV23" s="2"/>
      <c r="DWW23" s="2"/>
      <c r="DWX23" s="2"/>
      <c r="DWY23" s="2"/>
      <c r="DWZ23" s="2"/>
      <c r="DXA23" s="2"/>
      <c r="DXB23" s="2"/>
      <c r="DXC23" s="2"/>
      <c r="DXD23" s="2"/>
      <c r="DXE23" s="2"/>
      <c r="DXF23" s="2"/>
      <c r="DXG23" s="2"/>
      <c r="DXH23" s="2"/>
      <c r="DXI23" s="2"/>
      <c r="DXJ23" s="2"/>
      <c r="DXK23" s="2"/>
      <c r="DXL23" s="2"/>
      <c r="DXM23" s="2"/>
      <c r="DXN23" s="2"/>
      <c r="DXO23" s="2"/>
      <c r="DXP23" s="2"/>
      <c r="DXQ23" s="2"/>
      <c r="DXR23" s="2"/>
      <c r="DXS23" s="2"/>
      <c r="DXT23" s="2"/>
      <c r="DXU23" s="2"/>
      <c r="DXV23" s="2"/>
      <c r="DXW23" s="2"/>
      <c r="DXX23" s="2"/>
      <c r="DXY23" s="2"/>
      <c r="DXZ23" s="2"/>
      <c r="DYA23" s="2"/>
      <c r="DYB23" s="2"/>
      <c r="DYC23" s="2"/>
      <c r="DYD23" s="2"/>
      <c r="DYE23" s="2"/>
      <c r="DYF23" s="2"/>
      <c r="DYG23" s="2"/>
      <c r="DYH23" s="2"/>
      <c r="DYI23" s="2"/>
      <c r="DYJ23" s="2"/>
      <c r="DYK23" s="2"/>
      <c r="DYL23" s="2"/>
      <c r="DYM23" s="2"/>
      <c r="DYN23" s="2"/>
      <c r="DYO23" s="2"/>
      <c r="DYP23" s="2"/>
      <c r="DYQ23" s="2"/>
      <c r="DYR23" s="2"/>
      <c r="DYS23" s="2"/>
      <c r="DYT23" s="2"/>
      <c r="DYU23" s="2"/>
      <c r="DYV23" s="2"/>
      <c r="DYW23" s="2"/>
      <c r="DYX23" s="2"/>
      <c r="DYY23" s="2"/>
      <c r="DYZ23" s="2"/>
      <c r="DZA23" s="2"/>
      <c r="DZB23" s="2"/>
      <c r="DZC23" s="2"/>
      <c r="DZD23" s="2"/>
      <c r="DZE23" s="2"/>
      <c r="DZF23" s="2"/>
      <c r="DZG23" s="2"/>
      <c r="DZH23" s="2"/>
      <c r="DZI23" s="2"/>
      <c r="DZJ23" s="2"/>
      <c r="DZK23" s="2"/>
      <c r="DZL23" s="2"/>
      <c r="DZM23" s="2"/>
      <c r="DZN23" s="2"/>
      <c r="DZO23" s="2"/>
      <c r="DZP23" s="2"/>
      <c r="DZQ23" s="2"/>
      <c r="DZR23" s="2"/>
      <c r="DZS23" s="2"/>
      <c r="DZT23" s="2"/>
      <c r="DZU23" s="2"/>
      <c r="DZV23" s="2"/>
      <c r="DZW23" s="2"/>
      <c r="DZX23" s="2"/>
      <c r="DZY23" s="2"/>
      <c r="DZZ23" s="2"/>
      <c r="EAA23" s="2"/>
      <c r="EAB23" s="2"/>
      <c r="EAC23" s="2"/>
      <c r="EAD23" s="2"/>
      <c r="EAE23" s="2"/>
      <c r="EAF23" s="2"/>
      <c r="EAG23" s="2"/>
      <c r="EAH23" s="2"/>
      <c r="EAI23" s="2"/>
      <c r="EAJ23" s="2"/>
      <c r="EAK23" s="2"/>
      <c r="EAL23" s="2"/>
      <c r="EAM23" s="2"/>
      <c r="EAN23" s="2"/>
      <c r="EAO23" s="2"/>
      <c r="EAP23" s="2"/>
      <c r="EAQ23" s="2"/>
      <c r="EAR23" s="2"/>
      <c r="EAS23" s="2"/>
      <c r="EAT23" s="2"/>
      <c r="EAU23" s="2"/>
      <c r="EAV23" s="2"/>
      <c r="EAW23" s="2"/>
      <c r="EAX23" s="2"/>
      <c r="EAY23" s="2"/>
      <c r="EAZ23" s="2"/>
      <c r="EBA23" s="2"/>
      <c r="EBB23" s="2"/>
      <c r="EBC23" s="2"/>
      <c r="EBD23" s="2"/>
      <c r="EBE23" s="2"/>
      <c r="EBF23" s="2"/>
      <c r="EBG23" s="2"/>
      <c r="EBH23" s="2"/>
      <c r="EBI23" s="2"/>
      <c r="EBJ23" s="2"/>
      <c r="EBK23" s="2"/>
      <c r="EBL23" s="2"/>
      <c r="EBM23" s="2"/>
      <c r="EBN23" s="2"/>
      <c r="EBO23" s="2"/>
      <c r="EBP23" s="2"/>
      <c r="EBQ23" s="2"/>
      <c r="EBR23" s="2"/>
      <c r="EBS23" s="2"/>
      <c r="EBT23" s="2"/>
      <c r="EBU23" s="2"/>
      <c r="EBV23" s="2"/>
      <c r="EBW23" s="2"/>
      <c r="EBX23" s="2"/>
      <c r="EBY23" s="2"/>
      <c r="EBZ23" s="2"/>
      <c r="ECA23" s="2"/>
      <c r="ECB23" s="2"/>
      <c r="ECC23" s="2"/>
      <c r="ECD23" s="2"/>
      <c r="ECE23" s="2"/>
      <c r="ECF23" s="2"/>
      <c r="ECG23" s="2"/>
      <c r="ECH23" s="2"/>
      <c r="ECI23" s="2"/>
      <c r="ECJ23" s="2"/>
      <c r="ECK23" s="2"/>
      <c r="ECL23" s="2"/>
      <c r="ECM23" s="2"/>
      <c r="ECN23" s="2"/>
      <c r="ECO23" s="2"/>
      <c r="ECP23" s="2"/>
      <c r="ECQ23" s="2"/>
      <c r="ECR23" s="2"/>
      <c r="ECS23" s="2"/>
      <c r="ECT23" s="2"/>
      <c r="ECU23" s="2"/>
      <c r="ECV23" s="2"/>
      <c r="ECW23" s="2"/>
      <c r="ECX23" s="2"/>
      <c r="ECY23" s="2"/>
      <c r="ECZ23" s="2"/>
      <c r="EDA23" s="2"/>
      <c r="EDB23" s="2"/>
      <c r="EDC23" s="2"/>
      <c r="EDD23" s="2"/>
      <c r="EDE23" s="2"/>
      <c r="EDF23" s="2"/>
      <c r="EDG23" s="2"/>
      <c r="EDH23" s="2"/>
      <c r="EDI23" s="2"/>
      <c r="EDJ23" s="2"/>
      <c r="EDK23" s="2"/>
      <c r="EDL23" s="2"/>
      <c r="EDM23" s="2"/>
      <c r="EDN23" s="2"/>
      <c r="EDO23" s="2"/>
      <c r="EDP23" s="2"/>
      <c r="EDQ23" s="2"/>
      <c r="EDR23" s="2"/>
      <c r="EDS23" s="2"/>
      <c r="EDT23" s="2"/>
      <c r="EDU23" s="2"/>
      <c r="EDV23" s="2"/>
      <c r="EDW23" s="2"/>
      <c r="EDX23" s="2"/>
      <c r="EDY23" s="2"/>
      <c r="EDZ23" s="2"/>
      <c r="EEA23" s="2"/>
      <c r="EEB23" s="2"/>
      <c r="EEC23" s="2"/>
      <c r="EED23" s="2"/>
      <c r="EEE23" s="2"/>
      <c r="EEF23" s="2"/>
      <c r="EEG23" s="2"/>
      <c r="EEH23" s="2"/>
      <c r="EEI23" s="2"/>
      <c r="EEJ23" s="2"/>
      <c r="EEK23" s="2"/>
      <c r="EEL23" s="2"/>
      <c r="EEM23" s="2"/>
      <c r="EEN23" s="2"/>
      <c r="EEO23" s="2"/>
      <c r="EEP23" s="2"/>
      <c r="EEQ23" s="2"/>
      <c r="EER23" s="2"/>
      <c r="EES23" s="2"/>
      <c r="EET23" s="2"/>
      <c r="EEU23" s="2"/>
      <c r="EEV23" s="2"/>
      <c r="EEW23" s="2"/>
      <c r="EEX23" s="2"/>
      <c r="EEY23" s="2"/>
      <c r="EEZ23" s="2"/>
      <c r="EFA23" s="2"/>
      <c r="EFB23" s="2"/>
      <c r="EFC23" s="2"/>
      <c r="EFD23" s="2"/>
      <c r="EFE23" s="2"/>
      <c r="EFF23" s="2"/>
      <c r="EFG23" s="2"/>
      <c r="EFH23" s="2"/>
      <c r="EFI23" s="2"/>
      <c r="EFJ23" s="2"/>
      <c r="EFK23" s="2"/>
      <c r="EFL23" s="2"/>
      <c r="EFM23" s="2"/>
      <c r="EFN23" s="2"/>
      <c r="EFO23" s="2"/>
      <c r="EFP23" s="2"/>
      <c r="EFQ23" s="2"/>
      <c r="EFR23" s="2"/>
      <c r="EFS23" s="2"/>
      <c r="EFT23" s="2"/>
      <c r="EFU23" s="2"/>
      <c r="EFV23" s="2"/>
      <c r="EFW23" s="2"/>
      <c r="EFX23" s="2"/>
      <c r="EFY23" s="2"/>
      <c r="EFZ23" s="2"/>
      <c r="EGA23" s="2"/>
      <c r="EGB23" s="2"/>
      <c r="EGC23" s="2"/>
      <c r="EGD23" s="2"/>
      <c r="EGE23" s="2"/>
      <c r="EGF23" s="2"/>
      <c r="EGG23" s="2"/>
      <c r="EGH23" s="2"/>
      <c r="EGI23" s="2"/>
      <c r="EGJ23" s="2"/>
      <c r="EGK23" s="2"/>
      <c r="EGL23" s="2"/>
      <c r="EGM23" s="2"/>
      <c r="EGN23" s="2"/>
      <c r="EGO23" s="2"/>
      <c r="EGP23" s="2"/>
      <c r="EGQ23" s="2"/>
      <c r="EGR23" s="2"/>
      <c r="EGS23" s="2"/>
      <c r="EGT23" s="2"/>
      <c r="EGU23" s="2"/>
      <c r="EGV23" s="2"/>
      <c r="EGW23" s="2"/>
      <c r="EGX23" s="2"/>
      <c r="EGY23" s="2"/>
      <c r="EGZ23" s="2"/>
      <c r="EHA23" s="2"/>
      <c r="EHB23" s="2"/>
      <c r="EHC23" s="2"/>
      <c r="EHD23" s="2"/>
      <c r="EHE23" s="2"/>
      <c r="EHF23" s="2"/>
      <c r="EHG23" s="2"/>
      <c r="EHH23" s="2"/>
      <c r="EHI23" s="2"/>
      <c r="EHJ23" s="2"/>
      <c r="EHK23" s="2"/>
      <c r="EHL23" s="2"/>
      <c r="EHM23" s="2"/>
      <c r="EHN23" s="2"/>
      <c r="EHO23" s="2"/>
      <c r="EHP23" s="2"/>
      <c r="EHQ23" s="2"/>
      <c r="EHR23" s="2"/>
      <c r="EHS23" s="2"/>
      <c r="EHT23" s="2"/>
      <c r="EHU23" s="2"/>
      <c r="EHV23" s="2"/>
      <c r="EHW23" s="2"/>
      <c r="EHX23" s="2"/>
      <c r="EHY23" s="2"/>
      <c r="EHZ23" s="2"/>
      <c r="EIA23" s="2"/>
      <c r="EIB23" s="2"/>
      <c r="EIC23" s="2"/>
      <c r="EID23" s="2"/>
      <c r="EIE23" s="2"/>
      <c r="EIF23" s="2"/>
      <c r="EIG23" s="2"/>
      <c r="EIH23" s="2"/>
      <c r="EII23" s="2"/>
      <c r="EIJ23" s="2"/>
      <c r="EIK23" s="2"/>
      <c r="EIL23" s="2"/>
      <c r="EIM23" s="2"/>
      <c r="EIN23" s="2"/>
      <c r="EIO23" s="2"/>
      <c r="EIP23" s="2"/>
      <c r="EIQ23" s="2"/>
      <c r="EIR23" s="2"/>
      <c r="EIS23" s="2"/>
      <c r="EIT23" s="2"/>
      <c r="EIU23" s="2"/>
      <c r="EIV23" s="2"/>
      <c r="EIW23" s="2"/>
      <c r="EIX23" s="2"/>
      <c r="EIY23" s="2"/>
      <c r="EIZ23" s="2"/>
      <c r="EJA23" s="2"/>
      <c r="EJB23" s="2"/>
      <c r="EJC23" s="2"/>
      <c r="EJD23" s="2"/>
      <c r="EJE23" s="2"/>
      <c r="EJF23" s="2"/>
      <c r="EJG23" s="2"/>
      <c r="EJH23" s="2"/>
      <c r="EJI23" s="2"/>
      <c r="EJJ23" s="2"/>
      <c r="EJK23" s="2"/>
      <c r="EJL23" s="2"/>
      <c r="EJM23" s="2"/>
      <c r="EJN23" s="2"/>
      <c r="EJO23" s="2"/>
      <c r="EJP23" s="2"/>
      <c r="EJQ23" s="2"/>
      <c r="EJR23" s="2"/>
      <c r="EJS23" s="2"/>
      <c r="EJT23" s="2"/>
      <c r="EJU23" s="2"/>
      <c r="EJV23" s="2"/>
      <c r="EJW23" s="2"/>
      <c r="EJX23" s="2"/>
      <c r="EJY23" s="2"/>
      <c r="EJZ23" s="2"/>
      <c r="EKA23" s="2"/>
      <c r="EKB23" s="2"/>
      <c r="EKC23" s="2"/>
      <c r="EKD23" s="2"/>
      <c r="EKE23" s="2"/>
      <c r="EKF23" s="2"/>
      <c r="EKG23" s="2"/>
      <c r="EKH23" s="2"/>
      <c r="EKI23" s="2"/>
      <c r="EKJ23" s="2"/>
      <c r="EKK23" s="2"/>
      <c r="EKL23" s="2"/>
      <c r="EKM23" s="2"/>
      <c r="EKN23" s="2"/>
      <c r="EKO23" s="2"/>
      <c r="EKP23" s="2"/>
      <c r="EKQ23" s="2"/>
      <c r="EKR23" s="2"/>
      <c r="EKS23" s="2"/>
      <c r="EKT23" s="2"/>
      <c r="EKU23" s="2"/>
      <c r="EKV23" s="2"/>
      <c r="EKW23" s="2"/>
      <c r="EKX23" s="2"/>
      <c r="EKY23" s="2"/>
      <c r="EKZ23" s="2"/>
      <c r="ELA23" s="2"/>
      <c r="ELB23" s="2"/>
      <c r="ELC23" s="2"/>
      <c r="ELD23" s="2"/>
      <c r="ELE23" s="2"/>
      <c r="ELF23" s="2"/>
      <c r="ELG23" s="2"/>
      <c r="ELH23" s="2"/>
      <c r="ELI23" s="2"/>
      <c r="ELJ23" s="2"/>
      <c r="ELK23" s="2"/>
      <c r="ELL23" s="2"/>
      <c r="ELM23" s="2"/>
      <c r="ELN23" s="2"/>
      <c r="ELO23" s="2"/>
      <c r="ELP23" s="2"/>
      <c r="ELQ23" s="2"/>
      <c r="ELR23" s="2"/>
      <c r="ELS23" s="2"/>
      <c r="ELT23" s="2"/>
      <c r="ELU23" s="2"/>
      <c r="ELV23" s="2"/>
      <c r="ELW23" s="2"/>
      <c r="ELX23" s="2"/>
      <c r="ELY23" s="2"/>
      <c r="ELZ23" s="2"/>
      <c r="EMA23" s="2"/>
      <c r="EMB23" s="2"/>
      <c r="EMC23" s="2"/>
      <c r="EMD23" s="2"/>
      <c r="EME23" s="2"/>
      <c r="EMF23" s="2"/>
      <c r="EMG23" s="2"/>
      <c r="EMH23" s="2"/>
      <c r="EMI23" s="2"/>
      <c r="EMJ23" s="2"/>
      <c r="EMK23" s="2"/>
      <c r="EML23" s="2"/>
      <c r="EMM23" s="2"/>
      <c r="EMN23" s="2"/>
      <c r="EMO23" s="2"/>
      <c r="EMP23" s="2"/>
      <c r="EMQ23" s="2"/>
      <c r="EMR23" s="2"/>
      <c r="EMS23" s="2"/>
      <c r="EMT23" s="2"/>
      <c r="EMU23" s="2"/>
      <c r="EMV23" s="2"/>
      <c r="EMW23" s="2"/>
      <c r="EMX23" s="2"/>
      <c r="EMY23" s="2"/>
      <c r="EMZ23" s="2"/>
      <c r="ENA23" s="2"/>
      <c r="ENB23" s="2"/>
      <c r="ENC23" s="2"/>
      <c r="END23" s="2"/>
      <c r="ENE23" s="2"/>
      <c r="ENF23" s="2"/>
      <c r="ENG23" s="2"/>
      <c r="ENH23" s="2"/>
      <c r="ENI23" s="2"/>
      <c r="ENJ23" s="2"/>
      <c r="ENK23" s="2"/>
      <c r="ENL23" s="2"/>
      <c r="ENM23" s="2"/>
      <c r="ENN23" s="2"/>
      <c r="ENO23" s="2"/>
      <c r="ENP23" s="2"/>
      <c r="ENQ23" s="2"/>
      <c r="ENR23" s="2"/>
      <c r="ENS23" s="2"/>
      <c r="ENT23" s="2"/>
      <c r="ENU23" s="2"/>
      <c r="ENV23" s="2"/>
      <c r="ENW23" s="2"/>
      <c r="ENX23" s="2"/>
      <c r="ENY23" s="2"/>
      <c r="ENZ23" s="2"/>
      <c r="EOA23" s="2"/>
      <c r="EOB23" s="2"/>
      <c r="EOC23" s="2"/>
      <c r="EOD23" s="2"/>
      <c r="EOE23" s="2"/>
      <c r="EOF23" s="2"/>
      <c r="EOG23" s="2"/>
      <c r="EOH23" s="2"/>
      <c r="EOI23" s="2"/>
      <c r="EOJ23" s="2"/>
      <c r="EOK23" s="2"/>
      <c r="EOL23" s="2"/>
      <c r="EOM23" s="2"/>
      <c r="EON23" s="2"/>
      <c r="EOO23" s="2"/>
      <c r="EOP23" s="2"/>
      <c r="EOQ23" s="2"/>
      <c r="EOR23" s="2"/>
      <c r="EOS23" s="2"/>
      <c r="EOT23" s="2"/>
      <c r="EOU23" s="2"/>
      <c r="EOV23" s="2"/>
      <c r="EOW23" s="2"/>
      <c r="EOX23" s="2"/>
      <c r="EOY23" s="2"/>
      <c r="EOZ23" s="2"/>
      <c r="EPA23" s="2"/>
      <c r="EPB23" s="2"/>
      <c r="EPC23" s="2"/>
      <c r="EPD23" s="2"/>
      <c r="EPE23" s="2"/>
      <c r="EPF23" s="2"/>
      <c r="EPG23" s="2"/>
      <c r="EPH23" s="2"/>
      <c r="EPI23" s="2"/>
      <c r="EPJ23" s="2"/>
      <c r="EPK23" s="2"/>
      <c r="EPL23" s="2"/>
      <c r="EPM23" s="2"/>
      <c r="EPN23" s="2"/>
      <c r="EPO23" s="2"/>
      <c r="EPP23" s="2"/>
      <c r="EPQ23" s="2"/>
      <c r="EPR23" s="2"/>
      <c r="EPS23" s="2"/>
      <c r="EPT23" s="2"/>
      <c r="EPU23" s="2"/>
      <c r="EPV23" s="2"/>
      <c r="EPW23" s="2"/>
      <c r="EPX23" s="2"/>
      <c r="EPY23" s="2"/>
      <c r="EPZ23" s="2"/>
      <c r="EQA23" s="2"/>
      <c r="EQB23" s="2"/>
      <c r="EQC23" s="2"/>
      <c r="EQD23" s="2"/>
      <c r="EQE23" s="2"/>
      <c r="EQF23" s="2"/>
      <c r="EQG23" s="2"/>
      <c r="EQH23" s="2"/>
      <c r="EQI23" s="2"/>
      <c r="EQJ23" s="2"/>
      <c r="EQK23" s="2"/>
      <c r="EQL23" s="2"/>
      <c r="EQM23" s="2"/>
      <c r="EQN23" s="2"/>
      <c r="EQO23" s="2"/>
      <c r="EQP23" s="2"/>
      <c r="EQQ23" s="2"/>
      <c r="EQR23" s="2"/>
      <c r="EQS23" s="2"/>
      <c r="EQT23" s="2"/>
      <c r="EQU23" s="2"/>
      <c r="EQV23" s="2"/>
      <c r="EQW23" s="2"/>
      <c r="EQX23" s="2"/>
      <c r="EQY23" s="2"/>
      <c r="EQZ23" s="2"/>
      <c r="ERA23" s="2"/>
      <c r="ERB23" s="2"/>
      <c r="ERC23" s="2"/>
      <c r="ERD23" s="2"/>
      <c r="ERE23" s="2"/>
      <c r="ERF23" s="2"/>
      <c r="ERG23" s="2"/>
      <c r="ERH23" s="2"/>
      <c r="ERI23" s="2"/>
      <c r="ERJ23" s="2"/>
      <c r="ERK23" s="2"/>
      <c r="ERL23" s="2"/>
      <c r="ERM23" s="2"/>
      <c r="ERN23" s="2"/>
      <c r="ERO23" s="2"/>
      <c r="ERP23" s="2"/>
      <c r="ERQ23" s="2"/>
      <c r="ERR23" s="2"/>
      <c r="ERS23" s="2"/>
      <c r="ERT23" s="2"/>
      <c r="ERU23" s="2"/>
      <c r="ERV23" s="2"/>
      <c r="ERW23" s="2"/>
      <c r="ERX23" s="2"/>
      <c r="ERY23" s="2"/>
      <c r="ERZ23" s="2"/>
      <c r="ESA23" s="2"/>
      <c r="ESB23" s="2"/>
      <c r="ESC23" s="2"/>
      <c r="ESD23" s="2"/>
      <c r="ESE23" s="2"/>
      <c r="ESF23" s="2"/>
      <c r="ESG23" s="2"/>
      <c r="ESH23" s="2"/>
      <c r="ESI23" s="2"/>
      <c r="ESJ23" s="2"/>
      <c r="ESK23" s="2"/>
      <c r="ESL23" s="2"/>
      <c r="ESM23" s="2"/>
      <c r="ESN23" s="2"/>
      <c r="ESO23" s="2"/>
      <c r="ESP23" s="2"/>
      <c r="ESQ23" s="2"/>
      <c r="ESR23" s="2"/>
      <c r="ESS23" s="2"/>
      <c r="EST23" s="2"/>
      <c r="ESU23" s="2"/>
      <c r="ESV23" s="2"/>
      <c r="ESW23" s="2"/>
      <c r="ESX23" s="2"/>
      <c r="ESY23" s="2"/>
      <c r="ESZ23" s="2"/>
      <c r="ETA23" s="2"/>
      <c r="ETB23" s="2"/>
      <c r="ETC23" s="2"/>
      <c r="ETD23" s="2"/>
      <c r="ETE23" s="2"/>
      <c r="ETF23" s="2"/>
      <c r="ETG23" s="2"/>
      <c r="ETH23" s="2"/>
      <c r="ETI23" s="2"/>
      <c r="ETJ23" s="2"/>
      <c r="ETK23" s="2"/>
      <c r="ETL23" s="2"/>
      <c r="ETM23" s="2"/>
      <c r="ETN23" s="2"/>
      <c r="ETO23" s="2"/>
      <c r="ETP23" s="2"/>
      <c r="ETQ23" s="2"/>
      <c r="ETR23" s="2"/>
      <c r="ETS23" s="2"/>
      <c r="ETT23" s="2"/>
      <c r="ETU23" s="2"/>
      <c r="ETV23" s="2"/>
      <c r="ETW23" s="2"/>
      <c r="ETX23" s="2"/>
      <c r="ETY23" s="2"/>
      <c r="ETZ23" s="2"/>
      <c r="EUA23" s="2"/>
      <c r="EUB23" s="2"/>
      <c r="EUC23" s="2"/>
      <c r="EUD23" s="2"/>
      <c r="EUE23" s="2"/>
      <c r="EUF23" s="2"/>
      <c r="EUG23" s="2"/>
      <c r="EUH23" s="2"/>
      <c r="EUI23" s="2"/>
      <c r="EUJ23" s="2"/>
      <c r="EUK23" s="2"/>
      <c r="EUL23" s="2"/>
      <c r="EUM23" s="2"/>
      <c r="EUN23" s="2"/>
      <c r="EUO23" s="2"/>
      <c r="EUP23" s="2"/>
      <c r="EUQ23" s="2"/>
      <c r="EUR23" s="2"/>
      <c r="EUS23" s="2"/>
      <c r="EUT23" s="2"/>
      <c r="EUU23" s="2"/>
      <c r="EUV23" s="2"/>
      <c r="EUW23" s="2"/>
      <c r="EUX23" s="2"/>
      <c r="EUY23" s="2"/>
      <c r="EUZ23" s="2"/>
      <c r="EVA23" s="2"/>
      <c r="EVB23" s="2"/>
      <c r="EVC23" s="2"/>
      <c r="EVD23" s="2"/>
      <c r="EVE23" s="2"/>
      <c r="EVF23" s="2"/>
      <c r="EVG23" s="2"/>
      <c r="EVH23" s="2"/>
      <c r="EVI23" s="2"/>
      <c r="EVJ23" s="2"/>
      <c r="EVK23" s="2"/>
      <c r="EVL23" s="2"/>
      <c r="EVM23" s="2"/>
      <c r="EVN23" s="2"/>
      <c r="EVO23" s="2"/>
      <c r="EVP23" s="2"/>
      <c r="EVQ23" s="2"/>
      <c r="EVR23" s="2"/>
      <c r="EVS23" s="2"/>
      <c r="EVT23" s="2"/>
      <c r="EVU23" s="2"/>
      <c r="EVV23" s="2"/>
      <c r="EVW23" s="2"/>
      <c r="EVX23" s="2"/>
      <c r="EVY23" s="2"/>
      <c r="EVZ23" s="2"/>
      <c r="EWA23" s="2"/>
      <c r="EWB23" s="2"/>
      <c r="EWC23" s="2"/>
      <c r="EWD23" s="2"/>
      <c r="EWE23" s="2"/>
      <c r="EWF23" s="2"/>
      <c r="EWG23" s="2"/>
      <c r="EWH23" s="2"/>
      <c r="EWI23" s="2"/>
      <c r="EWJ23" s="2"/>
      <c r="EWK23" s="2"/>
      <c r="EWL23" s="2"/>
      <c r="EWM23" s="2"/>
      <c r="EWN23" s="2"/>
      <c r="EWO23" s="2"/>
      <c r="EWP23" s="2"/>
      <c r="EWQ23" s="2"/>
      <c r="EWR23" s="2"/>
      <c r="EWS23" s="2"/>
      <c r="EWT23" s="2"/>
      <c r="EWU23" s="2"/>
      <c r="EWV23" s="2"/>
      <c r="EWW23" s="2"/>
      <c r="EWX23" s="2"/>
      <c r="EWY23" s="2"/>
      <c r="EWZ23" s="2"/>
      <c r="EXA23" s="2"/>
      <c r="EXB23" s="2"/>
      <c r="EXC23" s="2"/>
      <c r="EXD23" s="2"/>
      <c r="EXE23" s="2"/>
      <c r="EXF23" s="2"/>
      <c r="EXG23" s="2"/>
      <c r="EXH23" s="2"/>
      <c r="EXI23" s="2"/>
      <c r="EXJ23" s="2"/>
      <c r="EXK23" s="2"/>
      <c r="EXL23" s="2"/>
      <c r="EXM23" s="2"/>
      <c r="EXN23" s="2"/>
      <c r="EXO23" s="2"/>
      <c r="EXP23" s="2"/>
      <c r="EXQ23" s="2"/>
      <c r="EXR23" s="2"/>
      <c r="EXS23" s="2"/>
      <c r="EXT23" s="2"/>
      <c r="EXU23" s="2"/>
      <c r="EXV23" s="2"/>
      <c r="EXW23" s="2"/>
      <c r="EXX23" s="2"/>
      <c r="EXY23" s="2"/>
      <c r="EXZ23" s="2"/>
      <c r="EYA23" s="2"/>
      <c r="EYB23" s="2"/>
      <c r="EYC23" s="2"/>
      <c r="EYD23" s="2"/>
      <c r="EYE23" s="2"/>
      <c r="EYF23" s="2"/>
      <c r="EYG23" s="2"/>
      <c r="EYH23" s="2"/>
      <c r="EYI23" s="2"/>
      <c r="EYJ23" s="2"/>
      <c r="EYK23" s="2"/>
      <c r="EYL23" s="2"/>
      <c r="EYM23" s="2"/>
      <c r="EYN23" s="2"/>
      <c r="EYO23" s="2"/>
      <c r="EYP23" s="2"/>
      <c r="EYQ23" s="2"/>
      <c r="EYR23" s="2"/>
      <c r="EYS23" s="2"/>
      <c r="EYT23" s="2"/>
      <c r="EYU23" s="2"/>
      <c r="EYV23" s="2"/>
      <c r="EYW23" s="2"/>
      <c r="EYX23" s="2"/>
      <c r="EYY23" s="2"/>
      <c r="EYZ23" s="2"/>
      <c r="EZA23" s="2"/>
      <c r="EZB23" s="2"/>
      <c r="EZC23" s="2"/>
      <c r="EZD23" s="2"/>
      <c r="EZE23" s="2"/>
      <c r="EZF23" s="2"/>
      <c r="EZG23" s="2"/>
      <c r="EZH23" s="2"/>
      <c r="EZI23" s="2"/>
      <c r="EZJ23" s="2"/>
      <c r="EZK23" s="2"/>
      <c r="EZL23" s="2"/>
      <c r="EZM23" s="2"/>
      <c r="EZN23" s="2"/>
      <c r="EZO23" s="2"/>
      <c r="EZP23" s="2"/>
      <c r="EZQ23" s="2"/>
      <c r="EZR23" s="2"/>
      <c r="EZS23" s="2"/>
      <c r="EZT23" s="2"/>
      <c r="EZU23" s="2"/>
      <c r="EZV23" s="2"/>
      <c r="EZW23" s="2"/>
      <c r="EZX23" s="2"/>
      <c r="EZY23" s="2"/>
      <c r="EZZ23" s="2"/>
      <c r="FAA23" s="2"/>
      <c r="FAB23" s="2"/>
      <c r="FAC23" s="2"/>
      <c r="FAD23" s="2"/>
      <c r="FAE23" s="2"/>
      <c r="FAF23" s="2"/>
      <c r="FAG23" s="2"/>
      <c r="FAH23" s="2"/>
      <c r="FAI23" s="2"/>
      <c r="FAJ23" s="2"/>
      <c r="FAK23" s="2"/>
      <c r="FAL23" s="2"/>
      <c r="FAM23" s="2"/>
      <c r="FAN23" s="2"/>
      <c r="FAO23" s="2"/>
      <c r="FAP23" s="2"/>
      <c r="FAQ23" s="2"/>
      <c r="FAR23" s="2"/>
      <c r="FAS23" s="2"/>
      <c r="FAT23" s="2"/>
      <c r="FAU23" s="2"/>
      <c r="FAV23" s="2"/>
      <c r="FAW23" s="2"/>
      <c r="FAX23" s="2"/>
      <c r="FAY23" s="2"/>
      <c r="FAZ23" s="2"/>
      <c r="FBA23" s="2"/>
      <c r="FBB23" s="2"/>
      <c r="FBC23" s="2"/>
      <c r="FBD23" s="2"/>
      <c r="FBE23" s="2"/>
      <c r="FBF23" s="2"/>
      <c r="FBG23" s="2"/>
      <c r="FBH23" s="2"/>
      <c r="FBI23" s="2"/>
      <c r="FBJ23" s="2"/>
      <c r="FBK23" s="2"/>
      <c r="FBL23" s="2"/>
      <c r="FBM23" s="2"/>
      <c r="FBN23" s="2"/>
      <c r="FBO23" s="2"/>
      <c r="FBP23" s="2"/>
      <c r="FBQ23" s="2"/>
      <c r="FBR23" s="2"/>
      <c r="FBS23" s="2"/>
      <c r="FBT23" s="2"/>
      <c r="FBU23" s="2"/>
      <c r="FBV23" s="2"/>
      <c r="FBW23" s="2"/>
      <c r="FBX23" s="2"/>
      <c r="FBY23" s="2"/>
      <c r="FBZ23" s="2"/>
      <c r="FCA23" s="2"/>
      <c r="FCB23" s="2"/>
      <c r="FCC23" s="2"/>
      <c r="FCD23" s="2"/>
      <c r="FCE23" s="2"/>
      <c r="FCF23" s="2"/>
      <c r="FCG23" s="2"/>
      <c r="FCH23" s="2"/>
      <c r="FCI23" s="2"/>
      <c r="FCJ23" s="2"/>
      <c r="FCK23" s="2"/>
      <c r="FCL23" s="2"/>
      <c r="FCM23" s="2"/>
      <c r="FCN23" s="2"/>
      <c r="FCO23" s="2"/>
      <c r="FCP23" s="2"/>
      <c r="FCQ23" s="2"/>
      <c r="FCR23" s="2"/>
      <c r="FCS23" s="2"/>
      <c r="FCT23" s="2"/>
      <c r="FCU23" s="2"/>
      <c r="FCV23" s="2"/>
      <c r="FCW23" s="2"/>
      <c r="FCX23" s="2"/>
      <c r="FCY23" s="2"/>
      <c r="FCZ23" s="2"/>
      <c r="FDA23" s="2"/>
      <c r="FDB23" s="2"/>
      <c r="FDC23" s="2"/>
      <c r="FDD23" s="2"/>
      <c r="FDE23" s="2"/>
      <c r="FDF23" s="2"/>
      <c r="FDG23" s="2"/>
      <c r="FDH23" s="2"/>
      <c r="FDI23" s="2"/>
      <c r="FDJ23" s="2"/>
      <c r="FDK23" s="2"/>
      <c r="FDL23" s="2"/>
      <c r="FDM23" s="2"/>
      <c r="FDN23" s="2"/>
      <c r="FDO23" s="2"/>
      <c r="FDP23" s="2"/>
      <c r="FDQ23" s="2"/>
      <c r="FDR23" s="2"/>
      <c r="FDS23" s="2"/>
      <c r="FDT23" s="2"/>
      <c r="FDU23" s="2"/>
      <c r="FDV23" s="2"/>
      <c r="FDW23" s="2"/>
      <c r="FDX23" s="2"/>
      <c r="FDY23" s="2"/>
      <c r="FDZ23" s="2"/>
      <c r="FEA23" s="2"/>
      <c r="FEB23" s="2"/>
      <c r="FEC23" s="2"/>
      <c r="FED23" s="2"/>
      <c r="FEE23" s="2"/>
      <c r="FEF23" s="2"/>
      <c r="FEG23" s="2"/>
      <c r="FEH23" s="2"/>
      <c r="FEI23" s="2"/>
      <c r="FEJ23" s="2"/>
      <c r="FEK23" s="2"/>
      <c r="FEL23" s="2"/>
      <c r="FEM23" s="2"/>
      <c r="FEN23" s="2"/>
      <c r="FEO23" s="2"/>
      <c r="FEP23" s="2"/>
      <c r="FEQ23" s="2"/>
      <c r="FER23" s="2"/>
      <c r="FES23" s="2"/>
      <c r="FET23" s="2"/>
      <c r="FEU23" s="2"/>
      <c r="FEV23" s="2"/>
      <c r="FEW23" s="2"/>
      <c r="FEX23" s="2"/>
      <c r="FEY23" s="2"/>
      <c r="FEZ23" s="2"/>
      <c r="FFA23" s="2"/>
      <c r="FFB23" s="2"/>
      <c r="FFC23" s="2"/>
      <c r="FFD23" s="2"/>
      <c r="FFE23" s="2"/>
      <c r="FFF23" s="2"/>
      <c r="FFG23" s="2"/>
      <c r="FFH23" s="2"/>
      <c r="FFI23" s="2"/>
      <c r="FFJ23" s="2"/>
      <c r="FFK23" s="2"/>
      <c r="FFL23" s="2"/>
      <c r="FFM23" s="2"/>
      <c r="FFN23" s="2"/>
      <c r="FFO23" s="2"/>
      <c r="FFP23" s="2"/>
      <c r="FFQ23" s="2"/>
      <c r="FFR23" s="2"/>
      <c r="FFS23" s="2"/>
      <c r="FFT23" s="2"/>
      <c r="FFU23" s="2"/>
      <c r="FFV23" s="2"/>
      <c r="FFW23" s="2"/>
      <c r="FFX23" s="2"/>
      <c r="FFY23" s="2"/>
      <c r="FFZ23" s="2"/>
      <c r="FGA23" s="2"/>
      <c r="FGB23" s="2"/>
      <c r="FGC23" s="2"/>
      <c r="FGD23" s="2"/>
      <c r="FGE23" s="2"/>
      <c r="FGF23" s="2"/>
      <c r="FGG23" s="2"/>
      <c r="FGH23" s="2"/>
      <c r="FGI23" s="2"/>
      <c r="FGJ23" s="2"/>
      <c r="FGK23" s="2"/>
      <c r="FGL23" s="2"/>
      <c r="FGM23" s="2"/>
      <c r="FGN23" s="2"/>
      <c r="FGO23" s="2"/>
      <c r="FGP23" s="2"/>
      <c r="FGQ23" s="2"/>
      <c r="FGR23" s="2"/>
      <c r="FGS23" s="2"/>
      <c r="FGT23" s="2"/>
      <c r="FGU23" s="2"/>
      <c r="FGV23" s="2"/>
      <c r="FGW23" s="2"/>
      <c r="FGX23" s="2"/>
      <c r="FGY23" s="2"/>
      <c r="FGZ23" s="2"/>
      <c r="FHA23" s="2"/>
      <c r="FHB23" s="2"/>
      <c r="FHC23" s="2"/>
      <c r="FHD23" s="2"/>
      <c r="FHE23" s="2"/>
      <c r="FHF23" s="2"/>
      <c r="FHG23" s="2"/>
      <c r="FHH23" s="2"/>
      <c r="FHI23" s="2"/>
      <c r="FHJ23" s="2"/>
      <c r="FHK23" s="2"/>
      <c r="FHL23" s="2"/>
      <c r="FHM23" s="2"/>
      <c r="FHN23" s="2"/>
      <c r="FHO23" s="2"/>
      <c r="FHP23" s="2"/>
      <c r="FHQ23" s="2"/>
      <c r="FHR23" s="2"/>
      <c r="FHS23" s="2"/>
      <c r="FHT23" s="2"/>
      <c r="FHU23" s="2"/>
      <c r="FHV23" s="2"/>
      <c r="FHW23" s="2"/>
      <c r="FHX23" s="2"/>
      <c r="FHY23" s="2"/>
      <c r="FHZ23" s="2"/>
      <c r="FIA23" s="2"/>
      <c r="FIB23" s="2"/>
      <c r="FIC23" s="2"/>
      <c r="FID23" s="2"/>
      <c r="FIE23" s="2"/>
      <c r="FIF23" s="2"/>
      <c r="FIG23" s="2"/>
      <c r="FIH23" s="2"/>
      <c r="FII23" s="2"/>
      <c r="FIJ23" s="2"/>
      <c r="FIK23" s="2"/>
      <c r="FIL23" s="2"/>
      <c r="FIM23" s="2"/>
      <c r="FIN23" s="2"/>
      <c r="FIO23" s="2"/>
      <c r="FIP23" s="2"/>
      <c r="FIQ23" s="2"/>
      <c r="FIR23" s="2"/>
      <c r="FIS23" s="2"/>
      <c r="FIT23" s="2"/>
      <c r="FIU23" s="2"/>
      <c r="FIV23" s="2"/>
      <c r="FIW23" s="2"/>
      <c r="FIX23" s="2"/>
      <c r="FIY23" s="2"/>
      <c r="FIZ23" s="2"/>
      <c r="FJA23" s="2"/>
      <c r="FJB23" s="2"/>
      <c r="FJC23" s="2"/>
      <c r="FJD23" s="2"/>
      <c r="FJE23" s="2"/>
      <c r="FJF23" s="2"/>
      <c r="FJG23" s="2"/>
      <c r="FJH23" s="2"/>
      <c r="FJI23" s="2"/>
      <c r="FJJ23" s="2"/>
      <c r="FJK23" s="2"/>
      <c r="FJL23" s="2"/>
      <c r="FJM23" s="2"/>
      <c r="FJN23" s="2"/>
      <c r="FJO23" s="2"/>
      <c r="FJP23" s="2"/>
      <c r="FJQ23" s="2"/>
      <c r="FJR23" s="2"/>
      <c r="FJS23" s="2"/>
      <c r="FJT23" s="2"/>
      <c r="FJU23" s="2"/>
      <c r="FJV23" s="2"/>
      <c r="FJW23" s="2"/>
      <c r="FJX23" s="2"/>
      <c r="FJY23" s="2"/>
      <c r="FJZ23" s="2"/>
      <c r="FKA23" s="2"/>
      <c r="FKB23" s="2"/>
      <c r="FKC23" s="2"/>
      <c r="FKD23" s="2"/>
      <c r="FKE23" s="2"/>
      <c r="FKF23" s="2"/>
      <c r="FKG23" s="2"/>
      <c r="FKH23" s="2"/>
      <c r="FKI23" s="2"/>
      <c r="FKJ23" s="2"/>
      <c r="FKK23" s="2"/>
      <c r="FKL23" s="2"/>
      <c r="FKM23" s="2"/>
      <c r="FKN23" s="2"/>
      <c r="FKO23" s="2"/>
      <c r="FKP23" s="2"/>
      <c r="FKQ23" s="2"/>
      <c r="FKR23" s="2"/>
      <c r="FKS23" s="2"/>
      <c r="FKT23" s="2"/>
      <c r="FKU23" s="2"/>
      <c r="FKV23" s="2"/>
      <c r="FKW23" s="2"/>
      <c r="FKX23" s="2"/>
      <c r="FKY23" s="2"/>
      <c r="FKZ23" s="2"/>
      <c r="FLA23" s="2"/>
      <c r="FLB23" s="2"/>
      <c r="FLC23" s="2"/>
      <c r="FLD23" s="2"/>
      <c r="FLE23" s="2"/>
      <c r="FLF23" s="2"/>
      <c r="FLG23" s="2"/>
      <c r="FLH23" s="2"/>
      <c r="FLI23" s="2"/>
      <c r="FLJ23" s="2"/>
      <c r="FLK23" s="2"/>
      <c r="FLL23" s="2"/>
      <c r="FLM23" s="2"/>
      <c r="FLN23" s="2"/>
      <c r="FLO23" s="2"/>
      <c r="FLP23" s="2"/>
      <c r="FLQ23" s="2"/>
      <c r="FLR23" s="2"/>
      <c r="FLS23" s="2"/>
      <c r="FLT23" s="2"/>
      <c r="FLU23" s="2"/>
      <c r="FLV23" s="2"/>
      <c r="FLW23" s="2"/>
      <c r="FLX23" s="2"/>
      <c r="FLY23" s="2"/>
      <c r="FLZ23" s="2"/>
      <c r="FMA23" s="2"/>
      <c r="FMB23" s="2"/>
      <c r="FMC23" s="2"/>
      <c r="FMD23" s="2"/>
      <c r="FME23" s="2"/>
      <c r="FMF23" s="2"/>
      <c r="FMG23" s="2"/>
      <c r="FMH23" s="2"/>
      <c r="FMI23" s="2"/>
      <c r="FMJ23" s="2"/>
      <c r="FMK23" s="2"/>
      <c r="FML23" s="2"/>
      <c r="FMM23" s="2"/>
      <c r="FMN23" s="2"/>
      <c r="FMO23" s="2"/>
      <c r="FMP23" s="2"/>
      <c r="FMQ23" s="2"/>
      <c r="FMR23" s="2"/>
      <c r="FMS23" s="2"/>
      <c r="FMT23" s="2"/>
      <c r="FMU23" s="2"/>
      <c r="FMV23" s="2"/>
      <c r="FMW23" s="2"/>
      <c r="FMX23" s="2"/>
      <c r="FMY23" s="2"/>
      <c r="FMZ23" s="2"/>
      <c r="FNA23" s="2"/>
      <c r="FNB23" s="2"/>
      <c r="FNC23" s="2"/>
      <c r="FND23" s="2"/>
      <c r="FNE23" s="2"/>
      <c r="FNF23" s="2"/>
      <c r="FNG23" s="2"/>
      <c r="FNH23" s="2"/>
      <c r="FNI23" s="2"/>
      <c r="FNJ23" s="2"/>
      <c r="FNK23" s="2"/>
      <c r="FNL23" s="2"/>
      <c r="FNM23" s="2"/>
      <c r="FNN23" s="2"/>
      <c r="FNO23" s="2"/>
      <c r="FNP23" s="2"/>
      <c r="FNQ23" s="2"/>
      <c r="FNR23" s="2"/>
      <c r="FNS23" s="2"/>
      <c r="FNT23" s="2"/>
      <c r="FNU23" s="2"/>
      <c r="FNV23" s="2"/>
      <c r="FNW23" s="2"/>
      <c r="FNX23" s="2"/>
      <c r="FNY23" s="2"/>
      <c r="FNZ23" s="2"/>
      <c r="FOA23" s="2"/>
      <c r="FOB23" s="2"/>
      <c r="FOC23" s="2"/>
      <c r="FOD23" s="2"/>
      <c r="FOE23" s="2"/>
      <c r="FOF23" s="2"/>
      <c r="FOG23" s="2"/>
      <c r="FOH23" s="2"/>
      <c r="FOI23" s="2"/>
      <c r="FOJ23" s="2"/>
      <c r="FOK23" s="2"/>
      <c r="FOL23" s="2"/>
      <c r="FOM23" s="2"/>
      <c r="FON23" s="2"/>
      <c r="FOO23" s="2"/>
      <c r="FOP23" s="2"/>
      <c r="FOQ23" s="2"/>
      <c r="FOR23" s="2"/>
      <c r="FOS23" s="2"/>
      <c r="FOT23" s="2"/>
      <c r="FOU23" s="2"/>
      <c r="FOV23" s="2"/>
      <c r="FOW23" s="2"/>
      <c r="FOX23" s="2"/>
      <c r="FOY23" s="2"/>
      <c r="FOZ23" s="2"/>
      <c r="FPA23" s="2"/>
      <c r="FPB23" s="2"/>
      <c r="FPC23" s="2"/>
      <c r="FPD23" s="2"/>
      <c r="FPE23" s="2"/>
      <c r="FPF23" s="2"/>
      <c r="FPG23" s="2"/>
      <c r="FPH23" s="2"/>
      <c r="FPI23" s="2"/>
      <c r="FPJ23" s="2"/>
      <c r="FPK23" s="2"/>
      <c r="FPL23" s="2"/>
      <c r="FPM23" s="2"/>
      <c r="FPN23" s="2"/>
      <c r="FPO23" s="2"/>
      <c r="FPP23" s="2"/>
      <c r="FPQ23" s="2"/>
      <c r="FPR23" s="2"/>
      <c r="FPS23" s="2"/>
      <c r="FPT23" s="2"/>
      <c r="FPU23" s="2"/>
      <c r="FPV23" s="2"/>
      <c r="FPW23" s="2"/>
      <c r="FPX23" s="2"/>
      <c r="FPY23" s="2"/>
      <c r="FPZ23" s="2"/>
      <c r="FQA23" s="2"/>
      <c r="FQB23" s="2"/>
      <c r="FQC23" s="2"/>
      <c r="FQD23" s="2"/>
      <c r="FQE23" s="2"/>
      <c r="FQF23" s="2"/>
      <c r="FQG23" s="2"/>
      <c r="FQH23" s="2"/>
      <c r="FQI23" s="2"/>
      <c r="FQJ23" s="2"/>
      <c r="FQK23" s="2"/>
      <c r="FQL23" s="2"/>
      <c r="FQM23" s="2"/>
      <c r="FQN23" s="2"/>
      <c r="FQO23" s="2"/>
      <c r="FQP23" s="2"/>
      <c r="FQQ23" s="2"/>
      <c r="FQR23" s="2"/>
      <c r="FQS23" s="2"/>
      <c r="FQT23" s="2"/>
      <c r="FQU23" s="2"/>
      <c r="FQV23" s="2"/>
      <c r="FQW23" s="2"/>
      <c r="FQX23" s="2"/>
      <c r="FQY23" s="2"/>
      <c r="FQZ23" s="2"/>
      <c r="FRA23" s="2"/>
      <c r="FRB23" s="2"/>
      <c r="FRC23" s="2"/>
      <c r="FRD23" s="2"/>
      <c r="FRE23" s="2"/>
      <c r="FRF23" s="2"/>
      <c r="FRG23" s="2"/>
      <c r="FRH23" s="2"/>
      <c r="FRI23" s="2"/>
      <c r="FRJ23" s="2"/>
      <c r="FRK23" s="2"/>
      <c r="FRL23" s="2"/>
      <c r="FRM23" s="2"/>
      <c r="FRN23" s="2"/>
      <c r="FRO23" s="2"/>
      <c r="FRP23" s="2"/>
      <c r="FRQ23" s="2"/>
      <c r="FRR23" s="2"/>
      <c r="FRS23" s="2"/>
      <c r="FRT23" s="2"/>
      <c r="FRU23" s="2"/>
      <c r="FRV23" s="2"/>
      <c r="FRW23" s="2"/>
      <c r="FRX23" s="2"/>
      <c r="FRY23" s="2"/>
      <c r="FRZ23" s="2"/>
      <c r="FSA23" s="2"/>
      <c r="FSB23" s="2"/>
      <c r="FSC23" s="2"/>
      <c r="FSD23" s="2"/>
      <c r="FSE23" s="2"/>
      <c r="FSF23" s="2"/>
      <c r="FSG23" s="2"/>
      <c r="FSH23" s="2"/>
      <c r="FSI23" s="2"/>
      <c r="FSJ23" s="2"/>
      <c r="FSK23" s="2"/>
      <c r="FSL23" s="2"/>
      <c r="FSM23" s="2"/>
      <c r="FSN23" s="2"/>
      <c r="FSO23" s="2"/>
      <c r="FSP23" s="2"/>
      <c r="FSQ23" s="2"/>
      <c r="FSR23" s="2"/>
      <c r="FSS23" s="2"/>
      <c r="FST23" s="2"/>
      <c r="FSU23" s="2"/>
      <c r="FSV23" s="2"/>
      <c r="FSW23" s="2"/>
      <c r="FSX23" s="2"/>
      <c r="FSY23" s="2"/>
      <c r="FSZ23" s="2"/>
      <c r="FTA23" s="2"/>
      <c r="FTB23" s="2"/>
      <c r="FTC23" s="2"/>
      <c r="FTD23" s="2"/>
      <c r="FTE23" s="2"/>
      <c r="FTF23" s="2"/>
      <c r="FTG23" s="2"/>
      <c r="FTH23" s="2"/>
      <c r="FTI23" s="2"/>
      <c r="FTJ23" s="2"/>
      <c r="FTK23" s="2"/>
      <c r="FTL23" s="2"/>
      <c r="FTM23" s="2"/>
      <c r="FTN23" s="2"/>
      <c r="FTO23" s="2"/>
      <c r="FTP23" s="2"/>
      <c r="FTQ23" s="2"/>
      <c r="FTR23" s="2"/>
      <c r="FTS23" s="2"/>
      <c r="FTT23" s="2"/>
      <c r="FTU23" s="2"/>
      <c r="FTV23" s="2"/>
      <c r="FTW23" s="2"/>
      <c r="FTX23" s="2"/>
      <c r="FTY23" s="2"/>
      <c r="FTZ23" s="2"/>
      <c r="FUA23" s="2"/>
      <c r="FUB23" s="2"/>
      <c r="FUC23" s="2"/>
      <c r="FUD23" s="2"/>
      <c r="FUE23" s="2"/>
      <c r="FUF23" s="2"/>
      <c r="FUG23" s="2"/>
      <c r="FUH23" s="2"/>
      <c r="FUI23" s="2"/>
      <c r="FUJ23" s="2"/>
      <c r="FUK23" s="2"/>
      <c r="FUL23" s="2"/>
      <c r="FUM23" s="2"/>
      <c r="FUN23" s="2"/>
      <c r="FUO23" s="2"/>
      <c r="FUP23" s="2"/>
      <c r="FUQ23" s="2"/>
      <c r="FUR23" s="2"/>
      <c r="FUS23" s="2"/>
      <c r="FUT23" s="2"/>
      <c r="FUU23" s="2"/>
      <c r="FUV23" s="2"/>
      <c r="FUW23" s="2"/>
      <c r="FUX23" s="2"/>
      <c r="FUY23" s="2"/>
      <c r="FUZ23" s="2"/>
      <c r="FVA23" s="2"/>
      <c r="FVB23" s="2"/>
      <c r="FVC23" s="2"/>
      <c r="FVD23" s="2"/>
      <c r="FVE23" s="2"/>
      <c r="FVF23" s="2"/>
      <c r="FVG23" s="2"/>
      <c r="FVH23" s="2"/>
      <c r="FVI23" s="2"/>
      <c r="FVJ23" s="2"/>
      <c r="FVK23" s="2"/>
      <c r="FVL23" s="2"/>
      <c r="FVM23" s="2"/>
      <c r="FVN23" s="2"/>
      <c r="FVO23" s="2"/>
      <c r="FVP23" s="2"/>
      <c r="FVQ23" s="2"/>
      <c r="FVR23" s="2"/>
      <c r="FVS23" s="2"/>
      <c r="FVT23" s="2"/>
      <c r="FVU23" s="2"/>
      <c r="FVV23" s="2"/>
      <c r="FVW23" s="2"/>
      <c r="FVX23" s="2"/>
      <c r="FVY23" s="2"/>
      <c r="FVZ23" s="2"/>
      <c r="FWA23" s="2"/>
      <c r="FWB23" s="2"/>
      <c r="FWC23" s="2"/>
      <c r="FWD23" s="2"/>
      <c r="FWE23" s="2"/>
      <c r="FWF23" s="2"/>
      <c r="FWG23" s="2"/>
      <c r="FWH23" s="2"/>
      <c r="FWI23" s="2"/>
      <c r="FWJ23" s="2"/>
      <c r="FWK23" s="2"/>
      <c r="FWL23" s="2"/>
      <c r="FWM23" s="2"/>
      <c r="FWN23" s="2"/>
      <c r="FWO23" s="2"/>
      <c r="FWP23" s="2"/>
      <c r="FWQ23" s="2"/>
      <c r="FWR23" s="2"/>
      <c r="FWS23" s="2"/>
      <c r="FWT23" s="2"/>
      <c r="FWU23" s="2"/>
      <c r="FWV23" s="2"/>
      <c r="FWW23" s="2"/>
      <c r="FWX23" s="2"/>
      <c r="FWY23" s="2"/>
      <c r="FWZ23" s="2"/>
      <c r="FXA23" s="2"/>
      <c r="FXB23" s="2"/>
      <c r="FXC23" s="2"/>
      <c r="FXD23" s="2"/>
      <c r="FXE23" s="2"/>
      <c r="FXF23" s="2"/>
      <c r="FXG23" s="2"/>
      <c r="FXH23" s="2"/>
      <c r="FXI23" s="2"/>
      <c r="FXJ23" s="2"/>
      <c r="FXK23" s="2"/>
      <c r="FXL23" s="2"/>
      <c r="FXM23" s="2"/>
      <c r="FXN23" s="2"/>
      <c r="FXO23" s="2"/>
      <c r="FXP23" s="2"/>
      <c r="FXQ23" s="2"/>
      <c r="FXR23" s="2"/>
      <c r="FXS23" s="2"/>
      <c r="FXT23" s="2"/>
      <c r="FXU23" s="2"/>
      <c r="FXV23" s="2"/>
      <c r="FXW23" s="2"/>
      <c r="FXX23" s="2"/>
      <c r="FXY23" s="2"/>
      <c r="FXZ23" s="2"/>
      <c r="FYA23" s="2"/>
      <c r="FYB23" s="2"/>
      <c r="FYC23" s="2"/>
      <c r="FYD23" s="2"/>
      <c r="FYE23" s="2"/>
      <c r="FYF23" s="2"/>
      <c r="FYG23" s="2"/>
      <c r="FYH23" s="2"/>
      <c r="FYI23" s="2"/>
      <c r="FYJ23" s="2"/>
      <c r="FYK23" s="2"/>
      <c r="FYL23" s="2"/>
      <c r="FYM23" s="2"/>
      <c r="FYN23" s="2"/>
      <c r="FYO23" s="2"/>
      <c r="FYP23" s="2"/>
      <c r="FYQ23" s="2"/>
      <c r="FYR23" s="2"/>
      <c r="FYS23" s="2"/>
      <c r="FYT23" s="2"/>
      <c r="FYU23" s="2"/>
      <c r="FYV23" s="2"/>
      <c r="FYW23" s="2"/>
      <c r="FYX23" s="2"/>
      <c r="FYY23" s="2"/>
      <c r="FYZ23" s="2"/>
      <c r="FZA23" s="2"/>
      <c r="FZB23" s="2"/>
      <c r="FZC23" s="2"/>
      <c r="FZD23" s="2"/>
      <c r="FZE23" s="2"/>
      <c r="FZF23" s="2"/>
      <c r="FZG23" s="2"/>
      <c r="FZH23" s="2"/>
      <c r="FZI23" s="2"/>
      <c r="FZJ23" s="2"/>
      <c r="FZK23" s="2"/>
      <c r="FZL23" s="2"/>
      <c r="FZM23" s="2"/>
      <c r="FZN23" s="2"/>
      <c r="FZO23" s="2"/>
      <c r="FZP23" s="2"/>
      <c r="FZQ23" s="2"/>
      <c r="FZR23" s="2"/>
      <c r="FZS23" s="2"/>
      <c r="FZT23" s="2"/>
      <c r="FZU23" s="2"/>
      <c r="FZV23" s="2"/>
      <c r="FZW23" s="2"/>
      <c r="FZX23" s="2"/>
      <c r="FZY23" s="2"/>
      <c r="FZZ23" s="2"/>
      <c r="GAA23" s="2"/>
      <c r="GAB23" s="2"/>
      <c r="GAC23" s="2"/>
      <c r="GAD23" s="2"/>
      <c r="GAE23" s="2"/>
      <c r="GAF23" s="2"/>
      <c r="GAG23" s="2"/>
      <c r="GAH23" s="2"/>
      <c r="GAI23" s="2"/>
      <c r="GAJ23" s="2"/>
      <c r="GAK23" s="2"/>
      <c r="GAL23" s="2"/>
      <c r="GAM23" s="2"/>
      <c r="GAN23" s="2"/>
      <c r="GAO23" s="2"/>
      <c r="GAP23" s="2"/>
      <c r="GAQ23" s="2"/>
      <c r="GAR23" s="2"/>
      <c r="GAS23" s="2"/>
      <c r="GAT23" s="2"/>
      <c r="GAU23" s="2"/>
      <c r="GAV23" s="2"/>
      <c r="GAW23" s="2"/>
      <c r="GAX23" s="2"/>
      <c r="GAY23" s="2"/>
      <c r="GAZ23" s="2"/>
      <c r="GBA23" s="2"/>
      <c r="GBB23" s="2"/>
      <c r="GBC23" s="2"/>
      <c r="GBD23" s="2"/>
      <c r="GBE23" s="2"/>
      <c r="GBF23" s="2"/>
      <c r="GBG23" s="2"/>
      <c r="GBH23" s="2"/>
      <c r="GBI23" s="2"/>
      <c r="GBJ23" s="2"/>
      <c r="GBK23" s="2"/>
      <c r="GBL23" s="2"/>
      <c r="GBM23" s="2"/>
      <c r="GBN23" s="2"/>
      <c r="GBO23" s="2"/>
      <c r="GBP23" s="2"/>
      <c r="GBQ23" s="2"/>
      <c r="GBR23" s="2"/>
      <c r="GBS23" s="2"/>
      <c r="GBT23" s="2"/>
      <c r="GBU23" s="2"/>
      <c r="GBV23" s="2"/>
      <c r="GBW23" s="2"/>
      <c r="GBX23" s="2"/>
      <c r="GBY23" s="2"/>
      <c r="GBZ23" s="2"/>
      <c r="GCA23" s="2"/>
      <c r="GCB23" s="2"/>
      <c r="GCC23" s="2"/>
      <c r="GCD23" s="2"/>
      <c r="GCE23" s="2"/>
      <c r="GCF23" s="2"/>
      <c r="GCG23" s="2"/>
      <c r="GCH23" s="2"/>
      <c r="GCI23" s="2"/>
      <c r="GCJ23" s="2"/>
      <c r="GCK23" s="2"/>
      <c r="GCL23" s="2"/>
      <c r="GCM23" s="2"/>
      <c r="GCN23" s="2"/>
      <c r="GCO23" s="2"/>
      <c r="GCP23" s="2"/>
      <c r="GCQ23" s="2"/>
      <c r="GCR23" s="2"/>
      <c r="GCS23" s="2"/>
      <c r="GCT23" s="2"/>
      <c r="GCU23" s="2"/>
      <c r="GCV23" s="2"/>
      <c r="GCW23" s="2"/>
      <c r="GCX23" s="2"/>
      <c r="GCY23" s="2"/>
      <c r="GCZ23" s="2"/>
      <c r="GDA23" s="2"/>
      <c r="GDB23" s="2"/>
      <c r="GDC23" s="2"/>
      <c r="GDD23" s="2"/>
      <c r="GDE23" s="2"/>
      <c r="GDF23" s="2"/>
      <c r="GDG23" s="2"/>
      <c r="GDH23" s="2"/>
      <c r="GDI23" s="2"/>
      <c r="GDJ23" s="2"/>
      <c r="GDK23" s="2"/>
      <c r="GDL23" s="2"/>
      <c r="GDM23" s="2"/>
      <c r="GDN23" s="2"/>
      <c r="GDO23" s="2"/>
      <c r="GDP23" s="2"/>
      <c r="GDQ23" s="2"/>
      <c r="GDR23" s="2"/>
      <c r="GDS23" s="2"/>
      <c r="GDT23" s="2"/>
      <c r="GDU23" s="2"/>
      <c r="GDV23" s="2"/>
      <c r="GDW23" s="2"/>
      <c r="GDX23" s="2"/>
      <c r="GDY23" s="2"/>
      <c r="GDZ23" s="2"/>
      <c r="GEA23" s="2"/>
      <c r="GEB23" s="2"/>
      <c r="GEC23" s="2"/>
      <c r="GED23" s="2"/>
      <c r="GEE23" s="2"/>
      <c r="GEF23" s="2"/>
      <c r="GEG23" s="2"/>
      <c r="GEH23" s="2"/>
      <c r="GEI23" s="2"/>
      <c r="GEJ23" s="2"/>
      <c r="GEK23" s="2"/>
      <c r="GEL23" s="2"/>
      <c r="GEM23" s="2"/>
      <c r="GEN23" s="2"/>
      <c r="GEO23" s="2"/>
      <c r="GEP23" s="2"/>
      <c r="GEQ23" s="2"/>
      <c r="GER23" s="2"/>
      <c r="GES23" s="2"/>
      <c r="GET23" s="2"/>
      <c r="GEU23" s="2"/>
      <c r="GEV23" s="2"/>
      <c r="GEW23" s="2"/>
      <c r="GEX23" s="2"/>
      <c r="GEY23" s="2"/>
      <c r="GEZ23" s="2"/>
      <c r="GFA23" s="2"/>
      <c r="GFB23" s="2"/>
      <c r="GFC23" s="2"/>
      <c r="GFD23" s="2"/>
      <c r="GFE23" s="2"/>
      <c r="GFF23" s="2"/>
      <c r="GFG23" s="2"/>
      <c r="GFH23" s="2"/>
      <c r="GFI23" s="2"/>
      <c r="GFJ23" s="2"/>
      <c r="GFK23" s="2"/>
      <c r="GFL23" s="2"/>
      <c r="GFM23" s="2"/>
      <c r="GFN23" s="2"/>
      <c r="GFO23" s="2"/>
      <c r="GFP23" s="2"/>
      <c r="GFQ23" s="2"/>
      <c r="GFR23" s="2"/>
      <c r="GFS23" s="2"/>
      <c r="GFT23" s="2"/>
      <c r="GFU23" s="2"/>
      <c r="GFV23" s="2"/>
      <c r="GFW23" s="2"/>
      <c r="GFX23" s="2"/>
      <c r="GFY23" s="2"/>
      <c r="GFZ23" s="2"/>
      <c r="GGA23" s="2"/>
      <c r="GGB23" s="2"/>
      <c r="GGC23" s="2"/>
      <c r="GGD23" s="2"/>
      <c r="GGE23" s="2"/>
      <c r="GGF23" s="2"/>
      <c r="GGG23" s="2"/>
      <c r="GGH23" s="2"/>
      <c r="GGI23" s="2"/>
      <c r="GGJ23" s="2"/>
      <c r="GGK23" s="2"/>
      <c r="GGL23" s="2"/>
      <c r="GGM23" s="2"/>
      <c r="GGN23" s="2"/>
      <c r="GGO23" s="2"/>
      <c r="GGP23" s="2"/>
      <c r="GGQ23" s="2"/>
      <c r="GGR23" s="2"/>
      <c r="GGS23" s="2"/>
      <c r="GGT23" s="2"/>
      <c r="GGU23" s="2"/>
      <c r="GGV23" s="2"/>
      <c r="GGW23" s="2"/>
      <c r="GGX23" s="2"/>
      <c r="GGY23" s="2"/>
      <c r="GGZ23" s="2"/>
      <c r="GHA23" s="2"/>
      <c r="GHB23" s="2"/>
      <c r="GHC23" s="2"/>
      <c r="GHD23" s="2"/>
      <c r="GHE23" s="2"/>
      <c r="GHF23" s="2"/>
      <c r="GHG23" s="2"/>
      <c r="GHH23" s="2"/>
      <c r="GHI23" s="2"/>
      <c r="GHJ23" s="2"/>
      <c r="GHK23" s="2"/>
      <c r="GHL23" s="2"/>
      <c r="GHM23" s="2"/>
      <c r="GHN23" s="2"/>
      <c r="GHO23" s="2"/>
      <c r="GHP23" s="2"/>
      <c r="GHQ23" s="2"/>
      <c r="GHR23" s="2"/>
      <c r="GHS23" s="2"/>
      <c r="GHT23" s="2"/>
      <c r="GHU23" s="2"/>
      <c r="GHV23" s="2"/>
      <c r="GHW23" s="2"/>
      <c r="GHX23" s="2"/>
      <c r="GHY23" s="2"/>
      <c r="GHZ23" s="2"/>
      <c r="GIA23" s="2"/>
      <c r="GIB23" s="2"/>
      <c r="GIC23" s="2"/>
      <c r="GID23" s="2"/>
      <c r="GIE23" s="2"/>
      <c r="GIF23" s="2"/>
      <c r="GIG23" s="2"/>
      <c r="GIH23" s="2"/>
      <c r="GII23" s="2"/>
      <c r="GIJ23" s="2"/>
      <c r="GIK23" s="2"/>
      <c r="GIL23" s="2"/>
      <c r="GIM23" s="2"/>
      <c r="GIN23" s="2"/>
      <c r="GIO23" s="2"/>
      <c r="GIP23" s="2"/>
      <c r="GIQ23" s="2"/>
      <c r="GIR23" s="2"/>
      <c r="GIS23" s="2"/>
      <c r="GIT23" s="2"/>
      <c r="GIU23" s="2"/>
      <c r="GIV23" s="2"/>
      <c r="GIW23" s="2"/>
      <c r="GIX23" s="2"/>
      <c r="GIY23" s="2"/>
      <c r="GIZ23" s="2"/>
      <c r="GJA23" s="2"/>
      <c r="GJB23" s="2"/>
      <c r="GJC23" s="2"/>
      <c r="GJD23" s="2"/>
      <c r="GJE23" s="2"/>
      <c r="GJF23" s="2"/>
      <c r="GJG23" s="2"/>
      <c r="GJH23" s="2"/>
      <c r="GJI23" s="2"/>
      <c r="GJJ23" s="2"/>
      <c r="GJK23" s="2"/>
      <c r="GJL23" s="2"/>
      <c r="GJM23" s="2"/>
      <c r="GJN23" s="2"/>
      <c r="GJO23" s="2"/>
      <c r="GJP23" s="2"/>
      <c r="GJQ23" s="2"/>
      <c r="GJR23" s="2"/>
      <c r="GJS23" s="2"/>
      <c r="GJT23" s="2"/>
      <c r="GJU23" s="2"/>
      <c r="GJV23" s="2"/>
      <c r="GJW23" s="2"/>
      <c r="GJX23" s="2"/>
      <c r="GJY23" s="2"/>
      <c r="GJZ23" s="2"/>
      <c r="GKA23" s="2"/>
      <c r="GKB23" s="2"/>
      <c r="GKC23" s="2"/>
      <c r="GKD23" s="2"/>
      <c r="GKE23" s="2"/>
      <c r="GKF23" s="2"/>
      <c r="GKG23" s="2"/>
      <c r="GKH23" s="2"/>
      <c r="GKI23" s="2"/>
      <c r="GKJ23" s="2"/>
      <c r="GKK23" s="2"/>
      <c r="GKL23" s="2"/>
      <c r="GKM23" s="2"/>
      <c r="GKN23" s="2"/>
      <c r="GKO23" s="2"/>
      <c r="GKP23" s="2"/>
      <c r="GKQ23" s="2"/>
      <c r="GKR23" s="2"/>
      <c r="GKS23" s="2"/>
      <c r="GKT23" s="2"/>
      <c r="GKU23" s="2"/>
      <c r="GKV23" s="2"/>
      <c r="GKW23" s="2"/>
      <c r="GKX23" s="2"/>
      <c r="GKY23" s="2"/>
      <c r="GKZ23" s="2"/>
      <c r="GLA23" s="2"/>
      <c r="GLB23" s="2"/>
      <c r="GLC23" s="2"/>
      <c r="GLD23" s="2"/>
      <c r="GLE23" s="2"/>
      <c r="GLF23" s="2"/>
      <c r="GLG23" s="2"/>
      <c r="GLH23" s="2"/>
      <c r="GLI23" s="2"/>
      <c r="GLJ23" s="2"/>
      <c r="GLK23" s="2"/>
      <c r="GLL23" s="2"/>
      <c r="GLM23" s="2"/>
      <c r="GLN23" s="2"/>
      <c r="GLO23" s="2"/>
      <c r="GLP23" s="2"/>
      <c r="GLQ23" s="2"/>
      <c r="GLR23" s="2"/>
      <c r="GLS23" s="2"/>
      <c r="GLT23" s="2"/>
      <c r="GLU23" s="2"/>
      <c r="GLV23" s="2"/>
      <c r="GLW23" s="2"/>
      <c r="GLX23" s="2"/>
      <c r="GLY23" s="2"/>
      <c r="GLZ23" s="2"/>
      <c r="GMA23" s="2"/>
      <c r="GMB23" s="2"/>
      <c r="GMC23" s="2"/>
      <c r="GMD23" s="2"/>
      <c r="GME23" s="2"/>
      <c r="GMF23" s="2"/>
      <c r="GMG23" s="2"/>
      <c r="GMH23" s="2"/>
      <c r="GMI23" s="2"/>
      <c r="GMJ23" s="2"/>
      <c r="GMK23" s="2"/>
      <c r="GML23" s="2"/>
      <c r="GMM23" s="2"/>
      <c r="GMN23" s="2"/>
      <c r="GMO23" s="2"/>
      <c r="GMP23" s="2"/>
      <c r="GMQ23" s="2"/>
      <c r="GMR23" s="2"/>
      <c r="GMS23" s="2"/>
      <c r="GMT23" s="2"/>
      <c r="GMU23" s="2"/>
      <c r="GMV23" s="2"/>
      <c r="GMW23" s="2"/>
      <c r="GMX23" s="2"/>
      <c r="GMY23" s="2"/>
      <c r="GMZ23" s="2"/>
      <c r="GNA23" s="2"/>
      <c r="GNB23" s="2"/>
      <c r="GNC23" s="2"/>
      <c r="GND23" s="2"/>
      <c r="GNE23" s="2"/>
      <c r="GNF23" s="2"/>
      <c r="GNG23" s="2"/>
      <c r="GNH23" s="2"/>
      <c r="GNI23" s="2"/>
      <c r="GNJ23" s="2"/>
      <c r="GNK23" s="2"/>
      <c r="GNL23" s="2"/>
      <c r="GNM23" s="2"/>
      <c r="GNN23" s="2"/>
      <c r="GNO23" s="2"/>
      <c r="GNP23" s="2"/>
      <c r="GNQ23" s="2"/>
      <c r="GNR23" s="2"/>
      <c r="GNS23" s="2"/>
      <c r="GNT23" s="2"/>
      <c r="GNU23" s="2"/>
      <c r="GNV23" s="2"/>
      <c r="GNW23" s="2"/>
      <c r="GNX23" s="2"/>
      <c r="GNY23" s="2"/>
      <c r="GNZ23" s="2"/>
      <c r="GOA23" s="2"/>
      <c r="GOB23" s="2"/>
      <c r="GOC23" s="2"/>
      <c r="GOD23" s="2"/>
      <c r="GOE23" s="2"/>
      <c r="GOF23" s="2"/>
      <c r="GOG23" s="2"/>
      <c r="GOH23" s="2"/>
      <c r="GOI23" s="2"/>
      <c r="GOJ23" s="2"/>
      <c r="GOK23" s="2"/>
      <c r="GOL23" s="2"/>
      <c r="GOM23" s="2"/>
      <c r="GON23" s="2"/>
      <c r="GOO23" s="2"/>
      <c r="GOP23" s="2"/>
      <c r="GOQ23" s="2"/>
      <c r="GOR23" s="2"/>
      <c r="GOS23" s="2"/>
      <c r="GOT23" s="2"/>
      <c r="GOU23" s="2"/>
      <c r="GOV23" s="2"/>
      <c r="GOW23" s="2"/>
      <c r="GOX23" s="2"/>
      <c r="GOY23" s="2"/>
      <c r="GOZ23" s="2"/>
      <c r="GPA23" s="2"/>
      <c r="GPB23" s="2"/>
      <c r="GPC23" s="2"/>
      <c r="GPD23" s="2"/>
      <c r="GPE23" s="2"/>
      <c r="GPF23" s="2"/>
      <c r="GPG23" s="2"/>
      <c r="GPH23" s="2"/>
      <c r="GPI23" s="2"/>
      <c r="GPJ23" s="2"/>
      <c r="GPK23" s="2"/>
      <c r="GPL23" s="2"/>
      <c r="GPM23" s="2"/>
      <c r="GPN23" s="2"/>
      <c r="GPO23" s="2"/>
      <c r="GPP23" s="2"/>
      <c r="GPQ23" s="2"/>
      <c r="GPR23" s="2"/>
      <c r="GPS23" s="2"/>
      <c r="GPT23" s="2"/>
      <c r="GPU23" s="2"/>
      <c r="GPV23" s="2"/>
      <c r="GPW23" s="2"/>
      <c r="GPX23" s="2"/>
      <c r="GPY23" s="2"/>
      <c r="GPZ23" s="2"/>
      <c r="GQA23" s="2"/>
      <c r="GQB23" s="2"/>
      <c r="GQC23" s="2"/>
      <c r="GQD23" s="2"/>
      <c r="GQE23" s="2"/>
      <c r="GQF23" s="2"/>
      <c r="GQG23" s="2"/>
      <c r="GQH23" s="2"/>
      <c r="GQI23" s="2"/>
      <c r="GQJ23" s="2"/>
      <c r="GQK23" s="2"/>
      <c r="GQL23" s="2"/>
      <c r="GQM23" s="2"/>
      <c r="GQN23" s="2"/>
      <c r="GQO23" s="2"/>
      <c r="GQP23" s="2"/>
      <c r="GQQ23" s="2"/>
      <c r="GQR23" s="2"/>
      <c r="GQS23" s="2"/>
      <c r="GQT23" s="2"/>
      <c r="GQU23" s="2"/>
      <c r="GQV23" s="2"/>
      <c r="GQW23" s="2"/>
      <c r="GQX23" s="2"/>
      <c r="GQY23" s="2"/>
      <c r="GQZ23" s="2"/>
      <c r="GRA23" s="2"/>
      <c r="GRB23" s="2"/>
      <c r="GRC23" s="2"/>
      <c r="GRD23" s="2"/>
      <c r="GRE23" s="2"/>
      <c r="GRF23" s="2"/>
      <c r="GRG23" s="2"/>
      <c r="GRH23" s="2"/>
      <c r="GRI23" s="2"/>
      <c r="GRJ23" s="2"/>
      <c r="GRK23" s="2"/>
      <c r="GRL23" s="2"/>
      <c r="GRM23" s="2"/>
      <c r="GRN23" s="2"/>
      <c r="GRO23" s="2"/>
      <c r="GRP23" s="2"/>
      <c r="GRQ23" s="2"/>
      <c r="GRR23" s="2"/>
      <c r="GRS23" s="2"/>
      <c r="GRT23" s="2"/>
      <c r="GRU23" s="2"/>
      <c r="GRV23" s="2"/>
      <c r="GRW23" s="2"/>
      <c r="GRX23" s="2"/>
      <c r="GRY23" s="2"/>
      <c r="GRZ23" s="2"/>
      <c r="GSA23" s="2"/>
      <c r="GSB23" s="2"/>
      <c r="GSC23" s="2"/>
      <c r="GSD23" s="2"/>
      <c r="GSE23" s="2"/>
      <c r="GSF23" s="2"/>
      <c r="GSG23" s="2"/>
      <c r="GSH23" s="2"/>
      <c r="GSI23" s="2"/>
      <c r="GSJ23" s="2"/>
      <c r="GSK23" s="2"/>
      <c r="GSL23" s="2"/>
      <c r="GSM23" s="2"/>
      <c r="GSN23" s="2"/>
      <c r="GSO23" s="2"/>
      <c r="GSP23" s="2"/>
      <c r="GSQ23" s="2"/>
      <c r="GSR23" s="2"/>
      <c r="GSS23" s="2"/>
      <c r="GST23" s="2"/>
      <c r="GSU23" s="2"/>
      <c r="GSV23" s="2"/>
      <c r="GSW23" s="2"/>
      <c r="GSX23" s="2"/>
      <c r="GSY23" s="2"/>
      <c r="GSZ23" s="2"/>
      <c r="GTA23" s="2"/>
      <c r="GTB23" s="2"/>
      <c r="GTC23" s="2"/>
      <c r="GTD23" s="2"/>
      <c r="GTE23" s="2"/>
      <c r="GTF23" s="2"/>
      <c r="GTG23" s="2"/>
      <c r="GTH23" s="2"/>
      <c r="GTI23" s="2"/>
      <c r="GTJ23" s="2"/>
      <c r="GTK23" s="2"/>
      <c r="GTL23" s="2"/>
      <c r="GTM23" s="2"/>
      <c r="GTN23" s="2"/>
      <c r="GTO23" s="2"/>
      <c r="GTP23" s="2"/>
      <c r="GTQ23" s="2"/>
      <c r="GTR23" s="2"/>
      <c r="GTS23" s="2"/>
      <c r="GTT23" s="2"/>
      <c r="GTU23" s="2"/>
      <c r="GTV23" s="2"/>
      <c r="GTW23" s="2"/>
      <c r="GTX23" s="2"/>
      <c r="GTY23" s="2"/>
      <c r="GTZ23" s="2"/>
      <c r="GUA23" s="2"/>
      <c r="GUB23" s="2"/>
      <c r="GUC23" s="2"/>
      <c r="GUD23" s="2"/>
      <c r="GUE23" s="2"/>
      <c r="GUF23" s="2"/>
      <c r="GUG23" s="2"/>
      <c r="GUH23" s="2"/>
      <c r="GUI23" s="2"/>
      <c r="GUJ23" s="2"/>
      <c r="GUK23" s="2"/>
      <c r="GUL23" s="2"/>
      <c r="GUM23" s="2"/>
      <c r="GUN23" s="2"/>
      <c r="GUO23" s="2"/>
      <c r="GUP23" s="2"/>
      <c r="GUQ23" s="2"/>
      <c r="GUR23" s="2"/>
      <c r="GUS23" s="2"/>
      <c r="GUT23" s="2"/>
      <c r="GUU23" s="2"/>
      <c r="GUV23" s="2"/>
      <c r="GUW23" s="2"/>
      <c r="GUX23" s="2"/>
      <c r="GUY23" s="2"/>
      <c r="GUZ23" s="2"/>
      <c r="GVA23" s="2"/>
      <c r="GVB23" s="2"/>
      <c r="GVC23" s="2"/>
      <c r="GVD23" s="2"/>
      <c r="GVE23" s="2"/>
      <c r="GVF23" s="2"/>
      <c r="GVG23" s="2"/>
      <c r="GVH23" s="2"/>
      <c r="GVI23" s="2"/>
      <c r="GVJ23" s="2"/>
      <c r="GVK23" s="2"/>
      <c r="GVL23" s="2"/>
      <c r="GVM23" s="2"/>
      <c r="GVN23" s="2"/>
      <c r="GVO23" s="2"/>
      <c r="GVP23" s="2"/>
      <c r="GVQ23" s="2"/>
      <c r="GVR23" s="2"/>
      <c r="GVS23" s="2"/>
      <c r="GVT23" s="2"/>
      <c r="GVU23" s="2"/>
      <c r="GVV23" s="2"/>
      <c r="GVW23" s="2"/>
      <c r="GVX23" s="2"/>
      <c r="GVY23" s="2"/>
      <c r="GVZ23" s="2"/>
      <c r="GWA23" s="2"/>
      <c r="GWB23" s="2"/>
      <c r="GWC23" s="2"/>
      <c r="GWD23" s="2"/>
      <c r="GWE23" s="2"/>
      <c r="GWF23" s="2"/>
      <c r="GWG23" s="2"/>
      <c r="GWH23" s="2"/>
      <c r="GWI23" s="2"/>
      <c r="GWJ23" s="2"/>
      <c r="GWK23" s="2"/>
      <c r="GWL23" s="2"/>
      <c r="GWM23" s="2"/>
      <c r="GWN23" s="2"/>
      <c r="GWO23" s="2"/>
      <c r="GWP23" s="2"/>
      <c r="GWQ23" s="2"/>
      <c r="GWR23" s="2"/>
      <c r="GWS23" s="2"/>
      <c r="GWT23" s="2"/>
      <c r="GWU23" s="2"/>
      <c r="GWV23" s="2"/>
      <c r="GWW23" s="2"/>
      <c r="GWX23" s="2"/>
      <c r="GWY23" s="2"/>
      <c r="GWZ23" s="2"/>
      <c r="GXA23" s="2"/>
      <c r="GXB23" s="2"/>
      <c r="GXC23" s="2"/>
      <c r="GXD23" s="2"/>
      <c r="GXE23" s="2"/>
      <c r="GXF23" s="2"/>
      <c r="GXG23" s="2"/>
      <c r="GXH23" s="2"/>
      <c r="GXI23" s="2"/>
      <c r="GXJ23" s="2"/>
      <c r="GXK23" s="2"/>
      <c r="GXL23" s="2"/>
      <c r="GXM23" s="2"/>
      <c r="GXN23" s="2"/>
      <c r="GXO23" s="2"/>
      <c r="GXP23" s="2"/>
      <c r="GXQ23" s="2"/>
      <c r="GXR23" s="2"/>
      <c r="GXS23" s="2"/>
      <c r="GXT23" s="2"/>
      <c r="GXU23" s="2"/>
      <c r="GXV23" s="2"/>
      <c r="GXW23" s="2"/>
      <c r="GXX23" s="2"/>
      <c r="GXY23" s="2"/>
      <c r="GXZ23" s="2"/>
      <c r="GYA23" s="2"/>
      <c r="GYB23" s="2"/>
      <c r="GYC23" s="2"/>
      <c r="GYD23" s="2"/>
      <c r="GYE23" s="2"/>
      <c r="GYF23" s="2"/>
      <c r="GYG23" s="2"/>
      <c r="GYH23" s="2"/>
      <c r="GYI23" s="2"/>
      <c r="GYJ23" s="2"/>
      <c r="GYK23" s="2"/>
      <c r="GYL23" s="2"/>
      <c r="GYM23" s="2"/>
      <c r="GYN23" s="2"/>
      <c r="GYO23" s="2"/>
      <c r="GYP23" s="2"/>
      <c r="GYQ23" s="2"/>
      <c r="GYR23" s="2"/>
      <c r="GYS23" s="2"/>
      <c r="GYT23" s="2"/>
      <c r="GYU23" s="2"/>
      <c r="GYV23" s="2"/>
      <c r="GYW23" s="2"/>
      <c r="GYX23" s="2"/>
      <c r="GYY23" s="2"/>
      <c r="GYZ23" s="2"/>
      <c r="GZA23" s="2"/>
      <c r="GZB23" s="2"/>
      <c r="GZC23" s="2"/>
      <c r="GZD23" s="2"/>
      <c r="GZE23" s="2"/>
      <c r="GZF23" s="2"/>
      <c r="GZG23" s="2"/>
      <c r="GZH23" s="2"/>
      <c r="GZI23" s="2"/>
      <c r="GZJ23" s="2"/>
      <c r="GZK23" s="2"/>
      <c r="GZL23" s="2"/>
      <c r="GZM23" s="2"/>
      <c r="GZN23" s="2"/>
      <c r="GZO23" s="2"/>
      <c r="GZP23" s="2"/>
      <c r="GZQ23" s="2"/>
      <c r="GZR23" s="2"/>
      <c r="GZS23" s="2"/>
      <c r="GZT23" s="2"/>
      <c r="GZU23" s="2"/>
      <c r="GZV23" s="2"/>
      <c r="GZW23" s="2"/>
      <c r="GZX23" s="2"/>
      <c r="GZY23" s="2"/>
      <c r="GZZ23" s="2"/>
      <c r="HAA23" s="2"/>
      <c r="HAB23" s="2"/>
      <c r="HAC23" s="2"/>
      <c r="HAD23" s="2"/>
      <c r="HAE23" s="2"/>
      <c r="HAF23" s="2"/>
      <c r="HAG23" s="2"/>
      <c r="HAH23" s="2"/>
      <c r="HAI23" s="2"/>
      <c r="HAJ23" s="2"/>
      <c r="HAK23" s="2"/>
      <c r="HAL23" s="2"/>
      <c r="HAM23" s="2"/>
      <c r="HAN23" s="2"/>
      <c r="HAO23" s="2"/>
      <c r="HAP23" s="2"/>
      <c r="HAQ23" s="2"/>
      <c r="HAR23" s="2"/>
      <c r="HAS23" s="2"/>
      <c r="HAT23" s="2"/>
      <c r="HAU23" s="2"/>
      <c r="HAV23" s="2"/>
      <c r="HAW23" s="2"/>
      <c r="HAX23" s="2"/>
      <c r="HAY23" s="2"/>
      <c r="HAZ23" s="2"/>
      <c r="HBA23" s="2"/>
      <c r="HBB23" s="2"/>
      <c r="HBC23" s="2"/>
      <c r="HBD23" s="2"/>
      <c r="HBE23" s="2"/>
      <c r="HBF23" s="2"/>
      <c r="HBG23" s="2"/>
      <c r="HBH23" s="2"/>
      <c r="HBI23" s="2"/>
      <c r="HBJ23" s="2"/>
      <c r="HBK23" s="2"/>
      <c r="HBL23" s="2"/>
      <c r="HBM23" s="2"/>
      <c r="HBN23" s="2"/>
      <c r="HBO23" s="2"/>
      <c r="HBP23" s="2"/>
      <c r="HBQ23" s="2"/>
      <c r="HBR23" s="2"/>
      <c r="HBS23" s="2"/>
      <c r="HBT23" s="2"/>
      <c r="HBU23" s="2"/>
      <c r="HBV23" s="2"/>
      <c r="HBW23" s="2"/>
      <c r="HBX23" s="2"/>
      <c r="HBY23" s="2"/>
      <c r="HBZ23" s="2"/>
      <c r="HCA23" s="2"/>
      <c r="HCB23" s="2"/>
      <c r="HCC23" s="2"/>
      <c r="HCD23" s="2"/>
      <c r="HCE23" s="2"/>
      <c r="HCF23" s="2"/>
      <c r="HCG23" s="2"/>
      <c r="HCH23" s="2"/>
      <c r="HCI23" s="2"/>
      <c r="HCJ23" s="2"/>
      <c r="HCK23" s="2"/>
      <c r="HCL23" s="2"/>
      <c r="HCM23" s="2"/>
      <c r="HCN23" s="2"/>
      <c r="HCO23" s="2"/>
      <c r="HCP23" s="2"/>
      <c r="HCQ23" s="2"/>
      <c r="HCR23" s="2"/>
      <c r="HCS23" s="2"/>
      <c r="HCT23" s="2"/>
      <c r="HCU23" s="2"/>
      <c r="HCV23" s="2"/>
      <c r="HCW23" s="2"/>
      <c r="HCX23" s="2"/>
      <c r="HCY23" s="2"/>
      <c r="HCZ23" s="2"/>
      <c r="HDA23" s="2"/>
      <c r="HDB23" s="2"/>
      <c r="HDC23" s="2"/>
      <c r="HDD23" s="2"/>
      <c r="HDE23" s="2"/>
      <c r="HDF23" s="2"/>
      <c r="HDG23" s="2"/>
      <c r="HDH23" s="2"/>
      <c r="HDI23" s="2"/>
      <c r="HDJ23" s="2"/>
      <c r="HDK23" s="2"/>
      <c r="HDL23" s="2"/>
      <c r="HDM23" s="2"/>
      <c r="HDN23" s="2"/>
      <c r="HDO23" s="2"/>
      <c r="HDP23" s="2"/>
      <c r="HDQ23" s="2"/>
      <c r="HDR23" s="2"/>
      <c r="HDS23" s="2"/>
      <c r="HDT23" s="2"/>
      <c r="HDU23" s="2"/>
      <c r="HDV23" s="2"/>
      <c r="HDW23" s="2"/>
      <c r="HDX23" s="2"/>
      <c r="HDY23" s="2"/>
      <c r="HDZ23" s="2"/>
      <c r="HEA23" s="2"/>
      <c r="HEB23" s="2"/>
      <c r="HEC23" s="2"/>
      <c r="HED23" s="2"/>
      <c r="HEE23" s="2"/>
      <c r="HEF23" s="2"/>
      <c r="HEG23" s="2"/>
      <c r="HEH23" s="2"/>
      <c r="HEI23" s="2"/>
      <c r="HEJ23" s="2"/>
      <c r="HEK23" s="2"/>
      <c r="HEL23" s="2"/>
      <c r="HEM23" s="2"/>
      <c r="HEN23" s="2"/>
      <c r="HEO23" s="2"/>
      <c r="HEP23" s="2"/>
      <c r="HEQ23" s="2"/>
      <c r="HER23" s="2"/>
      <c r="HES23" s="2"/>
      <c r="HET23" s="2"/>
      <c r="HEU23" s="2"/>
      <c r="HEV23" s="2"/>
      <c r="HEW23" s="2"/>
      <c r="HEX23" s="2"/>
      <c r="HEY23" s="2"/>
      <c r="HEZ23" s="2"/>
      <c r="HFA23" s="2"/>
      <c r="HFB23" s="2"/>
      <c r="HFC23" s="2"/>
      <c r="HFD23" s="2"/>
      <c r="HFE23" s="2"/>
      <c r="HFF23" s="2"/>
      <c r="HFG23" s="2"/>
      <c r="HFH23" s="2"/>
      <c r="HFI23" s="2"/>
      <c r="HFJ23" s="2"/>
      <c r="HFK23" s="2"/>
      <c r="HFL23" s="2"/>
      <c r="HFM23" s="2"/>
      <c r="HFN23" s="2"/>
      <c r="HFO23" s="2"/>
      <c r="HFP23" s="2"/>
      <c r="HFQ23" s="2"/>
      <c r="HFR23" s="2"/>
      <c r="HFS23" s="2"/>
      <c r="HFT23" s="2"/>
      <c r="HFU23" s="2"/>
      <c r="HFV23" s="2"/>
      <c r="HFW23" s="2"/>
      <c r="HFX23" s="2"/>
      <c r="HFY23" s="2"/>
      <c r="HFZ23" s="2"/>
      <c r="HGA23" s="2"/>
      <c r="HGB23" s="2"/>
      <c r="HGC23" s="2"/>
      <c r="HGD23" s="2"/>
      <c r="HGE23" s="2"/>
      <c r="HGF23" s="2"/>
      <c r="HGG23" s="2"/>
      <c r="HGH23" s="2"/>
      <c r="HGI23" s="2"/>
      <c r="HGJ23" s="2"/>
      <c r="HGK23" s="2"/>
      <c r="HGL23" s="2"/>
      <c r="HGM23" s="2"/>
      <c r="HGN23" s="2"/>
      <c r="HGO23" s="2"/>
      <c r="HGP23" s="2"/>
      <c r="HGQ23" s="2"/>
      <c r="HGR23" s="2"/>
      <c r="HGS23" s="2"/>
      <c r="HGT23" s="2"/>
      <c r="HGU23" s="2"/>
      <c r="HGV23" s="2"/>
      <c r="HGW23" s="2"/>
      <c r="HGX23" s="2"/>
      <c r="HGY23" s="2"/>
      <c r="HGZ23" s="2"/>
      <c r="HHA23" s="2"/>
      <c r="HHB23" s="2"/>
      <c r="HHC23" s="2"/>
      <c r="HHD23" s="2"/>
      <c r="HHE23" s="2"/>
      <c r="HHF23" s="2"/>
      <c r="HHG23" s="2"/>
      <c r="HHH23" s="2"/>
      <c r="HHI23" s="2"/>
      <c r="HHJ23" s="2"/>
      <c r="HHK23" s="2"/>
      <c r="HHL23" s="2"/>
      <c r="HHM23" s="2"/>
      <c r="HHN23" s="2"/>
      <c r="HHO23" s="2"/>
      <c r="HHP23" s="2"/>
      <c r="HHQ23" s="2"/>
      <c r="HHR23" s="2"/>
      <c r="HHS23" s="2"/>
      <c r="HHT23" s="2"/>
      <c r="HHU23" s="2"/>
      <c r="HHV23" s="2"/>
      <c r="HHW23" s="2"/>
      <c r="HHX23" s="2"/>
      <c r="HHY23" s="2"/>
      <c r="HHZ23" s="2"/>
      <c r="HIA23" s="2"/>
      <c r="HIB23" s="2"/>
      <c r="HIC23" s="2"/>
      <c r="HID23" s="2"/>
      <c r="HIE23" s="2"/>
      <c r="HIF23" s="2"/>
      <c r="HIG23" s="2"/>
      <c r="HIH23" s="2"/>
      <c r="HII23" s="2"/>
      <c r="HIJ23" s="2"/>
      <c r="HIK23" s="2"/>
      <c r="HIL23" s="2"/>
      <c r="HIM23" s="2"/>
      <c r="HIN23" s="2"/>
      <c r="HIO23" s="2"/>
      <c r="HIP23" s="2"/>
      <c r="HIQ23" s="2"/>
      <c r="HIR23" s="2"/>
      <c r="HIS23" s="2"/>
      <c r="HIT23" s="2"/>
      <c r="HIU23" s="2"/>
      <c r="HIV23" s="2"/>
      <c r="HIW23" s="2"/>
      <c r="HIX23" s="2"/>
      <c r="HIY23" s="2"/>
      <c r="HIZ23" s="2"/>
      <c r="HJA23" s="2"/>
      <c r="HJB23" s="2"/>
      <c r="HJC23" s="2"/>
      <c r="HJD23" s="2"/>
      <c r="HJE23" s="2"/>
      <c r="HJF23" s="2"/>
      <c r="HJG23" s="2"/>
      <c r="HJH23" s="2"/>
      <c r="HJI23" s="2"/>
      <c r="HJJ23" s="2"/>
      <c r="HJK23" s="2"/>
      <c r="HJL23" s="2"/>
      <c r="HJM23" s="2"/>
      <c r="HJN23" s="2"/>
      <c r="HJO23" s="2"/>
      <c r="HJP23" s="2"/>
      <c r="HJQ23" s="2"/>
      <c r="HJR23" s="2"/>
      <c r="HJS23" s="2"/>
      <c r="HJT23" s="2"/>
      <c r="HJU23" s="2"/>
      <c r="HJV23" s="2"/>
      <c r="HJW23" s="2"/>
      <c r="HJX23" s="2"/>
      <c r="HJY23" s="2"/>
      <c r="HJZ23" s="2"/>
      <c r="HKA23" s="2"/>
      <c r="HKB23" s="2"/>
      <c r="HKC23" s="2"/>
      <c r="HKD23" s="2"/>
      <c r="HKE23" s="2"/>
      <c r="HKF23" s="2"/>
      <c r="HKG23" s="2"/>
      <c r="HKH23" s="2"/>
      <c r="HKI23" s="2"/>
      <c r="HKJ23" s="2"/>
      <c r="HKK23" s="2"/>
      <c r="HKL23" s="2"/>
      <c r="HKM23" s="2"/>
      <c r="HKN23" s="2"/>
      <c r="HKO23" s="2"/>
      <c r="HKP23" s="2"/>
      <c r="HKQ23" s="2"/>
      <c r="HKR23" s="2"/>
      <c r="HKS23" s="2"/>
      <c r="HKT23" s="2"/>
      <c r="HKU23" s="2"/>
      <c r="HKV23" s="2"/>
      <c r="HKW23" s="2"/>
      <c r="HKX23" s="2"/>
      <c r="HKY23" s="2"/>
      <c r="HKZ23" s="2"/>
      <c r="HLA23" s="2"/>
      <c r="HLB23" s="2"/>
      <c r="HLC23" s="2"/>
      <c r="HLD23" s="2"/>
      <c r="HLE23" s="2"/>
      <c r="HLF23" s="2"/>
      <c r="HLG23" s="2"/>
      <c r="HLH23" s="2"/>
      <c r="HLI23" s="2"/>
      <c r="HLJ23" s="2"/>
      <c r="HLK23" s="2"/>
      <c r="HLL23" s="2"/>
      <c r="HLM23" s="2"/>
      <c r="HLN23" s="2"/>
      <c r="HLO23" s="2"/>
      <c r="HLP23" s="2"/>
      <c r="HLQ23" s="2"/>
      <c r="HLR23" s="2"/>
      <c r="HLS23" s="2"/>
      <c r="HLT23" s="2"/>
      <c r="HLU23" s="2"/>
      <c r="HLV23" s="2"/>
      <c r="HLW23" s="2"/>
      <c r="HLX23" s="2"/>
      <c r="HLY23" s="2"/>
      <c r="HLZ23" s="2"/>
      <c r="HMA23" s="2"/>
      <c r="HMB23" s="2"/>
      <c r="HMC23" s="2"/>
      <c r="HMD23" s="2"/>
      <c r="HME23" s="2"/>
      <c r="HMF23" s="2"/>
      <c r="HMG23" s="2"/>
      <c r="HMH23" s="2"/>
      <c r="HMI23" s="2"/>
      <c r="HMJ23" s="2"/>
      <c r="HMK23" s="2"/>
      <c r="HML23" s="2"/>
      <c r="HMM23" s="2"/>
      <c r="HMN23" s="2"/>
      <c r="HMO23" s="2"/>
      <c r="HMP23" s="2"/>
      <c r="HMQ23" s="2"/>
      <c r="HMR23" s="2"/>
      <c r="HMS23" s="2"/>
      <c r="HMT23" s="2"/>
      <c r="HMU23" s="2"/>
      <c r="HMV23" s="2"/>
      <c r="HMW23" s="2"/>
      <c r="HMX23" s="2"/>
      <c r="HMY23" s="2"/>
      <c r="HMZ23" s="2"/>
      <c r="HNA23" s="2"/>
      <c r="HNB23" s="2"/>
      <c r="HNC23" s="2"/>
      <c r="HND23" s="2"/>
      <c r="HNE23" s="2"/>
      <c r="HNF23" s="2"/>
      <c r="HNG23" s="2"/>
      <c r="HNH23" s="2"/>
      <c r="HNI23" s="2"/>
      <c r="HNJ23" s="2"/>
      <c r="HNK23" s="2"/>
      <c r="HNL23" s="2"/>
      <c r="HNM23" s="2"/>
      <c r="HNN23" s="2"/>
      <c r="HNO23" s="2"/>
      <c r="HNP23" s="2"/>
      <c r="HNQ23" s="2"/>
      <c r="HNR23" s="2"/>
      <c r="HNS23" s="2"/>
      <c r="HNT23" s="2"/>
      <c r="HNU23" s="2"/>
      <c r="HNV23" s="2"/>
      <c r="HNW23" s="2"/>
      <c r="HNX23" s="2"/>
      <c r="HNY23" s="2"/>
      <c r="HNZ23" s="2"/>
      <c r="HOA23" s="2"/>
      <c r="HOB23" s="2"/>
      <c r="HOC23" s="2"/>
      <c r="HOD23" s="2"/>
      <c r="HOE23" s="2"/>
      <c r="HOF23" s="2"/>
      <c r="HOG23" s="2"/>
      <c r="HOH23" s="2"/>
      <c r="HOI23" s="2"/>
      <c r="HOJ23" s="2"/>
      <c r="HOK23" s="2"/>
      <c r="HOL23" s="2"/>
      <c r="HOM23" s="2"/>
      <c r="HON23" s="2"/>
      <c r="HOO23" s="2"/>
      <c r="HOP23" s="2"/>
      <c r="HOQ23" s="2"/>
      <c r="HOR23" s="2"/>
      <c r="HOS23" s="2"/>
      <c r="HOT23" s="2"/>
      <c r="HOU23" s="2"/>
      <c r="HOV23" s="2"/>
      <c r="HOW23" s="2"/>
      <c r="HOX23" s="2"/>
      <c r="HOY23" s="2"/>
      <c r="HOZ23" s="2"/>
      <c r="HPA23" s="2"/>
      <c r="HPB23" s="2"/>
      <c r="HPC23" s="2"/>
      <c r="HPD23" s="2"/>
      <c r="HPE23" s="2"/>
      <c r="HPF23" s="2"/>
      <c r="HPG23" s="2"/>
      <c r="HPH23" s="2"/>
      <c r="HPI23" s="2"/>
      <c r="HPJ23" s="2"/>
      <c r="HPK23" s="2"/>
      <c r="HPL23" s="2"/>
      <c r="HPM23" s="2"/>
      <c r="HPN23" s="2"/>
      <c r="HPO23" s="2"/>
      <c r="HPP23" s="2"/>
      <c r="HPQ23" s="2"/>
      <c r="HPR23" s="2"/>
      <c r="HPS23" s="2"/>
      <c r="HPT23" s="2"/>
      <c r="HPU23" s="2"/>
      <c r="HPV23" s="2"/>
      <c r="HPW23" s="2"/>
      <c r="HPX23" s="2"/>
      <c r="HPY23" s="2"/>
      <c r="HPZ23" s="2"/>
      <c r="HQA23" s="2"/>
      <c r="HQB23" s="2"/>
      <c r="HQC23" s="2"/>
      <c r="HQD23" s="2"/>
      <c r="HQE23" s="2"/>
      <c r="HQF23" s="2"/>
      <c r="HQG23" s="2"/>
      <c r="HQH23" s="2"/>
      <c r="HQI23" s="2"/>
      <c r="HQJ23" s="2"/>
      <c r="HQK23" s="2"/>
      <c r="HQL23" s="2"/>
      <c r="HQM23" s="2"/>
      <c r="HQN23" s="2"/>
      <c r="HQO23" s="2"/>
      <c r="HQP23" s="2"/>
      <c r="HQQ23" s="2"/>
      <c r="HQR23" s="2"/>
      <c r="HQS23" s="2"/>
      <c r="HQT23" s="2"/>
      <c r="HQU23" s="2"/>
      <c r="HQV23" s="2"/>
      <c r="HQW23" s="2"/>
      <c r="HQX23" s="2"/>
      <c r="HQY23" s="2"/>
      <c r="HQZ23" s="2"/>
      <c r="HRA23" s="2"/>
      <c r="HRB23" s="2"/>
      <c r="HRC23" s="2"/>
      <c r="HRD23" s="2"/>
      <c r="HRE23" s="2"/>
      <c r="HRF23" s="2"/>
      <c r="HRG23" s="2"/>
      <c r="HRH23" s="2"/>
      <c r="HRI23" s="2"/>
      <c r="HRJ23" s="2"/>
      <c r="HRK23" s="2"/>
      <c r="HRL23" s="2"/>
      <c r="HRM23" s="2"/>
      <c r="HRN23" s="2"/>
      <c r="HRO23" s="2"/>
      <c r="HRP23" s="2"/>
      <c r="HRQ23" s="2"/>
      <c r="HRR23" s="2"/>
      <c r="HRS23" s="2"/>
      <c r="HRT23" s="2"/>
      <c r="HRU23" s="2"/>
      <c r="HRV23" s="2"/>
      <c r="HRW23" s="2"/>
      <c r="HRX23" s="2"/>
      <c r="HRY23" s="2"/>
      <c r="HRZ23" s="2"/>
      <c r="HSA23" s="2"/>
      <c r="HSB23" s="2"/>
      <c r="HSC23" s="2"/>
      <c r="HSD23" s="2"/>
      <c r="HSE23" s="2"/>
      <c r="HSF23" s="2"/>
      <c r="HSG23" s="2"/>
      <c r="HSH23" s="2"/>
      <c r="HSI23" s="2"/>
      <c r="HSJ23" s="2"/>
      <c r="HSK23" s="2"/>
      <c r="HSL23" s="2"/>
      <c r="HSM23" s="2"/>
      <c r="HSN23" s="2"/>
      <c r="HSO23" s="2"/>
      <c r="HSP23" s="2"/>
      <c r="HSQ23" s="2"/>
      <c r="HSR23" s="2"/>
      <c r="HSS23" s="2"/>
      <c r="HST23" s="2"/>
      <c r="HSU23" s="2"/>
      <c r="HSV23" s="2"/>
      <c r="HSW23" s="2"/>
      <c r="HSX23" s="2"/>
      <c r="HSY23" s="2"/>
      <c r="HSZ23" s="2"/>
      <c r="HTA23" s="2"/>
      <c r="HTB23" s="2"/>
      <c r="HTC23" s="2"/>
      <c r="HTD23" s="2"/>
      <c r="HTE23" s="2"/>
      <c r="HTF23" s="2"/>
      <c r="HTG23" s="2"/>
      <c r="HTH23" s="2"/>
      <c r="HTI23" s="2"/>
      <c r="HTJ23" s="2"/>
      <c r="HTK23" s="2"/>
      <c r="HTL23" s="2"/>
      <c r="HTM23" s="2"/>
      <c r="HTN23" s="2"/>
      <c r="HTO23" s="2"/>
      <c r="HTP23" s="2"/>
      <c r="HTQ23" s="2"/>
      <c r="HTR23" s="2"/>
      <c r="HTS23" s="2"/>
      <c r="HTT23" s="2"/>
      <c r="HTU23" s="2"/>
      <c r="HTV23" s="2"/>
      <c r="HTW23" s="2"/>
      <c r="HTX23" s="2"/>
      <c r="HTY23" s="2"/>
      <c r="HTZ23" s="2"/>
      <c r="HUA23" s="2"/>
      <c r="HUB23" s="2"/>
      <c r="HUC23" s="2"/>
      <c r="HUD23" s="2"/>
      <c r="HUE23" s="2"/>
      <c r="HUF23" s="2"/>
      <c r="HUG23" s="2"/>
      <c r="HUH23" s="2"/>
      <c r="HUI23" s="2"/>
      <c r="HUJ23" s="2"/>
      <c r="HUK23" s="2"/>
      <c r="HUL23" s="2"/>
      <c r="HUM23" s="2"/>
      <c r="HUN23" s="2"/>
      <c r="HUO23" s="2"/>
      <c r="HUP23" s="2"/>
      <c r="HUQ23" s="2"/>
      <c r="HUR23" s="2"/>
      <c r="HUS23" s="2"/>
      <c r="HUT23" s="2"/>
      <c r="HUU23" s="2"/>
      <c r="HUV23" s="2"/>
      <c r="HUW23" s="2"/>
      <c r="HUX23" s="2"/>
      <c r="HUY23" s="2"/>
      <c r="HUZ23" s="2"/>
      <c r="HVA23" s="2"/>
      <c r="HVB23" s="2"/>
      <c r="HVC23" s="2"/>
      <c r="HVD23" s="2"/>
      <c r="HVE23" s="2"/>
      <c r="HVF23" s="2"/>
      <c r="HVG23" s="2"/>
      <c r="HVH23" s="2"/>
      <c r="HVI23" s="2"/>
      <c r="HVJ23" s="2"/>
      <c r="HVK23" s="2"/>
      <c r="HVL23" s="2"/>
      <c r="HVM23" s="2"/>
      <c r="HVN23" s="2"/>
      <c r="HVO23" s="2"/>
      <c r="HVP23" s="2"/>
      <c r="HVQ23" s="2"/>
      <c r="HVR23" s="2"/>
      <c r="HVS23" s="2"/>
      <c r="HVT23" s="2"/>
      <c r="HVU23" s="2"/>
      <c r="HVV23" s="2"/>
      <c r="HVW23" s="2"/>
      <c r="HVX23" s="2"/>
      <c r="HVY23" s="2"/>
      <c r="HVZ23" s="2"/>
      <c r="HWA23" s="2"/>
      <c r="HWB23" s="2"/>
      <c r="HWC23" s="2"/>
      <c r="HWD23" s="2"/>
      <c r="HWE23" s="2"/>
      <c r="HWF23" s="2"/>
      <c r="HWG23" s="2"/>
      <c r="HWH23" s="2"/>
      <c r="HWI23" s="2"/>
      <c r="HWJ23" s="2"/>
      <c r="HWK23" s="2"/>
      <c r="HWL23" s="2"/>
      <c r="HWM23" s="2"/>
      <c r="HWN23" s="2"/>
      <c r="HWO23" s="2"/>
      <c r="HWP23" s="2"/>
      <c r="HWQ23" s="2"/>
      <c r="HWR23" s="2"/>
      <c r="HWS23" s="2"/>
      <c r="HWT23" s="2"/>
      <c r="HWU23" s="2"/>
      <c r="HWV23" s="2"/>
      <c r="HWW23" s="2"/>
      <c r="HWX23" s="2"/>
      <c r="HWY23" s="2"/>
      <c r="HWZ23" s="2"/>
      <c r="HXA23" s="2"/>
      <c r="HXB23" s="2"/>
      <c r="HXC23" s="2"/>
      <c r="HXD23" s="2"/>
      <c r="HXE23" s="2"/>
      <c r="HXF23" s="2"/>
      <c r="HXG23" s="2"/>
      <c r="HXH23" s="2"/>
      <c r="HXI23" s="2"/>
      <c r="HXJ23" s="2"/>
      <c r="HXK23" s="2"/>
      <c r="HXL23" s="2"/>
      <c r="HXM23" s="2"/>
      <c r="HXN23" s="2"/>
      <c r="HXO23" s="2"/>
      <c r="HXP23" s="2"/>
      <c r="HXQ23" s="2"/>
      <c r="HXR23" s="2"/>
      <c r="HXS23" s="2"/>
      <c r="HXT23" s="2"/>
      <c r="HXU23" s="2"/>
      <c r="HXV23" s="2"/>
      <c r="HXW23" s="2"/>
      <c r="HXX23" s="2"/>
      <c r="HXY23" s="2"/>
      <c r="HXZ23" s="2"/>
      <c r="HYA23" s="2"/>
      <c r="HYB23" s="2"/>
      <c r="HYC23" s="2"/>
      <c r="HYD23" s="2"/>
      <c r="HYE23" s="2"/>
      <c r="HYF23" s="2"/>
      <c r="HYG23" s="2"/>
      <c r="HYH23" s="2"/>
      <c r="HYI23" s="2"/>
      <c r="HYJ23" s="2"/>
      <c r="HYK23" s="2"/>
      <c r="HYL23" s="2"/>
      <c r="HYM23" s="2"/>
      <c r="HYN23" s="2"/>
      <c r="HYO23" s="2"/>
      <c r="HYP23" s="2"/>
      <c r="HYQ23" s="2"/>
      <c r="HYR23" s="2"/>
      <c r="HYS23" s="2"/>
      <c r="HYT23" s="2"/>
      <c r="HYU23" s="2"/>
      <c r="HYV23" s="2"/>
      <c r="HYW23" s="2"/>
      <c r="HYX23" s="2"/>
      <c r="HYY23" s="2"/>
      <c r="HYZ23" s="2"/>
      <c r="HZA23" s="2"/>
      <c r="HZB23" s="2"/>
      <c r="HZC23" s="2"/>
      <c r="HZD23" s="2"/>
      <c r="HZE23" s="2"/>
      <c r="HZF23" s="2"/>
      <c r="HZG23" s="2"/>
      <c r="HZH23" s="2"/>
      <c r="HZI23" s="2"/>
      <c r="HZJ23" s="2"/>
      <c r="HZK23" s="2"/>
      <c r="HZL23" s="2"/>
      <c r="HZM23" s="2"/>
      <c r="HZN23" s="2"/>
      <c r="HZO23" s="2"/>
      <c r="HZP23" s="2"/>
      <c r="HZQ23" s="2"/>
      <c r="HZR23" s="2"/>
      <c r="HZS23" s="2"/>
      <c r="HZT23" s="2"/>
      <c r="HZU23" s="2"/>
      <c r="HZV23" s="2"/>
      <c r="HZW23" s="2"/>
      <c r="HZX23" s="2"/>
      <c r="HZY23" s="2"/>
      <c r="HZZ23" s="2"/>
      <c r="IAA23" s="2"/>
      <c r="IAB23" s="2"/>
      <c r="IAC23" s="2"/>
      <c r="IAD23" s="2"/>
      <c r="IAE23" s="2"/>
      <c r="IAF23" s="2"/>
      <c r="IAG23" s="2"/>
      <c r="IAH23" s="2"/>
      <c r="IAI23" s="2"/>
      <c r="IAJ23" s="2"/>
      <c r="IAK23" s="2"/>
      <c r="IAL23" s="2"/>
      <c r="IAM23" s="2"/>
      <c r="IAN23" s="2"/>
      <c r="IAO23" s="2"/>
      <c r="IAP23" s="2"/>
      <c r="IAQ23" s="2"/>
      <c r="IAR23" s="2"/>
      <c r="IAS23" s="2"/>
      <c r="IAT23" s="2"/>
      <c r="IAU23" s="2"/>
      <c r="IAV23" s="2"/>
      <c r="IAW23" s="2"/>
      <c r="IAX23" s="2"/>
      <c r="IAY23" s="2"/>
      <c r="IAZ23" s="2"/>
      <c r="IBA23" s="2"/>
      <c r="IBB23" s="2"/>
      <c r="IBC23" s="2"/>
      <c r="IBD23" s="2"/>
      <c r="IBE23" s="2"/>
      <c r="IBF23" s="2"/>
      <c r="IBG23" s="2"/>
      <c r="IBH23" s="2"/>
      <c r="IBI23" s="2"/>
      <c r="IBJ23" s="2"/>
      <c r="IBK23" s="2"/>
      <c r="IBL23" s="2"/>
      <c r="IBM23" s="2"/>
      <c r="IBN23" s="2"/>
      <c r="IBO23" s="2"/>
      <c r="IBP23" s="2"/>
      <c r="IBQ23" s="2"/>
      <c r="IBR23" s="2"/>
      <c r="IBS23" s="2"/>
      <c r="IBT23" s="2"/>
      <c r="IBU23" s="2"/>
      <c r="IBV23" s="2"/>
      <c r="IBW23" s="2"/>
      <c r="IBX23" s="2"/>
      <c r="IBY23" s="2"/>
      <c r="IBZ23" s="2"/>
      <c r="ICA23" s="2"/>
      <c r="ICB23" s="2"/>
      <c r="ICC23" s="2"/>
      <c r="ICD23" s="2"/>
      <c r="ICE23" s="2"/>
      <c r="ICF23" s="2"/>
      <c r="ICG23" s="2"/>
      <c r="ICH23" s="2"/>
      <c r="ICI23" s="2"/>
      <c r="ICJ23" s="2"/>
      <c r="ICK23" s="2"/>
      <c r="ICL23" s="2"/>
      <c r="ICM23" s="2"/>
      <c r="ICN23" s="2"/>
      <c r="ICO23" s="2"/>
      <c r="ICP23" s="2"/>
      <c r="ICQ23" s="2"/>
      <c r="ICR23" s="2"/>
      <c r="ICS23" s="2"/>
      <c r="ICT23" s="2"/>
      <c r="ICU23" s="2"/>
      <c r="ICV23" s="2"/>
      <c r="ICW23" s="2"/>
      <c r="ICX23" s="2"/>
      <c r="ICY23" s="2"/>
      <c r="ICZ23" s="2"/>
      <c r="IDA23" s="2"/>
      <c r="IDB23" s="2"/>
      <c r="IDC23" s="2"/>
      <c r="IDD23" s="2"/>
      <c r="IDE23" s="2"/>
      <c r="IDF23" s="2"/>
      <c r="IDG23" s="2"/>
      <c r="IDH23" s="2"/>
      <c r="IDI23" s="2"/>
      <c r="IDJ23" s="2"/>
      <c r="IDK23" s="2"/>
      <c r="IDL23" s="2"/>
      <c r="IDM23" s="2"/>
      <c r="IDN23" s="2"/>
      <c r="IDO23" s="2"/>
      <c r="IDP23" s="2"/>
      <c r="IDQ23" s="2"/>
      <c r="IDR23" s="2"/>
      <c r="IDS23" s="2"/>
      <c r="IDT23" s="2"/>
      <c r="IDU23" s="2"/>
      <c r="IDV23" s="2"/>
      <c r="IDW23" s="2"/>
      <c r="IDX23" s="2"/>
      <c r="IDY23" s="2"/>
      <c r="IDZ23" s="2"/>
      <c r="IEA23" s="2"/>
      <c r="IEB23" s="2"/>
      <c r="IEC23" s="2"/>
      <c r="IED23" s="2"/>
      <c r="IEE23" s="2"/>
      <c r="IEF23" s="2"/>
      <c r="IEG23" s="2"/>
      <c r="IEH23" s="2"/>
      <c r="IEI23" s="2"/>
      <c r="IEJ23" s="2"/>
      <c r="IEK23" s="2"/>
      <c r="IEL23" s="2"/>
      <c r="IEM23" s="2"/>
      <c r="IEN23" s="2"/>
      <c r="IEO23" s="2"/>
      <c r="IEP23" s="2"/>
      <c r="IEQ23" s="2"/>
      <c r="IER23" s="2"/>
      <c r="IES23" s="2"/>
      <c r="IET23" s="2"/>
      <c r="IEU23" s="2"/>
      <c r="IEV23" s="2"/>
      <c r="IEW23" s="2"/>
      <c r="IEX23" s="2"/>
      <c r="IEY23" s="2"/>
      <c r="IEZ23" s="2"/>
      <c r="IFA23" s="2"/>
      <c r="IFB23" s="2"/>
      <c r="IFC23" s="2"/>
      <c r="IFD23" s="2"/>
      <c r="IFE23" s="2"/>
      <c r="IFF23" s="2"/>
      <c r="IFG23" s="2"/>
      <c r="IFH23" s="2"/>
      <c r="IFI23" s="2"/>
      <c r="IFJ23" s="2"/>
      <c r="IFK23" s="2"/>
      <c r="IFL23" s="2"/>
      <c r="IFM23" s="2"/>
      <c r="IFN23" s="2"/>
      <c r="IFO23" s="2"/>
      <c r="IFP23" s="2"/>
      <c r="IFQ23" s="2"/>
      <c r="IFR23" s="2"/>
      <c r="IFS23" s="2"/>
      <c r="IFT23" s="2"/>
      <c r="IFU23" s="2"/>
      <c r="IFV23" s="2"/>
      <c r="IFW23" s="2"/>
      <c r="IFX23" s="2"/>
      <c r="IFY23" s="2"/>
      <c r="IFZ23" s="2"/>
      <c r="IGA23" s="2"/>
      <c r="IGB23" s="2"/>
      <c r="IGC23" s="2"/>
      <c r="IGD23" s="2"/>
      <c r="IGE23" s="2"/>
      <c r="IGF23" s="2"/>
      <c r="IGG23" s="2"/>
      <c r="IGH23" s="2"/>
      <c r="IGI23" s="2"/>
      <c r="IGJ23" s="2"/>
      <c r="IGK23" s="2"/>
      <c r="IGL23" s="2"/>
      <c r="IGM23" s="2"/>
      <c r="IGN23" s="2"/>
      <c r="IGO23" s="2"/>
      <c r="IGP23" s="2"/>
      <c r="IGQ23" s="2"/>
      <c r="IGR23" s="2"/>
      <c r="IGS23" s="2"/>
      <c r="IGT23" s="2"/>
      <c r="IGU23" s="2"/>
      <c r="IGV23" s="2"/>
      <c r="IGW23" s="2"/>
      <c r="IGX23" s="2"/>
      <c r="IGY23" s="2"/>
      <c r="IGZ23" s="2"/>
      <c r="IHA23" s="2"/>
      <c r="IHB23" s="2"/>
      <c r="IHC23" s="2"/>
      <c r="IHD23" s="2"/>
      <c r="IHE23" s="2"/>
      <c r="IHF23" s="2"/>
      <c r="IHG23" s="2"/>
      <c r="IHH23" s="2"/>
      <c r="IHI23" s="2"/>
      <c r="IHJ23" s="2"/>
      <c r="IHK23" s="2"/>
      <c r="IHL23" s="2"/>
      <c r="IHM23" s="2"/>
      <c r="IHN23" s="2"/>
      <c r="IHO23" s="2"/>
      <c r="IHP23" s="2"/>
      <c r="IHQ23" s="2"/>
      <c r="IHR23" s="2"/>
      <c r="IHS23" s="2"/>
      <c r="IHT23" s="2"/>
      <c r="IHU23" s="2"/>
      <c r="IHV23" s="2"/>
      <c r="IHW23" s="2"/>
      <c r="IHX23" s="2"/>
      <c r="IHY23" s="2"/>
      <c r="IHZ23" s="2"/>
      <c r="IIA23" s="2"/>
      <c r="IIB23" s="2"/>
      <c r="IIC23" s="2"/>
      <c r="IID23" s="2"/>
      <c r="IIE23" s="2"/>
      <c r="IIF23" s="2"/>
      <c r="IIG23" s="2"/>
      <c r="IIH23" s="2"/>
      <c r="III23" s="2"/>
      <c r="IIJ23" s="2"/>
      <c r="IIK23" s="2"/>
      <c r="IIL23" s="2"/>
      <c r="IIM23" s="2"/>
      <c r="IIN23" s="2"/>
      <c r="IIO23" s="2"/>
      <c r="IIP23" s="2"/>
      <c r="IIQ23" s="2"/>
      <c r="IIR23" s="2"/>
      <c r="IIS23" s="2"/>
      <c r="IIT23" s="2"/>
      <c r="IIU23" s="2"/>
      <c r="IIV23" s="2"/>
      <c r="IIW23" s="2"/>
      <c r="IIX23" s="2"/>
      <c r="IIY23" s="2"/>
      <c r="IIZ23" s="2"/>
      <c r="IJA23" s="2"/>
      <c r="IJB23" s="2"/>
      <c r="IJC23" s="2"/>
      <c r="IJD23" s="2"/>
      <c r="IJE23" s="2"/>
      <c r="IJF23" s="2"/>
      <c r="IJG23" s="2"/>
      <c r="IJH23" s="2"/>
      <c r="IJI23" s="2"/>
      <c r="IJJ23" s="2"/>
      <c r="IJK23" s="2"/>
      <c r="IJL23" s="2"/>
      <c r="IJM23" s="2"/>
      <c r="IJN23" s="2"/>
      <c r="IJO23" s="2"/>
      <c r="IJP23" s="2"/>
      <c r="IJQ23" s="2"/>
      <c r="IJR23" s="2"/>
      <c r="IJS23" s="2"/>
      <c r="IJT23" s="2"/>
      <c r="IJU23" s="2"/>
      <c r="IJV23" s="2"/>
      <c r="IJW23" s="2"/>
      <c r="IJX23" s="2"/>
      <c r="IJY23" s="2"/>
      <c r="IJZ23" s="2"/>
      <c r="IKA23" s="2"/>
      <c r="IKB23" s="2"/>
      <c r="IKC23" s="2"/>
      <c r="IKD23" s="2"/>
      <c r="IKE23" s="2"/>
      <c r="IKF23" s="2"/>
      <c r="IKG23" s="2"/>
      <c r="IKH23" s="2"/>
      <c r="IKI23" s="2"/>
      <c r="IKJ23" s="2"/>
      <c r="IKK23" s="2"/>
      <c r="IKL23" s="2"/>
      <c r="IKM23" s="2"/>
      <c r="IKN23" s="2"/>
      <c r="IKO23" s="2"/>
      <c r="IKP23" s="2"/>
      <c r="IKQ23" s="2"/>
      <c r="IKR23" s="2"/>
      <c r="IKS23" s="2"/>
      <c r="IKT23" s="2"/>
      <c r="IKU23" s="2"/>
      <c r="IKV23" s="2"/>
      <c r="IKW23" s="2"/>
      <c r="IKX23" s="2"/>
      <c r="IKY23" s="2"/>
      <c r="IKZ23" s="2"/>
      <c r="ILA23" s="2"/>
      <c r="ILB23" s="2"/>
      <c r="ILC23" s="2"/>
      <c r="ILD23" s="2"/>
      <c r="ILE23" s="2"/>
      <c r="ILF23" s="2"/>
      <c r="ILG23" s="2"/>
      <c r="ILH23" s="2"/>
      <c r="ILI23" s="2"/>
      <c r="ILJ23" s="2"/>
      <c r="ILK23" s="2"/>
      <c r="ILL23" s="2"/>
      <c r="ILM23" s="2"/>
      <c r="ILN23" s="2"/>
      <c r="ILO23" s="2"/>
      <c r="ILP23" s="2"/>
      <c r="ILQ23" s="2"/>
      <c r="ILR23" s="2"/>
      <c r="ILS23" s="2"/>
      <c r="ILT23" s="2"/>
      <c r="ILU23" s="2"/>
      <c r="ILV23" s="2"/>
      <c r="ILW23" s="2"/>
      <c r="ILX23" s="2"/>
      <c r="ILY23" s="2"/>
      <c r="ILZ23" s="2"/>
      <c r="IMA23" s="2"/>
      <c r="IMB23" s="2"/>
      <c r="IMC23" s="2"/>
      <c r="IMD23" s="2"/>
      <c r="IME23" s="2"/>
      <c r="IMF23" s="2"/>
      <c r="IMG23" s="2"/>
      <c r="IMH23" s="2"/>
      <c r="IMI23" s="2"/>
      <c r="IMJ23" s="2"/>
      <c r="IMK23" s="2"/>
      <c r="IML23" s="2"/>
      <c r="IMM23" s="2"/>
      <c r="IMN23" s="2"/>
      <c r="IMO23" s="2"/>
      <c r="IMP23" s="2"/>
      <c r="IMQ23" s="2"/>
      <c r="IMR23" s="2"/>
      <c r="IMS23" s="2"/>
      <c r="IMT23" s="2"/>
      <c r="IMU23" s="2"/>
      <c r="IMV23" s="2"/>
      <c r="IMW23" s="2"/>
      <c r="IMX23" s="2"/>
      <c r="IMY23" s="2"/>
      <c r="IMZ23" s="2"/>
      <c r="INA23" s="2"/>
      <c r="INB23" s="2"/>
      <c r="INC23" s="2"/>
      <c r="IND23" s="2"/>
      <c r="INE23" s="2"/>
      <c r="INF23" s="2"/>
      <c r="ING23" s="2"/>
      <c r="INH23" s="2"/>
      <c r="INI23" s="2"/>
      <c r="INJ23" s="2"/>
      <c r="INK23" s="2"/>
      <c r="INL23" s="2"/>
      <c r="INM23" s="2"/>
      <c r="INN23" s="2"/>
      <c r="INO23" s="2"/>
      <c r="INP23" s="2"/>
      <c r="INQ23" s="2"/>
      <c r="INR23" s="2"/>
      <c r="INS23" s="2"/>
      <c r="INT23" s="2"/>
      <c r="INU23" s="2"/>
      <c r="INV23" s="2"/>
      <c r="INW23" s="2"/>
      <c r="INX23" s="2"/>
      <c r="INY23" s="2"/>
      <c r="INZ23" s="2"/>
      <c r="IOA23" s="2"/>
      <c r="IOB23" s="2"/>
      <c r="IOC23" s="2"/>
      <c r="IOD23" s="2"/>
      <c r="IOE23" s="2"/>
      <c r="IOF23" s="2"/>
      <c r="IOG23" s="2"/>
      <c r="IOH23" s="2"/>
      <c r="IOI23" s="2"/>
      <c r="IOJ23" s="2"/>
      <c r="IOK23" s="2"/>
      <c r="IOL23" s="2"/>
      <c r="IOM23" s="2"/>
      <c r="ION23" s="2"/>
      <c r="IOO23" s="2"/>
      <c r="IOP23" s="2"/>
      <c r="IOQ23" s="2"/>
      <c r="IOR23" s="2"/>
      <c r="IOS23" s="2"/>
      <c r="IOT23" s="2"/>
      <c r="IOU23" s="2"/>
      <c r="IOV23" s="2"/>
      <c r="IOW23" s="2"/>
      <c r="IOX23" s="2"/>
      <c r="IOY23" s="2"/>
      <c r="IOZ23" s="2"/>
      <c r="IPA23" s="2"/>
      <c r="IPB23" s="2"/>
      <c r="IPC23" s="2"/>
      <c r="IPD23" s="2"/>
      <c r="IPE23" s="2"/>
      <c r="IPF23" s="2"/>
      <c r="IPG23" s="2"/>
      <c r="IPH23" s="2"/>
      <c r="IPI23" s="2"/>
      <c r="IPJ23" s="2"/>
      <c r="IPK23" s="2"/>
      <c r="IPL23" s="2"/>
      <c r="IPM23" s="2"/>
      <c r="IPN23" s="2"/>
      <c r="IPO23" s="2"/>
      <c r="IPP23" s="2"/>
      <c r="IPQ23" s="2"/>
      <c r="IPR23" s="2"/>
      <c r="IPS23" s="2"/>
      <c r="IPT23" s="2"/>
      <c r="IPU23" s="2"/>
      <c r="IPV23" s="2"/>
      <c r="IPW23" s="2"/>
      <c r="IPX23" s="2"/>
      <c r="IPY23" s="2"/>
      <c r="IPZ23" s="2"/>
      <c r="IQA23" s="2"/>
      <c r="IQB23" s="2"/>
      <c r="IQC23" s="2"/>
      <c r="IQD23" s="2"/>
      <c r="IQE23" s="2"/>
      <c r="IQF23" s="2"/>
      <c r="IQG23" s="2"/>
      <c r="IQH23" s="2"/>
      <c r="IQI23" s="2"/>
      <c r="IQJ23" s="2"/>
      <c r="IQK23" s="2"/>
      <c r="IQL23" s="2"/>
      <c r="IQM23" s="2"/>
      <c r="IQN23" s="2"/>
      <c r="IQO23" s="2"/>
      <c r="IQP23" s="2"/>
      <c r="IQQ23" s="2"/>
      <c r="IQR23" s="2"/>
      <c r="IQS23" s="2"/>
      <c r="IQT23" s="2"/>
      <c r="IQU23" s="2"/>
      <c r="IQV23" s="2"/>
      <c r="IQW23" s="2"/>
      <c r="IQX23" s="2"/>
      <c r="IQY23" s="2"/>
      <c r="IQZ23" s="2"/>
      <c r="IRA23" s="2"/>
      <c r="IRB23" s="2"/>
      <c r="IRC23" s="2"/>
      <c r="IRD23" s="2"/>
      <c r="IRE23" s="2"/>
      <c r="IRF23" s="2"/>
      <c r="IRG23" s="2"/>
      <c r="IRH23" s="2"/>
      <c r="IRI23" s="2"/>
      <c r="IRJ23" s="2"/>
      <c r="IRK23" s="2"/>
      <c r="IRL23" s="2"/>
      <c r="IRM23" s="2"/>
      <c r="IRN23" s="2"/>
      <c r="IRO23" s="2"/>
      <c r="IRP23" s="2"/>
      <c r="IRQ23" s="2"/>
      <c r="IRR23" s="2"/>
      <c r="IRS23" s="2"/>
      <c r="IRT23" s="2"/>
      <c r="IRU23" s="2"/>
      <c r="IRV23" s="2"/>
      <c r="IRW23" s="2"/>
      <c r="IRX23" s="2"/>
      <c r="IRY23" s="2"/>
      <c r="IRZ23" s="2"/>
      <c r="ISA23" s="2"/>
      <c r="ISB23" s="2"/>
      <c r="ISC23" s="2"/>
      <c r="ISD23" s="2"/>
      <c r="ISE23" s="2"/>
      <c r="ISF23" s="2"/>
      <c r="ISG23" s="2"/>
      <c r="ISH23" s="2"/>
      <c r="ISI23" s="2"/>
      <c r="ISJ23" s="2"/>
      <c r="ISK23" s="2"/>
      <c r="ISL23" s="2"/>
      <c r="ISM23" s="2"/>
      <c r="ISN23" s="2"/>
      <c r="ISO23" s="2"/>
      <c r="ISP23" s="2"/>
      <c r="ISQ23" s="2"/>
      <c r="ISR23" s="2"/>
      <c r="ISS23" s="2"/>
      <c r="IST23" s="2"/>
      <c r="ISU23" s="2"/>
      <c r="ISV23" s="2"/>
      <c r="ISW23" s="2"/>
      <c r="ISX23" s="2"/>
      <c r="ISY23" s="2"/>
      <c r="ISZ23" s="2"/>
      <c r="ITA23" s="2"/>
      <c r="ITB23" s="2"/>
      <c r="ITC23" s="2"/>
      <c r="ITD23" s="2"/>
      <c r="ITE23" s="2"/>
      <c r="ITF23" s="2"/>
      <c r="ITG23" s="2"/>
      <c r="ITH23" s="2"/>
      <c r="ITI23" s="2"/>
      <c r="ITJ23" s="2"/>
      <c r="ITK23" s="2"/>
      <c r="ITL23" s="2"/>
      <c r="ITM23" s="2"/>
      <c r="ITN23" s="2"/>
      <c r="ITO23" s="2"/>
      <c r="ITP23" s="2"/>
      <c r="ITQ23" s="2"/>
      <c r="ITR23" s="2"/>
      <c r="ITS23" s="2"/>
      <c r="ITT23" s="2"/>
      <c r="ITU23" s="2"/>
      <c r="ITV23" s="2"/>
      <c r="ITW23" s="2"/>
      <c r="ITX23" s="2"/>
      <c r="ITY23" s="2"/>
      <c r="ITZ23" s="2"/>
      <c r="IUA23" s="2"/>
      <c r="IUB23" s="2"/>
      <c r="IUC23" s="2"/>
      <c r="IUD23" s="2"/>
      <c r="IUE23" s="2"/>
      <c r="IUF23" s="2"/>
      <c r="IUG23" s="2"/>
      <c r="IUH23" s="2"/>
      <c r="IUI23" s="2"/>
      <c r="IUJ23" s="2"/>
      <c r="IUK23" s="2"/>
      <c r="IUL23" s="2"/>
      <c r="IUM23" s="2"/>
      <c r="IUN23" s="2"/>
      <c r="IUO23" s="2"/>
      <c r="IUP23" s="2"/>
      <c r="IUQ23" s="2"/>
      <c r="IUR23" s="2"/>
      <c r="IUS23" s="2"/>
      <c r="IUT23" s="2"/>
      <c r="IUU23" s="2"/>
      <c r="IUV23" s="2"/>
      <c r="IUW23" s="2"/>
      <c r="IUX23" s="2"/>
      <c r="IUY23" s="2"/>
      <c r="IUZ23" s="2"/>
      <c r="IVA23" s="2"/>
      <c r="IVB23" s="2"/>
      <c r="IVC23" s="2"/>
      <c r="IVD23" s="2"/>
      <c r="IVE23" s="2"/>
      <c r="IVF23" s="2"/>
      <c r="IVG23" s="2"/>
      <c r="IVH23" s="2"/>
      <c r="IVI23" s="2"/>
      <c r="IVJ23" s="2"/>
      <c r="IVK23" s="2"/>
      <c r="IVL23" s="2"/>
      <c r="IVM23" s="2"/>
      <c r="IVN23" s="2"/>
      <c r="IVO23" s="2"/>
      <c r="IVP23" s="2"/>
      <c r="IVQ23" s="2"/>
      <c r="IVR23" s="2"/>
      <c r="IVS23" s="2"/>
      <c r="IVT23" s="2"/>
      <c r="IVU23" s="2"/>
      <c r="IVV23" s="2"/>
      <c r="IVW23" s="2"/>
      <c r="IVX23" s="2"/>
      <c r="IVY23" s="2"/>
      <c r="IVZ23" s="2"/>
      <c r="IWA23" s="2"/>
      <c r="IWB23" s="2"/>
      <c r="IWC23" s="2"/>
      <c r="IWD23" s="2"/>
      <c r="IWE23" s="2"/>
      <c r="IWF23" s="2"/>
      <c r="IWG23" s="2"/>
      <c r="IWH23" s="2"/>
      <c r="IWI23" s="2"/>
      <c r="IWJ23" s="2"/>
      <c r="IWK23" s="2"/>
      <c r="IWL23" s="2"/>
      <c r="IWM23" s="2"/>
      <c r="IWN23" s="2"/>
      <c r="IWO23" s="2"/>
      <c r="IWP23" s="2"/>
      <c r="IWQ23" s="2"/>
      <c r="IWR23" s="2"/>
      <c r="IWS23" s="2"/>
      <c r="IWT23" s="2"/>
      <c r="IWU23" s="2"/>
      <c r="IWV23" s="2"/>
      <c r="IWW23" s="2"/>
      <c r="IWX23" s="2"/>
      <c r="IWY23" s="2"/>
      <c r="IWZ23" s="2"/>
      <c r="IXA23" s="2"/>
      <c r="IXB23" s="2"/>
      <c r="IXC23" s="2"/>
      <c r="IXD23" s="2"/>
      <c r="IXE23" s="2"/>
      <c r="IXF23" s="2"/>
      <c r="IXG23" s="2"/>
      <c r="IXH23" s="2"/>
      <c r="IXI23" s="2"/>
      <c r="IXJ23" s="2"/>
      <c r="IXK23" s="2"/>
      <c r="IXL23" s="2"/>
      <c r="IXM23" s="2"/>
      <c r="IXN23" s="2"/>
      <c r="IXO23" s="2"/>
      <c r="IXP23" s="2"/>
      <c r="IXQ23" s="2"/>
      <c r="IXR23" s="2"/>
      <c r="IXS23" s="2"/>
      <c r="IXT23" s="2"/>
      <c r="IXU23" s="2"/>
      <c r="IXV23" s="2"/>
      <c r="IXW23" s="2"/>
      <c r="IXX23" s="2"/>
      <c r="IXY23" s="2"/>
      <c r="IXZ23" s="2"/>
      <c r="IYA23" s="2"/>
      <c r="IYB23" s="2"/>
      <c r="IYC23" s="2"/>
      <c r="IYD23" s="2"/>
      <c r="IYE23" s="2"/>
      <c r="IYF23" s="2"/>
      <c r="IYG23" s="2"/>
      <c r="IYH23" s="2"/>
      <c r="IYI23" s="2"/>
      <c r="IYJ23" s="2"/>
      <c r="IYK23" s="2"/>
      <c r="IYL23" s="2"/>
      <c r="IYM23" s="2"/>
      <c r="IYN23" s="2"/>
      <c r="IYO23" s="2"/>
      <c r="IYP23" s="2"/>
      <c r="IYQ23" s="2"/>
      <c r="IYR23" s="2"/>
      <c r="IYS23" s="2"/>
      <c r="IYT23" s="2"/>
      <c r="IYU23" s="2"/>
      <c r="IYV23" s="2"/>
      <c r="IYW23" s="2"/>
      <c r="IYX23" s="2"/>
      <c r="IYY23" s="2"/>
      <c r="IYZ23" s="2"/>
      <c r="IZA23" s="2"/>
      <c r="IZB23" s="2"/>
      <c r="IZC23" s="2"/>
      <c r="IZD23" s="2"/>
      <c r="IZE23" s="2"/>
      <c r="IZF23" s="2"/>
      <c r="IZG23" s="2"/>
      <c r="IZH23" s="2"/>
      <c r="IZI23" s="2"/>
      <c r="IZJ23" s="2"/>
      <c r="IZK23" s="2"/>
      <c r="IZL23" s="2"/>
      <c r="IZM23" s="2"/>
      <c r="IZN23" s="2"/>
      <c r="IZO23" s="2"/>
      <c r="IZP23" s="2"/>
      <c r="IZQ23" s="2"/>
      <c r="IZR23" s="2"/>
      <c r="IZS23" s="2"/>
      <c r="IZT23" s="2"/>
      <c r="IZU23" s="2"/>
      <c r="IZV23" s="2"/>
      <c r="IZW23" s="2"/>
      <c r="IZX23" s="2"/>
      <c r="IZY23" s="2"/>
      <c r="IZZ23" s="2"/>
      <c r="JAA23" s="2"/>
      <c r="JAB23" s="2"/>
      <c r="JAC23" s="2"/>
      <c r="JAD23" s="2"/>
      <c r="JAE23" s="2"/>
      <c r="JAF23" s="2"/>
      <c r="JAG23" s="2"/>
      <c r="JAH23" s="2"/>
      <c r="JAI23" s="2"/>
      <c r="JAJ23" s="2"/>
      <c r="JAK23" s="2"/>
      <c r="JAL23" s="2"/>
      <c r="JAM23" s="2"/>
      <c r="JAN23" s="2"/>
      <c r="JAO23" s="2"/>
      <c r="JAP23" s="2"/>
      <c r="JAQ23" s="2"/>
      <c r="JAR23" s="2"/>
      <c r="JAS23" s="2"/>
      <c r="JAT23" s="2"/>
      <c r="JAU23" s="2"/>
      <c r="JAV23" s="2"/>
      <c r="JAW23" s="2"/>
      <c r="JAX23" s="2"/>
      <c r="JAY23" s="2"/>
      <c r="JAZ23" s="2"/>
      <c r="JBA23" s="2"/>
      <c r="JBB23" s="2"/>
      <c r="JBC23" s="2"/>
      <c r="JBD23" s="2"/>
      <c r="JBE23" s="2"/>
      <c r="JBF23" s="2"/>
      <c r="JBG23" s="2"/>
      <c r="JBH23" s="2"/>
      <c r="JBI23" s="2"/>
      <c r="JBJ23" s="2"/>
      <c r="JBK23" s="2"/>
      <c r="JBL23" s="2"/>
      <c r="JBM23" s="2"/>
      <c r="JBN23" s="2"/>
      <c r="JBO23" s="2"/>
      <c r="JBP23" s="2"/>
      <c r="JBQ23" s="2"/>
      <c r="JBR23" s="2"/>
      <c r="JBS23" s="2"/>
      <c r="JBT23" s="2"/>
      <c r="JBU23" s="2"/>
      <c r="JBV23" s="2"/>
      <c r="JBW23" s="2"/>
      <c r="JBX23" s="2"/>
      <c r="JBY23" s="2"/>
      <c r="JBZ23" s="2"/>
      <c r="JCA23" s="2"/>
      <c r="JCB23" s="2"/>
      <c r="JCC23" s="2"/>
      <c r="JCD23" s="2"/>
      <c r="JCE23" s="2"/>
      <c r="JCF23" s="2"/>
      <c r="JCG23" s="2"/>
      <c r="JCH23" s="2"/>
      <c r="JCI23" s="2"/>
      <c r="JCJ23" s="2"/>
      <c r="JCK23" s="2"/>
      <c r="JCL23" s="2"/>
      <c r="JCM23" s="2"/>
      <c r="JCN23" s="2"/>
      <c r="JCO23" s="2"/>
      <c r="JCP23" s="2"/>
      <c r="JCQ23" s="2"/>
      <c r="JCR23" s="2"/>
      <c r="JCS23" s="2"/>
      <c r="JCT23" s="2"/>
      <c r="JCU23" s="2"/>
      <c r="JCV23" s="2"/>
      <c r="JCW23" s="2"/>
      <c r="JCX23" s="2"/>
      <c r="JCY23" s="2"/>
      <c r="JCZ23" s="2"/>
      <c r="JDA23" s="2"/>
      <c r="JDB23" s="2"/>
      <c r="JDC23" s="2"/>
      <c r="JDD23" s="2"/>
      <c r="JDE23" s="2"/>
      <c r="JDF23" s="2"/>
      <c r="JDG23" s="2"/>
      <c r="JDH23" s="2"/>
      <c r="JDI23" s="2"/>
      <c r="JDJ23" s="2"/>
      <c r="JDK23" s="2"/>
      <c r="JDL23" s="2"/>
      <c r="JDM23" s="2"/>
      <c r="JDN23" s="2"/>
      <c r="JDO23" s="2"/>
      <c r="JDP23" s="2"/>
      <c r="JDQ23" s="2"/>
      <c r="JDR23" s="2"/>
      <c r="JDS23" s="2"/>
      <c r="JDT23" s="2"/>
      <c r="JDU23" s="2"/>
      <c r="JDV23" s="2"/>
      <c r="JDW23" s="2"/>
      <c r="JDX23" s="2"/>
      <c r="JDY23" s="2"/>
      <c r="JDZ23" s="2"/>
      <c r="JEA23" s="2"/>
      <c r="JEB23" s="2"/>
      <c r="JEC23" s="2"/>
      <c r="JED23" s="2"/>
      <c r="JEE23" s="2"/>
      <c r="JEF23" s="2"/>
      <c r="JEG23" s="2"/>
      <c r="JEH23" s="2"/>
      <c r="JEI23" s="2"/>
      <c r="JEJ23" s="2"/>
      <c r="JEK23" s="2"/>
      <c r="JEL23" s="2"/>
      <c r="JEM23" s="2"/>
      <c r="JEN23" s="2"/>
      <c r="JEO23" s="2"/>
      <c r="JEP23" s="2"/>
      <c r="JEQ23" s="2"/>
      <c r="JER23" s="2"/>
      <c r="JES23" s="2"/>
      <c r="JET23" s="2"/>
      <c r="JEU23" s="2"/>
      <c r="JEV23" s="2"/>
      <c r="JEW23" s="2"/>
      <c r="JEX23" s="2"/>
      <c r="JEY23" s="2"/>
      <c r="JEZ23" s="2"/>
      <c r="JFA23" s="2"/>
      <c r="JFB23" s="2"/>
      <c r="JFC23" s="2"/>
      <c r="JFD23" s="2"/>
      <c r="JFE23" s="2"/>
      <c r="JFF23" s="2"/>
      <c r="JFG23" s="2"/>
      <c r="JFH23" s="2"/>
      <c r="JFI23" s="2"/>
      <c r="JFJ23" s="2"/>
      <c r="JFK23" s="2"/>
      <c r="JFL23" s="2"/>
      <c r="JFM23" s="2"/>
      <c r="JFN23" s="2"/>
      <c r="JFO23" s="2"/>
      <c r="JFP23" s="2"/>
      <c r="JFQ23" s="2"/>
      <c r="JFR23" s="2"/>
      <c r="JFS23" s="2"/>
      <c r="JFT23" s="2"/>
      <c r="JFU23" s="2"/>
      <c r="JFV23" s="2"/>
      <c r="JFW23" s="2"/>
      <c r="JFX23" s="2"/>
      <c r="JFY23" s="2"/>
      <c r="JFZ23" s="2"/>
      <c r="JGA23" s="2"/>
      <c r="JGB23" s="2"/>
      <c r="JGC23" s="2"/>
      <c r="JGD23" s="2"/>
      <c r="JGE23" s="2"/>
      <c r="JGF23" s="2"/>
      <c r="JGG23" s="2"/>
      <c r="JGH23" s="2"/>
      <c r="JGI23" s="2"/>
      <c r="JGJ23" s="2"/>
      <c r="JGK23" s="2"/>
      <c r="JGL23" s="2"/>
      <c r="JGM23" s="2"/>
      <c r="JGN23" s="2"/>
      <c r="JGO23" s="2"/>
      <c r="JGP23" s="2"/>
      <c r="JGQ23" s="2"/>
      <c r="JGR23" s="2"/>
      <c r="JGS23" s="2"/>
      <c r="JGT23" s="2"/>
      <c r="JGU23" s="2"/>
      <c r="JGV23" s="2"/>
      <c r="JGW23" s="2"/>
      <c r="JGX23" s="2"/>
      <c r="JGY23" s="2"/>
      <c r="JGZ23" s="2"/>
      <c r="JHA23" s="2"/>
      <c r="JHB23" s="2"/>
      <c r="JHC23" s="2"/>
      <c r="JHD23" s="2"/>
      <c r="JHE23" s="2"/>
      <c r="JHF23" s="2"/>
      <c r="JHG23" s="2"/>
      <c r="JHH23" s="2"/>
      <c r="JHI23" s="2"/>
      <c r="JHJ23" s="2"/>
      <c r="JHK23" s="2"/>
      <c r="JHL23" s="2"/>
      <c r="JHM23" s="2"/>
      <c r="JHN23" s="2"/>
      <c r="JHO23" s="2"/>
      <c r="JHP23" s="2"/>
      <c r="JHQ23" s="2"/>
      <c r="JHR23" s="2"/>
      <c r="JHS23" s="2"/>
      <c r="JHT23" s="2"/>
      <c r="JHU23" s="2"/>
      <c r="JHV23" s="2"/>
      <c r="JHW23" s="2"/>
      <c r="JHX23" s="2"/>
      <c r="JHY23" s="2"/>
      <c r="JHZ23" s="2"/>
      <c r="JIA23" s="2"/>
      <c r="JIB23" s="2"/>
      <c r="JIC23" s="2"/>
      <c r="JID23" s="2"/>
      <c r="JIE23" s="2"/>
      <c r="JIF23" s="2"/>
      <c r="JIG23" s="2"/>
      <c r="JIH23" s="2"/>
      <c r="JII23" s="2"/>
      <c r="JIJ23" s="2"/>
      <c r="JIK23" s="2"/>
      <c r="JIL23" s="2"/>
      <c r="JIM23" s="2"/>
      <c r="JIN23" s="2"/>
      <c r="JIO23" s="2"/>
      <c r="JIP23" s="2"/>
      <c r="JIQ23" s="2"/>
      <c r="JIR23" s="2"/>
      <c r="JIS23" s="2"/>
      <c r="JIT23" s="2"/>
      <c r="JIU23" s="2"/>
      <c r="JIV23" s="2"/>
      <c r="JIW23" s="2"/>
      <c r="JIX23" s="2"/>
      <c r="JIY23" s="2"/>
      <c r="JIZ23" s="2"/>
      <c r="JJA23" s="2"/>
      <c r="JJB23" s="2"/>
      <c r="JJC23" s="2"/>
      <c r="JJD23" s="2"/>
      <c r="JJE23" s="2"/>
      <c r="JJF23" s="2"/>
      <c r="JJG23" s="2"/>
      <c r="JJH23" s="2"/>
      <c r="JJI23" s="2"/>
      <c r="JJJ23" s="2"/>
      <c r="JJK23" s="2"/>
      <c r="JJL23" s="2"/>
      <c r="JJM23" s="2"/>
      <c r="JJN23" s="2"/>
      <c r="JJO23" s="2"/>
      <c r="JJP23" s="2"/>
      <c r="JJQ23" s="2"/>
      <c r="JJR23" s="2"/>
      <c r="JJS23" s="2"/>
      <c r="JJT23" s="2"/>
      <c r="JJU23" s="2"/>
      <c r="JJV23" s="2"/>
      <c r="JJW23" s="2"/>
      <c r="JJX23" s="2"/>
      <c r="JJY23" s="2"/>
      <c r="JJZ23" s="2"/>
      <c r="JKA23" s="2"/>
      <c r="JKB23" s="2"/>
      <c r="JKC23" s="2"/>
      <c r="JKD23" s="2"/>
      <c r="JKE23" s="2"/>
      <c r="JKF23" s="2"/>
      <c r="JKG23" s="2"/>
      <c r="JKH23" s="2"/>
      <c r="JKI23" s="2"/>
      <c r="JKJ23" s="2"/>
      <c r="JKK23" s="2"/>
      <c r="JKL23" s="2"/>
      <c r="JKM23" s="2"/>
      <c r="JKN23" s="2"/>
      <c r="JKO23" s="2"/>
      <c r="JKP23" s="2"/>
      <c r="JKQ23" s="2"/>
      <c r="JKR23" s="2"/>
      <c r="JKS23" s="2"/>
      <c r="JKT23" s="2"/>
      <c r="JKU23" s="2"/>
      <c r="JKV23" s="2"/>
      <c r="JKW23" s="2"/>
      <c r="JKX23" s="2"/>
      <c r="JKY23" s="2"/>
      <c r="JKZ23" s="2"/>
      <c r="JLA23" s="2"/>
      <c r="JLB23" s="2"/>
      <c r="JLC23" s="2"/>
      <c r="JLD23" s="2"/>
      <c r="JLE23" s="2"/>
      <c r="JLF23" s="2"/>
      <c r="JLG23" s="2"/>
      <c r="JLH23" s="2"/>
      <c r="JLI23" s="2"/>
      <c r="JLJ23" s="2"/>
      <c r="JLK23" s="2"/>
      <c r="JLL23" s="2"/>
      <c r="JLM23" s="2"/>
      <c r="JLN23" s="2"/>
      <c r="JLO23" s="2"/>
      <c r="JLP23" s="2"/>
      <c r="JLQ23" s="2"/>
      <c r="JLR23" s="2"/>
      <c r="JLS23" s="2"/>
      <c r="JLT23" s="2"/>
      <c r="JLU23" s="2"/>
      <c r="JLV23" s="2"/>
      <c r="JLW23" s="2"/>
      <c r="JLX23" s="2"/>
      <c r="JLY23" s="2"/>
      <c r="JLZ23" s="2"/>
      <c r="JMA23" s="2"/>
      <c r="JMB23" s="2"/>
      <c r="JMC23" s="2"/>
      <c r="JMD23" s="2"/>
      <c r="JME23" s="2"/>
      <c r="JMF23" s="2"/>
      <c r="JMG23" s="2"/>
      <c r="JMH23" s="2"/>
      <c r="JMI23" s="2"/>
      <c r="JMJ23" s="2"/>
      <c r="JMK23" s="2"/>
      <c r="JML23" s="2"/>
      <c r="JMM23" s="2"/>
      <c r="JMN23" s="2"/>
      <c r="JMO23" s="2"/>
      <c r="JMP23" s="2"/>
      <c r="JMQ23" s="2"/>
      <c r="JMR23" s="2"/>
      <c r="JMS23" s="2"/>
      <c r="JMT23" s="2"/>
      <c r="JMU23" s="2"/>
      <c r="JMV23" s="2"/>
      <c r="JMW23" s="2"/>
      <c r="JMX23" s="2"/>
      <c r="JMY23" s="2"/>
      <c r="JMZ23" s="2"/>
      <c r="JNA23" s="2"/>
      <c r="JNB23" s="2"/>
      <c r="JNC23" s="2"/>
      <c r="JND23" s="2"/>
      <c r="JNE23" s="2"/>
      <c r="JNF23" s="2"/>
      <c r="JNG23" s="2"/>
      <c r="JNH23" s="2"/>
      <c r="JNI23" s="2"/>
      <c r="JNJ23" s="2"/>
      <c r="JNK23" s="2"/>
      <c r="JNL23" s="2"/>
      <c r="JNM23" s="2"/>
      <c r="JNN23" s="2"/>
      <c r="JNO23" s="2"/>
      <c r="JNP23" s="2"/>
      <c r="JNQ23" s="2"/>
      <c r="JNR23" s="2"/>
      <c r="JNS23" s="2"/>
      <c r="JNT23" s="2"/>
      <c r="JNU23" s="2"/>
      <c r="JNV23" s="2"/>
      <c r="JNW23" s="2"/>
      <c r="JNX23" s="2"/>
      <c r="JNY23" s="2"/>
      <c r="JNZ23" s="2"/>
      <c r="JOA23" s="2"/>
      <c r="JOB23" s="2"/>
      <c r="JOC23" s="2"/>
      <c r="JOD23" s="2"/>
      <c r="JOE23" s="2"/>
      <c r="JOF23" s="2"/>
      <c r="JOG23" s="2"/>
      <c r="JOH23" s="2"/>
      <c r="JOI23" s="2"/>
      <c r="JOJ23" s="2"/>
      <c r="JOK23" s="2"/>
      <c r="JOL23" s="2"/>
      <c r="JOM23" s="2"/>
      <c r="JON23" s="2"/>
      <c r="JOO23" s="2"/>
      <c r="JOP23" s="2"/>
      <c r="JOQ23" s="2"/>
      <c r="JOR23" s="2"/>
      <c r="JOS23" s="2"/>
      <c r="JOT23" s="2"/>
      <c r="JOU23" s="2"/>
      <c r="JOV23" s="2"/>
      <c r="JOW23" s="2"/>
      <c r="JOX23" s="2"/>
      <c r="JOY23" s="2"/>
      <c r="JOZ23" s="2"/>
      <c r="JPA23" s="2"/>
      <c r="JPB23" s="2"/>
      <c r="JPC23" s="2"/>
      <c r="JPD23" s="2"/>
      <c r="JPE23" s="2"/>
      <c r="JPF23" s="2"/>
      <c r="JPG23" s="2"/>
      <c r="JPH23" s="2"/>
      <c r="JPI23" s="2"/>
      <c r="JPJ23" s="2"/>
      <c r="JPK23" s="2"/>
      <c r="JPL23" s="2"/>
      <c r="JPM23" s="2"/>
      <c r="JPN23" s="2"/>
      <c r="JPO23" s="2"/>
      <c r="JPP23" s="2"/>
      <c r="JPQ23" s="2"/>
      <c r="JPR23" s="2"/>
      <c r="JPS23" s="2"/>
      <c r="JPT23" s="2"/>
      <c r="JPU23" s="2"/>
      <c r="JPV23" s="2"/>
      <c r="JPW23" s="2"/>
      <c r="JPX23" s="2"/>
      <c r="JPY23" s="2"/>
      <c r="JPZ23" s="2"/>
      <c r="JQA23" s="2"/>
      <c r="JQB23" s="2"/>
      <c r="JQC23" s="2"/>
      <c r="JQD23" s="2"/>
      <c r="JQE23" s="2"/>
      <c r="JQF23" s="2"/>
      <c r="JQG23" s="2"/>
      <c r="JQH23" s="2"/>
      <c r="JQI23" s="2"/>
      <c r="JQJ23" s="2"/>
      <c r="JQK23" s="2"/>
      <c r="JQL23" s="2"/>
      <c r="JQM23" s="2"/>
      <c r="JQN23" s="2"/>
      <c r="JQO23" s="2"/>
      <c r="JQP23" s="2"/>
      <c r="JQQ23" s="2"/>
      <c r="JQR23" s="2"/>
      <c r="JQS23" s="2"/>
      <c r="JQT23" s="2"/>
      <c r="JQU23" s="2"/>
      <c r="JQV23" s="2"/>
      <c r="JQW23" s="2"/>
      <c r="JQX23" s="2"/>
      <c r="JQY23" s="2"/>
      <c r="JQZ23" s="2"/>
      <c r="JRA23" s="2"/>
      <c r="JRB23" s="2"/>
      <c r="JRC23" s="2"/>
      <c r="JRD23" s="2"/>
      <c r="JRE23" s="2"/>
      <c r="JRF23" s="2"/>
      <c r="JRG23" s="2"/>
      <c r="JRH23" s="2"/>
      <c r="JRI23" s="2"/>
      <c r="JRJ23" s="2"/>
      <c r="JRK23" s="2"/>
      <c r="JRL23" s="2"/>
      <c r="JRM23" s="2"/>
      <c r="JRN23" s="2"/>
      <c r="JRO23" s="2"/>
      <c r="JRP23" s="2"/>
      <c r="JRQ23" s="2"/>
      <c r="JRR23" s="2"/>
      <c r="JRS23" s="2"/>
      <c r="JRT23" s="2"/>
      <c r="JRU23" s="2"/>
      <c r="JRV23" s="2"/>
      <c r="JRW23" s="2"/>
      <c r="JRX23" s="2"/>
      <c r="JRY23" s="2"/>
      <c r="JRZ23" s="2"/>
      <c r="JSA23" s="2"/>
      <c r="JSB23" s="2"/>
      <c r="JSC23" s="2"/>
      <c r="JSD23" s="2"/>
      <c r="JSE23" s="2"/>
      <c r="JSF23" s="2"/>
      <c r="JSG23" s="2"/>
      <c r="JSH23" s="2"/>
      <c r="JSI23" s="2"/>
      <c r="JSJ23" s="2"/>
      <c r="JSK23" s="2"/>
      <c r="JSL23" s="2"/>
      <c r="JSM23" s="2"/>
      <c r="JSN23" s="2"/>
      <c r="JSO23" s="2"/>
      <c r="JSP23" s="2"/>
      <c r="JSQ23" s="2"/>
      <c r="JSR23" s="2"/>
      <c r="JSS23" s="2"/>
      <c r="JST23" s="2"/>
      <c r="JSU23" s="2"/>
      <c r="JSV23" s="2"/>
      <c r="JSW23" s="2"/>
      <c r="JSX23" s="2"/>
      <c r="JSY23" s="2"/>
      <c r="JSZ23" s="2"/>
      <c r="JTA23" s="2"/>
      <c r="JTB23" s="2"/>
      <c r="JTC23" s="2"/>
      <c r="JTD23" s="2"/>
      <c r="JTE23" s="2"/>
      <c r="JTF23" s="2"/>
      <c r="JTG23" s="2"/>
      <c r="JTH23" s="2"/>
      <c r="JTI23" s="2"/>
      <c r="JTJ23" s="2"/>
      <c r="JTK23" s="2"/>
      <c r="JTL23" s="2"/>
      <c r="JTM23" s="2"/>
      <c r="JTN23" s="2"/>
      <c r="JTO23" s="2"/>
      <c r="JTP23" s="2"/>
      <c r="JTQ23" s="2"/>
      <c r="JTR23" s="2"/>
      <c r="JTS23" s="2"/>
      <c r="JTT23" s="2"/>
      <c r="JTU23" s="2"/>
      <c r="JTV23" s="2"/>
      <c r="JTW23" s="2"/>
      <c r="JTX23" s="2"/>
      <c r="JTY23" s="2"/>
      <c r="JTZ23" s="2"/>
      <c r="JUA23" s="2"/>
      <c r="JUB23" s="2"/>
      <c r="JUC23" s="2"/>
      <c r="JUD23" s="2"/>
      <c r="JUE23" s="2"/>
      <c r="JUF23" s="2"/>
      <c r="JUG23" s="2"/>
      <c r="JUH23" s="2"/>
      <c r="JUI23" s="2"/>
      <c r="JUJ23" s="2"/>
      <c r="JUK23" s="2"/>
      <c r="JUL23" s="2"/>
      <c r="JUM23" s="2"/>
      <c r="JUN23" s="2"/>
      <c r="JUO23" s="2"/>
      <c r="JUP23" s="2"/>
      <c r="JUQ23" s="2"/>
      <c r="JUR23" s="2"/>
      <c r="JUS23" s="2"/>
      <c r="JUT23" s="2"/>
      <c r="JUU23" s="2"/>
      <c r="JUV23" s="2"/>
      <c r="JUW23" s="2"/>
      <c r="JUX23" s="2"/>
      <c r="JUY23" s="2"/>
      <c r="JUZ23" s="2"/>
      <c r="JVA23" s="2"/>
      <c r="JVB23" s="2"/>
      <c r="JVC23" s="2"/>
      <c r="JVD23" s="2"/>
      <c r="JVE23" s="2"/>
      <c r="JVF23" s="2"/>
      <c r="JVG23" s="2"/>
      <c r="JVH23" s="2"/>
      <c r="JVI23" s="2"/>
      <c r="JVJ23" s="2"/>
      <c r="JVK23" s="2"/>
      <c r="JVL23" s="2"/>
      <c r="JVM23" s="2"/>
      <c r="JVN23" s="2"/>
      <c r="JVO23" s="2"/>
      <c r="JVP23" s="2"/>
      <c r="JVQ23" s="2"/>
      <c r="JVR23" s="2"/>
      <c r="JVS23" s="2"/>
      <c r="JVT23" s="2"/>
      <c r="JVU23" s="2"/>
      <c r="JVV23" s="2"/>
      <c r="JVW23" s="2"/>
      <c r="JVX23" s="2"/>
      <c r="JVY23" s="2"/>
      <c r="JVZ23" s="2"/>
      <c r="JWA23" s="2"/>
      <c r="JWB23" s="2"/>
      <c r="JWC23" s="2"/>
      <c r="JWD23" s="2"/>
      <c r="JWE23" s="2"/>
      <c r="JWF23" s="2"/>
      <c r="JWG23" s="2"/>
      <c r="JWH23" s="2"/>
      <c r="JWI23" s="2"/>
      <c r="JWJ23" s="2"/>
      <c r="JWK23" s="2"/>
      <c r="JWL23" s="2"/>
      <c r="JWM23" s="2"/>
      <c r="JWN23" s="2"/>
      <c r="JWO23" s="2"/>
      <c r="JWP23" s="2"/>
      <c r="JWQ23" s="2"/>
      <c r="JWR23" s="2"/>
      <c r="JWS23" s="2"/>
      <c r="JWT23" s="2"/>
      <c r="JWU23" s="2"/>
      <c r="JWV23" s="2"/>
      <c r="JWW23" s="2"/>
      <c r="JWX23" s="2"/>
      <c r="JWY23" s="2"/>
      <c r="JWZ23" s="2"/>
      <c r="JXA23" s="2"/>
      <c r="JXB23" s="2"/>
      <c r="JXC23" s="2"/>
      <c r="JXD23" s="2"/>
      <c r="JXE23" s="2"/>
      <c r="JXF23" s="2"/>
      <c r="JXG23" s="2"/>
      <c r="JXH23" s="2"/>
      <c r="JXI23" s="2"/>
      <c r="JXJ23" s="2"/>
      <c r="JXK23" s="2"/>
      <c r="JXL23" s="2"/>
      <c r="JXM23" s="2"/>
      <c r="JXN23" s="2"/>
      <c r="JXO23" s="2"/>
      <c r="JXP23" s="2"/>
      <c r="JXQ23" s="2"/>
      <c r="JXR23" s="2"/>
      <c r="JXS23" s="2"/>
      <c r="JXT23" s="2"/>
      <c r="JXU23" s="2"/>
      <c r="JXV23" s="2"/>
      <c r="JXW23" s="2"/>
      <c r="JXX23" s="2"/>
      <c r="JXY23" s="2"/>
      <c r="JXZ23" s="2"/>
      <c r="JYA23" s="2"/>
      <c r="JYB23" s="2"/>
      <c r="JYC23" s="2"/>
      <c r="JYD23" s="2"/>
      <c r="JYE23" s="2"/>
      <c r="JYF23" s="2"/>
      <c r="JYG23" s="2"/>
      <c r="JYH23" s="2"/>
      <c r="JYI23" s="2"/>
      <c r="JYJ23" s="2"/>
      <c r="JYK23" s="2"/>
      <c r="JYL23" s="2"/>
      <c r="JYM23" s="2"/>
      <c r="JYN23" s="2"/>
      <c r="JYO23" s="2"/>
      <c r="JYP23" s="2"/>
      <c r="JYQ23" s="2"/>
      <c r="JYR23" s="2"/>
      <c r="JYS23" s="2"/>
      <c r="JYT23" s="2"/>
      <c r="JYU23" s="2"/>
      <c r="JYV23" s="2"/>
      <c r="JYW23" s="2"/>
      <c r="JYX23" s="2"/>
      <c r="JYY23" s="2"/>
      <c r="JYZ23" s="2"/>
      <c r="JZA23" s="2"/>
      <c r="JZB23" s="2"/>
      <c r="JZC23" s="2"/>
      <c r="JZD23" s="2"/>
      <c r="JZE23" s="2"/>
      <c r="JZF23" s="2"/>
      <c r="JZG23" s="2"/>
      <c r="JZH23" s="2"/>
      <c r="JZI23" s="2"/>
      <c r="JZJ23" s="2"/>
      <c r="JZK23" s="2"/>
      <c r="JZL23" s="2"/>
      <c r="JZM23" s="2"/>
      <c r="JZN23" s="2"/>
      <c r="JZO23" s="2"/>
      <c r="JZP23" s="2"/>
      <c r="JZQ23" s="2"/>
      <c r="JZR23" s="2"/>
      <c r="JZS23" s="2"/>
      <c r="JZT23" s="2"/>
      <c r="JZU23" s="2"/>
      <c r="JZV23" s="2"/>
      <c r="JZW23" s="2"/>
      <c r="JZX23" s="2"/>
      <c r="JZY23" s="2"/>
      <c r="JZZ23" s="2"/>
      <c r="KAA23" s="2"/>
      <c r="KAB23" s="2"/>
      <c r="KAC23" s="2"/>
      <c r="KAD23" s="2"/>
      <c r="KAE23" s="2"/>
      <c r="KAF23" s="2"/>
      <c r="KAG23" s="2"/>
      <c r="KAH23" s="2"/>
      <c r="KAI23" s="2"/>
      <c r="KAJ23" s="2"/>
      <c r="KAK23" s="2"/>
      <c r="KAL23" s="2"/>
      <c r="KAM23" s="2"/>
      <c r="KAN23" s="2"/>
      <c r="KAO23" s="2"/>
      <c r="KAP23" s="2"/>
      <c r="KAQ23" s="2"/>
      <c r="KAR23" s="2"/>
      <c r="KAS23" s="2"/>
      <c r="KAT23" s="2"/>
      <c r="KAU23" s="2"/>
      <c r="KAV23" s="2"/>
      <c r="KAW23" s="2"/>
      <c r="KAX23" s="2"/>
      <c r="KAY23" s="2"/>
      <c r="KAZ23" s="2"/>
      <c r="KBA23" s="2"/>
      <c r="KBB23" s="2"/>
      <c r="KBC23" s="2"/>
      <c r="KBD23" s="2"/>
      <c r="KBE23" s="2"/>
      <c r="KBF23" s="2"/>
      <c r="KBG23" s="2"/>
      <c r="KBH23" s="2"/>
      <c r="KBI23" s="2"/>
      <c r="KBJ23" s="2"/>
      <c r="KBK23" s="2"/>
      <c r="KBL23" s="2"/>
      <c r="KBM23" s="2"/>
      <c r="KBN23" s="2"/>
      <c r="KBO23" s="2"/>
      <c r="KBP23" s="2"/>
      <c r="KBQ23" s="2"/>
      <c r="KBR23" s="2"/>
      <c r="KBS23" s="2"/>
      <c r="KBT23" s="2"/>
      <c r="KBU23" s="2"/>
      <c r="KBV23" s="2"/>
      <c r="KBW23" s="2"/>
      <c r="KBX23" s="2"/>
      <c r="KBY23" s="2"/>
      <c r="KBZ23" s="2"/>
      <c r="KCA23" s="2"/>
      <c r="KCB23" s="2"/>
      <c r="KCC23" s="2"/>
      <c r="KCD23" s="2"/>
      <c r="KCE23" s="2"/>
      <c r="KCF23" s="2"/>
      <c r="KCG23" s="2"/>
      <c r="KCH23" s="2"/>
      <c r="KCI23" s="2"/>
      <c r="KCJ23" s="2"/>
      <c r="KCK23" s="2"/>
      <c r="KCL23" s="2"/>
      <c r="KCM23" s="2"/>
      <c r="KCN23" s="2"/>
      <c r="KCO23" s="2"/>
      <c r="KCP23" s="2"/>
      <c r="KCQ23" s="2"/>
      <c r="KCR23" s="2"/>
      <c r="KCS23" s="2"/>
      <c r="KCT23" s="2"/>
      <c r="KCU23" s="2"/>
      <c r="KCV23" s="2"/>
      <c r="KCW23" s="2"/>
      <c r="KCX23" s="2"/>
      <c r="KCY23" s="2"/>
      <c r="KCZ23" s="2"/>
      <c r="KDA23" s="2"/>
      <c r="KDB23" s="2"/>
      <c r="KDC23" s="2"/>
      <c r="KDD23" s="2"/>
      <c r="KDE23" s="2"/>
      <c r="KDF23" s="2"/>
      <c r="KDG23" s="2"/>
      <c r="KDH23" s="2"/>
      <c r="KDI23" s="2"/>
      <c r="KDJ23" s="2"/>
      <c r="KDK23" s="2"/>
      <c r="KDL23" s="2"/>
      <c r="KDM23" s="2"/>
      <c r="KDN23" s="2"/>
      <c r="KDO23" s="2"/>
      <c r="KDP23" s="2"/>
      <c r="KDQ23" s="2"/>
      <c r="KDR23" s="2"/>
      <c r="KDS23" s="2"/>
      <c r="KDT23" s="2"/>
      <c r="KDU23" s="2"/>
      <c r="KDV23" s="2"/>
      <c r="KDW23" s="2"/>
      <c r="KDX23" s="2"/>
      <c r="KDY23" s="2"/>
      <c r="KDZ23" s="2"/>
      <c r="KEA23" s="2"/>
      <c r="KEB23" s="2"/>
      <c r="KEC23" s="2"/>
      <c r="KED23" s="2"/>
      <c r="KEE23" s="2"/>
      <c r="KEF23" s="2"/>
      <c r="KEG23" s="2"/>
      <c r="KEH23" s="2"/>
      <c r="KEI23" s="2"/>
      <c r="KEJ23" s="2"/>
      <c r="KEK23" s="2"/>
      <c r="KEL23" s="2"/>
      <c r="KEM23" s="2"/>
      <c r="KEN23" s="2"/>
      <c r="KEO23" s="2"/>
      <c r="KEP23" s="2"/>
      <c r="KEQ23" s="2"/>
      <c r="KER23" s="2"/>
      <c r="KES23" s="2"/>
      <c r="KET23" s="2"/>
      <c r="KEU23" s="2"/>
      <c r="KEV23" s="2"/>
      <c r="KEW23" s="2"/>
      <c r="KEX23" s="2"/>
      <c r="KEY23" s="2"/>
      <c r="KEZ23" s="2"/>
      <c r="KFA23" s="2"/>
      <c r="KFB23" s="2"/>
      <c r="KFC23" s="2"/>
      <c r="KFD23" s="2"/>
      <c r="KFE23" s="2"/>
      <c r="KFF23" s="2"/>
      <c r="KFG23" s="2"/>
      <c r="KFH23" s="2"/>
      <c r="KFI23" s="2"/>
      <c r="KFJ23" s="2"/>
      <c r="KFK23" s="2"/>
      <c r="KFL23" s="2"/>
      <c r="KFM23" s="2"/>
      <c r="KFN23" s="2"/>
      <c r="KFO23" s="2"/>
      <c r="KFP23" s="2"/>
      <c r="KFQ23" s="2"/>
      <c r="KFR23" s="2"/>
      <c r="KFS23" s="2"/>
      <c r="KFT23" s="2"/>
      <c r="KFU23" s="2"/>
      <c r="KFV23" s="2"/>
      <c r="KFW23" s="2"/>
      <c r="KFX23" s="2"/>
      <c r="KFY23" s="2"/>
      <c r="KFZ23" s="2"/>
      <c r="KGA23" s="2"/>
      <c r="KGB23" s="2"/>
      <c r="KGC23" s="2"/>
      <c r="KGD23" s="2"/>
      <c r="KGE23" s="2"/>
      <c r="KGF23" s="2"/>
      <c r="KGG23" s="2"/>
      <c r="KGH23" s="2"/>
      <c r="KGI23" s="2"/>
      <c r="KGJ23" s="2"/>
      <c r="KGK23" s="2"/>
      <c r="KGL23" s="2"/>
      <c r="KGM23" s="2"/>
      <c r="KGN23" s="2"/>
      <c r="KGO23" s="2"/>
      <c r="KGP23" s="2"/>
      <c r="KGQ23" s="2"/>
      <c r="KGR23" s="2"/>
      <c r="KGS23" s="2"/>
      <c r="KGT23" s="2"/>
      <c r="KGU23" s="2"/>
      <c r="KGV23" s="2"/>
      <c r="KGW23" s="2"/>
      <c r="KGX23" s="2"/>
      <c r="KGY23" s="2"/>
      <c r="KGZ23" s="2"/>
      <c r="KHA23" s="2"/>
      <c r="KHB23" s="2"/>
      <c r="KHC23" s="2"/>
      <c r="KHD23" s="2"/>
      <c r="KHE23" s="2"/>
      <c r="KHF23" s="2"/>
      <c r="KHG23" s="2"/>
      <c r="KHH23" s="2"/>
      <c r="KHI23" s="2"/>
      <c r="KHJ23" s="2"/>
      <c r="KHK23" s="2"/>
      <c r="KHL23" s="2"/>
      <c r="KHM23" s="2"/>
      <c r="KHN23" s="2"/>
      <c r="KHO23" s="2"/>
      <c r="KHP23" s="2"/>
      <c r="KHQ23" s="2"/>
      <c r="KHR23" s="2"/>
      <c r="KHS23" s="2"/>
      <c r="KHT23" s="2"/>
      <c r="KHU23" s="2"/>
      <c r="KHV23" s="2"/>
      <c r="KHW23" s="2"/>
      <c r="KHX23" s="2"/>
      <c r="KHY23" s="2"/>
      <c r="KHZ23" s="2"/>
      <c r="KIA23" s="2"/>
      <c r="KIB23" s="2"/>
      <c r="KIC23" s="2"/>
      <c r="KID23" s="2"/>
      <c r="KIE23" s="2"/>
      <c r="KIF23" s="2"/>
      <c r="KIG23" s="2"/>
      <c r="KIH23" s="2"/>
      <c r="KII23" s="2"/>
      <c r="KIJ23" s="2"/>
      <c r="KIK23" s="2"/>
      <c r="KIL23" s="2"/>
      <c r="KIM23" s="2"/>
      <c r="KIN23" s="2"/>
      <c r="KIO23" s="2"/>
      <c r="KIP23" s="2"/>
      <c r="KIQ23" s="2"/>
      <c r="KIR23" s="2"/>
      <c r="KIS23" s="2"/>
      <c r="KIT23" s="2"/>
      <c r="KIU23" s="2"/>
      <c r="KIV23" s="2"/>
      <c r="KIW23" s="2"/>
      <c r="KIX23" s="2"/>
      <c r="KIY23" s="2"/>
      <c r="KIZ23" s="2"/>
      <c r="KJA23" s="2"/>
      <c r="KJB23" s="2"/>
      <c r="KJC23" s="2"/>
      <c r="KJD23" s="2"/>
      <c r="KJE23" s="2"/>
      <c r="KJF23" s="2"/>
      <c r="KJG23" s="2"/>
      <c r="KJH23" s="2"/>
      <c r="KJI23" s="2"/>
      <c r="KJJ23" s="2"/>
      <c r="KJK23" s="2"/>
      <c r="KJL23" s="2"/>
      <c r="KJM23" s="2"/>
      <c r="KJN23" s="2"/>
      <c r="KJO23" s="2"/>
      <c r="KJP23" s="2"/>
      <c r="KJQ23" s="2"/>
      <c r="KJR23" s="2"/>
      <c r="KJS23" s="2"/>
      <c r="KJT23" s="2"/>
      <c r="KJU23" s="2"/>
      <c r="KJV23" s="2"/>
      <c r="KJW23" s="2"/>
      <c r="KJX23" s="2"/>
      <c r="KJY23" s="2"/>
      <c r="KJZ23" s="2"/>
      <c r="KKA23" s="2"/>
      <c r="KKB23" s="2"/>
      <c r="KKC23" s="2"/>
      <c r="KKD23" s="2"/>
      <c r="KKE23" s="2"/>
      <c r="KKF23" s="2"/>
      <c r="KKG23" s="2"/>
      <c r="KKH23" s="2"/>
      <c r="KKI23" s="2"/>
      <c r="KKJ23" s="2"/>
      <c r="KKK23" s="2"/>
      <c r="KKL23" s="2"/>
      <c r="KKM23" s="2"/>
      <c r="KKN23" s="2"/>
      <c r="KKO23" s="2"/>
      <c r="KKP23" s="2"/>
      <c r="KKQ23" s="2"/>
      <c r="KKR23" s="2"/>
      <c r="KKS23" s="2"/>
      <c r="KKT23" s="2"/>
      <c r="KKU23" s="2"/>
      <c r="KKV23" s="2"/>
      <c r="KKW23" s="2"/>
      <c r="KKX23" s="2"/>
      <c r="KKY23" s="2"/>
      <c r="KKZ23" s="2"/>
      <c r="KLA23" s="2"/>
      <c r="KLB23" s="2"/>
      <c r="KLC23" s="2"/>
      <c r="KLD23" s="2"/>
      <c r="KLE23" s="2"/>
      <c r="KLF23" s="2"/>
      <c r="KLG23" s="2"/>
      <c r="KLH23" s="2"/>
      <c r="KLI23" s="2"/>
      <c r="KLJ23" s="2"/>
      <c r="KLK23" s="2"/>
      <c r="KLL23" s="2"/>
      <c r="KLM23" s="2"/>
      <c r="KLN23" s="2"/>
      <c r="KLO23" s="2"/>
      <c r="KLP23" s="2"/>
      <c r="KLQ23" s="2"/>
      <c r="KLR23" s="2"/>
      <c r="KLS23" s="2"/>
      <c r="KLT23" s="2"/>
      <c r="KLU23" s="2"/>
      <c r="KLV23" s="2"/>
      <c r="KLW23" s="2"/>
      <c r="KLX23" s="2"/>
      <c r="KLY23" s="2"/>
      <c r="KLZ23" s="2"/>
      <c r="KMA23" s="2"/>
      <c r="KMB23" s="2"/>
      <c r="KMC23" s="2"/>
      <c r="KMD23" s="2"/>
      <c r="KME23" s="2"/>
      <c r="KMF23" s="2"/>
      <c r="KMG23" s="2"/>
      <c r="KMH23" s="2"/>
      <c r="KMI23" s="2"/>
      <c r="KMJ23" s="2"/>
      <c r="KMK23" s="2"/>
      <c r="KML23" s="2"/>
      <c r="KMM23" s="2"/>
      <c r="KMN23" s="2"/>
      <c r="KMO23" s="2"/>
      <c r="KMP23" s="2"/>
      <c r="KMQ23" s="2"/>
      <c r="KMR23" s="2"/>
      <c r="KMS23" s="2"/>
      <c r="KMT23" s="2"/>
      <c r="KMU23" s="2"/>
      <c r="KMV23" s="2"/>
      <c r="KMW23" s="2"/>
      <c r="KMX23" s="2"/>
      <c r="KMY23" s="2"/>
      <c r="KMZ23" s="2"/>
      <c r="KNA23" s="2"/>
      <c r="KNB23" s="2"/>
      <c r="KNC23" s="2"/>
      <c r="KND23" s="2"/>
      <c r="KNE23" s="2"/>
      <c r="KNF23" s="2"/>
      <c r="KNG23" s="2"/>
      <c r="KNH23" s="2"/>
      <c r="KNI23" s="2"/>
      <c r="KNJ23" s="2"/>
      <c r="KNK23" s="2"/>
      <c r="KNL23" s="2"/>
      <c r="KNM23" s="2"/>
      <c r="KNN23" s="2"/>
      <c r="KNO23" s="2"/>
      <c r="KNP23" s="2"/>
      <c r="KNQ23" s="2"/>
      <c r="KNR23" s="2"/>
      <c r="KNS23" s="2"/>
      <c r="KNT23" s="2"/>
      <c r="KNU23" s="2"/>
      <c r="KNV23" s="2"/>
      <c r="KNW23" s="2"/>
      <c r="KNX23" s="2"/>
      <c r="KNY23" s="2"/>
      <c r="KNZ23" s="2"/>
      <c r="KOA23" s="2"/>
      <c r="KOB23" s="2"/>
      <c r="KOC23" s="2"/>
      <c r="KOD23" s="2"/>
      <c r="KOE23" s="2"/>
      <c r="KOF23" s="2"/>
      <c r="KOG23" s="2"/>
      <c r="KOH23" s="2"/>
      <c r="KOI23" s="2"/>
      <c r="KOJ23" s="2"/>
      <c r="KOK23" s="2"/>
      <c r="KOL23" s="2"/>
      <c r="KOM23" s="2"/>
      <c r="KON23" s="2"/>
      <c r="KOO23" s="2"/>
      <c r="KOP23" s="2"/>
      <c r="KOQ23" s="2"/>
      <c r="KOR23" s="2"/>
      <c r="KOS23" s="2"/>
      <c r="KOT23" s="2"/>
      <c r="KOU23" s="2"/>
      <c r="KOV23" s="2"/>
      <c r="KOW23" s="2"/>
      <c r="KOX23" s="2"/>
      <c r="KOY23" s="2"/>
      <c r="KOZ23" s="2"/>
      <c r="KPA23" s="2"/>
      <c r="KPB23" s="2"/>
      <c r="KPC23" s="2"/>
      <c r="KPD23" s="2"/>
      <c r="KPE23" s="2"/>
      <c r="KPF23" s="2"/>
      <c r="KPG23" s="2"/>
      <c r="KPH23" s="2"/>
      <c r="KPI23" s="2"/>
      <c r="KPJ23" s="2"/>
      <c r="KPK23" s="2"/>
      <c r="KPL23" s="2"/>
      <c r="KPM23" s="2"/>
      <c r="KPN23" s="2"/>
      <c r="KPO23" s="2"/>
      <c r="KPP23" s="2"/>
      <c r="KPQ23" s="2"/>
      <c r="KPR23" s="2"/>
      <c r="KPS23" s="2"/>
      <c r="KPT23" s="2"/>
      <c r="KPU23" s="2"/>
      <c r="KPV23" s="2"/>
      <c r="KPW23" s="2"/>
      <c r="KPX23" s="2"/>
      <c r="KPY23" s="2"/>
      <c r="KPZ23" s="2"/>
      <c r="KQA23" s="2"/>
      <c r="KQB23" s="2"/>
      <c r="KQC23" s="2"/>
      <c r="KQD23" s="2"/>
      <c r="KQE23" s="2"/>
      <c r="KQF23" s="2"/>
      <c r="KQG23" s="2"/>
      <c r="KQH23" s="2"/>
      <c r="KQI23" s="2"/>
      <c r="KQJ23" s="2"/>
      <c r="KQK23" s="2"/>
      <c r="KQL23" s="2"/>
      <c r="KQM23" s="2"/>
      <c r="KQN23" s="2"/>
      <c r="KQO23" s="2"/>
      <c r="KQP23" s="2"/>
      <c r="KQQ23" s="2"/>
      <c r="KQR23" s="2"/>
      <c r="KQS23" s="2"/>
      <c r="KQT23" s="2"/>
      <c r="KQU23" s="2"/>
      <c r="KQV23" s="2"/>
      <c r="KQW23" s="2"/>
      <c r="KQX23" s="2"/>
      <c r="KQY23" s="2"/>
      <c r="KQZ23" s="2"/>
      <c r="KRA23" s="2"/>
      <c r="KRB23" s="2"/>
      <c r="KRC23" s="2"/>
      <c r="KRD23" s="2"/>
      <c r="KRE23" s="2"/>
      <c r="KRF23" s="2"/>
      <c r="KRG23" s="2"/>
      <c r="KRH23" s="2"/>
      <c r="KRI23" s="2"/>
      <c r="KRJ23" s="2"/>
      <c r="KRK23" s="2"/>
      <c r="KRL23" s="2"/>
      <c r="KRM23" s="2"/>
      <c r="KRN23" s="2"/>
      <c r="KRO23" s="2"/>
      <c r="KRP23" s="2"/>
      <c r="KRQ23" s="2"/>
      <c r="KRR23" s="2"/>
      <c r="KRS23" s="2"/>
      <c r="KRT23" s="2"/>
      <c r="KRU23" s="2"/>
      <c r="KRV23" s="2"/>
      <c r="KRW23" s="2"/>
      <c r="KRX23" s="2"/>
      <c r="KRY23" s="2"/>
      <c r="KRZ23" s="2"/>
      <c r="KSA23" s="2"/>
      <c r="KSB23" s="2"/>
      <c r="KSC23" s="2"/>
      <c r="KSD23" s="2"/>
      <c r="KSE23" s="2"/>
      <c r="KSF23" s="2"/>
      <c r="KSG23" s="2"/>
      <c r="KSH23" s="2"/>
      <c r="KSI23" s="2"/>
      <c r="KSJ23" s="2"/>
      <c r="KSK23" s="2"/>
      <c r="KSL23" s="2"/>
      <c r="KSM23" s="2"/>
      <c r="KSN23" s="2"/>
      <c r="KSO23" s="2"/>
      <c r="KSP23" s="2"/>
      <c r="KSQ23" s="2"/>
      <c r="KSR23" s="2"/>
      <c r="KSS23" s="2"/>
      <c r="KST23" s="2"/>
      <c r="KSU23" s="2"/>
      <c r="KSV23" s="2"/>
      <c r="KSW23" s="2"/>
      <c r="KSX23" s="2"/>
      <c r="KSY23" s="2"/>
      <c r="KSZ23" s="2"/>
      <c r="KTA23" s="2"/>
      <c r="KTB23" s="2"/>
      <c r="KTC23" s="2"/>
      <c r="KTD23" s="2"/>
      <c r="KTE23" s="2"/>
      <c r="KTF23" s="2"/>
      <c r="KTG23" s="2"/>
      <c r="KTH23" s="2"/>
      <c r="KTI23" s="2"/>
      <c r="KTJ23" s="2"/>
      <c r="KTK23" s="2"/>
      <c r="KTL23" s="2"/>
      <c r="KTM23" s="2"/>
      <c r="KTN23" s="2"/>
      <c r="KTO23" s="2"/>
      <c r="KTP23" s="2"/>
      <c r="KTQ23" s="2"/>
      <c r="KTR23" s="2"/>
      <c r="KTS23" s="2"/>
      <c r="KTT23" s="2"/>
      <c r="KTU23" s="2"/>
      <c r="KTV23" s="2"/>
      <c r="KTW23" s="2"/>
      <c r="KTX23" s="2"/>
      <c r="KTY23" s="2"/>
      <c r="KTZ23" s="2"/>
      <c r="KUA23" s="2"/>
      <c r="KUB23" s="2"/>
      <c r="KUC23" s="2"/>
      <c r="KUD23" s="2"/>
      <c r="KUE23" s="2"/>
      <c r="KUF23" s="2"/>
      <c r="KUG23" s="2"/>
      <c r="KUH23" s="2"/>
      <c r="KUI23" s="2"/>
      <c r="KUJ23" s="2"/>
      <c r="KUK23" s="2"/>
      <c r="KUL23" s="2"/>
      <c r="KUM23" s="2"/>
      <c r="KUN23" s="2"/>
      <c r="KUO23" s="2"/>
      <c r="KUP23" s="2"/>
      <c r="KUQ23" s="2"/>
      <c r="KUR23" s="2"/>
      <c r="KUS23" s="2"/>
      <c r="KUT23" s="2"/>
      <c r="KUU23" s="2"/>
      <c r="KUV23" s="2"/>
      <c r="KUW23" s="2"/>
      <c r="KUX23" s="2"/>
      <c r="KUY23" s="2"/>
      <c r="KUZ23" s="2"/>
      <c r="KVA23" s="2"/>
      <c r="KVB23" s="2"/>
      <c r="KVC23" s="2"/>
      <c r="KVD23" s="2"/>
      <c r="KVE23" s="2"/>
      <c r="KVF23" s="2"/>
      <c r="KVG23" s="2"/>
      <c r="KVH23" s="2"/>
      <c r="KVI23" s="2"/>
      <c r="KVJ23" s="2"/>
      <c r="KVK23" s="2"/>
      <c r="KVL23" s="2"/>
      <c r="KVM23" s="2"/>
      <c r="KVN23" s="2"/>
      <c r="KVO23" s="2"/>
      <c r="KVP23" s="2"/>
      <c r="KVQ23" s="2"/>
      <c r="KVR23" s="2"/>
      <c r="KVS23" s="2"/>
      <c r="KVT23" s="2"/>
      <c r="KVU23" s="2"/>
      <c r="KVV23" s="2"/>
      <c r="KVW23" s="2"/>
      <c r="KVX23" s="2"/>
      <c r="KVY23" s="2"/>
      <c r="KVZ23" s="2"/>
      <c r="KWA23" s="2"/>
      <c r="KWB23" s="2"/>
      <c r="KWC23" s="2"/>
      <c r="KWD23" s="2"/>
      <c r="KWE23" s="2"/>
      <c r="KWF23" s="2"/>
      <c r="KWG23" s="2"/>
      <c r="KWH23" s="2"/>
      <c r="KWI23" s="2"/>
      <c r="KWJ23" s="2"/>
      <c r="KWK23" s="2"/>
      <c r="KWL23" s="2"/>
      <c r="KWM23" s="2"/>
      <c r="KWN23" s="2"/>
      <c r="KWO23" s="2"/>
      <c r="KWP23" s="2"/>
      <c r="KWQ23" s="2"/>
      <c r="KWR23" s="2"/>
      <c r="KWS23" s="2"/>
      <c r="KWT23" s="2"/>
      <c r="KWU23" s="2"/>
      <c r="KWV23" s="2"/>
      <c r="KWW23" s="2"/>
      <c r="KWX23" s="2"/>
      <c r="KWY23" s="2"/>
      <c r="KWZ23" s="2"/>
      <c r="KXA23" s="2"/>
      <c r="KXB23" s="2"/>
      <c r="KXC23" s="2"/>
      <c r="KXD23" s="2"/>
      <c r="KXE23" s="2"/>
      <c r="KXF23" s="2"/>
      <c r="KXG23" s="2"/>
      <c r="KXH23" s="2"/>
      <c r="KXI23" s="2"/>
      <c r="KXJ23" s="2"/>
      <c r="KXK23" s="2"/>
      <c r="KXL23" s="2"/>
      <c r="KXM23" s="2"/>
      <c r="KXN23" s="2"/>
      <c r="KXO23" s="2"/>
      <c r="KXP23" s="2"/>
      <c r="KXQ23" s="2"/>
      <c r="KXR23" s="2"/>
      <c r="KXS23" s="2"/>
      <c r="KXT23" s="2"/>
      <c r="KXU23" s="2"/>
      <c r="KXV23" s="2"/>
      <c r="KXW23" s="2"/>
      <c r="KXX23" s="2"/>
      <c r="KXY23" s="2"/>
      <c r="KXZ23" s="2"/>
      <c r="KYA23" s="2"/>
      <c r="KYB23" s="2"/>
      <c r="KYC23" s="2"/>
      <c r="KYD23" s="2"/>
      <c r="KYE23" s="2"/>
      <c r="KYF23" s="2"/>
      <c r="KYG23" s="2"/>
      <c r="KYH23" s="2"/>
      <c r="KYI23" s="2"/>
      <c r="KYJ23" s="2"/>
      <c r="KYK23" s="2"/>
      <c r="KYL23" s="2"/>
      <c r="KYM23" s="2"/>
      <c r="KYN23" s="2"/>
      <c r="KYO23" s="2"/>
      <c r="KYP23" s="2"/>
      <c r="KYQ23" s="2"/>
      <c r="KYR23" s="2"/>
      <c r="KYS23" s="2"/>
      <c r="KYT23" s="2"/>
      <c r="KYU23" s="2"/>
      <c r="KYV23" s="2"/>
      <c r="KYW23" s="2"/>
      <c r="KYX23" s="2"/>
      <c r="KYY23" s="2"/>
      <c r="KYZ23" s="2"/>
      <c r="KZA23" s="2"/>
      <c r="KZB23" s="2"/>
      <c r="KZC23" s="2"/>
      <c r="KZD23" s="2"/>
      <c r="KZE23" s="2"/>
      <c r="KZF23" s="2"/>
      <c r="KZG23" s="2"/>
      <c r="KZH23" s="2"/>
      <c r="KZI23" s="2"/>
      <c r="KZJ23" s="2"/>
      <c r="KZK23" s="2"/>
      <c r="KZL23" s="2"/>
      <c r="KZM23" s="2"/>
      <c r="KZN23" s="2"/>
      <c r="KZO23" s="2"/>
      <c r="KZP23" s="2"/>
      <c r="KZQ23" s="2"/>
      <c r="KZR23" s="2"/>
      <c r="KZS23" s="2"/>
      <c r="KZT23" s="2"/>
      <c r="KZU23" s="2"/>
      <c r="KZV23" s="2"/>
      <c r="KZW23" s="2"/>
      <c r="KZX23" s="2"/>
      <c r="KZY23" s="2"/>
      <c r="KZZ23" s="2"/>
      <c r="LAA23" s="2"/>
      <c r="LAB23" s="2"/>
      <c r="LAC23" s="2"/>
      <c r="LAD23" s="2"/>
      <c r="LAE23" s="2"/>
      <c r="LAF23" s="2"/>
      <c r="LAG23" s="2"/>
      <c r="LAH23" s="2"/>
      <c r="LAI23" s="2"/>
      <c r="LAJ23" s="2"/>
      <c r="LAK23" s="2"/>
      <c r="LAL23" s="2"/>
      <c r="LAM23" s="2"/>
      <c r="LAN23" s="2"/>
      <c r="LAO23" s="2"/>
      <c r="LAP23" s="2"/>
      <c r="LAQ23" s="2"/>
      <c r="LAR23" s="2"/>
      <c r="LAS23" s="2"/>
      <c r="LAT23" s="2"/>
      <c r="LAU23" s="2"/>
      <c r="LAV23" s="2"/>
      <c r="LAW23" s="2"/>
      <c r="LAX23" s="2"/>
      <c r="LAY23" s="2"/>
      <c r="LAZ23" s="2"/>
      <c r="LBA23" s="2"/>
      <c r="LBB23" s="2"/>
      <c r="LBC23" s="2"/>
      <c r="LBD23" s="2"/>
      <c r="LBE23" s="2"/>
      <c r="LBF23" s="2"/>
      <c r="LBG23" s="2"/>
      <c r="LBH23" s="2"/>
      <c r="LBI23" s="2"/>
      <c r="LBJ23" s="2"/>
      <c r="LBK23" s="2"/>
      <c r="LBL23" s="2"/>
      <c r="LBM23" s="2"/>
      <c r="LBN23" s="2"/>
      <c r="LBO23" s="2"/>
      <c r="LBP23" s="2"/>
      <c r="LBQ23" s="2"/>
      <c r="LBR23" s="2"/>
      <c r="LBS23" s="2"/>
      <c r="LBT23" s="2"/>
      <c r="LBU23" s="2"/>
      <c r="LBV23" s="2"/>
      <c r="LBW23" s="2"/>
      <c r="LBX23" s="2"/>
      <c r="LBY23" s="2"/>
      <c r="LBZ23" s="2"/>
      <c r="LCA23" s="2"/>
      <c r="LCB23" s="2"/>
      <c r="LCC23" s="2"/>
      <c r="LCD23" s="2"/>
      <c r="LCE23" s="2"/>
      <c r="LCF23" s="2"/>
      <c r="LCG23" s="2"/>
      <c r="LCH23" s="2"/>
      <c r="LCI23" s="2"/>
      <c r="LCJ23" s="2"/>
      <c r="LCK23" s="2"/>
      <c r="LCL23" s="2"/>
      <c r="LCM23" s="2"/>
      <c r="LCN23" s="2"/>
      <c r="LCO23" s="2"/>
      <c r="LCP23" s="2"/>
      <c r="LCQ23" s="2"/>
      <c r="LCR23" s="2"/>
      <c r="LCS23" s="2"/>
      <c r="LCT23" s="2"/>
      <c r="LCU23" s="2"/>
      <c r="LCV23" s="2"/>
      <c r="LCW23" s="2"/>
      <c r="LCX23" s="2"/>
      <c r="LCY23" s="2"/>
      <c r="LCZ23" s="2"/>
      <c r="LDA23" s="2"/>
      <c r="LDB23" s="2"/>
      <c r="LDC23" s="2"/>
      <c r="LDD23" s="2"/>
      <c r="LDE23" s="2"/>
      <c r="LDF23" s="2"/>
      <c r="LDG23" s="2"/>
      <c r="LDH23" s="2"/>
      <c r="LDI23" s="2"/>
      <c r="LDJ23" s="2"/>
      <c r="LDK23" s="2"/>
      <c r="LDL23" s="2"/>
      <c r="LDM23" s="2"/>
      <c r="LDN23" s="2"/>
      <c r="LDO23" s="2"/>
      <c r="LDP23" s="2"/>
      <c r="LDQ23" s="2"/>
      <c r="LDR23" s="2"/>
      <c r="LDS23" s="2"/>
      <c r="LDT23" s="2"/>
      <c r="LDU23" s="2"/>
      <c r="LDV23" s="2"/>
      <c r="LDW23" s="2"/>
      <c r="LDX23" s="2"/>
      <c r="LDY23" s="2"/>
      <c r="LDZ23" s="2"/>
      <c r="LEA23" s="2"/>
      <c r="LEB23" s="2"/>
      <c r="LEC23" s="2"/>
      <c r="LED23" s="2"/>
      <c r="LEE23" s="2"/>
      <c r="LEF23" s="2"/>
      <c r="LEG23" s="2"/>
      <c r="LEH23" s="2"/>
      <c r="LEI23" s="2"/>
      <c r="LEJ23" s="2"/>
      <c r="LEK23" s="2"/>
      <c r="LEL23" s="2"/>
      <c r="LEM23" s="2"/>
      <c r="LEN23" s="2"/>
      <c r="LEO23" s="2"/>
      <c r="LEP23" s="2"/>
      <c r="LEQ23" s="2"/>
      <c r="LER23" s="2"/>
      <c r="LES23" s="2"/>
      <c r="LET23" s="2"/>
      <c r="LEU23" s="2"/>
      <c r="LEV23" s="2"/>
      <c r="LEW23" s="2"/>
      <c r="LEX23" s="2"/>
      <c r="LEY23" s="2"/>
      <c r="LEZ23" s="2"/>
      <c r="LFA23" s="2"/>
      <c r="LFB23" s="2"/>
      <c r="LFC23" s="2"/>
      <c r="LFD23" s="2"/>
      <c r="LFE23" s="2"/>
      <c r="LFF23" s="2"/>
      <c r="LFG23" s="2"/>
      <c r="LFH23" s="2"/>
      <c r="LFI23" s="2"/>
      <c r="LFJ23" s="2"/>
      <c r="LFK23" s="2"/>
      <c r="LFL23" s="2"/>
      <c r="LFM23" s="2"/>
      <c r="LFN23" s="2"/>
      <c r="LFO23" s="2"/>
      <c r="LFP23" s="2"/>
      <c r="LFQ23" s="2"/>
      <c r="LFR23" s="2"/>
      <c r="LFS23" s="2"/>
      <c r="LFT23" s="2"/>
      <c r="LFU23" s="2"/>
      <c r="LFV23" s="2"/>
      <c r="LFW23" s="2"/>
      <c r="LFX23" s="2"/>
      <c r="LFY23" s="2"/>
      <c r="LFZ23" s="2"/>
      <c r="LGA23" s="2"/>
      <c r="LGB23" s="2"/>
      <c r="LGC23" s="2"/>
      <c r="LGD23" s="2"/>
      <c r="LGE23" s="2"/>
      <c r="LGF23" s="2"/>
      <c r="LGG23" s="2"/>
      <c r="LGH23" s="2"/>
      <c r="LGI23" s="2"/>
      <c r="LGJ23" s="2"/>
      <c r="LGK23" s="2"/>
      <c r="LGL23" s="2"/>
      <c r="LGM23" s="2"/>
      <c r="LGN23" s="2"/>
      <c r="LGO23" s="2"/>
      <c r="LGP23" s="2"/>
      <c r="LGQ23" s="2"/>
      <c r="LGR23" s="2"/>
      <c r="LGS23" s="2"/>
      <c r="LGT23" s="2"/>
      <c r="LGU23" s="2"/>
      <c r="LGV23" s="2"/>
      <c r="LGW23" s="2"/>
      <c r="LGX23" s="2"/>
      <c r="LGY23" s="2"/>
      <c r="LGZ23" s="2"/>
      <c r="LHA23" s="2"/>
      <c r="LHB23" s="2"/>
      <c r="LHC23" s="2"/>
      <c r="LHD23" s="2"/>
      <c r="LHE23" s="2"/>
      <c r="LHF23" s="2"/>
      <c r="LHG23" s="2"/>
      <c r="LHH23" s="2"/>
      <c r="LHI23" s="2"/>
      <c r="LHJ23" s="2"/>
      <c r="LHK23" s="2"/>
      <c r="LHL23" s="2"/>
      <c r="LHM23" s="2"/>
      <c r="LHN23" s="2"/>
      <c r="LHO23" s="2"/>
      <c r="LHP23" s="2"/>
      <c r="LHQ23" s="2"/>
      <c r="LHR23" s="2"/>
      <c r="LHS23" s="2"/>
      <c r="LHT23" s="2"/>
      <c r="LHU23" s="2"/>
      <c r="LHV23" s="2"/>
      <c r="LHW23" s="2"/>
      <c r="LHX23" s="2"/>
      <c r="LHY23" s="2"/>
      <c r="LHZ23" s="2"/>
      <c r="LIA23" s="2"/>
      <c r="LIB23" s="2"/>
      <c r="LIC23" s="2"/>
      <c r="LID23" s="2"/>
      <c r="LIE23" s="2"/>
      <c r="LIF23" s="2"/>
      <c r="LIG23" s="2"/>
      <c r="LIH23" s="2"/>
      <c r="LII23" s="2"/>
      <c r="LIJ23" s="2"/>
      <c r="LIK23" s="2"/>
      <c r="LIL23" s="2"/>
      <c r="LIM23" s="2"/>
      <c r="LIN23" s="2"/>
      <c r="LIO23" s="2"/>
      <c r="LIP23" s="2"/>
      <c r="LIQ23" s="2"/>
      <c r="LIR23" s="2"/>
      <c r="LIS23" s="2"/>
      <c r="LIT23" s="2"/>
      <c r="LIU23" s="2"/>
      <c r="LIV23" s="2"/>
      <c r="LIW23" s="2"/>
      <c r="LIX23" s="2"/>
      <c r="LIY23" s="2"/>
      <c r="LIZ23" s="2"/>
      <c r="LJA23" s="2"/>
      <c r="LJB23" s="2"/>
      <c r="LJC23" s="2"/>
      <c r="LJD23" s="2"/>
      <c r="LJE23" s="2"/>
      <c r="LJF23" s="2"/>
      <c r="LJG23" s="2"/>
      <c r="LJH23" s="2"/>
      <c r="LJI23" s="2"/>
      <c r="LJJ23" s="2"/>
      <c r="LJK23" s="2"/>
      <c r="LJL23" s="2"/>
      <c r="LJM23" s="2"/>
      <c r="LJN23" s="2"/>
      <c r="LJO23" s="2"/>
      <c r="LJP23" s="2"/>
      <c r="LJQ23" s="2"/>
      <c r="LJR23" s="2"/>
      <c r="LJS23" s="2"/>
      <c r="LJT23" s="2"/>
      <c r="LJU23" s="2"/>
      <c r="LJV23" s="2"/>
      <c r="LJW23" s="2"/>
      <c r="LJX23" s="2"/>
      <c r="LJY23" s="2"/>
      <c r="LJZ23" s="2"/>
      <c r="LKA23" s="2"/>
      <c r="LKB23" s="2"/>
      <c r="LKC23" s="2"/>
      <c r="LKD23" s="2"/>
      <c r="LKE23" s="2"/>
      <c r="LKF23" s="2"/>
      <c r="LKG23" s="2"/>
      <c r="LKH23" s="2"/>
      <c r="LKI23" s="2"/>
      <c r="LKJ23" s="2"/>
      <c r="LKK23" s="2"/>
      <c r="LKL23" s="2"/>
      <c r="LKM23" s="2"/>
      <c r="LKN23" s="2"/>
      <c r="LKO23" s="2"/>
      <c r="LKP23" s="2"/>
      <c r="LKQ23" s="2"/>
      <c r="LKR23" s="2"/>
      <c r="LKS23" s="2"/>
      <c r="LKT23" s="2"/>
      <c r="LKU23" s="2"/>
      <c r="LKV23" s="2"/>
      <c r="LKW23" s="2"/>
      <c r="LKX23" s="2"/>
      <c r="LKY23" s="2"/>
      <c r="LKZ23" s="2"/>
      <c r="LLA23" s="2"/>
      <c r="LLB23" s="2"/>
      <c r="LLC23" s="2"/>
      <c r="LLD23" s="2"/>
      <c r="LLE23" s="2"/>
      <c r="LLF23" s="2"/>
      <c r="LLG23" s="2"/>
      <c r="LLH23" s="2"/>
      <c r="LLI23" s="2"/>
      <c r="LLJ23" s="2"/>
      <c r="LLK23" s="2"/>
      <c r="LLL23" s="2"/>
      <c r="LLM23" s="2"/>
      <c r="LLN23" s="2"/>
      <c r="LLO23" s="2"/>
      <c r="LLP23" s="2"/>
      <c r="LLQ23" s="2"/>
      <c r="LLR23" s="2"/>
      <c r="LLS23" s="2"/>
      <c r="LLT23" s="2"/>
      <c r="LLU23" s="2"/>
      <c r="LLV23" s="2"/>
      <c r="LLW23" s="2"/>
      <c r="LLX23" s="2"/>
      <c r="LLY23" s="2"/>
      <c r="LLZ23" s="2"/>
      <c r="LMA23" s="2"/>
      <c r="LMB23" s="2"/>
      <c r="LMC23" s="2"/>
      <c r="LMD23" s="2"/>
      <c r="LME23" s="2"/>
      <c r="LMF23" s="2"/>
      <c r="LMG23" s="2"/>
      <c r="LMH23" s="2"/>
      <c r="LMI23" s="2"/>
      <c r="LMJ23" s="2"/>
      <c r="LMK23" s="2"/>
      <c r="LML23" s="2"/>
      <c r="LMM23" s="2"/>
      <c r="LMN23" s="2"/>
      <c r="LMO23" s="2"/>
      <c r="LMP23" s="2"/>
      <c r="LMQ23" s="2"/>
      <c r="LMR23" s="2"/>
      <c r="LMS23" s="2"/>
      <c r="LMT23" s="2"/>
      <c r="LMU23" s="2"/>
      <c r="LMV23" s="2"/>
      <c r="LMW23" s="2"/>
      <c r="LMX23" s="2"/>
      <c r="LMY23" s="2"/>
      <c r="LMZ23" s="2"/>
      <c r="LNA23" s="2"/>
      <c r="LNB23" s="2"/>
      <c r="LNC23" s="2"/>
      <c r="LND23" s="2"/>
      <c r="LNE23" s="2"/>
      <c r="LNF23" s="2"/>
      <c r="LNG23" s="2"/>
      <c r="LNH23" s="2"/>
      <c r="LNI23" s="2"/>
      <c r="LNJ23" s="2"/>
      <c r="LNK23" s="2"/>
      <c r="LNL23" s="2"/>
      <c r="LNM23" s="2"/>
      <c r="LNN23" s="2"/>
      <c r="LNO23" s="2"/>
      <c r="LNP23" s="2"/>
      <c r="LNQ23" s="2"/>
      <c r="LNR23" s="2"/>
      <c r="LNS23" s="2"/>
      <c r="LNT23" s="2"/>
      <c r="LNU23" s="2"/>
      <c r="LNV23" s="2"/>
      <c r="LNW23" s="2"/>
      <c r="LNX23" s="2"/>
      <c r="LNY23" s="2"/>
      <c r="LNZ23" s="2"/>
      <c r="LOA23" s="2"/>
      <c r="LOB23" s="2"/>
      <c r="LOC23" s="2"/>
      <c r="LOD23" s="2"/>
      <c r="LOE23" s="2"/>
      <c r="LOF23" s="2"/>
      <c r="LOG23" s="2"/>
      <c r="LOH23" s="2"/>
      <c r="LOI23" s="2"/>
      <c r="LOJ23" s="2"/>
      <c r="LOK23" s="2"/>
      <c r="LOL23" s="2"/>
      <c r="LOM23" s="2"/>
      <c r="LON23" s="2"/>
      <c r="LOO23" s="2"/>
      <c r="LOP23" s="2"/>
      <c r="LOQ23" s="2"/>
      <c r="LOR23" s="2"/>
      <c r="LOS23" s="2"/>
      <c r="LOT23" s="2"/>
      <c r="LOU23" s="2"/>
      <c r="LOV23" s="2"/>
      <c r="LOW23" s="2"/>
      <c r="LOX23" s="2"/>
      <c r="LOY23" s="2"/>
      <c r="LOZ23" s="2"/>
      <c r="LPA23" s="2"/>
      <c r="LPB23" s="2"/>
      <c r="LPC23" s="2"/>
      <c r="LPD23" s="2"/>
      <c r="LPE23" s="2"/>
      <c r="LPF23" s="2"/>
      <c r="LPG23" s="2"/>
      <c r="LPH23" s="2"/>
      <c r="LPI23" s="2"/>
      <c r="LPJ23" s="2"/>
      <c r="LPK23" s="2"/>
      <c r="LPL23" s="2"/>
      <c r="LPM23" s="2"/>
      <c r="LPN23" s="2"/>
      <c r="LPO23" s="2"/>
      <c r="LPP23" s="2"/>
      <c r="LPQ23" s="2"/>
      <c r="LPR23" s="2"/>
      <c r="LPS23" s="2"/>
      <c r="LPT23" s="2"/>
      <c r="LPU23" s="2"/>
      <c r="LPV23" s="2"/>
      <c r="LPW23" s="2"/>
      <c r="LPX23" s="2"/>
      <c r="LPY23" s="2"/>
      <c r="LPZ23" s="2"/>
      <c r="LQA23" s="2"/>
      <c r="LQB23" s="2"/>
      <c r="LQC23" s="2"/>
      <c r="LQD23" s="2"/>
      <c r="LQE23" s="2"/>
      <c r="LQF23" s="2"/>
      <c r="LQG23" s="2"/>
      <c r="LQH23" s="2"/>
      <c r="LQI23" s="2"/>
      <c r="LQJ23" s="2"/>
      <c r="LQK23" s="2"/>
      <c r="LQL23" s="2"/>
      <c r="LQM23" s="2"/>
      <c r="LQN23" s="2"/>
      <c r="LQO23" s="2"/>
      <c r="LQP23" s="2"/>
      <c r="LQQ23" s="2"/>
      <c r="LQR23" s="2"/>
      <c r="LQS23" s="2"/>
      <c r="LQT23" s="2"/>
      <c r="LQU23" s="2"/>
      <c r="LQV23" s="2"/>
      <c r="LQW23" s="2"/>
      <c r="LQX23" s="2"/>
      <c r="LQY23" s="2"/>
      <c r="LQZ23" s="2"/>
      <c r="LRA23" s="2"/>
      <c r="LRB23" s="2"/>
      <c r="LRC23" s="2"/>
      <c r="LRD23" s="2"/>
      <c r="LRE23" s="2"/>
      <c r="LRF23" s="2"/>
      <c r="LRG23" s="2"/>
      <c r="LRH23" s="2"/>
      <c r="LRI23" s="2"/>
      <c r="LRJ23" s="2"/>
      <c r="LRK23" s="2"/>
      <c r="LRL23" s="2"/>
      <c r="LRM23" s="2"/>
      <c r="LRN23" s="2"/>
      <c r="LRO23" s="2"/>
      <c r="LRP23" s="2"/>
      <c r="LRQ23" s="2"/>
      <c r="LRR23" s="2"/>
      <c r="LRS23" s="2"/>
      <c r="LRT23" s="2"/>
      <c r="LRU23" s="2"/>
      <c r="LRV23" s="2"/>
      <c r="LRW23" s="2"/>
      <c r="LRX23" s="2"/>
      <c r="LRY23" s="2"/>
      <c r="LRZ23" s="2"/>
      <c r="LSA23" s="2"/>
      <c r="LSB23" s="2"/>
      <c r="LSC23" s="2"/>
      <c r="LSD23" s="2"/>
      <c r="LSE23" s="2"/>
      <c r="LSF23" s="2"/>
      <c r="LSG23" s="2"/>
      <c r="LSH23" s="2"/>
      <c r="LSI23" s="2"/>
      <c r="LSJ23" s="2"/>
      <c r="LSK23" s="2"/>
      <c r="LSL23" s="2"/>
      <c r="LSM23" s="2"/>
      <c r="LSN23" s="2"/>
      <c r="LSO23" s="2"/>
      <c r="LSP23" s="2"/>
      <c r="LSQ23" s="2"/>
      <c r="LSR23" s="2"/>
      <c r="LSS23" s="2"/>
      <c r="LST23" s="2"/>
      <c r="LSU23" s="2"/>
      <c r="LSV23" s="2"/>
      <c r="LSW23" s="2"/>
      <c r="LSX23" s="2"/>
      <c r="LSY23" s="2"/>
      <c r="LSZ23" s="2"/>
      <c r="LTA23" s="2"/>
      <c r="LTB23" s="2"/>
      <c r="LTC23" s="2"/>
      <c r="LTD23" s="2"/>
      <c r="LTE23" s="2"/>
      <c r="LTF23" s="2"/>
      <c r="LTG23" s="2"/>
      <c r="LTH23" s="2"/>
      <c r="LTI23" s="2"/>
      <c r="LTJ23" s="2"/>
      <c r="LTK23" s="2"/>
      <c r="LTL23" s="2"/>
      <c r="LTM23" s="2"/>
      <c r="LTN23" s="2"/>
      <c r="LTO23" s="2"/>
      <c r="LTP23" s="2"/>
      <c r="LTQ23" s="2"/>
      <c r="LTR23" s="2"/>
      <c r="LTS23" s="2"/>
      <c r="LTT23" s="2"/>
      <c r="LTU23" s="2"/>
      <c r="LTV23" s="2"/>
      <c r="LTW23" s="2"/>
      <c r="LTX23" s="2"/>
      <c r="LTY23" s="2"/>
      <c r="LTZ23" s="2"/>
      <c r="LUA23" s="2"/>
      <c r="LUB23" s="2"/>
      <c r="LUC23" s="2"/>
      <c r="LUD23" s="2"/>
      <c r="LUE23" s="2"/>
      <c r="LUF23" s="2"/>
      <c r="LUG23" s="2"/>
      <c r="LUH23" s="2"/>
      <c r="LUI23" s="2"/>
      <c r="LUJ23" s="2"/>
      <c r="LUK23" s="2"/>
      <c r="LUL23" s="2"/>
      <c r="LUM23" s="2"/>
      <c r="LUN23" s="2"/>
      <c r="LUO23" s="2"/>
      <c r="LUP23" s="2"/>
      <c r="LUQ23" s="2"/>
      <c r="LUR23" s="2"/>
      <c r="LUS23" s="2"/>
      <c r="LUT23" s="2"/>
      <c r="LUU23" s="2"/>
      <c r="LUV23" s="2"/>
      <c r="LUW23" s="2"/>
      <c r="LUX23" s="2"/>
      <c r="LUY23" s="2"/>
      <c r="LUZ23" s="2"/>
      <c r="LVA23" s="2"/>
      <c r="LVB23" s="2"/>
      <c r="LVC23" s="2"/>
      <c r="LVD23" s="2"/>
      <c r="LVE23" s="2"/>
      <c r="LVF23" s="2"/>
      <c r="LVG23" s="2"/>
      <c r="LVH23" s="2"/>
      <c r="LVI23" s="2"/>
      <c r="LVJ23" s="2"/>
      <c r="LVK23" s="2"/>
      <c r="LVL23" s="2"/>
      <c r="LVM23" s="2"/>
      <c r="LVN23" s="2"/>
      <c r="LVO23" s="2"/>
      <c r="LVP23" s="2"/>
      <c r="LVQ23" s="2"/>
      <c r="LVR23" s="2"/>
      <c r="LVS23" s="2"/>
      <c r="LVT23" s="2"/>
      <c r="LVU23" s="2"/>
      <c r="LVV23" s="2"/>
      <c r="LVW23" s="2"/>
      <c r="LVX23" s="2"/>
      <c r="LVY23" s="2"/>
      <c r="LVZ23" s="2"/>
      <c r="LWA23" s="2"/>
      <c r="LWB23" s="2"/>
      <c r="LWC23" s="2"/>
      <c r="LWD23" s="2"/>
      <c r="LWE23" s="2"/>
      <c r="LWF23" s="2"/>
      <c r="LWG23" s="2"/>
      <c r="LWH23" s="2"/>
      <c r="LWI23" s="2"/>
      <c r="LWJ23" s="2"/>
      <c r="LWK23" s="2"/>
      <c r="LWL23" s="2"/>
      <c r="LWM23" s="2"/>
      <c r="LWN23" s="2"/>
      <c r="LWO23" s="2"/>
      <c r="LWP23" s="2"/>
      <c r="LWQ23" s="2"/>
      <c r="LWR23" s="2"/>
      <c r="LWS23" s="2"/>
      <c r="LWT23" s="2"/>
      <c r="LWU23" s="2"/>
      <c r="LWV23" s="2"/>
      <c r="LWW23" s="2"/>
      <c r="LWX23" s="2"/>
      <c r="LWY23" s="2"/>
      <c r="LWZ23" s="2"/>
      <c r="LXA23" s="2"/>
      <c r="LXB23" s="2"/>
      <c r="LXC23" s="2"/>
      <c r="LXD23" s="2"/>
      <c r="LXE23" s="2"/>
      <c r="LXF23" s="2"/>
      <c r="LXG23" s="2"/>
      <c r="LXH23" s="2"/>
      <c r="LXI23" s="2"/>
      <c r="LXJ23" s="2"/>
      <c r="LXK23" s="2"/>
      <c r="LXL23" s="2"/>
      <c r="LXM23" s="2"/>
      <c r="LXN23" s="2"/>
      <c r="LXO23" s="2"/>
      <c r="LXP23" s="2"/>
      <c r="LXQ23" s="2"/>
      <c r="LXR23" s="2"/>
      <c r="LXS23" s="2"/>
      <c r="LXT23" s="2"/>
      <c r="LXU23" s="2"/>
      <c r="LXV23" s="2"/>
      <c r="LXW23" s="2"/>
      <c r="LXX23" s="2"/>
      <c r="LXY23" s="2"/>
      <c r="LXZ23" s="2"/>
      <c r="LYA23" s="2"/>
      <c r="LYB23" s="2"/>
      <c r="LYC23" s="2"/>
      <c r="LYD23" s="2"/>
      <c r="LYE23" s="2"/>
      <c r="LYF23" s="2"/>
      <c r="LYG23" s="2"/>
      <c r="LYH23" s="2"/>
      <c r="LYI23" s="2"/>
      <c r="LYJ23" s="2"/>
      <c r="LYK23" s="2"/>
      <c r="LYL23" s="2"/>
      <c r="LYM23" s="2"/>
      <c r="LYN23" s="2"/>
      <c r="LYO23" s="2"/>
      <c r="LYP23" s="2"/>
      <c r="LYQ23" s="2"/>
      <c r="LYR23" s="2"/>
      <c r="LYS23" s="2"/>
      <c r="LYT23" s="2"/>
      <c r="LYU23" s="2"/>
      <c r="LYV23" s="2"/>
      <c r="LYW23" s="2"/>
      <c r="LYX23" s="2"/>
      <c r="LYY23" s="2"/>
      <c r="LYZ23" s="2"/>
      <c r="LZA23" s="2"/>
      <c r="LZB23" s="2"/>
      <c r="LZC23" s="2"/>
      <c r="LZD23" s="2"/>
      <c r="LZE23" s="2"/>
      <c r="LZF23" s="2"/>
      <c r="LZG23" s="2"/>
      <c r="LZH23" s="2"/>
      <c r="LZI23" s="2"/>
      <c r="LZJ23" s="2"/>
      <c r="LZK23" s="2"/>
      <c r="LZL23" s="2"/>
      <c r="LZM23" s="2"/>
      <c r="LZN23" s="2"/>
      <c r="LZO23" s="2"/>
      <c r="LZP23" s="2"/>
      <c r="LZQ23" s="2"/>
      <c r="LZR23" s="2"/>
      <c r="LZS23" s="2"/>
      <c r="LZT23" s="2"/>
      <c r="LZU23" s="2"/>
      <c r="LZV23" s="2"/>
      <c r="LZW23" s="2"/>
      <c r="LZX23" s="2"/>
      <c r="LZY23" s="2"/>
      <c r="LZZ23" s="2"/>
      <c r="MAA23" s="2"/>
      <c r="MAB23" s="2"/>
      <c r="MAC23" s="2"/>
      <c r="MAD23" s="2"/>
      <c r="MAE23" s="2"/>
      <c r="MAF23" s="2"/>
      <c r="MAG23" s="2"/>
      <c r="MAH23" s="2"/>
      <c r="MAI23" s="2"/>
      <c r="MAJ23" s="2"/>
      <c r="MAK23" s="2"/>
      <c r="MAL23" s="2"/>
      <c r="MAM23" s="2"/>
      <c r="MAN23" s="2"/>
      <c r="MAO23" s="2"/>
      <c r="MAP23" s="2"/>
      <c r="MAQ23" s="2"/>
      <c r="MAR23" s="2"/>
      <c r="MAS23" s="2"/>
      <c r="MAT23" s="2"/>
      <c r="MAU23" s="2"/>
      <c r="MAV23" s="2"/>
      <c r="MAW23" s="2"/>
      <c r="MAX23" s="2"/>
      <c r="MAY23" s="2"/>
      <c r="MAZ23" s="2"/>
      <c r="MBA23" s="2"/>
      <c r="MBB23" s="2"/>
      <c r="MBC23" s="2"/>
      <c r="MBD23" s="2"/>
      <c r="MBE23" s="2"/>
      <c r="MBF23" s="2"/>
      <c r="MBG23" s="2"/>
      <c r="MBH23" s="2"/>
      <c r="MBI23" s="2"/>
      <c r="MBJ23" s="2"/>
      <c r="MBK23" s="2"/>
      <c r="MBL23" s="2"/>
      <c r="MBM23" s="2"/>
      <c r="MBN23" s="2"/>
      <c r="MBO23" s="2"/>
      <c r="MBP23" s="2"/>
      <c r="MBQ23" s="2"/>
      <c r="MBR23" s="2"/>
      <c r="MBS23" s="2"/>
      <c r="MBT23" s="2"/>
      <c r="MBU23" s="2"/>
      <c r="MBV23" s="2"/>
      <c r="MBW23" s="2"/>
      <c r="MBX23" s="2"/>
      <c r="MBY23" s="2"/>
      <c r="MBZ23" s="2"/>
      <c r="MCA23" s="2"/>
      <c r="MCB23" s="2"/>
      <c r="MCC23" s="2"/>
      <c r="MCD23" s="2"/>
      <c r="MCE23" s="2"/>
      <c r="MCF23" s="2"/>
      <c r="MCG23" s="2"/>
      <c r="MCH23" s="2"/>
      <c r="MCI23" s="2"/>
      <c r="MCJ23" s="2"/>
      <c r="MCK23" s="2"/>
      <c r="MCL23" s="2"/>
      <c r="MCM23" s="2"/>
      <c r="MCN23" s="2"/>
      <c r="MCO23" s="2"/>
      <c r="MCP23" s="2"/>
      <c r="MCQ23" s="2"/>
      <c r="MCR23" s="2"/>
      <c r="MCS23" s="2"/>
      <c r="MCT23" s="2"/>
      <c r="MCU23" s="2"/>
      <c r="MCV23" s="2"/>
      <c r="MCW23" s="2"/>
      <c r="MCX23" s="2"/>
      <c r="MCY23" s="2"/>
      <c r="MCZ23" s="2"/>
      <c r="MDA23" s="2"/>
      <c r="MDB23" s="2"/>
      <c r="MDC23" s="2"/>
      <c r="MDD23" s="2"/>
      <c r="MDE23" s="2"/>
      <c r="MDF23" s="2"/>
      <c r="MDG23" s="2"/>
      <c r="MDH23" s="2"/>
      <c r="MDI23" s="2"/>
      <c r="MDJ23" s="2"/>
      <c r="MDK23" s="2"/>
      <c r="MDL23" s="2"/>
      <c r="MDM23" s="2"/>
      <c r="MDN23" s="2"/>
      <c r="MDO23" s="2"/>
      <c r="MDP23" s="2"/>
      <c r="MDQ23" s="2"/>
      <c r="MDR23" s="2"/>
      <c r="MDS23" s="2"/>
      <c r="MDT23" s="2"/>
      <c r="MDU23" s="2"/>
      <c r="MDV23" s="2"/>
      <c r="MDW23" s="2"/>
      <c r="MDX23" s="2"/>
      <c r="MDY23" s="2"/>
      <c r="MDZ23" s="2"/>
      <c r="MEA23" s="2"/>
      <c r="MEB23" s="2"/>
      <c r="MEC23" s="2"/>
      <c r="MED23" s="2"/>
      <c r="MEE23" s="2"/>
      <c r="MEF23" s="2"/>
      <c r="MEG23" s="2"/>
      <c r="MEH23" s="2"/>
      <c r="MEI23" s="2"/>
      <c r="MEJ23" s="2"/>
      <c r="MEK23" s="2"/>
      <c r="MEL23" s="2"/>
      <c r="MEM23" s="2"/>
      <c r="MEN23" s="2"/>
      <c r="MEO23" s="2"/>
      <c r="MEP23" s="2"/>
      <c r="MEQ23" s="2"/>
      <c r="MER23" s="2"/>
      <c r="MES23" s="2"/>
      <c r="MET23" s="2"/>
      <c r="MEU23" s="2"/>
      <c r="MEV23" s="2"/>
      <c r="MEW23" s="2"/>
      <c r="MEX23" s="2"/>
      <c r="MEY23" s="2"/>
      <c r="MEZ23" s="2"/>
      <c r="MFA23" s="2"/>
      <c r="MFB23" s="2"/>
      <c r="MFC23" s="2"/>
      <c r="MFD23" s="2"/>
      <c r="MFE23" s="2"/>
      <c r="MFF23" s="2"/>
      <c r="MFG23" s="2"/>
      <c r="MFH23" s="2"/>
      <c r="MFI23" s="2"/>
      <c r="MFJ23" s="2"/>
      <c r="MFK23" s="2"/>
      <c r="MFL23" s="2"/>
      <c r="MFM23" s="2"/>
      <c r="MFN23" s="2"/>
      <c r="MFO23" s="2"/>
      <c r="MFP23" s="2"/>
      <c r="MFQ23" s="2"/>
      <c r="MFR23" s="2"/>
      <c r="MFS23" s="2"/>
      <c r="MFT23" s="2"/>
      <c r="MFU23" s="2"/>
      <c r="MFV23" s="2"/>
      <c r="MFW23" s="2"/>
      <c r="MFX23" s="2"/>
      <c r="MFY23" s="2"/>
      <c r="MFZ23" s="2"/>
      <c r="MGA23" s="2"/>
      <c r="MGB23" s="2"/>
      <c r="MGC23" s="2"/>
      <c r="MGD23" s="2"/>
      <c r="MGE23" s="2"/>
      <c r="MGF23" s="2"/>
      <c r="MGG23" s="2"/>
      <c r="MGH23" s="2"/>
      <c r="MGI23" s="2"/>
      <c r="MGJ23" s="2"/>
      <c r="MGK23" s="2"/>
      <c r="MGL23" s="2"/>
      <c r="MGM23" s="2"/>
      <c r="MGN23" s="2"/>
      <c r="MGO23" s="2"/>
      <c r="MGP23" s="2"/>
      <c r="MGQ23" s="2"/>
      <c r="MGR23" s="2"/>
      <c r="MGS23" s="2"/>
      <c r="MGT23" s="2"/>
      <c r="MGU23" s="2"/>
      <c r="MGV23" s="2"/>
      <c r="MGW23" s="2"/>
      <c r="MGX23" s="2"/>
      <c r="MGY23" s="2"/>
      <c r="MGZ23" s="2"/>
      <c r="MHA23" s="2"/>
      <c r="MHB23" s="2"/>
      <c r="MHC23" s="2"/>
      <c r="MHD23" s="2"/>
      <c r="MHE23" s="2"/>
      <c r="MHF23" s="2"/>
      <c r="MHG23" s="2"/>
      <c r="MHH23" s="2"/>
      <c r="MHI23" s="2"/>
      <c r="MHJ23" s="2"/>
      <c r="MHK23" s="2"/>
      <c r="MHL23" s="2"/>
      <c r="MHM23" s="2"/>
      <c r="MHN23" s="2"/>
      <c r="MHO23" s="2"/>
      <c r="MHP23" s="2"/>
      <c r="MHQ23" s="2"/>
      <c r="MHR23" s="2"/>
      <c r="MHS23" s="2"/>
      <c r="MHT23" s="2"/>
      <c r="MHU23" s="2"/>
      <c r="MHV23" s="2"/>
      <c r="MHW23" s="2"/>
      <c r="MHX23" s="2"/>
      <c r="MHY23" s="2"/>
      <c r="MHZ23" s="2"/>
      <c r="MIA23" s="2"/>
      <c r="MIB23" s="2"/>
      <c r="MIC23" s="2"/>
      <c r="MID23" s="2"/>
      <c r="MIE23" s="2"/>
      <c r="MIF23" s="2"/>
      <c r="MIG23" s="2"/>
      <c r="MIH23" s="2"/>
      <c r="MII23" s="2"/>
      <c r="MIJ23" s="2"/>
      <c r="MIK23" s="2"/>
      <c r="MIL23" s="2"/>
      <c r="MIM23" s="2"/>
      <c r="MIN23" s="2"/>
      <c r="MIO23" s="2"/>
      <c r="MIP23" s="2"/>
      <c r="MIQ23" s="2"/>
      <c r="MIR23" s="2"/>
      <c r="MIS23" s="2"/>
      <c r="MIT23" s="2"/>
      <c r="MIU23" s="2"/>
      <c r="MIV23" s="2"/>
      <c r="MIW23" s="2"/>
      <c r="MIX23" s="2"/>
      <c r="MIY23" s="2"/>
      <c r="MIZ23" s="2"/>
      <c r="MJA23" s="2"/>
      <c r="MJB23" s="2"/>
      <c r="MJC23" s="2"/>
      <c r="MJD23" s="2"/>
      <c r="MJE23" s="2"/>
      <c r="MJF23" s="2"/>
      <c r="MJG23" s="2"/>
      <c r="MJH23" s="2"/>
      <c r="MJI23" s="2"/>
      <c r="MJJ23" s="2"/>
      <c r="MJK23" s="2"/>
      <c r="MJL23" s="2"/>
      <c r="MJM23" s="2"/>
      <c r="MJN23" s="2"/>
      <c r="MJO23" s="2"/>
      <c r="MJP23" s="2"/>
      <c r="MJQ23" s="2"/>
      <c r="MJR23" s="2"/>
      <c r="MJS23" s="2"/>
      <c r="MJT23" s="2"/>
      <c r="MJU23" s="2"/>
      <c r="MJV23" s="2"/>
      <c r="MJW23" s="2"/>
      <c r="MJX23" s="2"/>
      <c r="MJY23" s="2"/>
      <c r="MJZ23" s="2"/>
      <c r="MKA23" s="2"/>
      <c r="MKB23" s="2"/>
      <c r="MKC23" s="2"/>
      <c r="MKD23" s="2"/>
      <c r="MKE23" s="2"/>
      <c r="MKF23" s="2"/>
      <c r="MKG23" s="2"/>
      <c r="MKH23" s="2"/>
      <c r="MKI23" s="2"/>
      <c r="MKJ23" s="2"/>
      <c r="MKK23" s="2"/>
      <c r="MKL23" s="2"/>
      <c r="MKM23" s="2"/>
      <c r="MKN23" s="2"/>
      <c r="MKO23" s="2"/>
      <c r="MKP23" s="2"/>
      <c r="MKQ23" s="2"/>
      <c r="MKR23" s="2"/>
      <c r="MKS23" s="2"/>
      <c r="MKT23" s="2"/>
      <c r="MKU23" s="2"/>
      <c r="MKV23" s="2"/>
      <c r="MKW23" s="2"/>
      <c r="MKX23" s="2"/>
      <c r="MKY23" s="2"/>
      <c r="MKZ23" s="2"/>
      <c r="MLA23" s="2"/>
      <c r="MLB23" s="2"/>
      <c r="MLC23" s="2"/>
      <c r="MLD23" s="2"/>
      <c r="MLE23" s="2"/>
      <c r="MLF23" s="2"/>
      <c r="MLG23" s="2"/>
      <c r="MLH23" s="2"/>
      <c r="MLI23" s="2"/>
      <c r="MLJ23" s="2"/>
      <c r="MLK23" s="2"/>
      <c r="MLL23" s="2"/>
      <c r="MLM23" s="2"/>
      <c r="MLN23" s="2"/>
      <c r="MLO23" s="2"/>
      <c r="MLP23" s="2"/>
      <c r="MLQ23" s="2"/>
      <c r="MLR23" s="2"/>
      <c r="MLS23" s="2"/>
      <c r="MLT23" s="2"/>
      <c r="MLU23" s="2"/>
      <c r="MLV23" s="2"/>
      <c r="MLW23" s="2"/>
      <c r="MLX23" s="2"/>
      <c r="MLY23" s="2"/>
      <c r="MLZ23" s="2"/>
      <c r="MMA23" s="2"/>
      <c r="MMB23" s="2"/>
      <c r="MMC23" s="2"/>
      <c r="MMD23" s="2"/>
      <c r="MME23" s="2"/>
      <c r="MMF23" s="2"/>
      <c r="MMG23" s="2"/>
      <c r="MMH23" s="2"/>
      <c r="MMI23" s="2"/>
      <c r="MMJ23" s="2"/>
      <c r="MMK23" s="2"/>
      <c r="MML23" s="2"/>
      <c r="MMM23" s="2"/>
      <c r="MMN23" s="2"/>
      <c r="MMO23" s="2"/>
      <c r="MMP23" s="2"/>
      <c r="MMQ23" s="2"/>
      <c r="MMR23" s="2"/>
      <c r="MMS23" s="2"/>
      <c r="MMT23" s="2"/>
      <c r="MMU23" s="2"/>
      <c r="MMV23" s="2"/>
      <c r="MMW23" s="2"/>
      <c r="MMX23" s="2"/>
      <c r="MMY23" s="2"/>
      <c r="MMZ23" s="2"/>
      <c r="MNA23" s="2"/>
      <c r="MNB23" s="2"/>
      <c r="MNC23" s="2"/>
      <c r="MND23" s="2"/>
      <c r="MNE23" s="2"/>
      <c r="MNF23" s="2"/>
      <c r="MNG23" s="2"/>
      <c r="MNH23" s="2"/>
      <c r="MNI23" s="2"/>
      <c r="MNJ23" s="2"/>
      <c r="MNK23" s="2"/>
      <c r="MNL23" s="2"/>
      <c r="MNM23" s="2"/>
      <c r="MNN23" s="2"/>
      <c r="MNO23" s="2"/>
      <c r="MNP23" s="2"/>
      <c r="MNQ23" s="2"/>
      <c r="MNR23" s="2"/>
      <c r="MNS23" s="2"/>
      <c r="MNT23" s="2"/>
      <c r="MNU23" s="2"/>
      <c r="MNV23" s="2"/>
      <c r="MNW23" s="2"/>
      <c r="MNX23" s="2"/>
      <c r="MNY23" s="2"/>
      <c r="MNZ23" s="2"/>
      <c r="MOA23" s="2"/>
      <c r="MOB23" s="2"/>
      <c r="MOC23" s="2"/>
      <c r="MOD23" s="2"/>
      <c r="MOE23" s="2"/>
      <c r="MOF23" s="2"/>
      <c r="MOG23" s="2"/>
      <c r="MOH23" s="2"/>
      <c r="MOI23" s="2"/>
      <c r="MOJ23" s="2"/>
      <c r="MOK23" s="2"/>
      <c r="MOL23" s="2"/>
      <c r="MOM23" s="2"/>
      <c r="MON23" s="2"/>
      <c r="MOO23" s="2"/>
      <c r="MOP23" s="2"/>
      <c r="MOQ23" s="2"/>
      <c r="MOR23" s="2"/>
      <c r="MOS23" s="2"/>
      <c r="MOT23" s="2"/>
      <c r="MOU23" s="2"/>
      <c r="MOV23" s="2"/>
      <c r="MOW23" s="2"/>
      <c r="MOX23" s="2"/>
      <c r="MOY23" s="2"/>
      <c r="MOZ23" s="2"/>
      <c r="MPA23" s="2"/>
      <c r="MPB23" s="2"/>
      <c r="MPC23" s="2"/>
      <c r="MPD23" s="2"/>
      <c r="MPE23" s="2"/>
      <c r="MPF23" s="2"/>
      <c r="MPG23" s="2"/>
      <c r="MPH23" s="2"/>
      <c r="MPI23" s="2"/>
      <c r="MPJ23" s="2"/>
      <c r="MPK23" s="2"/>
      <c r="MPL23" s="2"/>
      <c r="MPM23" s="2"/>
      <c r="MPN23" s="2"/>
      <c r="MPO23" s="2"/>
      <c r="MPP23" s="2"/>
      <c r="MPQ23" s="2"/>
      <c r="MPR23" s="2"/>
      <c r="MPS23" s="2"/>
      <c r="MPT23" s="2"/>
      <c r="MPU23" s="2"/>
      <c r="MPV23" s="2"/>
      <c r="MPW23" s="2"/>
      <c r="MPX23" s="2"/>
      <c r="MPY23" s="2"/>
      <c r="MPZ23" s="2"/>
      <c r="MQA23" s="2"/>
      <c r="MQB23" s="2"/>
      <c r="MQC23" s="2"/>
      <c r="MQD23" s="2"/>
      <c r="MQE23" s="2"/>
      <c r="MQF23" s="2"/>
      <c r="MQG23" s="2"/>
      <c r="MQH23" s="2"/>
      <c r="MQI23" s="2"/>
      <c r="MQJ23" s="2"/>
      <c r="MQK23" s="2"/>
      <c r="MQL23" s="2"/>
      <c r="MQM23" s="2"/>
      <c r="MQN23" s="2"/>
      <c r="MQO23" s="2"/>
      <c r="MQP23" s="2"/>
      <c r="MQQ23" s="2"/>
      <c r="MQR23" s="2"/>
      <c r="MQS23" s="2"/>
      <c r="MQT23" s="2"/>
      <c r="MQU23" s="2"/>
      <c r="MQV23" s="2"/>
      <c r="MQW23" s="2"/>
      <c r="MQX23" s="2"/>
      <c r="MQY23" s="2"/>
      <c r="MQZ23" s="2"/>
      <c r="MRA23" s="2"/>
      <c r="MRB23" s="2"/>
      <c r="MRC23" s="2"/>
      <c r="MRD23" s="2"/>
      <c r="MRE23" s="2"/>
      <c r="MRF23" s="2"/>
      <c r="MRG23" s="2"/>
      <c r="MRH23" s="2"/>
      <c r="MRI23" s="2"/>
      <c r="MRJ23" s="2"/>
      <c r="MRK23" s="2"/>
      <c r="MRL23" s="2"/>
      <c r="MRM23" s="2"/>
      <c r="MRN23" s="2"/>
      <c r="MRO23" s="2"/>
      <c r="MRP23" s="2"/>
      <c r="MRQ23" s="2"/>
      <c r="MRR23" s="2"/>
      <c r="MRS23" s="2"/>
      <c r="MRT23" s="2"/>
      <c r="MRU23" s="2"/>
      <c r="MRV23" s="2"/>
      <c r="MRW23" s="2"/>
      <c r="MRX23" s="2"/>
      <c r="MRY23" s="2"/>
      <c r="MRZ23" s="2"/>
      <c r="MSA23" s="2"/>
      <c r="MSB23" s="2"/>
      <c r="MSC23" s="2"/>
      <c r="MSD23" s="2"/>
      <c r="MSE23" s="2"/>
      <c r="MSF23" s="2"/>
      <c r="MSG23" s="2"/>
      <c r="MSH23" s="2"/>
      <c r="MSI23" s="2"/>
      <c r="MSJ23" s="2"/>
      <c r="MSK23" s="2"/>
      <c r="MSL23" s="2"/>
      <c r="MSM23" s="2"/>
      <c r="MSN23" s="2"/>
      <c r="MSO23" s="2"/>
      <c r="MSP23" s="2"/>
      <c r="MSQ23" s="2"/>
      <c r="MSR23" s="2"/>
      <c r="MSS23" s="2"/>
      <c r="MST23" s="2"/>
      <c r="MSU23" s="2"/>
      <c r="MSV23" s="2"/>
      <c r="MSW23" s="2"/>
      <c r="MSX23" s="2"/>
      <c r="MSY23" s="2"/>
      <c r="MSZ23" s="2"/>
      <c r="MTA23" s="2"/>
      <c r="MTB23" s="2"/>
      <c r="MTC23" s="2"/>
      <c r="MTD23" s="2"/>
      <c r="MTE23" s="2"/>
      <c r="MTF23" s="2"/>
      <c r="MTG23" s="2"/>
      <c r="MTH23" s="2"/>
      <c r="MTI23" s="2"/>
      <c r="MTJ23" s="2"/>
      <c r="MTK23" s="2"/>
      <c r="MTL23" s="2"/>
      <c r="MTM23" s="2"/>
      <c r="MTN23" s="2"/>
      <c r="MTO23" s="2"/>
      <c r="MTP23" s="2"/>
      <c r="MTQ23" s="2"/>
      <c r="MTR23" s="2"/>
      <c r="MTS23" s="2"/>
      <c r="MTT23" s="2"/>
      <c r="MTU23" s="2"/>
      <c r="MTV23" s="2"/>
      <c r="MTW23" s="2"/>
      <c r="MTX23" s="2"/>
      <c r="MTY23" s="2"/>
      <c r="MTZ23" s="2"/>
      <c r="MUA23" s="2"/>
      <c r="MUB23" s="2"/>
      <c r="MUC23" s="2"/>
      <c r="MUD23" s="2"/>
      <c r="MUE23" s="2"/>
      <c r="MUF23" s="2"/>
      <c r="MUG23" s="2"/>
      <c r="MUH23" s="2"/>
      <c r="MUI23" s="2"/>
      <c r="MUJ23" s="2"/>
      <c r="MUK23" s="2"/>
      <c r="MUL23" s="2"/>
      <c r="MUM23" s="2"/>
      <c r="MUN23" s="2"/>
      <c r="MUO23" s="2"/>
      <c r="MUP23" s="2"/>
      <c r="MUQ23" s="2"/>
      <c r="MUR23" s="2"/>
      <c r="MUS23" s="2"/>
      <c r="MUT23" s="2"/>
      <c r="MUU23" s="2"/>
      <c r="MUV23" s="2"/>
      <c r="MUW23" s="2"/>
      <c r="MUX23" s="2"/>
      <c r="MUY23" s="2"/>
      <c r="MUZ23" s="2"/>
      <c r="MVA23" s="2"/>
      <c r="MVB23" s="2"/>
      <c r="MVC23" s="2"/>
      <c r="MVD23" s="2"/>
      <c r="MVE23" s="2"/>
      <c r="MVF23" s="2"/>
      <c r="MVG23" s="2"/>
      <c r="MVH23" s="2"/>
      <c r="MVI23" s="2"/>
      <c r="MVJ23" s="2"/>
      <c r="MVK23" s="2"/>
      <c r="MVL23" s="2"/>
      <c r="MVM23" s="2"/>
      <c r="MVN23" s="2"/>
      <c r="MVO23" s="2"/>
      <c r="MVP23" s="2"/>
      <c r="MVQ23" s="2"/>
      <c r="MVR23" s="2"/>
      <c r="MVS23" s="2"/>
      <c r="MVT23" s="2"/>
      <c r="MVU23" s="2"/>
      <c r="MVV23" s="2"/>
      <c r="MVW23" s="2"/>
      <c r="MVX23" s="2"/>
      <c r="MVY23" s="2"/>
      <c r="MVZ23" s="2"/>
      <c r="MWA23" s="2"/>
      <c r="MWB23" s="2"/>
      <c r="MWC23" s="2"/>
      <c r="MWD23" s="2"/>
      <c r="MWE23" s="2"/>
      <c r="MWF23" s="2"/>
      <c r="MWG23" s="2"/>
      <c r="MWH23" s="2"/>
      <c r="MWI23" s="2"/>
      <c r="MWJ23" s="2"/>
      <c r="MWK23" s="2"/>
      <c r="MWL23" s="2"/>
      <c r="MWM23" s="2"/>
      <c r="MWN23" s="2"/>
      <c r="MWO23" s="2"/>
      <c r="MWP23" s="2"/>
      <c r="MWQ23" s="2"/>
      <c r="MWR23" s="2"/>
      <c r="MWS23" s="2"/>
      <c r="MWT23" s="2"/>
      <c r="MWU23" s="2"/>
      <c r="MWV23" s="2"/>
      <c r="MWW23" s="2"/>
      <c r="MWX23" s="2"/>
      <c r="MWY23" s="2"/>
      <c r="MWZ23" s="2"/>
      <c r="MXA23" s="2"/>
      <c r="MXB23" s="2"/>
      <c r="MXC23" s="2"/>
      <c r="MXD23" s="2"/>
      <c r="MXE23" s="2"/>
      <c r="MXF23" s="2"/>
      <c r="MXG23" s="2"/>
      <c r="MXH23" s="2"/>
      <c r="MXI23" s="2"/>
      <c r="MXJ23" s="2"/>
      <c r="MXK23" s="2"/>
      <c r="MXL23" s="2"/>
      <c r="MXM23" s="2"/>
      <c r="MXN23" s="2"/>
      <c r="MXO23" s="2"/>
      <c r="MXP23" s="2"/>
      <c r="MXQ23" s="2"/>
      <c r="MXR23" s="2"/>
      <c r="MXS23" s="2"/>
      <c r="MXT23" s="2"/>
      <c r="MXU23" s="2"/>
      <c r="MXV23" s="2"/>
      <c r="MXW23" s="2"/>
      <c r="MXX23" s="2"/>
      <c r="MXY23" s="2"/>
      <c r="MXZ23" s="2"/>
      <c r="MYA23" s="2"/>
      <c r="MYB23" s="2"/>
      <c r="MYC23" s="2"/>
      <c r="MYD23" s="2"/>
      <c r="MYE23" s="2"/>
      <c r="MYF23" s="2"/>
      <c r="MYG23" s="2"/>
      <c r="MYH23" s="2"/>
      <c r="MYI23" s="2"/>
      <c r="MYJ23" s="2"/>
      <c r="MYK23" s="2"/>
      <c r="MYL23" s="2"/>
      <c r="MYM23" s="2"/>
      <c r="MYN23" s="2"/>
      <c r="MYO23" s="2"/>
      <c r="MYP23" s="2"/>
      <c r="MYQ23" s="2"/>
      <c r="MYR23" s="2"/>
      <c r="MYS23" s="2"/>
      <c r="MYT23" s="2"/>
      <c r="MYU23" s="2"/>
      <c r="MYV23" s="2"/>
      <c r="MYW23" s="2"/>
      <c r="MYX23" s="2"/>
      <c r="MYY23" s="2"/>
      <c r="MYZ23" s="2"/>
      <c r="MZA23" s="2"/>
      <c r="MZB23" s="2"/>
      <c r="MZC23" s="2"/>
      <c r="MZD23" s="2"/>
      <c r="MZE23" s="2"/>
      <c r="MZF23" s="2"/>
      <c r="MZG23" s="2"/>
      <c r="MZH23" s="2"/>
      <c r="MZI23" s="2"/>
      <c r="MZJ23" s="2"/>
      <c r="MZK23" s="2"/>
      <c r="MZL23" s="2"/>
      <c r="MZM23" s="2"/>
      <c r="MZN23" s="2"/>
      <c r="MZO23" s="2"/>
      <c r="MZP23" s="2"/>
      <c r="MZQ23" s="2"/>
      <c r="MZR23" s="2"/>
      <c r="MZS23" s="2"/>
      <c r="MZT23" s="2"/>
      <c r="MZU23" s="2"/>
      <c r="MZV23" s="2"/>
      <c r="MZW23" s="2"/>
      <c r="MZX23" s="2"/>
      <c r="MZY23" s="2"/>
      <c r="MZZ23" s="2"/>
      <c r="NAA23" s="2"/>
      <c r="NAB23" s="2"/>
      <c r="NAC23" s="2"/>
      <c r="NAD23" s="2"/>
      <c r="NAE23" s="2"/>
      <c r="NAF23" s="2"/>
      <c r="NAG23" s="2"/>
      <c r="NAH23" s="2"/>
      <c r="NAI23" s="2"/>
      <c r="NAJ23" s="2"/>
      <c r="NAK23" s="2"/>
      <c r="NAL23" s="2"/>
      <c r="NAM23" s="2"/>
      <c r="NAN23" s="2"/>
      <c r="NAO23" s="2"/>
      <c r="NAP23" s="2"/>
      <c r="NAQ23" s="2"/>
      <c r="NAR23" s="2"/>
      <c r="NAS23" s="2"/>
      <c r="NAT23" s="2"/>
      <c r="NAU23" s="2"/>
      <c r="NAV23" s="2"/>
      <c r="NAW23" s="2"/>
      <c r="NAX23" s="2"/>
      <c r="NAY23" s="2"/>
      <c r="NAZ23" s="2"/>
      <c r="NBA23" s="2"/>
      <c r="NBB23" s="2"/>
      <c r="NBC23" s="2"/>
      <c r="NBD23" s="2"/>
      <c r="NBE23" s="2"/>
      <c r="NBF23" s="2"/>
      <c r="NBG23" s="2"/>
      <c r="NBH23" s="2"/>
      <c r="NBI23" s="2"/>
      <c r="NBJ23" s="2"/>
      <c r="NBK23" s="2"/>
      <c r="NBL23" s="2"/>
      <c r="NBM23" s="2"/>
      <c r="NBN23" s="2"/>
      <c r="NBO23" s="2"/>
      <c r="NBP23" s="2"/>
      <c r="NBQ23" s="2"/>
      <c r="NBR23" s="2"/>
      <c r="NBS23" s="2"/>
      <c r="NBT23" s="2"/>
      <c r="NBU23" s="2"/>
      <c r="NBV23" s="2"/>
      <c r="NBW23" s="2"/>
      <c r="NBX23" s="2"/>
      <c r="NBY23" s="2"/>
      <c r="NBZ23" s="2"/>
      <c r="NCA23" s="2"/>
      <c r="NCB23" s="2"/>
      <c r="NCC23" s="2"/>
      <c r="NCD23" s="2"/>
      <c r="NCE23" s="2"/>
      <c r="NCF23" s="2"/>
      <c r="NCG23" s="2"/>
      <c r="NCH23" s="2"/>
      <c r="NCI23" s="2"/>
      <c r="NCJ23" s="2"/>
      <c r="NCK23" s="2"/>
      <c r="NCL23" s="2"/>
      <c r="NCM23" s="2"/>
      <c r="NCN23" s="2"/>
      <c r="NCO23" s="2"/>
      <c r="NCP23" s="2"/>
      <c r="NCQ23" s="2"/>
      <c r="NCR23" s="2"/>
      <c r="NCS23" s="2"/>
      <c r="NCT23" s="2"/>
      <c r="NCU23" s="2"/>
      <c r="NCV23" s="2"/>
      <c r="NCW23" s="2"/>
      <c r="NCX23" s="2"/>
      <c r="NCY23" s="2"/>
      <c r="NCZ23" s="2"/>
      <c r="NDA23" s="2"/>
      <c r="NDB23" s="2"/>
      <c r="NDC23" s="2"/>
      <c r="NDD23" s="2"/>
      <c r="NDE23" s="2"/>
      <c r="NDF23" s="2"/>
      <c r="NDG23" s="2"/>
      <c r="NDH23" s="2"/>
      <c r="NDI23" s="2"/>
      <c r="NDJ23" s="2"/>
      <c r="NDK23" s="2"/>
      <c r="NDL23" s="2"/>
      <c r="NDM23" s="2"/>
      <c r="NDN23" s="2"/>
      <c r="NDO23" s="2"/>
      <c r="NDP23" s="2"/>
      <c r="NDQ23" s="2"/>
      <c r="NDR23" s="2"/>
      <c r="NDS23" s="2"/>
      <c r="NDT23" s="2"/>
      <c r="NDU23" s="2"/>
      <c r="NDV23" s="2"/>
      <c r="NDW23" s="2"/>
      <c r="NDX23" s="2"/>
      <c r="NDY23" s="2"/>
      <c r="NDZ23" s="2"/>
      <c r="NEA23" s="2"/>
      <c r="NEB23" s="2"/>
      <c r="NEC23" s="2"/>
      <c r="NED23" s="2"/>
      <c r="NEE23" s="2"/>
      <c r="NEF23" s="2"/>
      <c r="NEG23" s="2"/>
      <c r="NEH23" s="2"/>
      <c r="NEI23" s="2"/>
      <c r="NEJ23" s="2"/>
      <c r="NEK23" s="2"/>
      <c r="NEL23" s="2"/>
      <c r="NEM23" s="2"/>
      <c r="NEN23" s="2"/>
      <c r="NEO23" s="2"/>
      <c r="NEP23" s="2"/>
      <c r="NEQ23" s="2"/>
      <c r="NER23" s="2"/>
      <c r="NES23" s="2"/>
      <c r="NET23" s="2"/>
      <c r="NEU23" s="2"/>
      <c r="NEV23" s="2"/>
      <c r="NEW23" s="2"/>
      <c r="NEX23" s="2"/>
      <c r="NEY23" s="2"/>
      <c r="NEZ23" s="2"/>
      <c r="NFA23" s="2"/>
      <c r="NFB23" s="2"/>
      <c r="NFC23" s="2"/>
      <c r="NFD23" s="2"/>
      <c r="NFE23" s="2"/>
      <c r="NFF23" s="2"/>
      <c r="NFG23" s="2"/>
      <c r="NFH23" s="2"/>
      <c r="NFI23" s="2"/>
      <c r="NFJ23" s="2"/>
      <c r="NFK23" s="2"/>
      <c r="NFL23" s="2"/>
      <c r="NFM23" s="2"/>
      <c r="NFN23" s="2"/>
      <c r="NFO23" s="2"/>
      <c r="NFP23" s="2"/>
      <c r="NFQ23" s="2"/>
      <c r="NFR23" s="2"/>
      <c r="NFS23" s="2"/>
      <c r="NFT23" s="2"/>
      <c r="NFU23" s="2"/>
      <c r="NFV23" s="2"/>
      <c r="NFW23" s="2"/>
      <c r="NFX23" s="2"/>
      <c r="NFY23" s="2"/>
      <c r="NFZ23" s="2"/>
      <c r="NGA23" s="2"/>
      <c r="NGB23" s="2"/>
      <c r="NGC23" s="2"/>
      <c r="NGD23" s="2"/>
      <c r="NGE23" s="2"/>
      <c r="NGF23" s="2"/>
      <c r="NGG23" s="2"/>
      <c r="NGH23" s="2"/>
      <c r="NGI23" s="2"/>
      <c r="NGJ23" s="2"/>
      <c r="NGK23" s="2"/>
      <c r="NGL23" s="2"/>
      <c r="NGM23" s="2"/>
      <c r="NGN23" s="2"/>
      <c r="NGO23" s="2"/>
      <c r="NGP23" s="2"/>
      <c r="NGQ23" s="2"/>
      <c r="NGR23" s="2"/>
      <c r="NGS23" s="2"/>
      <c r="NGT23" s="2"/>
      <c r="NGU23" s="2"/>
      <c r="NGV23" s="2"/>
      <c r="NGW23" s="2"/>
      <c r="NGX23" s="2"/>
      <c r="NGY23" s="2"/>
      <c r="NGZ23" s="2"/>
      <c r="NHA23" s="2"/>
      <c r="NHB23" s="2"/>
      <c r="NHC23" s="2"/>
      <c r="NHD23" s="2"/>
      <c r="NHE23" s="2"/>
      <c r="NHF23" s="2"/>
      <c r="NHG23" s="2"/>
      <c r="NHH23" s="2"/>
      <c r="NHI23" s="2"/>
      <c r="NHJ23" s="2"/>
      <c r="NHK23" s="2"/>
      <c r="NHL23" s="2"/>
      <c r="NHM23" s="2"/>
      <c r="NHN23" s="2"/>
      <c r="NHO23" s="2"/>
      <c r="NHP23" s="2"/>
      <c r="NHQ23" s="2"/>
      <c r="NHR23" s="2"/>
      <c r="NHS23" s="2"/>
      <c r="NHT23" s="2"/>
      <c r="NHU23" s="2"/>
      <c r="NHV23" s="2"/>
      <c r="NHW23" s="2"/>
      <c r="NHX23" s="2"/>
      <c r="NHY23" s="2"/>
      <c r="NHZ23" s="2"/>
      <c r="NIA23" s="2"/>
      <c r="NIB23" s="2"/>
      <c r="NIC23" s="2"/>
      <c r="NID23" s="2"/>
      <c r="NIE23" s="2"/>
      <c r="NIF23" s="2"/>
      <c r="NIG23" s="2"/>
      <c r="NIH23" s="2"/>
      <c r="NII23" s="2"/>
      <c r="NIJ23" s="2"/>
      <c r="NIK23" s="2"/>
      <c r="NIL23" s="2"/>
      <c r="NIM23" s="2"/>
      <c r="NIN23" s="2"/>
      <c r="NIO23" s="2"/>
      <c r="NIP23" s="2"/>
      <c r="NIQ23" s="2"/>
      <c r="NIR23" s="2"/>
      <c r="NIS23" s="2"/>
      <c r="NIT23" s="2"/>
      <c r="NIU23" s="2"/>
      <c r="NIV23" s="2"/>
      <c r="NIW23" s="2"/>
      <c r="NIX23" s="2"/>
      <c r="NIY23" s="2"/>
      <c r="NIZ23" s="2"/>
      <c r="NJA23" s="2"/>
      <c r="NJB23" s="2"/>
      <c r="NJC23" s="2"/>
      <c r="NJD23" s="2"/>
      <c r="NJE23" s="2"/>
      <c r="NJF23" s="2"/>
      <c r="NJG23" s="2"/>
      <c r="NJH23" s="2"/>
      <c r="NJI23" s="2"/>
      <c r="NJJ23" s="2"/>
      <c r="NJK23" s="2"/>
      <c r="NJL23" s="2"/>
      <c r="NJM23" s="2"/>
      <c r="NJN23" s="2"/>
      <c r="NJO23" s="2"/>
      <c r="NJP23" s="2"/>
      <c r="NJQ23" s="2"/>
      <c r="NJR23" s="2"/>
      <c r="NJS23" s="2"/>
      <c r="NJT23" s="2"/>
      <c r="NJU23" s="2"/>
      <c r="NJV23" s="2"/>
      <c r="NJW23" s="2"/>
      <c r="NJX23" s="2"/>
      <c r="NJY23" s="2"/>
      <c r="NJZ23" s="2"/>
      <c r="NKA23" s="2"/>
      <c r="NKB23" s="2"/>
      <c r="NKC23" s="2"/>
      <c r="NKD23" s="2"/>
      <c r="NKE23" s="2"/>
      <c r="NKF23" s="2"/>
      <c r="NKG23" s="2"/>
      <c r="NKH23" s="2"/>
      <c r="NKI23" s="2"/>
      <c r="NKJ23" s="2"/>
      <c r="NKK23" s="2"/>
      <c r="NKL23" s="2"/>
      <c r="NKM23" s="2"/>
      <c r="NKN23" s="2"/>
      <c r="NKO23" s="2"/>
      <c r="NKP23" s="2"/>
      <c r="NKQ23" s="2"/>
      <c r="NKR23" s="2"/>
      <c r="NKS23" s="2"/>
      <c r="NKT23" s="2"/>
      <c r="NKU23" s="2"/>
      <c r="NKV23" s="2"/>
      <c r="NKW23" s="2"/>
      <c r="NKX23" s="2"/>
      <c r="NKY23" s="2"/>
      <c r="NKZ23" s="2"/>
      <c r="NLA23" s="2"/>
      <c r="NLB23" s="2"/>
      <c r="NLC23" s="2"/>
      <c r="NLD23" s="2"/>
      <c r="NLE23" s="2"/>
      <c r="NLF23" s="2"/>
      <c r="NLG23" s="2"/>
      <c r="NLH23" s="2"/>
      <c r="NLI23" s="2"/>
      <c r="NLJ23" s="2"/>
      <c r="NLK23" s="2"/>
      <c r="NLL23" s="2"/>
      <c r="NLM23" s="2"/>
      <c r="NLN23" s="2"/>
      <c r="NLO23" s="2"/>
      <c r="NLP23" s="2"/>
      <c r="NLQ23" s="2"/>
      <c r="NLR23" s="2"/>
      <c r="NLS23" s="2"/>
      <c r="NLT23" s="2"/>
      <c r="NLU23" s="2"/>
      <c r="NLV23" s="2"/>
      <c r="NLW23" s="2"/>
      <c r="NLX23" s="2"/>
      <c r="NLY23" s="2"/>
      <c r="NLZ23" s="2"/>
      <c r="NMA23" s="2"/>
      <c r="NMB23" s="2"/>
      <c r="NMC23" s="2"/>
      <c r="NMD23" s="2"/>
      <c r="NME23" s="2"/>
      <c r="NMF23" s="2"/>
      <c r="NMG23" s="2"/>
      <c r="NMH23" s="2"/>
      <c r="NMI23" s="2"/>
      <c r="NMJ23" s="2"/>
      <c r="NMK23" s="2"/>
      <c r="NML23" s="2"/>
      <c r="NMM23" s="2"/>
      <c r="NMN23" s="2"/>
      <c r="NMO23" s="2"/>
      <c r="NMP23" s="2"/>
      <c r="NMQ23" s="2"/>
      <c r="NMR23" s="2"/>
      <c r="NMS23" s="2"/>
      <c r="NMT23" s="2"/>
      <c r="NMU23" s="2"/>
      <c r="NMV23" s="2"/>
      <c r="NMW23" s="2"/>
      <c r="NMX23" s="2"/>
      <c r="NMY23" s="2"/>
      <c r="NMZ23" s="2"/>
      <c r="NNA23" s="2"/>
      <c r="NNB23" s="2"/>
      <c r="NNC23" s="2"/>
      <c r="NND23" s="2"/>
      <c r="NNE23" s="2"/>
      <c r="NNF23" s="2"/>
      <c r="NNG23" s="2"/>
      <c r="NNH23" s="2"/>
      <c r="NNI23" s="2"/>
      <c r="NNJ23" s="2"/>
      <c r="NNK23" s="2"/>
      <c r="NNL23" s="2"/>
      <c r="NNM23" s="2"/>
      <c r="NNN23" s="2"/>
      <c r="NNO23" s="2"/>
      <c r="NNP23" s="2"/>
      <c r="NNQ23" s="2"/>
      <c r="NNR23" s="2"/>
      <c r="NNS23" s="2"/>
      <c r="NNT23" s="2"/>
      <c r="NNU23" s="2"/>
      <c r="NNV23" s="2"/>
      <c r="NNW23" s="2"/>
      <c r="NNX23" s="2"/>
      <c r="NNY23" s="2"/>
      <c r="NNZ23" s="2"/>
      <c r="NOA23" s="2"/>
      <c r="NOB23" s="2"/>
      <c r="NOC23" s="2"/>
      <c r="NOD23" s="2"/>
      <c r="NOE23" s="2"/>
      <c r="NOF23" s="2"/>
      <c r="NOG23" s="2"/>
      <c r="NOH23" s="2"/>
      <c r="NOI23" s="2"/>
      <c r="NOJ23" s="2"/>
      <c r="NOK23" s="2"/>
      <c r="NOL23" s="2"/>
      <c r="NOM23" s="2"/>
      <c r="NON23" s="2"/>
      <c r="NOO23" s="2"/>
      <c r="NOP23" s="2"/>
      <c r="NOQ23" s="2"/>
      <c r="NOR23" s="2"/>
      <c r="NOS23" s="2"/>
      <c r="NOT23" s="2"/>
      <c r="NOU23" s="2"/>
      <c r="NOV23" s="2"/>
      <c r="NOW23" s="2"/>
      <c r="NOX23" s="2"/>
      <c r="NOY23" s="2"/>
      <c r="NOZ23" s="2"/>
      <c r="NPA23" s="2"/>
      <c r="NPB23" s="2"/>
      <c r="NPC23" s="2"/>
      <c r="NPD23" s="2"/>
      <c r="NPE23" s="2"/>
      <c r="NPF23" s="2"/>
      <c r="NPG23" s="2"/>
      <c r="NPH23" s="2"/>
      <c r="NPI23" s="2"/>
      <c r="NPJ23" s="2"/>
      <c r="NPK23" s="2"/>
      <c r="NPL23" s="2"/>
      <c r="NPM23" s="2"/>
      <c r="NPN23" s="2"/>
      <c r="NPO23" s="2"/>
      <c r="NPP23" s="2"/>
      <c r="NPQ23" s="2"/>
      <c r="NPR23" s="2"/>
      <c r="NPS23" s="2"/>
      <c r="NPT23" s="2"/>
      <c r="NPU23" s="2"/>
      <c r="NPV23" s="2"/>
      <c r="NPW23" s="2"/>
      <c r="NPX23" s="2"/>
      <c r="NPY23" s="2"/>
      <c r="NPZ23" s="2"/>
      <c r="NQA23" s="2"/>
      <c r="NQB23" s="2"/>
      <c r="NQC23" s="2"/>
      <c r="NQD23" s="2"/>
      <c r="NQE23" s="2"/>
      <c r="NQF23" s="2"/>
      <c r="NQG23" s="2"/>
      <c r="NQH23" s="2"/>
      <c r="NQI23" s="2"/>
      <c r="NQJ23" s="2"/>
      <c r="NQK23" s="2"/>
      <c r="NQL23" s="2"/>
      <c r="NQM23" s="2"/>
      <c r="NQN23" s="2"/>
      <c r="NQO23" s="2"/>
      <c r="NQP23" s="2"/>
      <c r="NQQ23" s="2"/>
      <c r="NQR23" s="2"/>
      <c r="NQS23" s="2"/>
      <c r="NQT23" s="2"/>
      <c r="NQU23" s="2"/>
      <c r="NQV23" s="2"/>
      <c r="NQW23" s="2"/>
      <c r="NQX23" s="2"/>
      <c r="NQY23" s="2"/>
      <c r="NQZ23" s="2"/>
      <c r="NRA23" s="2"/>
      <c r="NRB23" s="2"/>
      <c r="NRC23" s="2"/>
      <c r="NRD23" s="2"/>
      <c r="NRE23" s="2"/>
      <c r="NRF23" s="2"/>
      <c r="NRG23" s="2"/>
      <c r="NRH23" s="2"/>
      <c r="NRI23" s="2"/>
      <c r="NRJ23" s="2"/>
      <c r="NRK23" s="2"/>
      <c r="NRL23" s="2"/>
      <c r="NRM23" s="2"/>
      <c r="NRN23" s="2"/>
      <c r="NRO23" s="2"/>
      <c r="NRP23" s="2"/>
      <c r="NRQ23" s="2"/>
      <c r="NRR23" s="2"/>
      <c r="NRS23" s="2"/>
      <c r="NRT23" s="2"/>
      <c r="NRU23" s="2"/>
      <c r="NRV23" s="2"/>
      <c r="NRW23" s="2"/>
      <c r="NRX23" s="2"/>
      <c r="NRY23" s="2"/>
      <c r="NRZ23" s="2"/>
      <c r="NSA23" s="2"/>
      <c r="NSB23" s="2"/>
      <c r="NSC23" s="2"/>
      <c r="NSD23" s="2"/>
      <c r="NSE23" s="2"/>
      <c r="NSF23" s="2"/>
      <c r="NSG23" s="2"/>
      <c r="NSH23" s="2"/>
      <c r="NSI23" s="2"/>
      <c r="NSJ23" s="2"/>
      <c r="NSK23" s="2"/>
      <c r="NSL23" s="2"/>
      <c r="NSM23" s="2"/>
      <c r="NSN23" s="2"/>
      <c r="NSO23" s="2"/>
      <c r="NSP23" s="2"/>
      <c r="NSQ23" s="2"/>
      <c r="NSR23" s="2"/>
      <c r="NSS23" s="2"/>
      <c r="NST23" s="2"/>
      <c r="NSU23" s="2"/>
      <c r="NSV23" s="2"/>
      <c r="NSW23" s="2"/>
      <c r="NSX23" s="2"/>
      <c r="NSY23" s="2"/>
      <c r="NSZ23" s="2"/>
      <c r="NTA23" s="2"/>
      <c r="NTB23" s="2"/>
      <c r="NTC23" s="2"/>
      <c r="NTD23" s="2"/>
      <c r="NTE23" s="2"/>
      <c r="NTF23" s="2"/>
      <c r="NTG23" s="2"/>
      <c r="NTH23" s="2"/>
      <c r="NTI23" s="2"/>
      <c r="NTJ23" s="2"/>
      <c r="NTK23" s="2"/>
      <c r="NTL23" s="2"/>
      <c r="NTM23" s="2"/>
      <c r="NTN23" s="2"/>
      <c r="NTO23" s="2"/>
      <c r="NTP23" s="2"/>
      <c r="NTQ23" s="2"/>
      <c r="NTR23" s="2"/>
      <c r="NTS23" s="2"/>
      <c r="NTT23" s="2"/>
      <c r="NTU23" s="2"/>
      <c r="NTV23" s="2"/>
      <c r="NTW23" s="2"/>
      <c r="NTX23" s="2"/>
      <c r="NTY23" s="2"/>
      <c r="NTZ23" s="2"/>
      <c r="NUA23" s="2"/>
      <c r="NUB23" s="2"/>
      <c r="NUC23" s="2"/>
      <c r="NUD23" s="2"/>
      <c r="NUE23" s="2"/>
      <c r="NUF23" s="2"/>
      <c r="NUG23" s="2"/>
      <c r="NUH23" s="2"/>
      <c r="NUI23" s="2"/>
      <c r="NUJ23" s="2"/>
      <c r="NUK23" s="2"/>
      <c r="NUL23" s="2"/>
      <c r="NUM23" s="2"/>
      <c r="NUN23" s="2"/>
      <c r="NUO23" s="2"/>
      <c r="NUP23" s="2"/>
      <c r="NUQ23" s="2"/>
      <c r="NUR23" s="2"/>
      <c r="NUS23" s="2"/>
      <c r="NUT23" s="2"/>
      <c r="NUU23" s="2"/>
      <c r="NUV23" s="2"/>
      <c r="NUW23" s="2"/>
      <c r="NUX23" s="2"/>
      <c r="NUY23" s="2"/>
      <c r="NUZ23" s="2"/>
      <c r="NVA23" s="2"/>
      <c r="NVB23" s="2"/>
      <c r="NVC23" s="2"/>
      <c r="NVD23" s="2"/>
      <c r="NVE23" s="2"/>
      <c r="NVF23" s="2"/>
      <c r="NVG23" s="2"/>
      <c r="NVH23" s="2"/>
      <c r="NVI23" s="2"/>
      <c r="NVJ23" s="2"/>
      <c r="NVK23" s="2"/>
      <c r="NVL23" s="2"/>
      <c r="NVM23" s="2"/>
      <c r="NVN23" s="2"/>
      <c r="NVO23" s="2"/>
      <c r="NVP23" s="2"/>
      <c r="NVQ23" s="2"/>
      <c r="NVR23" s="2"/>
      <c r="NVS23" s="2"/>
      <c r="NVT23" s="2"/>
      <c r="NVU23" s="2"/>
      <c r="NVV23" s="2"/>
      <c r="NVW23" s="2"/>
      <c r="NVX23" s="2"/>
      <c r="NVY23" s="2"/>
      <c r="NVZ23" s="2"/>
      <c r="NWA23" s="2"/>
      <c r="NWB23" s="2"/>
      <c r="NWC23" s="2"/>
      <c r="NWD23" s="2"/>
      <c r="NWE23" s="2"/>
      <c r="NWF23" s="2"/>
      <c r="NWG23" s="2"/>
      <c r="NWH23" s="2"/>
      <c r="NWI23" s="2"/>
      <c r="NWJ23" s="2"/>
      <c r="NWK23" s="2"/>
      <c r="NWL23" s="2"/>
      <c r="NWM23" s="2"/>
      <c r="NWN23" s="2"/>
      <c r="NWO23" s="2"/>
      <c r="NWP23" s="2"/>
      <c r="NWQ23" s="2"/>
      <c r="NWR23" s="2"/>
      <c r="NWS23" s="2"/>
      <c r="NWT23" s="2"/>
      <c r="NWU23" s="2"/>
      <c r="NWV23" s="2"/>
      <c r="NWW23" s="2"/>
      <c r="NWX23" s="2"/>
      <c r="NWY23" s="2"/>
      <c r="NWZ23" s="2"/>
      <c r="NXA23" s="2"/>
      <c r="NXB23" s="2"/>
      <c r="NXC23" s="2"/>
      <c r="NXD23" s="2"/>
      <c r="NXE23" s="2"/>
      <c r="NXF23" s="2"/>
      <c r="NXG23" s="2"/>
      <c r="NXH23" s="2"/>
      <c r="NXI23" s="2"/>
      <c r="NXJ23" s="2"/>
      <c r="NXK23" s="2"/>
      <c r="NXL23" s="2"/>
      <c r="NXM23" s="2"/>
      <c r="NXN23" s="2"/>
      <c r="NXO23" s="2"/>
      <c r="NXP23" s="2"/>
      <c r="NXQ23" s="2"/>
      <c r="NXR23" s="2"/>
      <c r="NXS23" s="2"/>
      <c r="NXT23" s="2"/>
      <c r="NXU23" s="2"/>
      <c r="NXV23" s="2"/>
      <c r="NXW23" s="2"/>
      <c r="NXX23" s="2"/>
      <c r="NXY23" s="2"/>
      <c r="NXZ23" s="2"/>
      <c r="NYA23" s="2"/>
      <c r="NYB23" s="2"/>
      <c r="NYC23" s="2"/>
      <c r="NYD23" s="2"/>
      <c r="NYE23" s="2"/>
      <c r="NYF23" s="2"/>
      <c r="NYG23" s="2"/>
      <c r="NYH23" s="2"/>
      <c r="NYI23" s="2"/>
      <c r="NYJ23" s="2"/>
      <c r="NYK23" s="2"/>
      <c r="NYL23" s="2"/>
      <c r="NYM23" s="2"/>
      <c r="NYN23" s="2"/>
      <c r="NYO23" s="2"/>
      <c r="NYP23" s="2"/>
      <c r="NYQ23" s="2"/>
      <c r="NYR23" s="2"/>
      <c r="NYS23" s="2"/>
      <c r="NYT23" s="2"/>
      <c r="NYU23" s="2"/>
      <c r="NYV23" s="2"/>
      <c r="NYW23" s="2"/>
      <c r="NYX23" s="2"/>
      <c r="NYY23" s="2"/>
      <c r="NYZ23" s="2"/>
      <c r="NZA23" s="2"/>
      <c r="NZB23" s="2"/>
      <c r="NZC23" s="2"/>
      <c r="NZD23" s="2"/>
      <c r="NZE23" s="2"/>
      <c r="NZF23" s="2"/>
      <c r="NZG23" s="2"/>
      <c r="NZH23" s="2"/>
      <c r="NZI23" s="2"/>
      <c r="NZJ23" s="2"/>
      <c r="NZK23" s="2"/>
      <c r="NZL23" s="2"/>
      <c r="NZM23" s="2"/>
      <c r="NZN23" s="2"/>
      <c r="NZO23" s="2"/>
      <c r="NZP23" s="2"/>
      <c r="NZQ23" s="2"/>
      <c r="NZR23" s="2"/>
      <c r="NZS23" s="2"/>
      <c r="NZT23" s="2"/>
      <c r="NZU23" s="2"/>
      <c r="NZV23" s="2"/>
      <c r="NZW23" s="2"/>
      <c r="NZX23" s="2"/>
      <c r="NZY23" s="2"/>
      <c r="NZZ23" s="2"/>
      <c r="OAA23" s="2"/>
      <c r="OAB23" s="2"/>
      <c r="OAC23" s="2"/>
      <c r="OAD23" s="2"/>
      <c r="OAE23" s="2"/>
      <c r="OAF23" s="2"/>
      <c r="OAG23" s="2"/>
      <c r="OAH23" s="2"/>
      <c r="OAI23" s="2"/>
      <c r="OAJ23" s="2"/>
      <c r="OAK23" s="2"/>
      <c r="OAL23" s="2"/>
      <c r="OAM23" s="2"/>
      <c r="OAN23" s="2"/>
      <c r="OAO23" s="2"/>
      <c r="OAP23" s="2"/>
      <c r="OAQ23" s="2"/>
      <c r="OAR23" s="2"/>
      <c r="OAS23" s="2"/>
      <c r="OAT23" s="2"/>
      <c r="OAU23" s="2"/>
      <c r="OAV23" s="2"/>
      <c r="OAW23" s="2"/>
      <c r="OAX23" s="2"/>
      <c r="OAY23" s="2"/>
      <c r="OAZ23" s="2"/>
      <c r="OBA23" s="2"/>
      <c r="OBB23" s="2"/>
      <c r="OBC23" s="2"/>
      <c r="OBD23" s="2"/>
      <c r="OBE23" s="2"/>
      <c r="OBF23" s="2"/>
      <c r="OBG23" s="2"/>
      <c r="OBH23" s="2"/>
      <c r="OBI23" s="2"/>
      <c r="OBJ23" s="2"/>
      <c r="OBK23" s="2"/>
      <c r="OBL23" s="2"/>
      <c r="OBM23" s="2"/>
      <c r="OBN23" s="2"/>
      <c r="OBO23" s="2"/>
      <c r="OBP23" s="2"/>
      <c r="OBQ23" s="2"/>
      <c r="OBR23" s="2"/>
      <c r="OBS23" s="2"/>
      <c r="OBT23" s="2"/>
      <c r="OBU23" s="2"/>
      <c r="OBV23" s="2"/>
      <c r="OBW23" s="2"/>
      <c r="OBX23" s="2"/>
      <c r="OBY23" s="2"/>
      <c r="OBZ23" s="2"/>
      <c r="OCA23" s="2"/>
      <c r="OCB23" s="2"/>
      <c r="OCC23" s="2"/>
      <c r="OCD23" s="2"/>
      <c r="OCE23" s="2"/>
      <c r="OCF23" s="2"/>
      <c r="OCG23" s="2"/>
      <c r="OCH23" s="2"/>
      <c r="OCI23" s="2"/>
      <c r="OCJ23" s="2"/>
      <c r="OCK23" s="2"/>
      <c r="OCL23" s="2"/>
      <c r="OCM23" s="2"/>
      <c r="OCN23" s="2"/>
      <c r="OCO23" s="2"/>
      <c r="OCP23" s="2"/>
      <c r="OCQ23" s="2"/>
      <c r="OCR23" s="2"/>
      <c r="OCS23" s="2"/>
      <c r="OCT23" s="2"/>
      <c r="OCU23" s="2"/>
      <c r="OCV23" s="2"/>
      <c r="OCW23" s="2"/>
      <c r="OCX23" s="2"/>
      <c r="OCY23" s="2"/>
      <c r="OCZ23" s="2"/>
      <c r="ODA23" s="2"/>
      <c r="ODB23" s="2"/>
      <c r="ODC23" s="2"/>
      <c r="ODD23" s="2"/>
      <c r="ODE23" s="2"/>
      <c r="ODF23" s="2"/>
      <c r="ODG23" s="2"/>
      <c r="ODH23" s="2"/>
      <c r="ODI23" s="2"/>
      <c r="ODJ23" s="2"/>
      <c r="ODK23" s="2"/>
      <c r="ODL23" s="2"/>
      <c r="ODM23" s="2"/>
      <c r="ODN23" s="2"/>
      <c r="ODO23" s="2"/>
      <c r="ODP23" s="2"/>
      <c r="ODQ23" s="2"/>
      <c r="ODR23" s="2"/>
      <c r="ODS23" s="2"/>
      <c r="ODT23" s="2"/>
      <c r="ODU23" s="2"/>
      <c r="ODV23" s="2"/>
      <c r="ODW23" s="2"/>
      <c r="ODX23" s="2"/>
      <c r="ODY23" s="2"/>
      <c r="ODZ23" s="2"/>
      <c r="OEA23" s="2"/>
      <c r="OEB23" s="2"/>
      <c r="OEC23" s="2"/>
      <c r="OED23" s="2"/>
      <c r="OEE23" s="2"/>
      <c r="OEF23" s="2"/>
      <c r="OEG23" s="2"/>
      <c r="OEH23" s="2"/>
      <c r="OEI23" s="2"/>
      <c r="OEJ23" s="2"/>
      <c r="OEK23" s="2"/>
      <c r="OEL23" s="2"/>
      <c r="OEM23" s="2"/>
      <c r="OEN23" s="2"/>
      <c r="OEO23" s="2"/>
      <c r="OEP23" s="2"/>
      <c r="OEQ23" s="2"/>
      <c r="OER23" s="2"/>
      <c r="OES23" s="2"/>
      <c r="OET23" s="2"/>
      <c r="OEU23" s="2"/>
      <c r="OEV23" s="2"/>
      <c r="OEW23" s="2"/>
      <c r="OEX23" s="2"/>
      <c r="OEY23" s="2"/>
      <c r="OEZ23" s="2"/>
      <c r="OFA23" s="2"/>
      <c r="OFB23" s="2"/>
      <c r="OFC23" s="2"/>
      <c r="OFD23" s="2"/>
      <c r="OFE23" s="2"/>
      <c r="OFF23" s="2"/>
      <c r="OFG23" s="2"/>
      <c r="OFH23" s="2"/>
      <c r="OFI23" s="2"/>
      <c r="OFJ23" s="2"/>
      <c r="OFK23" s="2"/>
      <c r="OFL23" s="2"/>
      <c r="OFM23" s="2"/>
      <c r="OFN23" s="2"/>
      <c r="OFO23" s="2"/>
      <c r="OFP23" s="2"/>
      <c r="OFQ23" s="2"/>
      <c r="OFR23" s="2"/>
      <c r="OFS23" s="2"/>
      <c r="OFT23" s="2"/>
      <c r="OFU23" s="2"/>
      <c r="OFV23" s="2"/>
      <c r="OFW23" s="2"/>
      <c r="OFX23" s="2"/>
      <c r="OFY23" s="2"/>
      <c r="OFZ23" s="2"/>
      <c r="OGA23" s="2"/>
      <c r="OGB23" s="2"/>
      <c r="OGC23" s="2"/>
      <c r="OGD23" s="2"/>
      <c r="OGE23" s="2"/>
      <c r="OGF23" s="2"/>
      <c r="OGG23" s="2"/>
      <c r="OGH23" s="2"/>
      <c r="OGI23" s="2"/>
      <c r="OGJ23" s="2"/>
      <c r="OGK23" s="2"/>
      <c r="OGL23" s="2"/>
      <c r="OGM23" s="2"/>
      <c r="OGN23" s="2"/>
      <c r="OGO23" s="2"/>
      <c r="OGP23" s="2"/>
      <c r="OGQ23" s="2"/>
      <c r="OGR23" s="2"/>
      <c r="OGS23" s="2"/>
      <c r="OGT23" s="2"/>
      <c r="OGU23" s="2"/>
      <c r="OGV23" s="2"/>
      <c r="OGW23" s="2"/>
      <c r="OGX23" s="2"/>
      <c r="OGY23" s="2"/>
      <c r="OGZ23" s="2"/>
      <c r="OHA23" s="2"/>
      <c r="OHB23" s="2"/>
      <c r="OHC23" s="2"/>
      <c r="OHD23" s="2"/>
      <c r="OHE23" s="2"/>
      <c r="OHF23" s="2"/>
      <c r="OHG23" s="2"/>
      <c r="OHH23" s="2"/>
      <c r="OHI23" s="2"/>
      <c r="OHJ23" s="2"/>
      <c r="OHK23" s="2"/>
      <c r="OHL23" s="2"/>
      <c r="OHM23" s="2"/>
      <c r="OHN23" s="2"/>
      <c r="OHO23" s="2"/>
      <c r="OHP23" s="2"/>
      <c r="OHQ23" s="2"/>
      <c r="OHR23" s="2"/>
      <c r="OHS23" s="2"/>
      <c r="OHT23" s="2"/>
      <c r="OHU23" s="2"/>
      <c r="OHV23" s="2"/>
      <c r="OHW23" s="2"/>
      <c r="OHX23" s="2"/>
      <c r="OHY23" s="2"/>
      <c r="OHZ23" s="2"/>
      <c r="OIA23" s="2"/>
      <c r="OIB23" s="2"/>
      <c r="OIC23" s="2"/>
      <c r="OID23" s="2"/>
      <c r="OIE23" s="2"/>
      <c r="OIF23" s="2"/>
      <c r="OIG23" s="2"/>
      <c r="OIH23" s="2"/>
      <c r="OII23" s="2"/>
      <c r="OIJ23" s="2"/>
      <c r="OIK23" s="2"/>
      <c r="OIL23" s="2"/>
      <c r="OIM23" s="2"/>
      <c r="OIN23" s="2"/>
      <c r="OIO23" s="2"/>
      <c r="OIP23" s="2"/>
      <c r="OIQ23" s="2"/>
      <c r="OIR23" s="2"/>
      <c r="OIS23" s="2"/>
      <c r="OIT23" s="2"/>
      <c r="OIU23" s="2"/>
      <c r="OIV23" s="2"/>
      <c r="OIW23" s="2"/>
      <c r="OIX23" s="2"/>
      <c r="OIY23" s="2"/>
      <c r="OIZ23" s="2"/>
      <c r="OJA23" s="2"/>
      <c r="OJB23" s="2"/>
      <c r="OJC23" s="2"/>
      <c r="OJD23" s="2"/>
      <c r="OJE23" s="2"/>
      <c r="OJF23" s="2"/>
      <c r="OJG23" s="2"/>
      <c r="OJH23" s="2"/>
      <c r="OJI23" s="2"/>
      <c r="OJJ23" s="2"/>
      <c r="OJK23" s="2"/>
      <c r="OJL23" s="2"/>
      <c r="OJM23" s="2"/>
      <c r="OJN23" s="2"/>
      <c r="OJO23" s="2"/>
      <c r="OJP23" s="2"/>
      <c r="OJQ23" s="2"/>
      <c r="OJR23" s="2"/>
      <c r="OJS23" s="2"/>
      <c r="OJT23" s="2"/>
      <c r="OJU23" s="2"/>
      <c r="OJV23" s="2"/>
      <c r="OJW23" s="2"/>
      <c r="OJX23" s="2"/>
      <c r="OJY23" s="2"/>
      <c r="OJZ23" s="2"/>
      <c r="OKA23" s="2"/>
      <c r="OKB23" s="2"/>
      <c r="OKC23" s="2"/>
      <c r="OKD23" s="2"/>
      <c r="OKE23" s="2"/>
      <c r="OKF23" s="2"/>
      <c r="OKG23" s="2"/>
      <c r="OKH23" s="2"/>
      <c r="OKI23" s="2"/>
      <c r="OKJ23" s="2"/>
      <c r="OKK23" s="2"/>
      <c r="OKL23" s="2"/>
      <c r="OKM23" s="2"/>
      <c r="OKN23" s="2"/>
      <c r="OKO23" s="2"/>
      <c r="OKP23" s="2"/>
      <c r="OKQ23" s="2"/>
      <c r="OKR23" s="2"/>
      <c r="OKS23" s="2"/>
      <c r="OKT23" s="2"/>
      <c r="OKU23" s="2"/>
      <c r="OKV23" s="2"/>
      <c r="OKW23" s="2"/>
      <c r="OKX23" s="2"/>
      <c r="OKY23" s="2"/>
      <c r="OKZ23" s="2"/>
      <c r="OLA23" s="2"/>
      <c r="OLB23" s="2"/>
      <c r="OLC23" s="2"/>
      <c r="OLD23" s="2"/>
      <c r="OLE23" s="2"/>
      <c r="OLF23" s="2"/>
      <c r="OLG23" s="2"/>
      <c r="OLH23" s="2"/>
      <c r="OLI23" s="2"/>
      <c r="OLJ23" s="2"/>
      <c r="OLK23" s="2"/>
      <c r="OLL23" s="2"/>
      <c r="OLM23" s="2"/>
      <c r="OLN23" s="2"/>
      <c r="OLO23" s="2"/>
      <c r="OLP23" s="2"/>
      <c r="OLQ23" s="2"/>
      <c r="OLR23" s="2"/>
      <c r="OLS23" s="2"/>
      <c r="OLT23" s="2"/>
      <c r="OLU23" s="2"/>
      <c r="OLV23" s="2"/>
      <c r="OLW23" s="2"/>
      <c r="OLX23" s="2"/>
      <c r="OLY23" s="2"/>
      <c r="OLZ23" s="2"/>
      <c r="OMA23" s="2"/>
      <c r="OMB23" s="2"/>
      <c r="OMC23" s="2"/>
      <c r="OMD23" s="2"/>
      <c r="OME23" s="2"/>
      <c r="OMF23" s="2"/>
      <c r="OMG23" s="2"/>
      <c r="OMH23" s="2"/>
      <c r="OMI23" s="2"/>
      <c r="OMJ23" s="2"/>
      <c r="OMK23" s="2"/>
      <c r="OML23" s="2"/>
      <c r="OMM23" s="2"/>
      <c r="OMN23" s="2"/>
      <c r="OMO23" s="2"/>
      <c r="OMP23" s="2"/>
      <c r="OMQ23" s="2"/>
      <c r="OMR23" s="2"/>
      <c r="OMS23" s="2"/>
      <c r="OMT23" s="2"/>
      <c r="OMU23" s="2"/>
      <c r="OMV23" s="2"/>
      <c r="OMW23" s="2"/>
      <c r="OMX23" s="2"/>
      <c r="OMY23" s="2"/>
      <c r="OMZ23" s="2"/>
      <c r="ONA23" s="2"/>
      <c r="ONB23" s="2"/>
      <c r="ONC23" s="2"/>
      <c r="OND23" s="2"/>
      <c r="ONE23" s="2"/>
      <c r="ONF23" s="2"/>
      <c r="ONG23" s="2"/>
      <c r="ONH23" s="2"/>
      <c r="ONI23" s="2"/>
      <c r="ONJ23" s="2"/>
      <c r="ONK23" s="2"/>
      <c r="ONL23" s="2"/>
      <c r="ONM23" s="2"/>
      <c r="ONN23" s="2"/>
      <c r="ONO23" s="2"/>
      <c r="ONP23" s="2"/>
      <c r="ONQ23" s="2"/>
      <c r="ONR23" s="2"/>
      <c r="ONS23" s="2"/>
      <c r="ONT23" s="2"/>
      <c r="ONU23" s="2"/>
      <c r="ONV23" s="2"/>
      <c r="ONW23" s="2"/>
      <c r="ONX23" s="2"/>
      <c r="ONY23" s="2"/>
      <c r="ONZ23" s="2"/>
      <c r="OOA23" s="2"/>
      <c r="OOB23" s="2"/>
      <c r="OOC23" s="2"/>
      <c r="OOD23" s="2"/>
      <c r="OOE23" s="2"/>
      <c r="OOF23" s="2"/>
      <c r="OOG23" s="2"/>
      <c r="OOH23" s="2"/>
      <c r="OOI23" s="2"/>
      <c r="OOJ23" s="2"/>
      <c r="OOK23" s="2"/>
      <c r="OOL23" s="2"/>
      <c r="OOM23" s="2"/>
      <c r="OON23" s="2"/>
      <c r="OOO23" s="2"/>
      <c r="OOP23" s="2"/>
      <c r="OOQ23" s="2"/>
      <c r="OOR23" s="2"/>
      <c r="OOS23" s="2"/>
      <c r="OOT23" s="2"/>
      <c r="OOU23" s="2"/>
      <c r="OOV23" s="2"/>
      <c r="OOW23" s="2"/>
      <c r="OOX23" s="2"/>
      <c r="OOY23" s="2"/>
      <c r="OOZ23" s="2"/>
      <c r="OPA23" s="2"/>
      <c r="OPB23" s="2"/>
      <c r="OPC23" s="2"/>
      <c r="OPD23" s="2"/>
      <c r="OPE23" s="2"/>
      <c r="OPF23" s="2"/>
      <c r="OPG23" s="2"/>
      <c r="OPH23" s="2"/>
      <c r="OPI23" s="2"/>
      <c r="OPJ23" s="2"/>
      <c r="OPK23" s="2"/>
      <c r="OPL23" s="2"/>
      <c r="OPM23" s="2"/>
      <c r="OPN23" s="2"/>
      <c r="OPO23" s="2"/>
      <c r="OPP23" s="2"/>
      <c r="OPQ23" s="2"/>
      <c r="OPR23" s="2"/>
      <c r="OPS23" s="2"/>
      <c r="OPT23" s="2"/>
      <c r="OPU23" s="2"/>
      <c r="OPV23" s="2"/>
      <c r="OPW23" s="2"/>
      <c r="OPX23" s="2"/>
      <c r="OPY23" s="2"/>
      <c r="OPZ23" s="2"/>
      <c r="OQA23" s="2"/>
      <c r="OQB23" s="2"/>
      <c r="OQC23" s="2"/>
      <c r="OQD23" s="2"/>
      <c r="OQE23" s="2"/>
      <c r="OQF23" s="2"/>
      <c r="OQG23" s="2"/>
      <c r="OQH23" s="2"/>
      <c r="OQI23" s="2"/>
      <c r="OQJ23" s="2"/>
      <c r="OQK23" s="2"/>
      <c r="OQL23" s="2"/>
      <c r="OQM23" s="2"/>
      <c r="OQN23" s="2"/>
      <c r="OQO23" s="2"/>
      <c r="OQP23" s="2"/>
      <c r="OQQ23" s="2"/>
      <c r="OQR23" s="2"/>
      <c r="OQS23" s="2"/>
      <c r="OQT23" s="2"/>
      <c r="OQU23" s="2"/>
      <c r="OQV23" s="2"/>
      <c r="OQW23" s="2"/>
      <c r="OQX23" s="2"/>
      <c r="OQY23" s="2"/>
      <c r="OQZ23" s="2"/>
      <c r="ORA23" s="2"/>
      <c r="ORB23" s="2"/>
      <c r="ORC23" s="2"/>
      <c r="ORD23" s="2"/>
      <c r="ORE23" s="2"/>
      <c r="ORF23" s="2"/>
      <c r="ORG23" s="2"/>
      <c r="ORH23" s="2"/>
      <c r="ORI23" s="2"/>
      <c r="ORJ23" s="2"/>
      <c r="ORK23" s="2"/>
      <c r="ORL23" s="2"/>
      <c r="ORM23" s="2"/>
      <c r="ORN23" s="2"/>
      <c r="ORO23" s="2"/>
      <c r="ORP23" s="2"/>
      <c r="ORQ23" s="2"/>
      <c r="ORR23" s="2"/>
      <c r="ORS23" s="2"/>
      <c r="ORT23" s="2"/>
      <c r="ORU23" s="2"/>
      <c r="ORV23" s="2"/>
      <c r="ORW23" s="2"/>
      <c r="ORX23" s="2"/>
      <c r="ORY23" s="2"/>
      <c r="ORZ23" s="2"/>
      <c r="OSA23" s="2"/>
      <c r="OSB23" s="2"/>
      <c r="OSC23" s="2"/>
      <c r="OSD23" s="2"/>
      <c r="OSE23" s="2"/>
      <c r="OSF23" s="2"/>
      <c r="OSG23" s="2"/>
      <c r="OSH23" s="2"/>
      <c r="OSI23" s="2"/>
      <c r="OSJ23" s="2"/>
      <c r="OSK23" s="2"/>
      <c r="OSL23" s="2"/>
      <c r="OSM23" s="2"/>
      <c r="OSN23" s="2"/>
      <c r="OSO23" s="2"/>
      <c r="OSP23" s="2"/>
      <c r="OSQ23" s="2"/>
      <c r="OSR23" s="2"/>
      <c r="OSS23" s="2"/>
      <c r="OST23" s="2"/>
      <c r="OSU23" s="2"/>
      <c r="OSV23" s="2"/>
      <c r="OSW23" s="2"/>
      <c r="OSX23" s="2"/>
      <c r="OSY23" s="2"/>
      <c r="OSZ23" s="2"/>
      <c r="OTA23" s="2"/>
      <c r="OTB23" s="2"/>
      <c r="OTC23" s="2"/>
      <c r="OTD23" s="2"/>
      <c r="OTE23" s="2"/>
      <c r="OTF23" s="2"/>
      <c r="OTG23" s="2"/>
      <c r="OTH23" s="2"/>
      <c r="OTI23" s="2"/>
      <c r="OTJ23" s="2"/>
      <c r="OTK23" s="2"/>
      <c r="OTL23" s="2"/>
      <c r="OTM23" s="2"/>
      <c r="OTN23" s="2"/>
      <c r="OTO23" s="2"/>
      <c r="OTP23" s="2"/>
      <c r="OTQ23" s="2"/>
      <c r="OTR23" s="2"/>
      <c r="OTS23" s="2"/>
      <c r="OTT23" s="2"/>
      <c r="OTU23" s="2"/>
      <c r="OTV23" s="2"/>
      <c r="OTW23" s="2"/>
      <c r="OTX23" s="2"/>
      <c r="OTY23" s="2"/>
      <c r="OTZ23" s="2"/>
      <c r="OUA23" s="2"/>
      <c r="OUB23" s="2"/>
      <c r="OUC23" s="2"/>
      <c r="OUD23" s="2"/>
      <c r="OUE23" s="2"/>
      <c r="OUF23" s="2"/>
      <c r="OUG23" s="2"/>
      <c r="OUH23" s="2"/>
      <c r="OUI23" s="2"/>
      <c r="OUJ23" s="2"/>
      <c r="OUK23" s="2"/>
      <c r="OUL23" s="2"/>
      <c r="OUM23" s="2"/>
      <c r="OUN23" s="2"/>
      <c r="OUO23" s="2"/>
      <c r="OUP23" s="2"/>
      <c r="OUQ23" s="2"/>
      <c r="OUR23" s="2"/>
      <c r="OUS23" s="2"/>
      <c r="OUT23" s="2"/>
      <c r="OUU23" s="2"/>
      <c r="OUV23" s="2"/>
      <c r="OUW23" s="2"/>
      <c r="OUX23" s="2"/>
      <c r="OUY23" s="2"/>
      <c r="OUZ23" s="2"/>
      <c r="OVA23" s="2"/>
      <c r="OVB23" s="2"/>
      <c r="OVC23" s="2"/>
      <c r="OVD23" s="2"/>
      <c r="OVE23" s="2"/>
      <c r="OVF23" s="2"/>
      <c r="OVG23" s="2"/>
      <c r="OVH23" s="2"/>
      <c r="OVI23" s="2"/>
      <c r="OVJ23" s="2"/>
      <c r="OVK23" s="2"/>
      <c r="OVL23" s="2"/>
      <c r="OVM23" s="2"/>
      <c r="OVN23" s="2"/>
      <c r="OVO23" s="2"/>
      <c r="OVP23" s="2"/>
      <c r="OVQ23" s="2"/>
      <c r="OVR23" s="2"/>
      <c r="OVS23" s="2"/>
      <c r="OVT23" s="2"/>
      <c r="OVU23" s="2"/>
      <c r="OVV23" s="2"/>
      <c r="OVW23" s="2"/>
      <c r="OVX23" s="2"/>
      <c r="OVY23" s="2"/>
      <c r="OVZ23" s="2"/>
      <c r="OWA23" s="2"/>
      <c r="OWB23" s="2"/>
      <c r="OWC23" s="2"/>
      <c r="OWD23" s="2"/>
      <c r="OWE23" s="2"/>
      <c r="OWF23" s="2"/>
      <c r="OWG23" s="2"/>
      <c r="OWH23" s="2"/>
      <c r="OWI23" s="2"/>
      <c r="OWJ23" s="2"/>
      <c r="OWK23" s="2"/>
      <c r="OWL23" s="2"/>
      <c r="OWM23" s="2"/>
      <c r="OWN23" s="2"/>
      <c r="OWO23" s="2"/>
      <c r="OWP23" s="2"/>
      <c r="OWQ23" s="2"/>
      <c r="OWR23" s="2"/>
      <c r="OWS23" s="2"/>
      <c r="OWT23" s="2"/>
      <c r="OWU23" s="2"/>
      <c r="OWV23" s="2"/>
      <c r="OWW23" s="2"/>
      <c r="OWX23" s="2"/>
      <c r="OWY23" s="2"/>
      <c r="OWZ23" s="2"/>
      <c r="OXA23" s="2"/>
      <c r="OXB23" s="2"/>
      <c r="OXC23" s="2"/>
      <c r="OXD23" s="2"/>
      <c r="OXE23" s="2"/>
      <c r="OXF23" s="2"/>
      <c r="OXG23" s="2"/>
      <c r="OXH23" s="2"/>
      <c r="OXI23" s="2"/>
      <c r="OXJ23" s="2"/>
      <c r="OXK23" s="2"/>
      <c r="OXL23" s="2"/>
      <c r="OXM23" s="2"/>
      <c r="OXN23" s="2"/>
      <c r="OXO23" s="2"/>
      <c r="OXP23" s="2"/>
      <c r="OXQ23" s="2"/>
      <c r="OXR23" s="2"/>
      <c r="OXS23" s="2"/>
      <c r="OXT23" s="2"/>
      <c r="OXU23" s="2"/>
      <c r="OXV23" s="2"/>
      <c r="OXW23" s="2"/>
      <c r="OXX23" s="2"/>
      <c r="OXY23" s="2"/>
      <c r="OXZ23" s="2"/>
      <c r="OYA23" s="2"/>
      <c r="OYB23" s="2"/>
      <c r="OYC23" s="2"/>
      <c r="OYD23" s="2"/>
      <c r="OYE23" s="2"/>
      <c r="OYF23" s="2"/>
      <c r="OYG23" s="2"/>
      <c r="OYH23" s="2"/>
      <c r="OYI23" s="2"/>
      <c r="OYJ23" s="2"/>
      <c r="OYK23" s="2"/>
      <c r="OYL23" s="2"/>
      <c r="OYM23" s="2"/>
      <c r="OYN23" s="2"/>
      <c r="OYO23" s="2"/>
      <c r="OYP23" s="2"/>
      <c r="OYQ23" s="2"/>
      <c r="OYR23" s="2"/>
      <c r="OYS23" s="2"/>
      <c r="OYT23" s="2"/>
      <c r="OYU23" s="2"/>
      <c r="OYV23" s="2"/>
      <c r="OYW23" s="2"/>
      <c r="OYX23" s="2"/>
      <c r="OYY23" s="2"/>
      <c r="OYZ23" s="2"/>
      <c r="OZA23" s="2"/>
      <c r="OZB23" s="2"/>
      <c r="OZC23" s="2"/>
      <c r="OZD23" s="2"/>
      <c r="OZE23" s="2"/>
      <c r="OZF23" s="2"/>
      <c r="OZG23" s="2"/>
      <c r="OZH23" s="2"/>
      <c r="OZI23" s="2"/>
      <c r="OZJ23" s="2"/>
      <c r="OZK23" s="2"/>
      <c r="OZL23" s="2"/>
      <c r="OZM23" s="2"/>
      <c r="OZN23" s="2"/>
      <c r="OZO23" s="2"/>
      <c r="OZP23" s="2"/>
      <c r="OZQ23" s="2"/>
      <c r="OZR23" s="2"/>
      <c r="OZS23" s="2"/>
      <c r="OZT23" s="2"/>
      <c r="OZU23" s="2"/>
      <c r="OZV23" s="2"/>
      <c r="OZW23" s="2"/>
      <c r="OZX23" s="2"/>
      <c r="OZY23" s="2"/>
      <c r="OZZ23" s="2"/>
      <c r="PAA23" s="2"/>
      <c r="PAB23" s="2"/>
      <c r="PAC23" s="2"/>
      <c r="PAD23" s="2"/>
      <c r="PAE23" s="2"/>
      <c r="PAF23" s="2"/>
      <c r="PAG23" s="2"/>
      <c r="PAH23" s="2"/>
      <c r="PAI23" s="2"/>
      <c r="PAJ23" s="2"/>
      <c r="PAK23" s="2"/>
      <c r="PAL23" s="2"/>
      <c r="PAM23" s="2"/>
      <c r="PAN23" s="2"/>
      <c r="PAO23" s="2"/>
      <c r="PAP23" s="2"/>
      <c r="PAQ23" s="2"/>
      <c r="PAR23" s="2"/>
      <c r="PAS23" s="2"/>
      <c r="PAT23" s="2"/>
      <c r="PAU23" s="2"/>
      <c r="PAV23" s="2"/>
      <c r="PAW23" s="2"/>
      <c r="PAX23" s="2"/>
      <c r="PAY23" s="2"/>
      <c r="PAZ23" s="2"/>
      <c r="PBA23" s="2"/>
      <c r="PBB23" s="2"/>
      <c r="PBC23" s="2"/>
      <c r="PBD23" s="2"/>
      <c r="PBE23" s="2"/>
      <c r="PBF23" s="2"/>
      <c r="PBG23" s="2"/>
      <c r="PBH23" s="2"/>
      <c r="PBI23" s="2"/>
      <c r="PBJ23" s="2"/>
      <c r="PBK23" s="2"/>
      <c r="PBL23" s="2"/>
      <c r="PBM23" s="2"/>
      <c r="PBN23" s="2"/>
      <c r="PBO23" s="2"/>
      <c r="PBP23" s="2"/>
      <c r="PBQ23" s="2"/>
      <c r="PBR23" s="2"/>
      <c r="PBS23" s="2"/>
      <c r="PBT23" s="2"/>
      <c r="PBU23" s="2"/>
      <c r="PBV23" s="2"/>
      <c r="PBW23" s="2"/>
      <c r="PBX23" s="2"/>
      <c r="PBY23" s="2"/>
      <c r="PBZ23" s="2"/>
      <c r="PCA23" s="2"/>
      <c r="PCB23" s="2"/>
      <c r="PCC23" s="2"/>
      <c r="PCD23" s="2"/>
      <c r="PCE23" s="2"/>
      <c r="PCF23" s="2"/>
      <c r="PCG23" s="2"/>
      <c r="PCH23" s="2"/>
      <c r="PCI23" s="2"/>
      <c r="PCJ23" s="2"/>
      <c r="PCK23" s="2"/>
      <c r="PCL23" s="2"/>
      <c r="PCM23" s="2"/>
      <c r="PCN23" s="2"/>
      <c r="PCO23" s="2"/>
      <c r="PCP23" s="2"/>
      <c r="PCQ23" s="2"/>
      <c r="PCR23" s="2"/>
      <c r="PCS23" s="2"/>
      <c r="PCT23" s="2"/>
      <c r="PCU23" s="2"/>
      <c r="PCV23" s="2"/>
      <c r="PCW23" s="2"/>
      <c r="PCX23" s="2"/>
      <c r="PCY23" s="2"/>
      <c r="PCZ23" s="2"/>
      <c r="PDA23" s="2"/>
      <c r="PDB23" s="2"/>
      <c r="PDC23" s="2"/>
      <c r="PDD23" s="2"/>
      <c r="PDE23" s="2"/>
      <c r="PDF23" s="2"/>
      <c r="PDG23" s="2"/>
      <c r="PDH23" s="2"/>
      <c r="PDI23" s="2"/>
      <c r="PDJ23" s="2"/>
      <c r="PDK23" s="2"/>
      <c r="PDL23" s="2"/>
      <c r="PDM23" s="2"/>
      <c r="PDN23" s="2"/>
      <c r="PDO23" s="2"/>
      <c r="PDP23" s="2"/>
      <c r="PDQ23" s="2"/>
      <c r="PDR23" s="2"/>
      <c r="PDS23" s="2"/>
      <c r="PDT23" s="2"/>
      <c r="PDU23" s="2"/>
      <c r="PDV23" s="2"/>
      <c r="PDW23" s="2"/>
      <c r="PDX23" s="2"/>
      <c r="PDY23" s="2"/>
      <c r="PDZ23" s="2"/>
      <c r="PEA23" s="2"/>
      <c r="PEB23" s="2"/>
      <c r="PEC23" s="2"/>
      <c r="PED23" s="2"/>
      <c r="PEE23" s="2"/>
      <c r="PEF23" s="2"/>
      <c r="PEG23" s="2"/>
      <c r="PEH23" s="2"/>
      <c r="PEI23" s="2"/>
      <c r="PEJ23" s="2"/>
      <c r="PEK23" s="2"/>
      <c r="PEL23" s="2"/>
      <c r="PEM23" s="2"/>
      <c r="PEN23" s="2"/>
      <c r="PEO23" s="2"/>
      <c r="PEP23" s="2"/>
      <c r="PEQ23" s="2"/>
      <c r="PER23" s="2"/>
      <c r="PES23" s="2"/>
      <c r="PET23" s="2"/>
      <c r="PEU23" s="2"/>
      <c r="PEV23" s="2"/>
      <c r="PEW23" s="2"/>
      <c r="PEX23" s="2"/>
      <c r="PEY23" s="2"/>
      <c r="PEZ23" s="2"/>
      <c r="PFA23" s="2"/>
      <c r="PFB23" s="2"/>
      <c r="PFC23" s="2"/>
      <c r="PFD23" s="2"/>
      <c r="PFE23" s="2"/>
      <c r="PFF23" s="2"/>
      <c r="PFG23" s="2"/>
      <c r="PFH23" s="2"/>
      <c r="PFI23" s="2"/>
      <c r="PFJ23" s="2"/>
      <c r="PFK23" s="2"/>
      <c r="PFL23" s="2"/>
      <c r="PFM23" s="2"/>
      <c r="PFN23" s="2"/>
      <c r="PFO23" s="2"/>
      <c r="PFP23" s="2"/>
      <c r="PFQ23" s="2"/>
      <c r="PFR23" s="2"/>
      <c r="PFS23" s="2"/>
      <c r="PFT23" s="2"/>
      <c r="PFU23" s="2"/>
      <c r="PFV23" s="2"/>
      <c r="PFW23" s="2"/>
      <c r="PFX23" s="2"/>
      <c r="PFY23" s="2"/>
      <c r="PFZ23" s="2"/>
      <c r="PGA23" s="2"/>
      <c r="PGB23" s="2"/>
      <c r="PGC23" s="2"/>
      <c r="PGD23" s="2"/>
      <c r="PGE23" s="2"/>
      <c r="PGF23" s="2"/>
      <c r="PGG23" s="2"/>
      <c r="PGH23" s="2"/>
      <c r="PGI23" s="2"/>
      <c r="PGJ23" s="2"/>
      <c r="PGK23" s="2"/>
      <c r="PGL23" s="2"/>
      <c r="PGM23" s="2"/>
      <c r="PGN23" s="2"/>
      <c r="PGO23" s="2"/>
      <c r="PGP23" s="2"/>
      <c r="PGQ23" s="2"/>
      <c r="PGR23" s="2"/>
      <c r="PGS23" s="2"/>
      <c r="PGT23" s="2"/>
      <c r="PGU23" s="2"/>
      <c r="PGV23" s="2"/>
      <c r="PGW23" s="2"/>
      <c r="PGX23" s="2"/>
      <c r="PGY23" s="2"/>
      <c r="PGZ23" s="2"/>
      <c r="PHA23" s="2"/>
      <c r="PHB23" s="2"/>
      <c r="PHC23" s="2"/>
      <c r="PHD23" s="2"/>
      <c r="PHE23" s="2"/>
      <c r="PHF23" s="2"/>
      <c r="PHG23" s="2"/>
      <c r="PHH23" s="2"/>
      <c r="PHI23" s="2"/>
      <c r="PHJ23" s="2"/>
      <c r="PHK23" s="2"/>
      <c r="PHL23" s="2"/>
      <c r="PHM23" s="2"/>
      <c r="PHN23" s="2"/>
      <c r="PHO23" s="2"/>
      <c r="PHP23" s="2"/>
      <c r="PHQ23" s="2"/>
      <c r="PHR23" s="2"/>
      <c r="PHS23" s="2"/>
      <c r="PHT23" s="2"/>
      <c r="PHU23" s="2"/>
      <c r="PHV23" s="2"/>
      <c r="PHW23" s="2"/>
      <c r="PHX23" s="2"/>
      <c r="PHY23" s="2"/>
      <c r="PHZ23" s="2"/>
      <c r="PIA23" s="2"/>
      <c r="PIB23" s="2"/>
      <c r="PIC23" s="2"/>
      <c r="PID23" s="2"/>
      <c r="PIE23" s="2"/>
      <c r="PIF23" s="2"/>
      <c r="PIG23" s="2"/>
      <c r="PIH23" s="2"/>
      <c r="PII23" s="2"/>
      <c r="PIJ23" s="2"/>
      <c r="PIK23" s="2"/>
      <c r="PIL23" s="2"/>
      <c r="PIM23" s="2"/>
      <c r="PIN23" s="2"/>
      <c r="PIO23" s="2"/>
      <c r="PIP23" s="2"/>
      <c r="PIQ23" s="2"/>
      <c r="PIR23" s="2"/>
      <c r="PIS23" s="2"/>
      <c r="PIT23" s="2"/>
      <c r="PIU23" s="2"/>
      <c r="PIV23" s="2"/>
      <c r="PIW23" s="2"/>
      <c r="PIX23" s="2"/>
      <c r="PIY23" s="2"/>
      <c r="PIZ23" s="2"/>
      <c r="PJA23" s="2"/>
      <c r="PJB23" s="2"/>
      <c r="PJC23" s="2"/>
      <c r="PJD23" s="2"/>
      <c r="PJE23" s="2"/>
      <c r="PJF23" s="2"/>
      <c r="PJG23" s="2"/>
      <c r="PJH23" s="2"/>
      <c r="PJI23" s="2"/>
      <c r="PJJ23" s="2"/>
      <c r="PJK23" s="2"/>
      <c r="PJL23" s="2"/>
      <c r="PJM23" s="2"/>
      <c r="PJN23" s="2"/>
      <c r="PJO23" s="2"/>
      <c r="PJP23" s="2"/>
      <c r="PJQ23" s="2"/>
      <c r="PJR23" s="2"/>
      <c r="PJS23" s="2"/>
      <c r="PJT23" s="2"/>
      <c r="PJU23" s="2"/>
      <c r="PJV23" s="2"/>
      <c r="PJW23" s="2"/>
      <c r="PJX23" s="2"/>
      <c r="PJY23" s="2"/>
      <c r="PJZ23" s="2"/>
      <c r="PKA23" s="2"/>
      <c r="PKB23" s="2"/>
      <c r="PKC23" s="2"/>
      <c r="PKD23" s="2"/>
      <c r="PKE23" s="2"/>
      <c r="PKF23" s="2"/>
      <c r="PKG23" s="2"/>
      <c r="PKH23" s="2"/>
      <c r="PKI23" s="2"/>
      <c r="PKJ23" s="2"/>
      <c r="PKK23" s="2"/>
      <c r="PKL23" s="2"/>
      <c r="PKM23" s="2"/>
      <c r="PKN23" s="2"/>
      <c r="PKO23" s="2"/>
      <c r="PKP23" s="2"/>
      <c r="PKQ23" s="2"/>
      <c r="PKR23" s="2"/>
      <c r="PKS23" s="2"/>
      <c r="PKT23" s="2"/>
      <c r="PKU23" s="2"/>
      <c r="PKV23" s="2"/>
      <c r="PKW23" s="2"/>
      <c r="PKX23" s="2"/>
      <c r="PKY23" s="2"/>
      <c r="PKZ23" s="2"/>
      <c r="PLA23" s="2"/>
      <c r="PLB23" s="2"/>
      <c r="PLC23" s="2"/>
      <c r="PLD23" s="2"/>
      <c r="PLE23" s="2"/>
      <c r="PLF23" s="2"/>
      <c r="PLG23" s="2"/>
      <c r="PLH23" s="2"/>
      <c r="PLI23" s="2"/>
      <c r="PLJ23" s="2"/>
      <c r="PLK23" s="2"/>
      <c r="PLL23" s="2"/>
      <c r="PLM23" s="2"/>
      <c r="PLN23" s="2"/>
      <c r="PLO23" s="2"/>
      <c r="PLP23" s="2"/>
      <c r="PLQ23" s="2"/>
      <c r="PLR23" s="2"/>
      <c r="PLS23" s="2"/>
      <c r="PLT23" s="2"/>
      <c r="PLU23" s="2"/>
      <c r="PLV23" s="2"/>
      <c r="PLW23" s="2"/>
      <c r="PLX23" s="2"/>
      <c r="PLY23" s="2"/>
      <c r="PLZ23" s="2"/>
      <c r="PMA23" s="2"/>
      <c r="PMB23" s="2"/>
      <c r="PMC23" s="2"/>
      <c r="PMD23" s="2"/>
      <c r="PME23" s="2"/>
      <c r="PMF23" s="2"/>
      <c r="PMG23" s="2"/>
      <c r="PMH23" s="2"/>
      <c r="PMI23" s="2"/>
      <c r="PMJ23" s="2"/>
      <c r="PMK23" s="2"/>
      <c r="PML23" s="2"/>
      <c r="PMM23" s="2"/>
      <c r="PMN23" s="2"/>
      <c r="PMO23" s="2"/>
      <c r="PMP23" s="2"/>
      <c r="PMQ23" s="2"/>
      <c r="PMR23" s="2"/>
      <c r="PMS23" s="2"/>
      <c r="PMT23" s="2"/>
      <c r="PMU23" s="2"/>
      <c r="PMV23" s="2"/>
      <c r="PMW23" s="2"/>
      <c r="PMX23" s="2"/>
      <c r="PMY23" s="2"/>
      <c r="PMZ23" s="2"/>
      <c r="PNA23" s="2"/>
      <c r="PNB23" s="2"/>
      <c r="PNC23" s="2"/>
      <c r="PND23" s="2"/>
      <c r="PNE23" s="2"/>
      <c r="PNF23" s="2"/>
      <c r="PNG23" s="2"/>
      <c r="PNH23" s="2"/>
      <c r="PNI23" s="2"/>
      <c r="PNJ23" s="2"/>
      <c r="PNK23" s="2"/>
      <c r="PNL23" s="2"/>
      <c r="PNM23" s="2"/>
      <c r="PNN23" s="2"/>
      <c r="PNO23" s="2"/>
      <c r="PNP23" s="2"/>
      <c r="PNQ23" s="2"/>
      <c r="PNR23" s="2"/>
      <c r="PNS23" s="2"/>
      <c r="PNT23" s="2"/>
      <c r="PNU23" s="2"/>
      <c r="PNV23" s="2"/>
      <c r="PNW23" s="2"/>
      <c r="PNX23" s="2"/>
      <c r="PNY23" s="2"/>
      <c r="PNZ23" s="2"/>
      <c r="POA23" s="2"/>
      <c r="POB23" s="2"/>
      <c r="POC23" s="2"/>
      <c r="POD23" s="2"/>
      <c r="POE23" s="2"/>
      <c r="POF23" s="2"/>
      <c r="POG23" s="2"/>
      <c r="POH23" s="2"/>
      <c r="POI23" s="2"/>
      <c r="POJ23" s="2"/>
      <c r="POK23" s="2"/>
      <c r="POL23" s="2"/>
      <c r="POM23" s="2"/>
      <c r="PON23" s="2"/>
      <c r="POO23" s="2"/>
      <c r="POP23" s="2"/>
      <c r="POQ23" s="2"/>
      <c r="POR23" s="2"/>
      <c r="POS23" s="2"/>
      <c r="POT23" s="2"/>
      <c r="POU23" s="2"/>
      <c r="POV23" s="2"/>
      <c r="POW23" s="2"/>
      <c r="POX23" s="2"/>
      <c r="POY23" s="2"/>
      <c r="POZ23" s="2"/>
      <c r="PPA23" s="2"/>
      <c r="PPB23" s="2"/>
      <c r="PPC23" s="2"/>
      <c r="PPD23" s="2"/>
      <c r="PPE23" s="2"/>
      <c r="PPF23" s="2"/>
      <c r="PPG23" s="2"/>
      <c r="PPH23" s="2"/>
      <c r="PPI23" s="2"/>
      <c r="PPJ23" s="2"/>
      <c r="PPK23" s="2"/>
      <c r="PPL23" s="2"/>
      <c r="PPM23" s="2"/>
      <c r="PPN23" s="2"/>
      <c r="PPO23" s="2"/>
      <c r="PPP23" s="2"/>
      <c r="PPQ23" s="2"/>
      <c r="PPR23" s="2"/>
      <c r="PPS23" s="2"/>
      <c r="PPT23" s="2"/>
      <c r="PPU23" s="2"/>
      <c r="PPV23" s="2"/>
      <c r="PPW23" s="2"/>
      <c r="PPX23" s="2"/>
      <c r="PPY23" s="2"/>
      <c r="PPZ23" s="2"/>
      <c r="PQA23" s="2"/>
      <c r="PQB23" s="2"/>
      <c r="PQC23" s="2"/>
      <c r="PQD23" s="2"/>
      <c r="PQE23" s="2"/>
      <c r="PQF23" s="2"/>
      <c r="PQG23" s="2"/>
      <c r="PQH23" s="2"/>
      <c r="PQI23" s="2"/>
      <c r="PQJ23" s="2"/>
      <c r="PQK23" s="2"/>
      <c r="PQL23" s="2"/>
      <c r="PQM23" s="2"/>
      <c r="PQN23" s="2"/>
      <c r="PQO23" s="2"/>
      <c r="PQP23" s="2"/>
      <c r="PQQ23" s="2"/>
      <c r="PQR23" s="2"/>
      <c r="PQS23" s="2"/>
      <c r="PQT23" s="2"/>
      <c r="PQU23" s="2"/>
      <c r="PQV23" s="2"/>
      <c r="PQW23" s="2"/>
      <c r="PQX23" s="2"/>
      <c r="PQY23" s="2"/>
      <c r="PQZ23" s="2"/>
      <c r="PRA23" s="2"/>
      <c r="PRB23" s="2"/>
      <c r="PRC23" s="2"/>
      <c r="PRD23" s="2"/>
      <c r="PRE23" s="2"/>
      <c r="PRF23" s="2"/>
      <c r="PRG23" s="2"/>
      <c r="PRH23" s="2"/>
      <c r="PRI23" s="2"/>
      <c r="PRJ23" s="2"/>
      <c r="PRK23" s="2"/>
      <c r="PRL23" s="2"/>
      <c r="PRM23" s="2"/>
      <c r="PRN23" s="2"/>
      <c r="PRO23" s="2"/>
      <c r="PRP23" s="2"/>
      <c r="PRQ23" s="2"/>
      <c r="PRR23" s="2"/>
      <c r="PRS23" s="2"/>
      <c r="PRT23" s="2"/>
      <c r="PRU23" s="2"/>
      <c r="PRV23" s="2"/>
      <c r="PRW23" s="2"/>
      <c r="PRX23" s="2"/>
      <c r="PRY23" s="2"/>
      <c r="PRZ23" s="2"/>
      <c r="PSA23" s="2"/>
      <c r="PSB23" s="2"/>
      <c r="PSC23" s="2"/>
      <c r="PSD23" s="2"/>
      <c r="PSE23" s="2"/>
      <c r="PSF23" s="2"/>
      <c r="PSG23" s="2"/>
      <c r="PSH23" s="2"/>
      <c r="PSI23" s="2"/>
      <c r="PSJ23" s="2"/>
      <c r="PSK23" s="2"/>
      <c r="PSL23" s="2"/>
      <c r="PSM23" s="2"/>
      <c r="PSN23" s="2"/>
      <c r="PSO23" s="2"/>
      <c r="PSP23" s="2"/>
      <c r="PSQ23" s="2"/>
      <c r="PSR23" s="2"/>
      <c r="PSS23" s="2"/>
      <c r="PST23" s="2"/>
      <c r="PSU23" s="2"/>
      <c r="PSV23" s="2"/>
      <c r="PSW23" s="2"/>
      <c r="PSX23" s="2"/>
      <c r="PSY23" s="2"/>
      <c r="PSZ23" s="2"/>
      <c r="PTA23" s="2"/>
      <c r="PTB23" s="2"/>
      <c r="PTC23" s="2"/>
      <c r="PTD23" s="2"/>
      <c r="PTE23" s="2"/>
      <c r="PTF23" s="2"/>
      <c r="PTG23" s="2"/>
      <c r="PTH23" s="2"/>
      <c r="PTI23" s="2"/>
      <c r="PTJ23" s="2"/>
      <c r="PTK23" s="2"/>
      <c r="PTL23" s="2"/>
      <c r="PTM23" s="2"/>
      <c r="PTN23" s="2"/>
      <c r="PTO23" s="2"/>
      <c r="PTP23" s="2"/>
      <c r="PTQ23" s="2"/>
      <c r="PTR23" s="2"/>
      <c r="PTS23" s="2"/>
      <c r="PTT23" s="2"/>
      <c r="PTU23" s="2"/>
      <c r="PTV23" s="2"/>
      <c r="PTW23" s="2"/>
      <c r="PTX23" s="2"/>
      <c r="PTY23" s="2"/>
      <c r="PTZ23" s="2"/>
      <c r="PUA23" s="2"/>
      <c r="PUB23" s="2"/>
      <c r="PUC23" s="2"/>
      <c r="PUD23" s="2"/>
      <c r="PUE23" s="2"/>
      <c r="PUF23" s="2"/>
      <c r="PUG23" s="2"/>
      <c r="PUH23" s="2"/>
      <c r="PUI23" s="2"/>
      <c r="PUJ23" s="2"/>
      <c r="PUK23" s="2"/>
      <c r="PUL23" s="2"/>
      <c r="PUM23" s="2"/>
      <c r="PUN23" s="2"/>
      <c r="PUO23" s="2"/>
      <c r="PUP23" s="2"/>
      <c r="PUQ23" s="2"/>
      <c r="PUR23" s="2"/>
      <c r="PUS23" s="2"/>
      <c r="PUT23" s="2"/>
      <c r="PUU23" s="2"/>
      <c r="PUV23" s="2"/>
      <c r="PUW23" s="2"/>
      <c r="PUX23" s="2"/>
      <c r="PUY23" s="2"/>
      <c r="PUZ23" s="2"/>
      <c r="PVA23" s="2"/>
      <c r="PVB23" s="2"/>
      <c r="PVC23" s="2"/>
      <c r="PVD23" s="2"/>
      <c r="PVE23" s="2"/>
      <c r="PVF23" s="2"/>
      <c r="PVG23" s="2"/>
      <c r="PVH23" s="2"/>
      <c r="PVI23" s="2"/>
      <c r="PVJ23" s="2"/>
      <c r="PVK23" s="2"/>
      <c r="PVL23" s="2"/>
      <c r="PVM23" s="2"/>
      <c r="PVN23" s="2"/>
      <c r="PVO23" s="2"/>
      <c r="PVP23" s="2"/>
      <c r="PVQ23" s="2"/>
      <c r="PVR23" s="2"/>
      <c r="PVS23" s="2"/>
      <c r="PVT23" s="2"/>
      <c r="PVU23" s="2"/>
      <c r="PVV23" s="2"/>
      <c r="PVW23" s="2"/>
      <c r="PVX23" s="2"/>
      <c r="PVY23" s="2"/>
      <c r="PVZ23" s="2"/>
      <c r="PWA23" s="2"/>
      <c r="PWB23" s="2"/>
      <c r="PWC23" s="2"/>
      <c r="PWD23" s="2"/>
      <c r="PWE23" s="2"/>
      <c r="PWF23" s="2"/>
      <c r="PWG23" s="2"/>
      <c r="PWH23" s="2"/>
      <c r="PWI23" s="2"/>
      <c r="PWJ23" s="2"/>
      <c r="PWK23" s="2"/>
      <c r="PWL23" s="2"/>
      <c r="PWM23" s="2"/>
      <c r="PWN23" s="2"/>
      <c r="PWO23" s="2"/>
      <c r="PWP23" s="2"/>
      <c r="PWQ23" s="2"/>
      <c r="PWR23" s="2"/>
      <c r="PWS23" s="2"/>
      <c r="PWT23" s="2"/>
      <c r="PWU23" s="2"/>
      <c r="PWV23" s="2"/>
      <c r="PWW23" s="2"/>
      <c r="PWX23" s="2"/>
      <c r="PWY23" s="2"/>
      <c r="PWZ23" s="2"/>
      <c r="PXA23" s="2"/>
      <c r="PXB23" s="2"/>
      <c r="PXC23" s="2"/>
      <c r="PXD23" s="2"/>
      <c r="PXE23" s="2"/>
      <c r="PXF23" s="2"/>
      <c r="PXG23" s="2"/>
      <c r="PXH23" s="2"/>
      <c r="PXI23" s="2"/>
      <c r="PXJ23" s="2"/>
      <c r="PXK23" s="2"/>
      <c r="PXL23" s="2"/>
      <c r="PXM23" s="2"/>
      <c r="PXN23" s="2"/>
      <c r="PXO23" s="2"/>
      <c r="PXP23" s="2"/>
      <c r="PXQ23" s="2"/>
      <c r="PXR23" s="2"/>
      <c r="PXS23" s="2"/>
      <c r="PXT23" s="2"/>
      <c r="PXU23" s="2"/>
      <c r="PXV23" s="2"/>
      <c r="PXW23" s="2"/>
      <c r="PXX23" s="2"/>
      <c r="PXY23" s="2"/>
      <c r="PXZ23" s="2"/>
      <c r="PYA23" s="2"/>
      <c r="PYB23" s="2"/>
      <c r="PYC23" s="2"/>
      <c r="PYD23" s="2"/>
      <c r="PYE23" s="2"/>
      <c r="PYF23" s="2"/>
      <c r="PYG23" s="2"/>
      <c r="PYH23" s="2"/>
      <c r="PYI23" s="2"/>
      <c r="PYJ23" s="2"/>
      <c r="PYK23" s="2"/>
      <c r="PYL23" s="2"/>
      <c r="PYM23" s="2"/>
      <c r="PYN23" s="2"/>
      <c r="PYO23" s="2"/>
      <c r="PYP23" s="2"/>
      <c r="PYQ23" s="2"/>
      <c r="PYR23" s="2"/>
      <c r="PYS23" s="2"/>
      <c r="PYT23" s="2"/>
      <c r="PYU23" s="2"/>
      <c r="PYV23" s="2"/>
      <c r="PYW23" s="2"/>
      <c r="PYX23" s="2"/>
      <c r="PYY23" s="2"/>
      <c r="PYZ23" s="2"/>
      <c r="PZA23" s="2"/>
      <c r="PZB23" s="2"/>
      <c r="PZC23" s="2"/>
      <c r="PZD23" s="2"/>
      <c r="PZE23" s="2"/>
      <c r="PZF23" s="2"/>
      <c r="PZG23" s="2"/>
      <c r="PZH23" s="2"/>
      <c r="PZI23" s="2"/>
      <c r="PZJ23" s="2"/>
      <c r="PZK23" s="2"/>
      <c r="PZL23" s="2"/>
      <c r="PZM23" s="2"/>
      <c r="PZN23" s="2"/>
      <c r="PZO23" s="2"/>
      <c r="PZP23" s="2"/>
      <c r="PZQ23" s="2"/>
      <c r="PZR23" s="2"/>
      <c r="PZS23" s="2"/>
      <c r="PZT23" s="2"/>
      <c r="PZU23" s="2"/>
      <c r="PZV23" s="2"/>
      <c r="PZW23" s="2"/>
      <c r="PZX23" s="2"/>
      <c r="PZY23" s="2"/>
      <c r="PZZ23" s="2"/>
      <c r="QAA23" s="2"/>
      <c r="QAB23" s="2"/>
      <c r="QAC23" s="2"/>
      <c r="QAD23" s="2"/>
      <c r="QAE23" s="2"/>
      <c r="QAF23" s="2"/>
      <c r="QAG23" s="2"/>
      <c r="QAH23" s="2"/>
      <c r="QAI23" s="2"/>
      <c r="QAJ23" s="2"/>
      <c r="QAK23" s="2"/>
      <c r="QAL23" s="2"/>
      <c r="QAM23" s="2"/>
      <c r="QAN23" s="2"/>
      <c r="QAO23" s="2"/>
      <c r="QAP23" s="2"/>
      <c r="QAQ23" s="2"/>
      <c r="QAR23" s="2"/>
      <c r="QAS23" s="2"/>
      <c r="QAT23" s="2"/>
      <c r="QAU23" s="2"/>
      <c r="QAV23" s="2"/>
      <c r="QAW23" s="2"/>
      <c r="QAX23" s="2"/>
      <c r="QAY23" s="2"/>
      <c r="QAZ23" s="2"/>
      <c r="QBA23" s="2"/>
      <c r="QBB23" s="2"/>
      <c r="QBC23" s="2"/>
      <c r="QBD23" s="2"/>
      <c r="QBE23" s="2"/>
      <c r="QBF23" s="2"/>
      <c r="QBG23" s="2"/>
      <c r="QBH23" s="2"/>
      <c r="QBI23" s="2"/>
      <c r="QBJ23" s="2"/>
      <c r="QBK23" s="2"/>
      <c r="QBL23" s="2"/>
      <c r="QBM23" s="2"/>
      <c r="QBN23" s="2"/>
      <c r="QBO23" s="2"/>
      <c r="QBP23" s="2"/>
      <c r="QBQ23" s="2"/>
      <c r="QBR23" s="2"/>
      <c r="QBS23" s="2"/>
      <c r="QBT23" s="2"/>
      <c r="QBU23" s="2"/>
      <c r="QBV23" s="2"/>
      <c r="QBW23" s="2"/>
      <c r="QBX23" s="2"/>
      <c r="QBY23" s="2"/>
      <c r="QBZ23" s="2"/>
      <c r="QCA23" s="2"/>
      <c r="QCB23" s="2"/>
      <c r="QCC23" s="2"/>
      <c r="QCD23" s="2"/>
      <c r="QCE23" s="2"/>
      <c r="QCF23" s="2"/>
      <c r="QCG23" s="2"/>
      <c r="QCH23" s="2"/>
      <c r="QCI23" s="2"/>
      <c r="QCJ23" s="2"/>
      <c r="QCK23" s="2"/>
      <c r="QCL23" s="2"/>
      <c r="QCM23" s="2"/>
      <c r="QCN23" s="2"/>
      <c r="QCO23" s="2"/>
      <c r="QCP23" s="2"/>
      <c r="QCQ23" s="2"/>
      <c r="QCR23" s="2"/>
      <c r="QCS23" s="2"/>
      <c r="QCT23" s="2"/>
      <c r="QCU23" s="2"/>
      <c r="QCV23" s="2"/>
      <c r="QCW23" s="2"/>
      <c r="QCX23" s="2"/>
      <c r="QCY23" s="2"/>
      <c r="QCZ23" s="2"/>
      <c r="QDA23" s="2"/>
      <c r="QDB23" s="2"/>
      <c r="QDC23" s="2"/>
      <c r="QDD23" s="2"/>
      <c r="QDE23" s="2"/>
      <c r="QDF23" s="2"/>
      <c r="QDG23" s="2"/>
      <c r="QDH23" s="2"/>
      <c r="QDI23" s="2"/>
      <c r="QDJ23" s="2"/>
      <c r="QDK23" s="2"/>
      <c r="QDL23" s="2"/>
      <c r="QDM23" s="2"/>
      <c r="QDN23" s="2"/>
      <c r="QDO23" s="2"/>
      <c r="QDP23" s="2"/>
      <c r="QDQ23" s="2"/>
      <c r="QDR23" s="2"/>
      <c r="QDS23" s="2"/>
      <c r="QDT23" s="2"/>
      <c r="QDU23" s="2"/>
      <c r="QDV23" s="2"/>
      <c r="QDW23" s="2"/>
      <c r="QDX23" s="2"/>
      <c r="QDY23" s="2"/>
      <c r="QDZ23" s="2"/>
      <c r="QEA23" s="2"/>
      <c r="QEB23" s="2"/>
      <c r="QEC23" s="2"/>
      <c r="QED23" s="2"/>
      <c r="QEE23" s="2"/>
      <c r="QEF23" s="2"/>
      <c r="QEG23" s="2"/>
      <c r="QEH23" s="2"/>
      <c r="QEI23" s="2"/>
      <c r="QEJ23" s="2"/>
      <c r="QEK23" s="2"/>
      <c r="QEL23" s="2"/>
      <c r="QEM23" s="2"/>
      <c r="QEN23" s="2"/>
      <c r="QEO23" s="2"/>
      <c r="QEP23" s="2"/>
      <c r="QEQ23" s="2"/>
      <c r="QER23" s="2"/>
      <c r="QES23" s="2"/>
      <c r="QET23" s="2"/>
      <c r="QEU23" s="2"/>
      <c r="QEV23" s="2"/>
      <c r="QEW23" s="2"/>
      <c r="QEX23" s="2"/>
      <c r="QEY23" s="2"/>
      <c r="QEZ23" s="2"/>
      <c r="QFA23" s="2"/>
      <c r="QFB23" s="2"/>
      <c r="QFC23" s="2"/>
      <c r="QFD23" s="2"/>
      <c r="QFE23" s="2"/>
      <c r="QFF23" s="2"/>
      <c r="QFG23" s="2"/>
      <c r="QFH23" s="2"/>
      <c r="QFI23" s="2"/>
      <c r="QFJ23" s="2"/>
      <c r="QFK23" s="2"/>
      <c r="QFL23" s="2"/>
      <c r="QFM23" s="2"/>
      <c r="QFN23" s="2"/>
      <c r="QFO23" s="2"/>
      <c r="QFP23" s="2"/>
      <c r="QFQ23" s="2"/>
      <c r="QFR23" s="2"/>
      <c r="QFS23" s="2"/>
      <c r="QFT23" s="2"/>
      <c r="QFU23" s="2"/>
      <c r="QFV23" s="2"/>
      <c r="QFW23" s="2"/>
      <c r="QFX23" s="2"/>
      <c r="QFY23" s="2"/>
      <c r="QFZ23" s="2"/>
      <c r="QGA23" s="2"/>
      <c r="QGB23" s="2"/>
      <c r="QGC23" s="2"/>
      <c r="QGD23" s="2"/>
      <c r="QGE23" s="2"/>
      <c r="QGF23" s="2"/>
      <c r="QGG23" s="2"/>
      <c r="QGH23" s="2"/>
      <c r="QGI23" s="2"/>
      <c r="QGJ23" s="2"/>
      <c r="QGK23" s="2"/>
      <c r="QGL23" s="2"/>
      <c r="QGM23" s="2"/>
      <c r="QGN23" s="2"/>
      <c r="QGO23" s="2"/>
      <c r="QGP23" s="2"/>
      <c r="QGQ23" s="2"/>
      <c r="QGR23" s="2"/>
      <c r="QGS23" s="2"/>
      <c r="QGT23" s="2"/>
      <c r="QGU23" s="2"/>
      <c r="QGV23" s="2"/>
      <c r="QGW23" s="2"/>
      <c r="QGX23" s="2"/>
      <c r="QGY23" s="2"/>
      <c r="QGZ23" s="2"/>
      <c r="QHA23" s="2"/>
      <c r="QHB23" s="2"/>
      <c r="QHC23" s="2"/>
      <c r="QHD23" s="2"/>
      <c r="QHE23" s="2"/>
      <c r="QHF23" s="2"/>
      <c r="QHG23" s="2"/>
      <c r="QHH23" s="2"/>
      <c r="QHI23" s="2"/>
      <c r="QHJ23" s="2"/>
      <c r="QHK23" s="2"/>
      <c r="QHL23" s="2"/>
      <c r="QHM23" s="2"/>
      <c r="QHN23" s="2"/>
      <c r="QHO23" s="2"/>
      <c r="QHP23" s="2"/>
      <c r="QHQ23" s="2"/>
      <c r="QHR23" s="2"/>
      <c r="QHS23" s="2"/>
      <c r="QHT23" s="2"/>
      <c r="QHU23" s="2"/>
      <c r="QHV23" s="2"/>
      <c r="QHW23" s="2"/>
      <c r="QHX23" s="2"/>
      <c r="QHY23" s="2"/>
      <c r="QHZ23" s="2"/>
      <c r="QIA23" s="2"/>
      <c r="QIB23" s="2"/>
      <c r="QIC23" s="2"/>
      <c r="QID23" s="2"/>
      <c r="QIE23" s="2"/>
      <c r="QIF23" s="2"/>
      <c r="QIG23" s="2"/>
      <c r="QIH23" s="2"/>
      <c r="QII23" s="2"/>
      <c r="QIJ23" s="2"/>
      <c r="QIK23" s="2"/>
      <c r="QIL23" s="2"/>
      <c r="QIM23" s="2"/>
      <c r="QIN23" s="2"/>
      <c r="QIO23" s="2"/>
      <c r="QIP23" s="2"/>
      <c r="QIQ23" s="2"/>
      <c r="QIR23" s="2"/>
      <c r="QIS23" s="2"/>
      <c r="QIT23" s="2"/>
      <c r="QIU23" s="2"/>
      <c r="QIV23" s="2"/>
      <c r="QIW23" s="2"/>
      <c r="QIX23" s="2"/>
      <c r="QIY23" s="2"/>
      <c r="QIZ23" s="2"/>
      <c r="QJA23" s="2"/>
      <c r="QJB23" s="2"/>
      <c r="QJC23" s="2"/>
      <c r="QJD23" s="2"/>
      <c r="QJE23" s="2"/>
      <c r="QJF23" s="2"/>
      <c r="QJG23" s="2"/>
      <c r="QJH23" s="2"/>
      <c r="QJI23" s="2"/>
      <c r="QJJ23" s="2"/>
      <c r="QJK23" s="2"/>
      <c r="QJL23" s="2"/>
      <c r="QJM23" s="2"/>
      <c r="QJN23" s="2"/>
      <c r="QJO23" s="2"/>
      <c r="QJP23" s="2"/>
      <c r="QJQ23" s="2"/>
      <c r="QJR23" s="2"/>
      <c r="QJS23" s="2"/>
      <c r="QJT23" s="2"/>
      <c r="QJU23" s="2"/>
      <c r="QJV23" s="2"/>
      <c r="QJW23" s="2"/>
      <c r="QJX23" s="2"/>
      <c r="QJY23" s="2"/>
      <c r="QJZ23" s="2"/>
      <c r="QKA23" s="2"/>
      <c r="QKB23" s="2"/>
      <c r="QKC23" s="2"/>
      <c r="QKD23" s="2"/>
      <c r="QKE23" s="2"/>
      <c r="QKF23" s="2"/>
      <c r="QKG23" s="2"/>
      <c r="QKH23" s="2"/>
      <c r="QKI23" s="2"/>
      <c r="QKJ23" s="2"/>
      <c r="QKK23" s="2"/>
      <c r="QKL23" s="2"/>
      <c r="QKM23" s="2"/>
      <c r="QKN23" s="2"/>
      <c r="QKO23" s="2"/>
      <c r="QKP23" s="2"/>
      <c r="QKQ23" s="2"/>
      <c r="QKR23" s="2"/>
      <c r="QKS23" s="2"/>
      <c r="QKT23" s="2"/>
      <c r="QKU23" s="2"/>
      <c r="QKV23" s="2"/>
      <c r="QKW23" s="2"/>
      <c r="QKX23" s="2"/>
      <c r="QKY23" s="2"/>
      <c r="QKZ23" s="2"/>
      <c r="QLA23" s="2"/>
      <c r="QLB23" s="2"/>
      <c r="QLC23" s="2"/>
      <c r="QLD23" s="2"/>
      <c r="QLE23" s="2"/>
      <c r="QLF23" s="2"/>
      <c r="QLG23" s="2"/>
      <c r="QLH23" s="2"/>
      <c r="QLI23" s="2"/>
      <c r="QLJ23" s="2"/>
      <c r="QLK23" s="2"/>
      <c r="QLL23" s="2"/>
      <c r="QLM23" s="2"/>
      <c r="QLN23" s="2"/>
      <c r="QLO23" s="2"/>
      <c r="QLP23" s="2"/>
      <c r="QLQ23" s="2"/>
      <c r="QLR23" s="2"/>
      <c r="QLS23" s="2"/>
      <c r="QLT23" s="2"/>
      <c r="QLU23" s="2"/>
      <c r="QLV23" s="2"/>
      <c r="QLW23" s="2"/>
      <c r="QLX23" s="2"/>
      <c r="QLY23" s="2"/>
      <c r="QLZ23" s="2"/>
      <c r="QMA23" s="2"/>
      <c r="QMB23" s="2"/>
      <c r="QMC23" s="2"/>
      <c r="QMD23" s="2"/>
      <c r="QME23" s="2"/>
      <c r="QMF23" s="2"/>
      <c r="QMG23" s="2"/>
      <c r="QMH23" s="2"/>
      <c r="QMI23" s="2"/>
      <c r="QMJ23" s="2"/>
      <c r="QMK23" s="2"/>
      <c r="QML23" s="2"/>
      <c r="QMM23" s="2"/>
      <c r="QMN23" s="2"/>
      <c r="QMO23" s="2"/>
      <c r="QMP23" s="2"/>
      <c r="QMQ23" s="2"/>
      <c r="QMR23" s="2"/>
      <c r="QMS23" s="2"/>
      <c r="QMT23" s="2"/>
      <c r="QMU23" s="2"/>
      <c r="QMV23" s="2"/>
      <c r="QMW23" s="2"/>
      <c r="QMX23" s="2"/>
      <c r="QMY23" s="2"/>
      <c r="QMZ23" s="2"/>
      <c r="QNA23" s="2"/>
      <c r="QNB23" s="2"/>
      <c r="QNC23" s="2"/>
      <c r="QND23" s="2"/>
      <c r="QNE23" s="2"/>
      <c r="QNF23" s="2"/>
      <c r="QNG23" s="2"/>
      <c r="QNH23" s="2"/>
      <c r="QNI23" s="2"/>
      <c r="QNJ23" s="2"/>
      <c r="QNK23" s="2"/>
      <c r="QNL23" s="2"/>
      <c r="QNM23" s="2"/>
      <c r="QNN23" s="2"/>
      <c r="QNO23" s="2"/>
      <c r="QNP23" s="2"/>
      <c r="QNQ23" s="2"/>
      <c r="QNR23" s="2"/>
      <c r="QNS23" s="2"/>
      <c r="QNT23" s="2"/>
      <c r="QNU23" s="2"/>
      <c r="QNV23" s="2"/>
      <c r="QNW23" s="2"/>
      <c r="QNX23" s="2"/>
      <c r="QNY23" s="2"/>
      <c r="QNZ23" s="2"/>
      <c r="QOA23" s="2"/>
      <c r="QOB23" s="2"/>
      <c r="QOC23" s="2"/>
      <c r="QOD23" s="2"/>
      <c r="QOE23" s="2"/>
      <c r="QOF23" s="2"/>
      <c r="QOG23" s="2"/>
      <c r="QOH23" s="2"/>
      <c r="QOI23" s="2"/>
      <c r="QOJ23" s="2"/>
      <c r="QOK23" s="2"/>
      <c r="QOL23" s="2"/>
      <c r="QOM23" s="2"/>
      <c r="QON23" s="2"/>
      <c r="QOO23" s="2"/>
      <c r="QOP23" s="2"/>
      <c r="QOQ23" s="2"/>
      <c r="QOR23" s="2"/>
      <c r="QOS23" s="2"/>
      <c r="QOT23" s="2"/>
      <c r="QOU23" s="2"/>
      <c r="QOV23" s="2"/>
      <c r="QOW23" s="2"/>
      <c r="QOX23" s="2"/>
      <c r="QOY23" s="2"/>
      <c r="QOZ23" s="2"/>
      <c r="QPA23" s="2"/>
      <c r="QPB23" s="2"/>
      <c r="QPC23" s="2"/>
      <c r="QPD23" s="2"/>
      <c r="QPE23" s="2"/>
      <c r="QPF23" s="2"/>
      <c r="QPG23" s="2"/>
      <c r="QPH23" s="2"/>
      <c r="QPI23" s="2"/>
      <c r="QPJ23" s="2"/>
      <c r="QPK23" s="2"/>
      <c r="QPL23" s="2"/>
      <c r="QPM23" s="2"/>
      <c r="QPN23" s="2"/>
      <c r="QPO23" s="2"/>
      <c r="QPP23" s="2"/>
      <c r="QPQ23" s="2"/>
      <c r="QPR23" s="2"/>
      <c r="QPS23" s="2"/>
      <c r="QPT23" s="2"/>
      <c r="QPU23" s="2"/>
      <c r="QPV23" s="2"/>
      <c r="QPW23" s="2"/>
      <c r="QPX23" s="2"/>
      <c r="QPY23" s="2"/>
      <c r="QPZ23" s="2"/>
      <c r="QQA23" s="2"/>
      <c r="QQB23" s="2"/>
      <c r="QQC23" s="2"/>
      <c r="QQD23" s="2"/>
      <c r="QQE23" s="2"/>
      <c r="QQF23" s="2"/>
      <c r="QQG23" s="2"/>
      <c r="QQH23" s="2"/>
      <c r="QQI23" s="2"/>
      <c r="QQJ23" s="2"/>
      <c r="QQK23" s="2"/>
      <c r="QQL23" s="2"/>
      <c r="QQM23" s="2"/>
      <c r="QQN23" s="2"/>
      <c r="QQO23" s="2"/>
      <c r="QQP23" s="2"/>
      <c r="QQQ23" s="2"/>
      <c r="QQR23" s="2"/>
      <c r="QQS23" s="2"/>
      <c r="QQT23" s="2"/>
      <c r="QQU23" s="2"/>
      <c r="QQV23" s="2"/>
      <c r="QQW23" s="2"/>
      <c r="QQX23" s="2"/>
      <c r="QQY23" s="2"/>
      <c r="QQZ23" s="2"/>
      <c r="QRA23" s="2"/>
      <c r="QRB23" s="2"/>
      <c r="QRC23" s="2"/>
      <c r="QRD23" s="2"/>
      <c r="QRE23" s="2"/>
      <c r="QRF23" s="2"/>
      <c r="QRG23" s="2"/>
      <c r="QRH23" s="2"/>
      <c r="QRI23" s="2"/>
      <c r="QRJ23" s="2"/>
      <c r="QRK23" s="2"/>
      <c r="QRL23" s="2"/>
      <c r="QRM23" s="2"/>
      <c r="QRN23" s="2"/>
      <c r="QRO23" s="2"/>
      <c r="QRP23" s="2"/>
      <c r="QRQ23" s="2"/>
      <c r="QRR23" s="2"/>
      <c r="QRS23" s="2"/>
      <c r="QRT23" s="2"/>
      <c r="QRU23" s="2"/>
      <c r="QRV23" s="2"/>
      <c r="QRW23" s="2"/>
      <c r="QRX23" s="2"/>
      <c r="QRY23" s="2"/>
      <c r="QRZ23" s="2"/>
      <c r="QSA23" s="2"/>
      <c r="QSB23" s="2"/>
      <c r="QSC23" s="2"/>
      <c r="QSD23" s="2"/>
      <c r="QSE23" s="2"/>
      <c r="QSF23" s="2"/>
      <c r="QSG23" s="2"/>
      <c r="QSH23" s="2"/>
      <c r="QSI23" s="2"/>
      <c r="QSJ23" s="2"/>
      <c r="QSK23" s="2"/>
      <c r="QSL23" s="2"/>
      <c r="QSM23" s="2"/>
      <c r="QSN23" s="2"/>
      <c r="QSO23" s="2"/>
      <c r="QSP23" s="2"/>
      <c r="QSQ23" s="2"/>
      <c r="QSR23" s="2"/>
      <c r="QSS23" s="2"/>
      <c r="QST23" s="2"/>
      <c r="QSU23" s="2"/>
      <c r="QSV23" s="2"/>
      <c r="QSW23" s="2"/>
      <c r="QSX23" s="2"/>
      <c r="QSY23" s="2"/>
      <c r="QSZ23" s="2"/>
      <c r="QTA23" s="2"/>
      <c r="QTB23" s="2"/>
      <c r="QTC23" s="2"/>
      <c r="QTD23" s="2"/>
      <c r="QTE23" s="2"/>
      <c r="QTF23" s="2"/>
      <c r="QTG23" s="2"/>
      <c r="QTH23" s="2"/>
      <c r="QTI23" s="2"/>
      <c r="QTJ23" s="2"/>
      <c r="QTK23" s="2"/>
      <c r="QTL23" s="2"/>
      <c r="QTM23" s="2"/>
      <c r="QTN23" s="2"/>
      <c r="QTO23" s="2"/>
      <c r="QTP23" s="2"/>
      <c r="QTQ23" s="2"/>
      <c r="QTR23" s="2"/>
      <c r="QTS23" s="2"/>
      <c r="QTT23" s="2"/>
      <c r="QTU23" s="2"/>
      <c r="QTV23" s="2"/>
      <c r="QTW23" s="2"/>
      <c r="QTX23" s="2"/>
      <c r="QTY23" s="2"/>
      <c r="QTZ23" s="2"/>
      <c r="QUA23" s="2"/>
      <c r="QUB23" s="2"/>
      <c r="QUC23" s="2"/>
      <c r="QUD23" s="2"/>
      <c r="QUE23" s="2"/>
      <c r="QUF23" s="2"/>
      <c r="QUG23" s="2"/>
      <c r="QUH23" s="2"/>
      <c r="QUI23" s="2"/>
      <c r="QUJ23" s="2"/>
      <c r="QUK23" s="2"/>
      <c r="QUL23" s="2"/>
      <c r="QUM23" s="2"/>
      <c r="QUN23" s="2"/>
      <c r="QUO23" s="2"/>
      <c r="QUP23" s="2"/>
      <c r="QUQ23" s="2"/>
      <c r="QUR23" s="2"/>
      <c r="QUS23" s="2"/>
      <c r="QUT23" s="2"/>
      <c r="QUU23" s="2"/>
      <c r="QUV23" s="2"/>
      <c r="QUW23" s="2"/>
      <c r="QUX23" s="2"/>
      <c r="QUY23" s="2"/>
      <c r="QUZ23" s="2"/>
      <c r="QVA23" s="2"/>
      <c r="QVB23" s="2"/>
      <c r="QVC23" s="2"/>
      <c r="QVD23" s="2"/>
      <c r="QVE23" s="2"/>
      <c r="QVF23" s="2"/>
      <c r="QVG23" s="2"/>
      <c r="QVH23" s="2"/>
      <c r="QVI23" s="2"/>
      <c r="QVJ23" s="2"/>
      <c r="QVK23" s="2"/>
      <c r="QVL23" s="2"/>
      <c r="QVM23" s="2"/>
      <c r="QVN23" s="2"/>
      <c r="QVO23" s="2"/>
      <c r="QVP23" s="2"/>
      <c r="QVQ23" s="2"/>
      <c r="QVR23" s="2"/>
      <c r="QVS23" s="2"/>
      <c r="QVT23" s="2"/>
      <c r="QVU23" s="2"/>
      <c r="QVV23" s="2"/>
      <c r="QVW23" s="2"/>
      <c r="QVX23" s="2"/>
      <c r="QVY23" s="2"/>
      <c r="QVZ23" s="2"/>
      <c r="QWA23" s="2"/>
      <c r="QWB23" s="2"/>
      <c r="QWC23" s="2"/>
      <c r="QWD23" s="2"/>
      <c r="QWE23" s="2"/>
      <c r="QWF23" s="2"/>
      <c r="QWG23" s="2"/>
      <c r="QWH23" s="2"/>
      <c r="QWI23" s="2"/>
      <c r="QWJ23" s="2"/>
      <c r="QWK23" s="2"/>
      <c r="QWL23" s="2"/>
      <c r="QWM23" s="2"/>
      <c r="QWN23" s="2"/>
      <c r="QWO23" s="2"/>
      <c r="QWP23" s="2"/>
      <c r="QWQ23" s="2"/>
      <c r="QWR23" s="2"/>
      <c r="QWS23" s="2"/>
      <c r="QWT23" s="2"/>
      <c r="QWU23" s="2"/>
      <c r="QWV23" s="2"/>
      <c r="QWW23" s="2"/>
      <c r="QWX23" s="2"/>
      <c r="QWY23" s="2"/>
      <c r="QWZ23" s="2"/>
      <c r="QXA23" s="2"/>
      <c r="QXB23" s="2"/>
      <c r="QXC23" s="2"/>
      <c r="QXD23" s="2"/>
      <c r="QXE23" s="2"/>
      <c r="QXF23" s="2"/>
      <c r="QXG23" s="2"/>
      <c r="QXH23" s="2"/>
      <c r="QXI23" s="2"/>
      <c r="QXJ23" s="2"/>
      <c r="QXK23" s="2"/>
      <c r="QXL23" s="2"/>
      <c r="QXM23" s="2"/>
      <c r="QXN23" s="2"/>
      <c r="QXO23" s="2"/>
      <c r="QXP23" s="2"/>
      <c r="QXQ23" s="2"/>
      <c r="QXR23" s="2"/>
      <c r="QXS23" s="2"/>
      <c r="QXT23" s="2"/>
      <c r="QXU23" s="2"/>
      <c r="QXV23" s="2"/>
      <c r="QXW23" s="2"/>
      <c r="QXX23" s="2"/>
      <c r="QXY23" s="2"/>
      <c r="QXZ23" s="2"/>
      <c r="QYA23" s="2"/>
      <c r="QYB23" s="2"/>
      <c r="QYC23" s="2"/>
      <c r="QYD23" s="2"/>
      <c r="QYE23" s="2"/>
      <c r="QYF23" s="2"/>
      <c r="QYG23" s="2"/>
      <c r="QYH23" s="2"/>
      <c r="QYI23" s="2"/>
      <c r="QYJ23" s="2"/>
      <c r="QYK23" s="2"/>
      <c r="QYL23" s="2"/>
      <c r="QYM23" s="2"/>
      <c r="QYN23" s="2"/>
      <c r="QYO23" s="2"/>
      <c r="QYP23" s="2"/>
      <c r="QYQ23" s="2"/>
      <c r="QYR23" s="2"/>
      <c r="QYS23" s="2"/>
      <c r="QYT23" s="2"/>
      <c r="QYU23" s="2"/>
      <c r="QYV23" s="2"/>
      <c r="QYW23" s="2"/>
      <c r="QYX23" s="2"/>
      <c r="QYY23" s="2"/>
      <c r="QYZ23" s="2"/>
      <c r="QZA23" s="2"/>
      <c r="QZB23" s="2"/>
      <c r="QZC23" s="2"/>
      <c r="QZD23" s="2"/>
      <c r="QZE23" s="2"/>
      <c r="QZF23" s="2"/>
      <c r="QZG23" s="2"/>
      <c r="QZH23" s="2"/>
      <c r="QZI23" s="2"/>
      <c r="QZJ23" s="2"/>
      <c r="QZK23" s="2"/>
      <c r="QZL23" s="2"/>
      <c r="QZM23" s="2"/>
      <c r="QZN23" s="2"/>
      <c r="QZO23" s="2"/>
      <c r="QZP23" s="2"/>
      <c r="QZQ23" s="2"/>
      <c r="QZR23" s="2"/>
      <c r="QZS23" s="2"/>
      <c r="QZT23" s="2"/>
      <c r="QZU23" s="2"/>
      <c r="QZV23" s="2"/>
      <c r="QZW23" s="2"/>
      <c r="QZX23" s="2"/>
      <c r="QZY23" s="2"/>
      <c r="QZZ23" s="2"/>
      <c r="RAA23" s="2"/>
      <c r="RAB23" s="2"/>
      <c r="RAC23" s="2"/>
      <c r="RAD23" s="2"/>
      <c r="RAE23" s="2"/>
      <c r="RAF23" s="2"/>
      <c r="RAG23" s="2"/>
      <c r="RAH23" s="2"/>
      <c r="RAI23" s="2"/>
      <c r="RAJ23" s="2"/>
      <c r="RAK23" s="2"/>
      <c r="RAL23" s="2"/>
      <c r="RAM23" s="2"/>
      <c r="RAN23" s="2"/>
      <c r="RAO23" s="2"/>
      <c r="RAP23" s="2"/>
      <c r="RAQ23" s="2"/>
      <c r="RAR23" s="2"/>
      <c r="RAS23" s="2"/>
      <c r="RAT23" s="2"/>
      <c r="RAU23" s="2"/>
      <c r="RAV23" s="2"/>
      <c r="RAW23" s="2"/>
      <c r="RAX23" s="2"/>
      <c r="RAY23" s="2"/>
      <c r="RAZ23" s="2"/>
      <c r="RBA23" s="2"/>
      <c r="RBB23" s="2"/>
      <c r="RBC23" s="2"/>
      <c r="RBD23" s="2"/>
      <c r="RBE23" s="2"/>
      <c r="RBF23" s="2"/>
      <c r="RBG23" s="2"/>
      <c r="RBH23" s="2"/>
      <c r="RBI23" s="2"/>
      <c r="RBJ23" s="2"/>
      <c r="RBK23" s="2"/>
      <c r="RBL23" s="2"/>
      <c r="RBM23" s="2"/>
      <c r="RBN23" s="2"/>
      <c r="RBO23" s="2"/>
      <c r="RBP23" s="2"/>
      <c r="RBQ23" s="2"/>
      <c r="RBR23" s="2"/>
      <c r="RBS23" s="2"/>
      <c r="RBT23" s="2"/>
      <c r="RBU23" s="2"/>
      <c r="RBV23" s="2"/>
      <c r="RBW23" s="2"/>
      <c r="RBX23" s="2"/>
      <c r="RBY23" s="2"/>
      <c r="RBZ23" s="2"/>
      <c r="RCA23" s="2"/>
      <c r="RCB23" s="2"/>
      <c r="RCC23" s="2"/>
      <c r="RCD23" s="2"/>
      <c r="RCE23" s="2"/>
      <c r="RCF23" s="2"/>
      <c r="RCG23" s="2"/>
      <c r="RCH23" s="2"/>
      <c r="RCI23" s="2"/>
      <c r="RCJ23" s="2"/>
      <c r="RCK23" s="2"/>
      <c r="RCL23" s="2"/>
      <c r="RCM23" s="2"/>
      <c r="RCN23" s="2"/>
      <c r="RCO23" s="2"/>
      <c r="RCP23" s="2"/>
      <c r="RCQ23" s="2"/>
      <c r="RCR23" s="2"/>
      <c r="RCS23" s="2"/>
      <c r="RCT23" s="2"/>
      <c r="RCU23" s="2"/>
      <c r="RCV23" s="2"/>
      <c r="RCW23" s="2"/>
      <c r="RCX23" s="2"/>
      <c r="RCY23" s="2"/>
      <c r="RCZ23" s="2"/>
      <c r="RDA23" s="2"/>
      <c r="RDB23" s="2"/>
      <c r="RDC23" s="2"/>
      <c r="RDD23" s="2"/>
      <c r="RDE23" s="2"/>
      <c r="RDF23" s="2"/>
      <c r="RDG23" s="2"/>
      <c r="RDH23" s="2"/>
      <c r="RDI23" s="2"/>
      <c r="RDJ23" s="2"/>
      <c r="RDK23" s="2"/>
      <c r="RDL23" s="2"/>
      <c r="RDM23" s="2"/>
      <c r="RDN23" s="2"/>
      <c r="RDO23" s="2"/>
      <c r="RDP23" s="2"/>
      <c r="RDQ23" s="2"/>
      <c r="RDR23" s="2"/>
      <c r="RDS23" s="2"/>
      <c r="RDT23" s="2"/>
      <c r="RDU23" s="2"/>
      <c r="RDV23" s="2"/>
      <c r="RDW23" s="2"/>
      <c r="RDX23" s="2"/>
      <c r="RDY23" s="2"/>
      <c r="RDZ23" s="2"/>
      <c r="REA23" s="2"/>
      <c r="REB23" s="2"/>
      <c r="REC23" s="2"/>
      <c r="RED23" s="2"/>
      <c r="REE23" s="2"/>
      <c r="REF23" s="2"/>
      <c r="REG23" s="2"/>
      <c r="REH23" s="2"/>
      <c r="REI23" s="2"/>
      <c r="REJ23" s="2"/>
      <c r="REK23" s="2"/>
      <c r="REL23" s="2"/>
      <c r="REM23" s="2"/>
      <c r="REN23" s="2"/>
      <c r="REO23" s="2"/>
      <c r="REP23" s="2"/>
      <c r="REQ23" s="2"/>
      <c r="RER23" s="2"/>
      <c r="RES23" s="2"/>
      <c r="RET23" s="2"/>
      <c r="REU23" s="2"/>
      <c r="REV23" s="2"/>
      <c r="REW23" s="2"/>
      <c r="REX23" s="2"/>
      <c r="REY23" s="2"/>
      <c r="REZ23" s="2"/>
      <c r="RFA23" s="2"/>
      <c r="RFB23" s="2"/>
      <c r="RFC23" s="2"/>
      <c r="RFD23" s="2"/>
      <c r="RFE23" s="2"/>
      <c r="RFF23" s="2"/>
      <c r="RFG23" s="2"/>
      <c r="RFH23" s="2"/>
      <c r="RFI23" s="2"/>
      <c r="RFJ23" s="2"/>
      <c r="RFK23" s="2"/>
      <c r="RFL23" s="2"/>
      <c r="RFM23" s="2"/>
      <c r="RFN23" s="2"/>
      <c r="RFO23" s="2"/>
      <c r="RFP23" s="2"/>
      <c r="RFQ23" s="2"/>
      <c r="RFR23" s="2"/>
      <c r="RFS23" s="2"/>
      <c r="RFT23" s="2"/>
      <c r="RFU23" s="2"/>
      <c r="RFV23" s="2"/>
      <c r="RFW23" s="2"/>
      <c r="RFX23" s="2"/>
      <c r="RFY23" s="2"/>
      <c r="RFZ23" s="2"/>
      <c r="RGA23" s="2"/>
      <c r="RGB23" s="2"/>
      <c r="RGC23" s="2"/>
      <c r="RGD23" s="2"/>
      <c r="RGE23" s="2"/>
      <c r="RGF23" s="2"/>
      <c r="RGG23" s="2"/>
      <c r="RGH23" s="2"/>
      <c r="RGI23" s="2"/>
      <c r="RGJ23" s="2"/>
      <c r="RGK23" s="2"/>
      <c r="RGL23" s="2"/>
      <c r="RGM23" s="2"/>
      <c r="RGN23" s="2"/>
      <c r="RGO23" s="2"/>
      <c r="RGP23" s="2"/>
      <c r="RGQ23" s="2"/>
      <c r="RGR23" s="2"/>
      <c r="RGS23" s="2"/>
      <c r="RGT23" s="2"/>
      <c r="RGU23" s="2"/>
      <c r="RGV23" s="2"/>
      <c r="RGW23" s="2"/>
      <c r="RGX23" s="2"/>
      <c r="RGY23" s="2"/>
      <c r="RGZ23" s="2"/>
      <c r="RHA23" s="2"/>
      <c r="RHB23" s="2"/>
      <c r="RHC23" s="2"/>
      <c r="RHD23" s="2"/>
      <c r="RHE23" s="2"/>
      <c r="RHF23" s="2"/>
      <c r="RHG23" s="2"/>
      <c r="RHH23" s="2"/>
      <c r="RHI23" s="2"/>
      <c r="RHJ23" s="2"/>
      <c r="RHK23" s="2"/>
      <c r="RHL23" s="2"/>
      <c r="RHM23" s="2"/>
      <c r="RHN23" s="2"/>
      <c r="RHO23" s="2"/>
      <c r="RHP23" s="2"/>
      <c r="RHQ23" s="2"/>
      <c r="RHR23" s="2"/>
      <c r="RHS23" s="2"/>
      <c r="RHT23" s="2"/>
      <c r="RHU23" s="2"/>
      <c r="RHV23" s="2"/>
      <c r="RHW23" s="2"/>
      <c r="RHX23" s="2"/>
      <c r="RHY23" s="2"/>
      <c r="RHZ23" s="2"/>
      <c r="RIA23" s="2"/>
      <c r="RIB23" s="2"/>
      <c r="RIC23" s="2"/>
      <c r="RID23" s="2"/>
      <c r="RIE23" s="2"/>
      <c r="RIF23" s="2"/>
      <c r="RIG23" s="2"/>
      <c r="RIH23" s="2"/>
      <c r="RII23" s="2"/>
      <c r="RIJ23" s="2"/>
      <c r="RIK23" s="2"/>
      <c r="RIL23" s="2"/>
      <c r="RIM23" s="2"/>
      <c r="RIN23" s="2"/>
      <c r="RIO23" s="2"/>
      <c r="RIP23" s="2"/>
      <c r="RIQ23" s="2"/>
      <c r="RIR23" s="2"/>
      <c r="RIS23" s="2"/>
      <c r="RIT23" s="2"/>
      <c r="RIU23" s="2"/>
      <c r="RIV23" s="2"/>
      <c r="RIW23" s="2"/>
      <c r="RIX23" s="2"/>
      <c r="RIY23" s="2"/>
      <c r="RIZ23" s="2"/>
      <c r="RJA23" s="2"/>
      <c r="RJB23" s="2"/>
      <c r="RJC23" s="2"/>
      <c r="RJD23" s="2"/>
      <c r="RJE23" s="2"/>
      <c r="RJF23" s="2"/>
      <c r="RJG23" s="2"/>
      <c r="RJH23" s="2"/>
      <c r="RJI23" s="2"/>
      <c r="RJJ23" s="2"/>
      <c r="RJK23" s="2"/>
      <c r="RJL23" s="2"/>
      <c r="RJM23" s="2"/>
      <c r="RJN23" s="2"/>
      <c r="RJO23" s="2"/>
      <c r="RJP23" s="2"/>
      <c r="RJQ23" s="2"/>
      <c r="RJR23" s="2"/>
      <c r="RJS23" s="2"/>
      <c r="RJT23" s="2"/>
      <c r="RJU23" s="2"/>
      <c r="RJV23" s="2"/>
      <c r="RJW23" s="2"/>
      <c r="RJX23" s="2"/>
      <c r="RJY23" s="2"/>
      <c r="RJZ23" s="2"/>
      <c r="RKA23" s="2"/>
      <c r="RKB23" s="2"/>
      <c r="RKC23" s="2"/>
      <c r="RKD23" s="2"/>
      <c r="RKE23" s="2"/>
      <c r="RKF23" s="2"/>
      <c r="RKG23" s="2"/>
      <c r="RKH23" s="2"/>
      <c r="RKI23" s="2"/>
      <c r="RKJ23" s="2"/>
      <c r="RKK23" s="2"/>
      <c r="RKL23" s="2"/>
      <c r="RKM23" s="2"/>
      <c r="RKN23" s="2"/>
      <c r="RKO23" s="2"/>
      <c r="RKP23" s="2"/>
      <c r="RKQ23" s="2"/>
      <c r="RKR23" s="2"/>
      <c r="RKS23" s="2"/>
      <c r="RKT23" s="2"/>
      <c r="RKU23" s="2"/>
      <c r="RKV23" s="2"/>
      <c r="RKW23" s="2"/>
      <c r="RKX23" s="2"/>
      <c r="RKY23" s="2"/>
      <c r="RKZ23" s="2"/>
      <c r="RLA23" s="2"/>
      <c r="RLB23" s="2"/>
      <c r="RLC23" s="2"/>
      <c r="RLD23" s="2"/>
      <c r="RLE23" s="2"/>
      <c r="RLF23" s="2"/>
      <c r="RLG23" s="2"/>
      <c r="RLH23" s="2"/>
      <c r="RLI23" s="2"/>
      <c r="RLJ23" s="2"/>
      <c r="RLK23" s="2"/>
      <c r="RLL23" s="2"/>
      <c r="RLM23" s="2"/>
      <c r="RLN23" s="2"/>
      <c r="RLO23" s="2"/>
      <c r="RLP23" s="2"/>
      <c r="RLQ23" s="2"/>
      <c r="RLR23" s="2"/>
      <c r="RLS23" s="2"/>
      <c r="RLT23" s="2"/>
      <c r="RLU23" s="2"/>
      <c r="RLV23" s="2"/>
      <c r="RLW23" s="2"/>
      <c r="RLX23" s="2"/>
      <c r="RLY23" s="2"/>
      <c r="RLZ23" s="2"/>
      <c r="RMA23" s="2"/>
      <c r="RMB23" s="2"/>
      <c r="RMC23" s="2"/>
      <c r="RMD23" s="2"/>
      <c r="RME23" s="2"/>
      <c r="RMF23" s="2"/>
      <c r="RMG23" s="2"/>
      <c r="RMH23" s="2"/>
      <c r="RMI23" s="2"/>
      <c r="RMJ23" s="2"/>
      <c r="RMK23" s="2"/>
      <c r="RML23" s="2"/>
      <c r="RMM23" s="2"/>
      <c r="RMN23" s="2"/>
      <c r="RMO23" s="2"/>
      <c r="RMP23" s="2"/>
      <c r="RMQ23" s="2"/>
      <c r="RMR23" s="2"/>
      <c r="RMS23" s="2"/>
      <c r="RMT23" s="2"/>
      <c r="RMU23" s="2"/>
      <c r="RMV23" s="2"/>
      <c r="RMW23" s="2"/>
      <c r="RMX23" s="2"/>
      <c r="RMY23" s="2"/>
      <c r="RMZ23" s="2"/>
      <c r="RNA23" s="2"/>
      <c r="RNB23" s="2"/>
      <c r="RNC23" s="2"/>
      <c r="RND23" s="2"/>
      <c r="RNE23" s="2"/>
      <c r="RNF23" s="2"/>
      <c r="RNG23" s="2"/>
      <c r="RNH23" s="2"/>
      <c r="RNI23" s="2"/>
      <c r="RNJ23" s="2"/>
      <c r="RNK23" s="2"/>
      <c r="RNL23" s="2"/>
      <c r="RNM23" s="2"/>
      <c r="RNN23" s="2"/>
      <c r="RNO23" s="2"/>
      <c r="RNP23" s="2"/>
      <c r="RNQ23" s="2"/>
      <c r="RNR23" s="2"/>
      <c r="RNS23" s="2"/>
      <c r="RNT23" s="2"/>
      <c r="RNU23" s="2"/>
      <c r="RNV23" s="2"/>
      <c r="RNW23" s="2"/>
      <c r="RNX23" s="2"/>
      <c r="RNY23" s="2"/>
      <c r="RNZ23" s="2"/>
      <c r="ROA23" s="2"/>
      <c r="ROB23" s="2"/>
      <c r="ROC23" s="2"/>
      <c r="ROD23" s="2"/>
      <c r="ROE23" s="2"/>
      <c r="ROF23" s="2"/>
      <c r="ROG23" s="2"/>
      <c r="ROH23" s="2"/>
      <c r="ROI23" s="2"/>
      <c r="ROJ23" s="2"/>
      <c r="ROK23" s="2"/>
      <c r="ROL23" s="2"/>
      <c r="ROM23" s="2"/>
      <c r="RON23" s="2"/>
      <c r="ROO23" s="2"/>
      <c r="ROP23" s="2"/>
      <c r="ROQ23" s="2"/>
      <c r="ROR23" s="2"/>
      <c r="ROS23" s="2"/>
      <c r="ROT23" s="2"/>
      <c r="ROU23" s="2"/>
      <c r="ROV23" s="2"/>
      <c r="ROW23" s="2"/>
      <c r="ROX23" s="2"/>
      <c r="ROY23" s="2"/>
      <c r="ROZ23" s="2"/>
      <c r="RPA23" s="2"/>
      <c r="RPB23" s="2"/>
      <c r="RPC23" s="2"/>
      <c r="RPD23" s="2"/>
      <c r="RPE23" s="2"/>
      <c r="RPF23" s="2"/>
      <c r="RPG23" s="2"/>
      <c r="RPH23" s="2"/>
      <c r="RPI23" s="2"/>
      <c r="RPJ23" s="2"/>
      <c r="RPK23" s="2"/>
      <c r="RPL23" s="2"/>
      <c r="RPM23" s="2"/>
      <c r="RPN23" s="2"/>
      <c r="RPO23" s="2"/>
      <c r="RPP23" s="2"/>
      <c r="RPQ23" s="2"/>
      <c r="RPR23" s="2"/>
      <c r="RPS23" s="2"/>
      <c r="RPT23" s="2"/>
      <c r="RPU23" s="2"/>
      <c r="RPV23" s="2"/>
      <c r="RPW23" s="2"/>
      <c r="RPX23" s="2"/>
      <c r="RPY23" s="2"/>
      <c r="RPZ23" s="2"/>
      <c r="RQA23" s="2"/>
      <c r="RQB23" s="2"/>
      <c r="RQC23" s="2"/>
      <c r="RQD23" s="2"/>
      <c r="RQE23" s="2"/>
      <c r="RQF23" s="2"/>
      <c r="RQG23" s="2"/>
      <c r="RQH23" s="2"/>
      <c r="RQI23" s="2"/>
      <c r="RQJ23" s="2"/>
      <c r="RQK23" s="2"/>
      <c r="RQL23" s="2"/>
      <c r="RQM23" s="2"/>
      <c r="RQN23" s="2"/>
      <c r="RQO23" s="2"/>
      <c r="RQP23" s="2"/>
      <c r="RQQ23" s="2"/>
      <c r="RQR23" s="2"/>
      <c r="RQS23" s="2"/>
      <c r="RQT23" s="2"/>
      <c r="RQU23" s="2"/>
      <c r="RQV23" s="2"/>
      <c r="RQW23" s="2"/>
      <c r="RQX23" s="2"/>
      <c r="RQY23" s="2"/>
      <c r="RQZ23" s="2"/>
      <c r="RRA23" s="2"/>
      <c r="RRB23" s="2"/>
      <c r="RRC23" s="2"/>
      <c r="RRD23" s="2"/>
      <c r="RRE23" s="2"/>
      <c r="RRF23" s="2"/>
      <c r="RRG23" s="2"/>
      <c r="RRH23" s="2"/>
      <c r="RRI23" s="2"/>
      <c r="RRJ23" s="2"/>
      <c r="RRK23" s="2"/>
      <c r="RRL23" s="2"/>
      <c r="RRM23" s="2"/>
      <c r="RRN23" s="2"/>
      <c r="RRO23" s="2"/>
      <c r="RRP23" s="2"/>
      <c r="RRQ23" s="2"/>
      <c r="RRR23" s="2"/>
      <c r="RRS23" s="2"/>
      <c r="RRT23" s="2"/>
      <c r="RRU23" s="2"/>
      <c r="RRV23" s="2"/>
      <c r="RRW23" s="2"/>
      <c r="RRX23" s="2"/>
      <c r="RRY23" s="2"/>
      <c r="RRZ23" s="2"/>
      <c r="RSA23" s="2"/>
      <c r="RSB23" s="2"/>
      <c r="RSC23" s="2"/>
      <c r="RSD23" s="2"/>
      <c r="RSE23" s="2"/>
      <c r="RSF23" s="2"/>
      <c r="RSG23" s="2"/>
      <c r="RSH23" s="2"/>
      <c r="RSI23" s="2"/>
      <c r="RSJ23" s="2"/>
      <c r="RSK23" s="2"/>
      <c r="RSL23" s="2"/>
      <c r="RSM23" s="2"/>
      <c r="RSN23" s="2"/>
      <c r="RSO23" s="2"/>
      <c r="RSP23" s="2"/>
      <c r="RSQ23" s="2"/>
      <c r="RSR23" s="2"/>
      <c r="RSS23" s="2"/>
      <c r="RST23" s="2"/>
      <c r="RSU23" s="2"/>
      <c r="RSV23" s="2"/>
      <c r="RSW23" s="2"/>
      <c r="RSX23" s="2"/>
      <c r="RSY23" s="2"/>
      <c r="RSZ23" s="2"/>
      <c r="RTA23" s="2"/>
      <c r="RTB23" s="2"/>
      <c r="RTC23" s="2"/>
      <c r="RTD23" s="2"/>
      <c r="RTE23" s="2"/>
      <c r="RTF23" s="2"/>
      <c r="RTG23" s="2"/>
      <c r="RTH23" s="2"/>
      <c r="RTI23" s="2"/>
      <c r="RTJ23" s="2"/>
      <c r="RTK23" s="2"/>
      <c r="RTL23" s="2"/>
      <c r="RTM23" s="2"/>
      <c r="RTN23" s="2"/>
      <c r="RTO23" s="2"/>
      <c r="RTP23" s="2"/>
      <c r="RTQ23" s="2"/>
      <c r="RTR23" s="2"/>
      <c r="RTS23" s="2"/>
      <c r="RTT23" s="2"/>
      <c r="RTU23" s="2"/>
      <c r="RTV23" s="2"/>
      <c r="RTW23" s="2"/>
      <c r="RTX23" s="2"/>
      <c r="RTY23" s="2"/>
      <c r="RTZ23" s="2"/>
      <c r="RUA23" s="2"/>
      <c r="RUB23" s="2"/>
      <c r="RUC23" s="2"/>
      <c r="RUD23" s="2"/>
      <c r="RUE23" s="2"/>
      <c r="RUF23" s="2"/>
      <c r="RUG23" s="2"/>
      <c r="RUH23" s="2"/>
      <c r="RUI23" s="2"/>
      <c r="RUJ23" s="2"/>
      <c r="RUK23" s="2"/>
      <c r="RUL23" s="2"/>
      <c r="RUM23" s="2"/>
      <c r="RUN23" s="2"/>
      <c r="RUO23" s="2"/>
      <c r="RUP23" s="2"/>
      <c r="RUQ23" s="2"/>
      <c r="RUR23" s="2"/>
      <c r="RUS23" s="2"/>
      <c r="RUT23" s="2"/>
      <c r="RUU23" s="2"/>
      <c r="RUV23" s="2"/>
      <c r="RUW23" s="2"/>
      <c r="RUX23" s="2"/>
      <c r="RUY23" s="2"/>
      <c r="RUZ23" s="2"/>
      <c r="RVA23" s="2"/>
      <c r="RVB23" s="2"/>
      <c r="RVC23" s="2"/>
      <c r="RVD23" s="2"/>
      <c r="RVE23" s="2"/>
      <c r="RVF23" s="2"/>
      <c r="RVG23" s="2"/>
      <c r="RVH23" s="2"/>
      <c r="RVI23" s="2"/>
      <c r="RVJ23" s="2"/>
      <c r="RVK23" s="2"/>
      <c r="RVL23" s="2"/>
      <c r="RVM23" s="2"/>
      <c r="RVN23" s="2"/>
      <c r="RVO23" s="2"/>
      <c r="RVP23" s="2"/>
      <c r="RVQ23" s="2"/>
      <c r="RVR23" s="2"/>
      <c r="RVS23" s="2"/>
      <c r="RVT23" s="2"/>
      <c r="RVU23" s="2"/>
      <c r="RVV23" s="2"/>
      <c r="RVW23" s="2"/>
      <c r="RVX23" s="2"/>
      <c r="RVY23" s="2"/>
      <c r="RVZ23" s="2"/>
      <c r="RWA23" s="2"/>
      <c r="RWB23" s="2"/>
      <c r="RWC23" s="2"/>
      <c r="RWD23" s="2"/>
      <c r="RWE23" s="2"/>
      <c r="RWF23" s="2"/>
      <c r="RWG23" s="2"/>
      <c r="RWH23" s="2"/>
      <c r="RWI23" s="2"/>
      <c r="RWJ23" s="2"/>
      <c r="RWK23" s="2"/>
      <c r="RWL23" s="2"/>
      <c r="RWM23" s="2"/>
      <c r="RWN23" s="2"/>
      <c r="RWO23" s="2"/>
      <c r="RWP23" s="2"/>
      <c r="RWQ23" s="2"/>
      <c r="RWR23" s="2"/>
      <c r="RWS23" s="2"/>
      <c r="RWT23" s="2"/>
      <c r="RWU23" s="2"/>
      <c r="RWV23" s="2"/>
      <c r="RWW23" s="2"/>
      <c r="RWX23" s="2"/>
      <c r="RWY23" s="2"/>
      <c r="RWZ23" s="2"/>
      <c r="RXA23" s="2"/>
      <c r="RXB23" s="2"/>
      <c r="RXC23" s="2"/>
      <c r="RXD23" s="2"/>
      <c r="RXE23" s="2"/>
      <c r="RXF23" s="2"/>
      <c r="RXG23" s="2"/>
      <c r="RXH23" s="2"/>
      <c r="RXI23" s="2"/>
      <c r="RXJ23" s="2"/>
      <c r="RXK23" s="2"/>
      <c r="RXL23" s="2"/>
      <c r="RXM23" s="2"/>
      <c r="RXN23" s="2"/>
      <c r="RXO23" s="2"/>
      <c r="RXP23" s="2"/>
      <c r="RXQ23" s="2"/>
      <c r="RXR23" s="2"/>
      <c r="RXS23" s="2"/>
      <c r="RXT23" s="2"/>
      <c r="RXU23" s="2"/>
      <c r="RXV23" s="2"/>
      <c r="RXW23" s="2"/>
      <c r="RXX23" s="2"/>
      <c r="RXY23" s="2"/>
      <c r="RXZ23" s="2"/>
      <c r="RYA23" s="2"/>
      <c r="RYB23" s="2"/>
      <c r="RYC23" s="2"/>
      <c r="RYD23" s="2"/>
      <c r="RYE23" s="2"/>
      <c r="RYF23" s="2"/>
      <c r="RYG23" s="2"/>
      <c r="RYH23" s="2"/>
      <c r="RYI23" s="2"/>
      <c r="RYJ23" s="2"/>
      <c r="RYK23" s="2"/>
      <c r="RYL23" s="2"/>
      <c r="RYM23" s="2"/>
      <c r="RYN23" s="2"/>
      <c r="RYO23" s="2"/>
      <c r="RYP23" s="2"/>
      <c r="RYQ23" s="2"/>
      <c r="RYR23" s="2"/>
      <c r="RYS23" s="2"/>
      <c r="RYT23" s="2"/>
      <c r="RYU23" s="2"/>
      <c r="RYV23" s="2"/>
      <c r="RYW23" s="2"/>
      <c r="RYX23" s="2"/>
      <c r="RYY23" s="2"/>
      <c r="RYZ23" s="2"/>
      <c r="RZA23" s="2"/>
      <c r="RZB23" s="2"/>
      <c r="RZC23" s="2"/>
      <c r="RZD23" s="2"/>
      <c r="RZE23" s="2"/>
      <c r="RZF23" s="2"/>
      <c r="RZG23" s="2"/>
      <c r="RZH23" s="2"/>
      <c r="RZI23" s="2"/>
      <c r="RZJ23" s="2"/>
      <c r="RZK23" s="2"/>
      <c r="RZL23" s="2"/>
      <c r="RZM23" s="2"/>
      <c r="RZN23" s="2"/>
      <c r="RZO23" s="2"/>
      <c r="RZP23" s="2"/>
      <c r="RZQ23" s="2"/>
      <c r="RZR23" s="2"/>
      <c r="RZS23" s="2"/>
      <c r="RZT23" s="2"/>
      <c r="RZU23" s="2"/>
      <c r="RZV23" s="2"/>
      <c r="RZW23" s="2"/>
      <c r="RZX23" s="2"/>
      <c r="RZY23" s="2"/>
      <c r="RZZ23" s="2"/>
      <c r="SAA23" s="2"/>
      <c r="SAB23" s="2"/>
      <c r="SAC23" s="2"/>
      <c r="SAD23" s="2"/>
      <c r="SAE23" s="2"/>
      <c r="SAF23" s="2"/>
      <c r="SAG23" s="2"/>
      <c r="SAH23" s="2"/>
      <c r="SAI23" s="2"/>
      <c r="SAJ23" s="2"/>
      <c r="SAK23" s="2"/>
      <c r="SAL23" s="2"/>
      <c r="SAM23" s="2"/>
      <c r="SAN23" s="2"/>
      <c r="SAO23" s="2"/>
      <c r="SAP23" s="2"/>
      <c r="SAQ23" s="2"/>
      <c r="SAR23" s="2"/>
      <c r="SAS23" s="2"/>
      <c r="SAT23" s="2"/>
      <c r="SAU23" s="2"/>
      <c r="SAV23" s="2"/>
      <c r="SAW23" s="2"/>
      <c r="SAX23" s="2"/>
      <c r="SAY23" s="2"/>
      <c r="SAZ23" s="2"/>
      <c r="SBA23" s="2"/>
      <c r="SBB23" s="2"/>
      <c r="SBC23" s="2"/>
      <c r="SBD23" s="2"/>
      <c r="SBE23" s="2"/>
      <c r="SBF23" s="2"/>
      <c r="SBG23" s="2"/>
      <c r="SBH23" s="2"/>
      <c r="SBI23" s="2"/>
      <c r="SBJ23" s="2"/>
      <c r="SBK23" s="2"/>
      <c r="SBL23" s="2"/>
      <c r="SBM23" s="2"/>
      <c r="SBN23" s="2"/>
      <c r="SBO23" s="2"/>
      <c r="SBP23" s="2"/>
      <c r="SBQ23" s="2"/>
      <c r="SBR23" s="2"/>
      <c r="SBS23" s="2"/>
      <c r="SBT23" s="2"/>
      <c r="SBU23" s="2"/>
      <c r="SBV23" s="2"/>
      <c r="SBW23" s="2"/>
      <c r="SBX23" s="2"/>
      <c r="SBY23" s="2"/>
      <c r="SBZ23" s="2"/>
      <c r="SCA23" s="2"/>
      <c r="SCB23" s="2"/>
      <c r="SCC23" s="2"/>
      <c r="SCD23" s="2"/>
      <c r="SCE23" s="2"/>
      <c r="SCF23" s="2"/>
      <c r="SCG23" s="2"/>
      <c r="SCH23" s="2"/>
      <c r="SCI23" s="2"/>
      <c r="SCJ23" s="2"/>
      <c r="SCK23" s="2"/>
      <c r="SCL23" s="2"/>
      <c r="SCM23" s="2"/>
      <c r="SCN23" s="2"/>
      <c r="SCO23" s="2"/>
      <c r="SCP23" s="2"/>
      <c r="SCQ23" s="2"/>
      <c r="SCR23" s="2"/>
      <c r="SCS23" s="2"/>
      <c r="SCT23" s="2"/>
      <c r="SCU23" s="2"/>
      <c r="SCV23" s="2"/>
      <c r="SCW23" s="2"/>
      <c r="SCX23" s="2"/>
      <c r="SCY23" s="2"/>
      <c r="SCZ23" s="2"/>
      <c r="SDA23" s="2"/>
      <c r="SDB23" s="2"/>
      <c r="SDC23" s="2"/>
      <c r="SDD23" s="2"/>
      <c r="SDE23" s="2"/>
      <c r="SDF23" s="2"/>
      <c r="SDG23" s="2"/>
      <c r="SDH23" s="2"/>
      <c r="SDI23" s="2"/>
      <c r="SDJ23" s="2"/>
      <c r="SDK23" s="2"/>
      <c r="SDL23" s="2"/>
      <c r="SDM23" s="2"/>
      <c r="SDN23" s="2"/>
      <c r="SDO23" s="2"/>
      <c r="SDP23" s="2"/>
      <c r="SDQ23" s="2"/>
      <c r="SDR23" s="2"/>
      <c r="SDS23" s="2"/>
      <c r="SDT23" s="2"/>
      <c r="SDU23" s="2"/>
      <c r="SDV23" s="2"/>
      <c r="SDW23" s="2"/>
      <c r="SDX23" s="2"/>
      <c r="SDY23" s="2"/>
      <c r="SDZ23" s="2"/>
      <c r="SEA23" s="2"/>
      <c r="SEB23" s="2"/>
      <c r="SEC23" s="2"/>
      <c r="SED23" s="2"/>
      <c r="SEE23" s="2"/>
      <c r="SEF23" s="2"/>
      <c r="SEG23" s="2"/>
      <c r="SEH23" s="2"/>
      <c r="SEI23" s="2"/>
      <c r="SEJ23" s="2"/>
      <c r="SEK23" s="2"/>
      <c r="SEL23" s="2"/>
      <c r="SEM23" s="2"/>
      <c r="SEN23" s="2"/>
      <c r="SEO23" s="2"/>
      <c r="SEP23" s="2"/>
      <c r="SEQ23" s="2"/>
      <c r="SER23" s="2"/>
      <c r="SES23" s="2"/>
      <c r="SET23" s="2"/>
      <c r="SEU23" s="2"/>
      <c r="SEV23" s="2"/>
      <c r="SEW23" s="2"/>
      <c r="SEX23" s="2"/>
      <c r="SEY23" s="2"/>
      <c r="SEZ23" s="2"/>
      <c r="SFA23" s="2"/>
      <c r="SFB23" s="2"/>
      <c r="SFC23" s="2"/>
      <c r="SFD23" s="2"/>
      <c r="SFE23" s="2"/>
      <c r="SFF23" s="2"/>
      <c r="SFG23" s="2"/>
      <c r="SFH23" s="2"/>
      <c r="SFI23" s="2"/>
      <c r="SFJ23" s="2"/>
      <c r="SFK23" s="2"/>
      <c r="SFL23" s="2"/>
      <c r="SFM23" s="2"/>
      <c r="SFN23" s="2"/>
      <c r="SFO23" s="2"/>
      <c r="SFP23" s="2"/>
      <c r="SFQ23" s="2"/>
      <c r="SFR23" s="2"/>
      <c r="SFS23" s="2"/>
      <c r="SFT23" s="2"/>
      <c r="SFU23" s="2"/>
      <c r="SFV23" s="2"/>
      <c r="SFW23" s="2"/>
      <c r="SFX23" s="2"/>
      <c r="SFY23" s="2"/>
      <c r="SFZ23" s="2"/>
      <c r="SGA23" s="2"/>
      <c r="SGB23" s="2"/>
      <c r="SGC23" s="2"/>
      <c r="SGD23" s="2"/>
      <c r="SGE23" s="2"/>
      <c r="SGF23" s="2"/>
      <c r="SGG23" s="2"/>
      <c r="SGH23" s="2"/>
      <c r="SGI23" s="2"/>
      <c r="SGJ23" s="2"/>
      <c r="SGK23" s="2"/>
      <c r="SGL23" s="2"/>
      <c r="SGM23" s="2"/>
      <c r="SGN23" s="2"/>
      <c r="SGO23" s="2"/>
      <c r="SGP23" s="2"/>
      <c r="SGQ23" s="2"/>
      <c r="SGR23" s="2"/>
      <c r="SGS23" s="2"/>
      <c r="SGT23" s="2"/>
      <c r="SGU23" s="2"/>
      <c r="SGV23" s="2"/>
      <c r="SGW23" s="2"/>
      <c r="SGX23" s="2"/>
      <c r="SGY23" s="2"/>
      <c r="SGZ23" s="2"/>
      <c r="SHA23" s="2"/>
      <c r="SHB23" s="2"/>
      <c r="SHC23" s="2"/>
      <c r="SHD23" s="2"/>
      <c r="SHE23" s="2"/>
      <c r="SHF23" s="2"/>
      <c r="SHG23" s="2"/>
      <c r="SHH23" s="2"/>
      <c r="SHI23" s="2"/>
      <c r="SHJ23" s="2"/>
      <c r="SHK23" s="2"/>
      <c r="SHL23" s="2"/>
      <c r="SHM23" s="2"/>
      <c r="SHN23" s="2"/>
      <c r="SHO23" s="2"/>
      <c r="SHP23" s="2"/>
      <c r="SHQ23" s="2"/>
      <c r="SHR23" s="2"/>
      <c r="SHS23" s="2"/>
      <c r="SHT23" s="2"/>
      <c r="SHU23" s="2"/>
      <c r="SHV23" s="2"/>
      <c r="SHW23" s="2"/>
      <c r="SHX23" s="2"/>
      <c r="SHY23" s="2"/>
      <c r="SHZ23" s="2"/>
      <c r="SIA23" s="2"/>
      <c r="SIB23" s="2"/>
      <c r="SIC23" s="2"/>
      <c r="SID23" s="2"/>
      <c r="SIE23" s="2"/>
      <c r="SIF23" s="2"/>
      <c r="SIG23" s="2"/>
      <c r="SIH23" s="2"/>
      <c r="SII23" s="2"/>
      <c r="SIJ23" s="2"/>
      <c r="SIK23" s="2"/>
      <c r="SIL23" s="2"/>
      <c r="SIM23" s="2"/>
      <c r="SIN23" s="2"/>
      <c r="SIO23" s="2"/>
      <c r="SIP23" s="2"/>
      <c r="SIQ23" s="2"/>
      <c r="SIR23" s="2"/>
      <c r="SIS23" s="2"/>
      <c r="SIT23" s="2"/>
      <c r="SIU23" s="2"/>
      <c r="SIV23" s="2"/>
      <c r="SIW23" s="2"/>
      <c r="SIX23" s="2"/>
      <c r="SIY23" s="2"/>
      <c r="SIZ23" s="2"/>
      <c r="SJA23" s="2"/>
      <c r="SJB23" s="2"/>
      <c r="SJC23" s="2"/>
      <c r="SJD23" s="2"/>
      <c r="SJE23" s="2"/>
      <c r="SJF23" s="2"/>
      <c r="SJG23" s="2"/>
      <c r="SJH23" s="2"/>
      <c r="SJI23" s="2"/>
      <c r="SJJ23" s="2"/>
      <c r="SJK23" s="2"/>
      <c r="SJL23" s="2"/>
      <c r="SJM23" s="2"/>
      <c r="SJN23" s="2"/>
      <c r="SJO23" s="2"/>
      <c r="SJP23" s="2"/>
      <c r="SJQ23" s="2"/>
      <c r="SJR23" s="2"/>
      <c r="SJS23" s="2"/>
      <c r="SJT23" s="2"/>
      <c r="SJU23" s="2"/>
      <c r="SJV23" s="2"/>
      <c r="SJW23" s="2"/>
      <c r="SJX23" s="2"/>
      <c r="SJY23" s="2"/>
      <c r="SJZ23" s="2"/>
      <c r="SKA23" s="2"/>
      <c r="SKB23" s="2"/>
      <c r="SKC23" s="2"/>
      <c r="SKD23" s="2"/>
      <c r="SKE23" s="2"/>
      <c r="SKF23" s="2"/>
      <c r="SKG23" s="2"/>
      <c r="SKH23" s="2"/>
      <c r="SKI23" s="2"/>
      <c r="SKJ23" s="2"/>
      <c r="SKK23" s="2"/>
      <c r="SKL23" s="2"/>
      <c r="SKM23" s="2"/>
      <c r="SKN23" s="2"/>
      <c r="SKO23" s="2"/>
      <c r="SKP23" s="2"/>
      <c r="SKQ23" s="2"/>
      <c r="SKR23" s="2"/>
      <c r="SKS23" s="2"/>
      <c r="SKT23" s="2"/>
      <c r="SKU23" s="2"/>
      <c r="SKV23" s="2"/>
      <c r="SKW23" s="2"/>
      <c r="SKX23" s="2"/>
      <c r="SKY23" s="2"/>
      <c r="SKZ23" s="2"/>
      <c r="SLA23" s="2"/>
      <c r="SLB23" s="2"/>
      <c r="SLC23" s="2"/>
      <c r="SLD23" s="2"/>
      <c r="SLE23" s="2"/>
      <c r="SLF23" s="2"/>
      <c r="SLG23" s="2"/>
      <c r="SLH23" s="2"/>
      <c r="SLI23" s="2"/>
      <c r="SLJ23" s="2"/>
      <c r="SLK23" s="2"/>
      <c r="SLL23" s="2"/>
      <c r="SLM23" s="2"/>
      <c r="SLN23" s="2"/>
      <c r="SLO23" s="2"/>
      <c r="SLP23" s="2"/>
      <c r="SLQ23" s="2"/>
      <c r="SLR23" s="2"/>
      <c r="SLS23" s="2"/>
      <c r="SLT23" s="2"/>
      <c r="SLU23" s="2"/>
      <c r="SLV23" s="2"/>
      <c r="SLW23" s="2"/>
      <c r="SLX23" s="2"/>
      <c r="SLY23" s="2"/>
      <c r="SLZ23" s="2"/>
      <c r="SMA23" s="2"/>
      <c r="SMB23" s="2"/>
      <c r="SMC23" s="2"/>
      <c r="SMD23" s="2"/>
      <c r="SME23" s="2"/>
      <c r="SMF23" s="2"/>
      <c r="SMG23" s="2"/>
      <c r="SMH23" s="2"/>
      <c r="SMI23" s="2"/>
      <c r="SMJ23" s="2"/>
      <c r="SMK23" s="2"/>
      <c r="SML23" s="2"/>
      <c r="SMM23" s="2"/>
      <c r="SMN23" s="2"/>
      <c r="SMO23" s="2"/>
      <c r="SMP23" s="2"/>
      <c r="SMQ23" s="2"/>
      <c r="SMR23" s="2"/>
      <c r="SMS23" s="2"/>
      <c r="SMT23" s="2"/>
      <c r="SMU23" s="2"/>
      <c r="SMV23" s="2"/>
      <c r="SMW23" s="2"/>
      <c r="SMX23" s="2"/>
      <c r="SMY23" s="2"/>
      <c r="SMZ23" s="2"/>
      <c r="SNA23" s="2"/>
      <c r="SNB23" s="2"/>
      <c r="SNC23" s="2"/>
      <c r="SND23" s="2"/>
      <c r="SNE23" s="2"/>
      <c r="SNF23" s="2"/>
      <c r="SNG23" s="2"/>
      <c r="SNH23" s="2"/>
      <c r="SNI23" s="2"/>
      <c r="SNJ23" s="2"/>
      <c r="SNK23" s="2"/>
      <c r="SNL23" s="2"/>
      <c r="SNM23" s="2"/>
      <c r="SNN23" s="2"/>
      <c r="SNO23" s="2"/>
      <c r="SNP23" s="2"/>
      <c r="SNQ23" s="2"/>
      <c r="SNR23" s="2"/>
      <c r="SNS23" s="2"/>
      <c r="SNT23" s="2"/>
      <c r="SNU23" s="2"/>
      <c r="SNV23" s="2"/>
      <c r="SNW23" s="2"/>
      <c r="SNX23" s="2"/>
      <c r="SNY23" s="2"/>
      <c r="SNZ23" s="2"/>
      <c r="SOA23" s="2"/>
      <c r="SOB23" s="2"/>
      <c r="SOC23" s="2"/>
      <c r="SOD23" s="2"/>
      <c r="SOE23" s="2"/>
      <c r="SOF23" s="2"/>
      <c r="SOG23" s="2"/>
      <c r="SOH23" s="2"/>
      <c r="SOI23" s="2"/>
      <c r="SOJ23" s="2"/>
      <c r="SOK23" s="2"/>
      <c r="SOL23" s="2"/>
      <c r="SOM23" s="2"/>
      <c r="SON23" s="2"/>
      <c r="SOO23" s="2"/>
      <c r="SOP23" s="2"/>
      <c r="SOQ23" s="2"/>
      <c r="SOR23" s="2"/>
      <c r="SOS23" s="2"/>
      <c r="SOT23" s="2"/>
      <c r="SOU23" s="2"/>
      <c r="SOV23" s="2"/>
      <c r="SOW23" s="2"/>
      <c r="SOX23" s="2"/>
      <c r="SOY23" s="2"/>
      <c r="SOZ23" s="2"/>
      <c r="SPA23" s="2"/>
      <c r="SPB23" s="2"/>
      <c r="SPC23" s="2"/>
      <c r="SPD23" s="2"/>
      <c r="SPE23" s="2"/>
      <c r="SPF23" s="2"/>
      <c r="SPG23" s="2"/>
      <c r="SPH23" s="2"/>
      <c r="SPI23" s="2"/>
      <c r="SPJ23" s="2"/>
      <c r="SPK23" s="2"/>
      <c r="SPL23" s="2"/>
      <c r="SPM23" s="2"/>
      <c r="SPN23" s="2"/>
      <c r="SPO23" s="2"/>
      <c r="SPP23" s="2"/>
      <c r="SPQ23" s="2"/>
      <c r="SPR23" s="2"/>
      <c r="SPS23" s="2"/>
      <c r="SPT23" s="2"/>
      <c r="SPU23" s="2"/>
      <c r="SPV23" s="2"/>
      <c r="SPW23" s="2"/>
      <c r="SPX23" s="2"/>
      <c r="SPY23" s="2"/>
      <c r="SPZ23" s="2"/>
      <c r="SQA23" s="2"/>
      <c r="SQB23" s="2"/>
      <c r="SQC23" s="2"/>
      <c r="SQD23" s="2"/>
      <c r="SQE23" s="2"/>
      <c r="SQF23" s="2"/>
      <c r="SQG23" s="2"/>
      <c r="SQH23" s="2"/>
      <c r="SQI23" s="2"/>
      <c r="SQJ23" s="2"/>
      <c r="SQK23" s="2"/>
      <c r="SQL23" s="2"/>
      <c r="SQM23" s="2"/>
      <c r="SQN23" s="2"/>
      <c r="SQO23" s="2"/>
      <c r="SQP23" s="2"/>
      <c r="SQQ23" s="2"/>
      <c r="SQR23" s="2"/>
      <c r="SQS23" s="2"/>
      <c r="SQT23" s="2"/>
      <c r="SQU23" s="2"/>
      <c r="SQV23" s="2"/>
      <c r="SQW23" s="2"/>
      <c r="SQX23" s="2"/>
      <c r="SQY23" s="2"/>
      <c r="SQZ23" s="2"/>
      <c r="SRA23" s="2"/>
      <c r="SRB23" s="2"/>
      <c r="SRC23" s="2"/>
      <c r="SRD23" s="2"/>
      <c r="SRE23" s="2"/>
      <c r="SRF23" s="2"/>
      <c r="SRG23" s="2"/>
      <c r="SRH23" s="2"/>
      <c r="SRI23" s="2"/>
      <c r="SRJ23" s="2"/>
      <c r="SRK23" s="2"/>
      <c r="SRL23" s="2"/>
      <c r="SRM23" s="2"/>
      <c r="SRN23" s="2"/>
      <c r="SRO23" s="2"/>
      <c r="SRP23" s="2"/>
      <c r="SRQ23" s="2"/>
      <c r="SRR23" s="2"/>
      <c r="SRS23" s="2"/>
      <c r="SRT23" s="2"/>
      <c r="SRU23" s="2"/>
      <c r="SRV23" s="2"/>
      <c r="SRW23" s="2"/>
      <c r="SRX23" s="2"/>
      <c r="SRY23" s="2"/>
      <c r="SRZ23" s="2"/>
      <c r="SSA23" s="2"/>
      <c r="SSB23" s="2"/>
      <c r="SSC23" s="2"/>
      <c r="SSD23" s="2"/>
      <c r="SSE23" s="2"/>
      <c r="SSF23" s="2"/>
      <c r="SSG23" s="2"/>
      <c r="SSH23" s="2"/>
      <c r="SSI23" s="2"/>
      <c r="SSJ23" s="2"/>
      <c r="SSK23" s="2"/>
      <c r="SSL23" s="2"/>
      <c r="SSM23" s="2"/>
      <c r="SSN23" s="2"/>
      <c r="SSO23" s="2"/>
      <c r="SSP23" s="2"/>
      <c r="SSQ23" s="2"/>
      <c r="SSR23" s="2"/>
      <c r="SSS23" s="2"/>
      <c r="SST23" s="2"/>
      <c r="SSU23" s="2"/>
      <c r="SSV23" s="2"/>
      <c r="SSW23" s="2"/>
      <c r="SSX23" s="2"/>
      <c r="SSY23" s="2"/>
      <c r="SSZ23" s="2"/>
      <c r="STA23" s="2"/>
      <c r="STB23" s="2"/>
      <c r="STC23" s="2"/>
      <c r="STD23" s="2"/>
      <c r="STE23" s="2"/>
      <c r="STF23" s="2"/>
      <c r="STG23" s="2"/>
      <c r="STH23" s="2"/>
      <c r="STI23" s="2"/>
      <c r="STJ23" s="2"/>
      <c r="STK23" s="2"/>
      <c r="STL23" s="2"/>
      <c r="STM23" s="2"/>
      <c r="STN23" s="2"/>
      <c r="STO23" s="2"/>
      <c r="STP23" s="2"/>
      <c r="STQ23" s="2"/>
      <c r="STR23" s="2"/>
      <c r="STS23" s="2"/>
      <c r="STT23" s="2"/>
      <c r="STU23" s="2"/>
      <c r="STV23" s="2"/>
      <c r="STW23" s="2"/>
      <c r="STX23" s="2"/>
      <c r="STY23" s="2"/>
      <c r="STZ23" s="2"/>
      <c r="SUA23" s="2"/>
      <c r="SUB23" s="2"/>
      <c r="SUC23" s="2"/>
      <c r="SUD23" s="2"/>
      <c r="SUE23" s="2"/>
      <c r="SUF23" s="2"/>
      <c r="SUG23" s="2"/>
      <c r="SUH23" s="2"/>
      <c r="SUI23" s="2"/>
      <c r="SUJ23" s="2"/>
      <c r="SUK23" s="2"/>
      <c r="SUL23" s="2"/>
      <c r="SUM23" s="2"/>
      <c r="SUN23" s="2"/>
      <c r="SUO23" s="2"/>
      <c r="SUP23" s="2"/>
      <c r="SUQ23" s="2"/>
      <c r="SUR23" s="2"/>
      <c r="SUS23" s="2"/>
      <c r="SUT23" s="2"/>
      <c r="SUU23" s="2"/>
      <c r="SUV23" s="2"/>
      <c r="SUW23" s="2"/>
      <c r="SUX23" s="2"/>
      <c r="SUY23" s="2"/>
      <c r="SUZ23" s="2"/>
      <c r="SVA23" s="2"/>
      <c r="SVB23" s="2"/>
      <c r="SVC23" s="2"/>
      <c r="SVD23" s="2"/>
      <c r="SVE23" s="2"/>
      <c r="SVF23" s="2"/>
      <c r="SVG23" s="2"/>
      <c r="SVH23" s="2"/>
      <c r="SVI23" s="2"/>
      <c r="SVJ23" s="2"/>
      <c r="SVK23" s="2"/>
      <c r="SVL23" s="2"/>
      <c r="SVM23" s="2"/>
      <c r="SVN23" s="2"/>
      <c r="SVO23" s="2"/>
      <c r="SVP23" s="2"/>
      <c r="SVQ23" s="2"/>
      <c r="SVR23" s="2"/>
      <c r="SVS23" s="2"/>
      <c r="SVT23" s="2"/>
      <c r="SVU23" s="2"/>
      <c r="SVV23" s="2"/>
      <c r="SVW23" s="2"/>
      <c r="SVX23" s="2"/>
      <c r="SVY23" s="2"/>
      <c r="SVZ23" s="2"/>
      <c r="SWA23" s="2"/>
      <c r="SWB23" s="2"/>
      <c r="SWC23" s="2"/>
      <c r="SWD23" s="2"/>
      <c r="SWE23" s="2"/>
      <c r="SWF23" s="2"/>
      <c r="SWG23" s="2"/>
      <c r="SWH23" s="2"/>
      <c r="SWI23" s="2"/>
      <c r="SWJ23" s="2"/>
      <c r="SWK23" s="2"/>
      <c r="SWL23" s="2"/>
      <c r="SWM23" s="2"/>
      <c r="SWN23" s="2"/>
      <c r="SWO23" s="2"/>
      <c r="SWP23" s="2"/>
      <c r="SWQ23" s="2"/>
      <c r="SWR23" s="2"/>
      <c r="SWS23" s="2"/>
      <c r="SWT23" s="2"/>
      <c r="SWU23" s="2"/>
      <c r="SWV23" s="2"/>
      <c r="SWW23" s="2"/>
      <c r="SWX23" s="2"/>
      <c r="SWY23" s="2"/>
      <c r="SWZ23" s="2"/>
      <c r="SXA23" s="2"/>
      <c r="SXB23" s="2"/>
      <c r="SXC23" s="2"/>
      <c r="SXD23" s="2"/>
      <c r="SXE23" s="2"/>
      <c r="SXF23" s="2"/>
      <c r="SXG23" s="2"/>
      <c r="SXH23" s="2"/>
      <c r="SXI23" s="2"/>
      <c r="SXJ23" s="2"/>
      <c r="SXK23" s="2"/>
      <c r="SXL23" s="2"/>
      <c r="SXM23" s="2"/>
      <c r="SXN23" s="2"/>
      <c r="SXO23" s="2"/>
      <c r="SXP23" s="2"/>
      <c r="SXQ23" s="2"/>
      <c r="SXR23" s="2"/>
      <c r="SXS23" s="2"/>
      <c r="SXT23" s="2"/>
      <c r="SXU23" s="2"/>
      <c r="SXV23" s="2"/>
      <c r="SXW23" s="2"/>
      <c r="SXX23" s="2"/>
      <c r="SXY23" s="2"/>
      <c r="SXZ23" s="2"/>
      <c r="SYA23" s="2"/>
      <c r="SYB23" s="2"/>
      <c r="SYC23" s="2"/>
      <c r="SYD23" s="2"/>
      <c r="SYE23" s="2"/>
      <c r="SYF23" s="2"/>
      <c r="SYG23" s="2"/>
      <c r="SYH23" s="2"/>
      <c r="SYI23" s="2"/>
      <c r="SYJ23" s="2"/>
      <c r="SYK23" s="2"/>
      <c r="SYL23" s="2"/>
      <c r="SYM23" s="2"/>
      <c r="SYN23" s="2"/>
      <c r="SYO23" s="2"/>
      <c r="SYP23" s="2"/>
      <c r="SYQ23" s="2"/>
      <c r="SYR23" s="2"/>
      <c r="SYS23" s="2"/>
      <c r="SYT23" s="2"/>
      <c r="SYU23" s="2"/>
      <c r="SYV23" s="2"/>
      <c r="SYW23" s="2"/>
      <c r="SYX23" s="2"/>
      <c r="SYY23" s="2"/>
      <c r="SYZ23" s="2"/>
      <c r="SZA23" s="2"/>
      <c r="SZB23" s="2"/>
      <c r="SZC23" s="2"/>
      <c r="SZD23" s="2"/>
      <c r="SZE23" s="2"/>
      <c r="SZF23" s="2"/>
      <c r="SZG23" s="2"/>
      <c r="SZH23" s="2"/>
      <c r="SZI23" s="2"/>
      <c r="SZJ23" s="2"/>
      <c r="SZK23" s="2"/>
      <c r="SZL23" s="2"/>
      <c r="SZM23" s="2"/>
      <c r="SZN23" s="2"/>
      <c r="SZO23" s="2"/>
      <c r="SZP23" s="2"/>
      <c r="SZQ23" s="2"/>
      <c r="SZR23" s="2"/>
      <c r="SZS23" s="2"/>
      <c r="SZT23" s="2"/>
      <c r="SZU23" s="2"/>
      <c r="SZV23" s="2"/>
      <c r="SZW23" s="2"/>
      <c r="SZX23" s="2"/>
      <c r="SZY23" s="2"/>
      <c r="SZZ23" s="2"/>
      <c r="TAA23" s="2"/>
      <c r="TAB23" s="2"/>
      <c r="TAC23" s="2"/>
      <c r="TAD23" s="2"/>
      <c r="TAE23" s="2"/>
      <c r="TAF23" s="2"/>
      <c r="TAG23" s="2"/>
      <c r="TAH23" s="2"/>
      <c r="TAI23" s="2"/>
      <c r="TAJ23" s="2"/>
      <c r="TAK23" s="2"/>
      <c r="TAL23" s="2"/>
      <c r="TAM23" s="2"/>
      <c r="TAN23" s="2"/>
      <c r="TAO23" s="2"/>
      <c r="TAP23" s="2"/>
      <c r="TAQ23" s="2"/>
      <c r="TAR23" s="2"/>
      <c r="TAS23" s="2"/>
      <c r="TAT23" s="2"/>
      <c r="TAU23" s="2"/>
      <c r="TAV23" s="2"/>
      <c r="TAW23" s="2"/>
      <c r="TAX23" s="2"/>
      <c r="TAY23" s="2"/>
      <c r="TAZ23" s="2"/>
      <c r="TBA23" s="2"/>
      <c r="TBB23" s="2"/>
      <c r="TBC23" s="2"/>
      <c r="TBD23" s="2"/>
      <c r="TBE23" s="2"/>
      <c r="TBF23" s="2"/>
      <c r="TBG23" s="2"/>
      <c r="TBH23" s="2"/>
      <c r="TBI23" s="2"/>
      <c r="TBJ23" s="2"/>
      <c r="TBK23" s="2"/>
      <c r="TBL23" s="2"/>
      <c r="TBM23" s="2"/>
      <c r="TBN23" s="2"/>
      <c r="TBO23" s="2"/>
      <c r="TBP23" s="2"/>
      <c r="TBQ23" s="2"/>
      <c r="TBR23" s="2"/>
      <c r="TBS23" s="2"/>
      <c r="TBT23" s="2"/>
      <c r="TBU23" s="2"/>
      <c r="TBV23" s="2"/>
      <c r="TBW23" s="2"/>
      <c r="TBX23" s="2"/>
      <c r="TBY23" s="2"/>
      <c r="TBZ23" s="2"/>
      <c r="TCA23" s="2"/>
      <c r="TCB23" s="2"/>
      <c r="TCC23" s="2"/>
      <c r="TCD23" s="2"/>
      <c r="TCE23" s="2"/>
      <c r="TCF23" s="2"/>
      <c r="TCG23" s="2"/>
      <c r="TCH23" s="2"/>
      <c r="TCI23" s="2"/>
      <c r="TCJ23" s="2"/>
      <c r="TCK23" s="2"/>
      <c r="TCL23" s="2"/>
      <c r="TCM23" s="2"/>
      <c r="TCN23" s="2"/>
      <c r="TCO23" s="2"/>
      <c r="TCP23" s="2"/>
      <c r="TCQ23" s="2"/>
      <c r="TCR23" s="2"/>
      <c r="TCS23" s="2"/>
      <c r="TCT23" s="2"/>
      <c r="TCU23" s="2"/>
      <c r="TCV23" s="2"/>
      <c r="TCW23" s="2"/>
      <c r="TCX23" s="2"/>
      <c r="TCY23" s="2"/>
      <c r="TCZ23" s="2"/>
      <c r="TDA23" s="2"/>
      <c r="TDB23" s="2"/>
      <c r="TDC23" s="2"/>
      <c r="TDD23" s="2"/>
      <c r="TDE23" s="2"/>
      <c r="TDF23" s="2"/>
      <c r="TDG23" s="2"/>
      <c r="TDH23" s="2"/>
      <c r="TDI23" s="2"/>
      <c r="TDJ23" s="2"/>
      <c r="TDK23" s="2"/>
      <c r="TDL23" s="2"/>
      <c r="TDM23" s="2"/>
      <c r="TDN23" s="2"/>
      <c r="TDO23" s="2"/>
      <c r="TDP23" s="2"/>
      <c r="TDQ23" s="2"/>
      <c r="TDR23" s="2"/>
      <c r="TDS23" s="2"/>
      <c r="TDT23" s="2"/>
      <c r="TDU23" s="2"/>
      <c r="TDV23" s="2"/>
      <c r="TDW23" s="2"/>
      <c r="TDX23" s="2"/>
      <c r="TDY23" s="2"/>
      <c r="TDZ23" s="2"/>
      <c r="TEA23" s="2"/>
      <c r="TEB23" s="2"/>
      <c r="TEC23" s="2"/>
      <c r="TED23" s="2"/>
      <c r="TEE23" s="2"/>
      <c r="TEF23" s="2"/>
      <c r="TEG23" s="2"/>
      <c r="TEH23" s="2"/>
      <c r="TEI23" s="2"/>
      <c r="TEJ23" s="2"/>
      <c r="TEK23" s="2"/>
      <c r="TEL23" s="2"/>
      <c r="TEM23" s="2"/>
      <c r="TEN23" s="2"/>
      <c r="TEO23" s="2"/>
      <c r="TEP23" s="2"/>
      <c r="TEQ23" s="2"/>
      <c r="TER23" s="2"/>
      <c r="TES23" s="2"/>
      <c r="TET23" s="2"/>
      <c r="TEU23" s="2"/>
      <c r="TEV23" s="2"/>
      <c r="TEW23" s="2"/>
      <c r="TEX23" s="2"/>
      <c r="TEY23" s="2"/>
      <c r="TEZ23" s="2"/>
      <c r="TFA23" s="2"/>
      <c r="TFB23" s="2"/>
      <c r="TFC23" s="2"/>
      <c r="TFD23" s="2"/>
      <c r="TFE23" s="2"/>
      <c r="TFF23" s="2"/>
      <c r="TFG23" s="2"/>
      <c r="TFH23" s="2"/>
      <c r="TFI23" s="2"/>
      <c r="TFJ23" s="2"/>
      <c r="TFK23" s="2"/>
      <c r="TFL23" s="2"/>
      <c r="TFM23" s="2"/>
      <c r="TFN23" s="2"/>
      <c r="TFO23" s="2"/>
      <c r="TFP23" s="2"/>
      <c r="TFQ23" s="2"/>
      <c r="TFR23" s="2"/>
      <c r="TFS23" s="2"/>
      <c r="TFT23" s="2"/>
      <c r="TFU23" s="2"/>
      <c r="TFV23" s="2"/>
      <c r="TFW23" s="2"/>
      <c r="TFX23" s="2"/>
      <c r="TFY23" s="2"/>
      <c r="TFZ23" s="2"/>
      <c r="TGA23" s="2"/>
      <c r="TGB23" s="2"/>
      <c r="TGC23" s="2"/>
      <c r="TGD23" s="2"/>
      <c r="TGE23" s="2"/>
      <c r="TGF23" s="2"/>
      <c r="TGG23" s="2"/>
      <c r="TGH23" s="2"/>
      <c r="TGI23" s="2"/>
      <c r="TGJ23" s="2"/>
      <c r="TGK23" s="2"/>
      <c r="TGL23" s="2"/>
      <c r="TGM23" s="2"/>
      <c r="TGN23" s="2"/>
      <c r="TGO23" s="2"/>
      <c r="TGP23" s="2"/>
      <c r="TGQ23" s="2"/>
      <c r="TGR23" s="2"/>
      <c r="TGS23" s="2"/>
      <c r="TGT23" s="2"/>
      <c r="TGU23" s="2"/>
      <c r="TGV23" s="2"/>
      <c r="TGW23" s="2"/>
      <c r="TGX23" s="2"/>
      <c r="TGY23" s="2"/>
      <c r="TGZ23" s="2"/>
      <c r="THA23" s="2"/>
      <c r="THB23" s="2"/>
      <c r="THC23" s="2"/>
      <c r="THD23" s="2"/>
      <c r="THE23" s="2"/>
      <c r="THF23" s="2"/>
      <c r="THG23" s="2"/>
      <c r="THH23" s="2"/>
      <c r="THI23" s="2"/>
      <c r="THJ23" s="2"/>
      <c r="THK23" s="2"/>
      <c r="THL23" s="2"/>
      <c r="THM23" s="2"/>
      <c r="THN23" s="2"/>
      <c r="THO23" s="2"/>
      <c r="THP23" s="2"/>
      <c r="THQ23" s="2"/>
      <c r="THR23" s="2"/>
      <c r="THS23" s="2"/>
      <c r="THT23" s="2"/>
      <c r="THU23" s="2"/>
      <c r="THV23" s="2"/>
      <c r="THW23" s="2"/>
      <c r="THX23" s="2"/>
      <c r="THY23" s="2"/>
      <c r="THZ23" s="2"/>
      <c r="TIA23" s="2"/>
      <c r="TIB23" s="2"/>
      <c r="TIC23" s="2"/>
      <c r="TID23" s="2"/>
      <c r="TIE23" s="2"/>
      <c r="TIF23" s="2"/>
      <c r="TIG23" s="2"/>
      <c r="TIH23" s="2"/>
      <c r="TII23" s="2"/>
      <c r="TIJ23" s="2"/>
      <c r="TIK23" s="2"/>
      <c r="TIL23" s="2"/>
      <c r="TIM23" s="2"/>
      <c r="TIN23" s="2"/>
      <c r="TIO23" s="2"/>
      <c r="TIP23" s="2"/>
      <c r="TIQ23" s="2"/>
      <c r="TIR23" s="2"/>
      <c r="TIS23" s="2"/>
      <c r="TIT23" s="2"/>
      <c r="TIU23" s="2"/>
      <c r="TIV23" s="2"/>
      <c r="TIW23" s="2"/>
      <c r="TIX23" s="2"/>
      <c r="TIY23" s="2"/>
      <c r="TIZ23" s="2"/>
      <c r="TJA23" s="2"/>
      <c r="TJB23" s="2"/>
      <c r="TJC23" s="2"/>
      <c r="TJD23" s="2"/>
      <c r="TJE23" s="2"/>
      <c r="TJF23" s="2"/>
      <c r="TJG23" s="2"/>
      <c r="TJH23" s="2"/>
      <c r="TJI23" s="2"/>
      <c r="TJJ23" s="2"/>
      <c r="TJK23" s="2"/>
      <c r="TJL23" s="2"/>
      <c r="TJM23" s="2"/>
      <c r="TJN23" s="2"/>
      <c r="TJO23" s="2"/>
      <c r="TJP23" s="2"/>
      <c r="TJQ23" s="2"/>
      <c r="TJR23" s="2"/>
      <c r="TJS23" s="2"/>
      <c r="TJT23" s="2"/>
      <c r="TJU23" s="2"/>
      <c r="TJV23" s="2"/>
      <c r="TJW23" s="2"/>
      <c r="TJX23" s="2"/>
      <c r="TJY23" s="2"/>
      <c r="TJZ23" s="2"/>
      <c r="TKA23" s="2"/>
      <c r="TKB23" s="2"/>
      <c r="TKC23" s="2"/>
      <c r="TKD23" s="2"/>
      <c r="TKE23" s="2"/>
      <c r="TKF23" s="2"/>
      <c r="TKG23" s="2"/>
      <c r="TKH23" s="2"/>
      <c r="TKI23" s="2"/>
      <c r="TKJ23" s="2"/>
      <c r="TKK23" s="2"/>
      <c r="TKL23" s="2"/>
      <c r="TKM23" s="2"/>
      <c r="TKN23" s="2"/>
      <c r="TKO23" s="2"/>
      <c r="TKP23" s="2"/>
      <c r="TKQ23" s="2"/>
      <c r="TKR23" s="2"/>
      <c r="TKS23" s="2"/>
      <c r="TKT23" s="2"/>
      <c r="TKU23" s="2"/>
      <c r="TKV23" s="2"/>
      <c r="TKW23" s="2"/>
      <c r="TKX23" s="2"/>
      <c r="TKY23" s="2"/>
      <c r="TKZ23" s="2"/>
      <c r="TLA23" s="2"/>
      <c r="TLB23" s="2"/>
      <c r="TLC23" s="2"/>
      <c r="TLD23" s="2"/>
      <c r="TLE23" s="2"/>
      <c r="TLF23" s="2"/>
      <c r="TLG23" s="2"/>
      <c r="TLH23" s="2"/>
      <c r="TLI23" s="2"/>
      <c r="TLJ23" s="2"/>
      <c r="TLK23" s="2"/>
      <c r="TLL23" s="2"/>
      <c r="TLM23" s="2"/>
      <c r="TLN23" s="2"/>
      <c r="TLO23" s="2"/>
      <c r="TLP23" s="2"/>
      <c r="TLQ23" s="2"/>
      <c r="TLR23" s="2"/>
      <c r="TLS23" s="2"/>
      <c r="TLT23" s="2"/>
      <c r="TLU23" s="2"/>
      <c r="TLV23" s="2"/>
      <c r="TLW23" s="2"/>
      <c r="TLX23" s="2"/>
      <c r="TLY23" s="2"/>
      <c r="TLZ23" s="2"/>
      <c r="TMA23" s="2"/>
      <c r="TMB23" s="2"/>
      <c r="TMC23" s="2"/>
      <c r="TMD23" s="2"/>
      <c r="TME23" s="2"/>
      <c r="TMF23" s="2"/>
      <c r="TMG23" s="2"/>
      <c r="TMH23" s="2"/>
      <c r="TMI23" s="2"/>
      <c r="TMJ23" s="2"/>
      <c r="TMK23" s="2"/>
      <c r="TML23" s="2"/>
      <c r="TMM23" s="2"/>
      <c r="TMN23" s="2"/>
      <c r="TMO23" s="2"/>
      <c r="TMP23" s="2"/>
      <c r="TMQ23" s="2"/>
      <c r="TMR23" s="2"/>
      <c r="TMS23" s="2"/>
      <c r="TMT23" s="2"/>
      <c r="TMU23" s="2"/>
      <c r="TMV23" s="2"/>
      <c r="TMW23" s="2"/>
      <c r="TMX23" s="2"/>
      <c r="TMY23" s="2"/>
      <c r="TMZ23" s="2"/>
      <c r="TNA23" s="2"/>
      <c r="TNB23" s="2"/>
      <c r="TNC23" s="2"/>
      <c r="TND23" s="2"/>
      <c r="TNE23" s="2"/>
      <c r="TNF23" s="2"/>
      <c r="TNG23" s="2"/>
      <c r="TNH23" s="2"/>
      <c r="TNI23" s="2"/>
      <c r="TNJ23" s="2"/>
      <c r="TNK23" s="2"/>
      <c r="TNL23" s="2"/>
      <c r="TNM23" s="2"/>
      <c r="TNN23" s="2"/>
      <c r="TNO23" s="2"/>
      <c r="TNP23" s="2"/>
      <c r="TNQ23" s="2"/>
      <c r="TNR23" s="2"/>
      <c r="TNS23" s="2"/>
      <c r="TNT23" s="2"/>
      <c r="TNU23" s="2"/>
      <c r="TNV23" s="2"/>
      <c r="TNW23" s="2"/>
      <c r="TNX23" s="2"/>
      <c r="TNY23" s="2"/>
      <c r="TNZ23" s="2"/>
      <c r="TOA23" s="2"/>
      <c r="TOB23" s="2"/>
      <c r="TOC23" s="2"/>
      <c r="TOD23" s="2"/>
      <c r="TOE23" s="2"/>
      <c r="TOF23" s="2"/>
      <c r="TOG23" s="2"/>
      <c r="TOH23" s="2"/>
      <c r="TOI23" s="2"/>
      <c r="TOJ23" s="2"/>
      <c r="TOK23" s="2"/>
      <c r="TOL23" s="2"/>
      <c r="TOM23" s="2"/>
      <c r="TON23" s="2"/>
      <c r="TOO23" s="2"/>
      <c r="TOP23" s="2"/>
      <c r="TOQ23" s="2"/>
      <c r="TOR23" s="2"/>
      <c r="TOS23" s="2"/>
      <c r="TOT23" s="2"/>
      <c r="TOU23" s="2"/>
      <c r="TOV23" s="2"/>
      <c r="TOW23" s="2"/>
      <c r="TOX23" s="2"/>
      <c r="TOY23" s="2"/>
      <c r="TOZ23" s="2"/>
      <c r="TPA23" s="2"/>
      <c r="TPB23" s="2"/>
      <c r="TPC23" s="2"/>
      <c r="TPD23" s="2"/>
      <c r="TPE23" s="2"/>
      <c r="TPF23" s="2"/>
      <c r="TPG23" s="2"/>
      <c r="TPH23" s="2"/>
      <c r="TPI23" s="2"/>
      <c r="TPJ23" s="2"/>
      <c r="TPK23" s="2"/>
      <c r="TPL23" s="2"/>
      <c r="TPM23" s="2"/>
      <c r="TPN23" s="2"/>
      <c r="TPO23" s="2"/>
      <c r="TPP23" s="2"/>
      <c r="TPQ23" s="2"/>
      <c r="TPR23" s="2"/>
      <c r="TPS23" s="2"/>
      <c r="TPT23" s="2"/>
      <c r="TPU23" s="2"/>
      <c r="TPV23" s="2"/>
      <c r="TPW23" s="2"/>
      <c r="TPX23" s="2"/>
      <c r="TPY23" s="2"/>
      <c r="TPZ23" s="2"/>
      <c r="TQA23" s="2"/>
      <c r="TQB23" s="2"/>
      <c r="TQC23" s="2"/>
      <c r="TQD23" s="2"/>
      <c r="TQE23" s="2"/>
      <c r="TQF23" s="2"/>
      <c r="TQG23" s="2"/>
      <c r="TQH23" s="2"/>
      <c r="TQI23" s="2"/>
      <c r="TQJ23" s="2"/>
      <c r="TQK23" s="2"/>
      <c r="TQL23" s="2"/>
      <c r="TQM23" s="2"/>
      <c r="TQN23" s="2"/>
      <c r="TQO23" s="2"/>
      <c r="TQP23" s="2"/>
      <c r="TQQ23" s="2"/>
      <c r="TQR23" s="2"/>
      <c r="TQS23" s="2"/>
      <c r="TQT23" s="2"/>
      <c r="TQU23" s="2"/>
      <c r="TQV23" s="2"/>
      <c r="TQW23" s="2"/>
      <c r="TQX23" s="2"/>
      <c r="TQY23" s="2"/>
      <c r="TQZ23" s="2"/>
      <c r="TRA23" s="2"/>
      <c r="TRB23" s="2"/>
      <c r="TRC23" s="2"/>
      <c r="TRD23" s="2"/>
      <c r="TRE23" s="2"/>
      <c r="TRF23" s="2"/>
      <c r="TRG23" s="2"/>
      <c r="TRH23" s="2"/>
      <c r="TRI23" s="2"/>
      <c r="TRJ23" s="2"/>
      <c r="TRK23" s="2"/>
      <c r="TRL23" s="2"/>
      <c r="TRM23" s="2"/>
      <c r="TRN23" s="2"/>
      <c r="TRO23" s="2"/>
      <c r="TRP23" s="2"/>
      <c r="TRQ23" s="2"/>
      <c r="TRR23" s="2"/>
      <c r="TRS23" s="2"/>
      <c r="TRT23" s="2"/>
      <c r="TRU23" s="2"/>
      <c r="TRV23" s="2"/>
      <c r="TRW23" s="2"/>
      <c r="TRX23" s="2"/>
      <c r="TRY23" s="2"/>
      <c r="TRZ23" s="2"/>
      <c r="TSA23" s="2"/>
      <c r="TSB23" s="2"/>
      <c r="TSC23" s="2"/>
      <c r="TSD23" s="2"/>
      <c r="TSE23" s="2"/>
      <c r="TSF23" s="2"/>
      <c r="TSG23" s="2"/>
      <c r="TSH23" s="2"/>
      <c r="TSI23" s="2"/>
      <c r="TSJ23" s="2"/>
      <c r="TSK23" s="2"/>
      <c r="TSL23" s="2"/>
      <c r="TSM23" s="2"/>
      <c r="TSN23" s="2"/>
      <c r="TSO23" s="2"/>
      <c r="TSP23" s="2"/>
      <c r="TSQ23" s="2"/>
      <c r="TSR23" s="2"/>
      <c r="TSS23" s="2"/>
      <c r="TST23" s="2"/>
      <c r="TSU23" s="2"/>
      <c r="TSV23" s="2"/>
      <c r="TSW23" s="2"/>
      <c r="TSX23" s="2"/>
      <c r="TSY23" s="2"/>
      <c r="TSZ23" s="2"/>
      <c r="TTA23" s="2"/>
      <c r="TTB23" s="2"/>
      <c r="TTC23" s="2"/>
      <c r="TTD23" s="2"/>
      <c r="TTE23" s="2"/>
      <c r="TTF23" s="2"/>
      <c r="TTG23" s="2"/>
      <c r="TTH23" s="2"/>
      <c r="TTI23" s="2"/>
      <c r="TTJ23" s="2"/>
      <c r="TTK23" s="2"/>
      <c r="TTL23" s="2"/>
      <c r="TTM23" s="2"/>
      <c r="TTN23" s="2"/>
      <c r="TTO23" s="2"/>
      <c r="TTP23" s="2"/>
      <c r="TTQ23" s="2"/>
      <c r="TTR23" s="2"/>
      <c r="TTS23" s="2"/>
      <c r="TTT23" s="2"/>
      <c r="TTU23" s="2"/>
      <c r="TTV23" s="2"/>
      <c r="TTW23" s="2"/>
      <c r="TTX23" s="2"/>
      <c r="TTY23" s="2"/>
      <c r="TTZ23" s="2"/>
      <c r="TUA23" s="2"/>
      <c r="TUB23" s="2"/>
      <c r="TUC23" s="2"/>
      <c r="TUD23" s="2"/>
      <c r="TUE23" s="2"/>
      <c r="TUF23" s="2"/>
      <c r="TUG23" s="2"/>
      <c r="TUH23" s="2"/>
      <c r="TUI23" s="2"/>
      <c r="TUJ23" s="2"/>
      <c r="TUK23" s="2"/>
      <c r="TUL23" s="2"/>
      <c r="TUM23" s="2"/>
      <c r="TUN23" s="2"/>
      <c r="TUO23" s="2"/>
      <c r="TUP23" s="2"/>
      <c r="TUQ23" s="2"/>
      <c r="TUR23" s="2"/>
      <c r="TUS23" s="2"/>
      <c r="TUT23" s="2"/>
      <c r="TUU23" s="2"/>
      <c r="TUV23" s="2"/>
      <c r="TUW23" s="2"/>
      <c r="TUX23" s="2"/>
      <c r="TUY23" s="2"/>
      <c r="TUZ23" s="2"/>
      <c r="TVA23" s="2"/>
      <c r="TVB23" s="2"/>
      <c r="TVC23" s="2"/>
      <c r="TVD23" s="2"/>
      <c r="TVE23" s="2"/>
      <c r="TVF23" s="2"/>
      <c r="TVG23" s="2"/>
      <c r="TVH23" s="2"/>
      <c r="TVI23" s="2"/>
      <c r="TVJ23" s="2"/>
      <c r="TVK23" s="2"/>
      <c r="TVL23" s="2"/>
      <c r="TVM23" s="2"/>
      <c r="TVN23" s="2"/>
      <c r="TVO23" s="2"/>
      <c r="TVP23" s="2"/>
      <c r="TVQ23" s="2"/>
      <c r="TVR23" s="2"/>
      <c r="TVS23" s="2"/>
      <c r="TVT23" s="2"/>
      <c r="TVU23" s="2"/>
      <c r="TVV23" s="2"/>
      <c r="TVW23" s="2"/>
      <c r="TVX23" s="2"/>
      <c r="TVY23" s="2"/>
      <c r="TVZ23" s="2"/>
      <c r="TWA23" s="2"/>
      <c r="TWB23" s="2"/>
      <c r="TWC23" s="2"/>
      <c r="TWD23" s="2"/>
      <c r="TWE23" s="2"/>
      <c r="TWF23" s="2"/>
      <c r="TWG23" s="2"/>
      <c r="TWH23" s="2"/>
      <c r="TWI23" s="2"/>
      <c r="TWJ23" s="2"/>
      <c r="TWK23" s="2"/>
      <c r="TWL23" s="2"/>
      <c r="TWM23" s="2"/>
      <c r="TWN23" s="2"/>
      <c r="TWO23" s="2"/>
      <c r="TWP23" s="2"/>
      <c r="TWQ23" s="2"/>
      <c r="TWR23" s="2"/>
      <c r="TWS23" s="2"/>
      <c r="TWT23" s="2"/>
      <c r="TWU23" s="2"/>
      <c r="TWV23" s="2"/>
      <c r="TWW23" s="2"/>
      <c r="TWX23" s="2"/>
      <c r="TWY23" s="2"/>
      <c r="TWZ23" s="2"/>
      <c r="TXA23" s="2"/>
      <c r="TXB23" s="2"/>
      <c r="TXC23" s="2"/>
      <c r="TXD23" s="2"/>
      <c r="TXE23" s="2"/>
      <c r="TXF23" s="2"/>
      <c r="TXG23" s="2"/>
      <c r="TXH23" s="2"/>
      <c r="TXI23" s="2"/>
      <c r="TXJ23" s="2"/>
      <c r="TXK23" s="2"/>
      <c r="TXL23" s="2"/>
      <c r="TXM23" s="2"/>
      <c r="TXN23" s="2"/>
      <c r="TXO23" s="2"/>
      <c r="TXP23" s="2"/>
      <c r="TXQ23" s="2"/>
      <c r="TXR23" s="2"/>
      <c r="TXS23" s="2"/>
      <c r="TXT23" s="2"/>
      <c r="TXU23" s="2"/>
      <c r="TXV23" s="2"/>
      <c r="TXW23" s="2"/>
      <c r="TXX23" s="2"/>
      <c r="TXY23" s="2"/>
      <c r="TXZ23" s="2"/>
      <c r="TYA23" s="2"/>
      <c r="TYB23" s="2"/>
      <c r="TYC23" s="2"/>
      <c r="TYD23" s="2"/>
      <c r="TYE23" s="2"/>
      <c r="TYF23" s="2"/>
      <c r="TYG23" s="2"/>
      <c r="TYH23" s="2"/>
      <c r="TYI23" s="2"/>
      <c r="TYJ23" s="2"/>
      <c r="TYK23" s="2"/>
      <c r="TYL23" s="2"/>
      <c r="TYM23" s="2"/>
      <c r="TYN23" s="2"/>
      <c r="TYO23" s="2"/>
      <c r="TYP23" s="2"/>
      <c r="TYQ23" s="2"/>
      <c r="TYR23" s="2"/>
      <c r="TYS23" s="2"/>
      <c r="TYT23" s="2"/>
      <c r="TYU23" s="2"/>
      <c r="TYV23" s="2"/>
      <c r="TYW23" s="2"/>
      <c r="TYX23" s="2"/>
      <c r="TYY23" s="2"/>
      <c r="TYZ23" s="2"/>
      <c r="TZA23" s="2"/>
      <c r="TZB23" s="2"/>
      <c r="TZC23" s="2"/>
      <c r="TZD23" s="2"/>
      <c r="TZE23" s="2"/>
      <c r="TZF23" s="2"/>
      <c r="TZG23" s="2"/>
      <c r="TZH23" s="2"/>
      <c r="TZI23" s="2"/>
      <c r="TZJ23" s="2"/>
      <c r="TZK23" s="2"/>
      <c r="TZL23" s="2"/>
      <c r="TZM23" s="2"/>
      <c r="TZN23" s="2"/>
      <c r="TZO23" s="2"/>
      <c r="TZP23" s="2"/>
      <c r="TZQ23" s="2"/>
      <c r="TZR23" s="2"/>
      <c r="TZS23" s="2"/>
      <c r="TZT23" s="2"/>
      <c r="TZU23" s="2"/>
      <c r="TZV23" s="2"/>
      <c r="TZW23" s="2"/>
      <c r="TZX23" s="2"/>
      <c r="TZY23" s="2"/>
      <c r="TZZ23" s="2"/>
      <c r="UAA23" s="2"/>
      <c r="UAB23" s="2"/>
      <c r="UAC23" s="2"/>
      <c r="UAD23" s="2"/>
      <c r="UAE23" s="2"/>
      <c r="UAF23" s="2"/>
      <c r="UAG23" s="2"/>
      <c r="UAH23" s="2"/>
      <c r="UAI23" s="2"/>
      <c r="UAJ23" s="2"/>
      <c r="UAK23" s="2"/>
      <c r="UAL23" s="2"/>
      <c r="UAM23" s="2"/>
      <c r="UAN23" s="2"/>
      <c r="UAO23" s="2"/>
      <c r="UAP23" s="2"/>
      <c r="UAQ23" s="2"/>
      <c r="UAR23" s="2"/>
      <c r="UAS23" s="2"/>
      <c r="UAT23" s="2"/>
      <c r="UAU23" s="2"/>
      <c r="UAV23" s="2"/>
      <c r="UAW23" s="2"/>
      <c r="UAX23" s="2"/>
      <c r="UAY23" s="2"/>
      <c r="UAZ23" s="2"/>
      <c r="UBA23" s="2"/>
      <c r="UBB23" s="2"/>
      <c r="UBC23" s="2"/>
      <c r="UBD23" s="2"/>
      <c r="UBE23" s="2"/>
      <c r="UBF23" s="2"/>
      <c r="UBG23" s="2"/>
      <c r="UBH23" s="2"/>
      <c r="UBI23" s="2"/>
      <c r="UBJ23" s="2"/>
      <c r="UBK23" s="2"/>
      <c r="UBL23" s="2"/>
      <c r="UBM23" s="2"/>
      <c r="UBN23" s="2"/>
      <c r="UBO23" s="2"/>
      <c r="UBP23" s="2"/>
      <c r="UBQ23" s="2"/>
      <c r="UBR23" s="2"/>
      <c r="UBS23" s="2"/>
      <c r="UBT23" s="2"/>
      <c r="UBU23" s="2"/>
      <c r="UBV23" s="2"/>
      <c r="UBW23" s="2"/>
      <c r="UBX23" s="2"/>
      <c r="UBY23" s="2"/>
      <c r="UBZ23" s="2"/>
      <c r="UCA23" s="2"/>
      <c r="UCB23" s="2"/>
      <c r="UCC23" s="2"/>
      <c r="UCD23" s="2"/>
      <c r="UCE23" s="2"/>
      <c r="UCF23" s="2"/>
      <c r="UCG23" s="2"/>
      <c r="UCH23" s="2"/>
      <c r="UCI23" s="2"/>
      <c r="UCJ23" s="2"/>
      <c r="UCK23" s="2"/>
      <c r="UCL23" s="2"/>
      <c r="UCM23" s="2"/>
      <c r="UCN23" s="2"/>
      <c r="UCO23" s="2"/>
      <c r="UCP23" s="2"/>
      <c r="UCQ23" s="2"/>
      <c r="UCR23" s="2"/>
      <c r="UCS23" s="2"/>
      <c r="UCT23" s="2"/>
      <c r="UCU23" s="2"/>
      <c r="UCV23" s="2"/>
      <c r="UCW23" s="2"/>
      <c r="UCX23" s="2"/>
      <c r="UCY23" s="2"/>
      <c r="UCZ23" s="2"/>
      <c r="UDA23" s="2"/>
      <c r="UDB23" s="2"/>
      <c r="UDC23" s="2"/>
      <c r="UDD23" s="2"/>
      <c r="UDE23" s="2"/>
      <c r="UDF23" s="2"/>
      <c r="UDG23" s="2"/>
      <c r="UDH23" s="2"/>
      <c r="UDI23" s="2"/>
      <c r="UDJ23" s="2"/>
      <c r="UDK23" s="2"/>
      <c r="UDL23" s="2"/>
      <c r="UDM23" s="2"/>
      <c r="UDN23" s="2"/>
      <c r="UDO23" s="2"/>
      <c r="UDP23" s="2"/>
      <c r="UDQ23" s="2"/>
      <c r="UDR23" s="2"/>
      <c r="UDS23" s="2"/>
      <c r="UDT23" s="2"/>
      <c r="UDU23" s="2"/>
      <c r="UDV23" s="2"/>
      <c r="UDW23" s="2"/>
      <c r="UDX23" s="2"/>
      <c r="UDY23" s="2"/>
      <c r="UDZ23" s="2"/>
      <c r="UEA23" s="2"/>
      <c r="UEB23" s="2"/>
      <c r="UEC23" s="2"/>
      <c r="UED23" s="2"/>
      <c r="UEE23" s="2"/>
      <c r="UEF23" s="2"/>
      <c r="UEG23" s="2"/>
      <c r="UEH23" s="2"/>
      <c r="UEI23" s="2"/>
      <c r="UEJ23" s="2"/>
      <c r="UEK23" s="2"/>
      <c r="UEL23" s="2"/>
      <c r="UEM23" s="2"/>
      <c r="UEN23" s="2"/>
      <c r="UEO23" s="2"/>
      <c r="UEP23" s="2"/>
      <c r="UEQ23" s="2"/>
      <c r="UER23" s="2"/>
      <c r="UES23" s="2"/>
      <c r="UET23" s="2"/>
      <c r="UEU23" s="2"/>
      <c r="UEV23" s="2"/>
      <c r="UEW23" s="2"/>
      <c r="UEX23" s="2"/>
      <c r="UEY23" s="2"/>
      <c r="UEZ23" s="2"/>
      <c r="UFA23" s="2"/>
      <c r="UFB23" s="2"/>
      <c r="UFC23" s="2"/>
      <c r="UFD23" s="2"/>
      <c r="UFE23" s="2"/>
      <c r="UFF23" s="2"/>
      <c r="UFG23" s="2"/>
      <c r="UFH23" s="2"/>
      <c r="UFI23" s="2"/>
      <c r="UFJ23" s="2"/>
      <c r="UFK23" s="2"/>
      <c r="UFL23" s="2"/>
      <c r="UFM23" s="2"/>
      <c r="UFN23" s="2"/>
      <c r="UFO23" s="2"/>
      <c r="UFP23" s="2"/>
      <c r="UFQ23" s="2"/>
      <c r="UFR23" s="2"/>
      <c r="UFS23" s="2"/>
      <c r="UFT23" s="2"/>
      <c r="UFU23" s="2"/>
      <c r="UFV23" s="2"/>
      <c r="UFW23" s="2"/>
      <c r="UFX23" s="2"/>
      <c r="UFY23" s="2"/>
      <c r="UFZ23" s="2"/>
      <c r="UGA23" s="2"/>
      <c r="UGB23" s="2"/>
      <c r="UGC23" s="2"/>
      <c r="UGD23" s="2"/>
      <c r="UGE23" s="2"/>
      <c r="UGF23" s="2"/>
      <c r="UGG23" s="2"/>
      <c r="UGH23" s="2"/>
      <c r="UGI23" s="2"/>
      <c r="UGJ23" s="2"/>
      <c r="UGK23" s="2"/>
      <c r="UGL23" s="2"/>
      <c r="UGM23" s="2"/>
      <c r="UGN23" s="2"/>
      <c r="UGO23" s="2"/>
      <c r="UGP23" s="2"/>
      <c r="UGQ23" s="2"/>
      <c r="UGR23" s="2"/>
      <c r="UGS23" s="2"/>
      <c r="UGT23" s="2"/>
      <c r="UGU23" s="2"/>
      <c r="UGV23" s="2"/>
      <c r="UGW23" s="2"/>
      <c r="UGX23" s="2"/>
      <c r="UGY23" s="2"/>
      <c r="UGZ23" s="2"/>
      <c r="UHA23" s="2"/>
      <c r="UHB23" s="2"/>
      <c r="UHC23" s="2"/>
      <c r="UHD23" s="2"/>
      <c r="UHE23" s="2"/>
      <c r="UHF23" s="2"/>
      <c r="UHG23" s="2"/>
      <c r="UHH23" s="2"/>
      <c r="UHI23" s="2"/>
      <c r="UHJ23" s="2"/>
      <c r="UHK23" s="2"/>
      <c r="UHL23" s="2"/>
      <c r="UHM23" s="2"/>
      <c r="UHN23" s="2"/>
      <c r="UHO23" s="2"/>
      <c r="UHP23" s="2"/>
      <c r="UHQ23" s="2"/>
      <c r="UHR23" s="2"/>
      <c r="UHS23" s="2"/>
      <c r="UHT23" s="2"/>
      <c r="UHU23" s="2"/>
      <c r="UHV23" s="2"/>
      <c r="UHW23" s="2"/>
      <c r="UHX23" s="2"/>
      <c r="UHY23" s="2"/>
      <c r="UHZ23" s="2"/>
      <c r="UIA23" s="2"/>
      <c r="UIB23" s="2"/>
      <c r="UIC23" s="2"/>
      <c r="UID23" s="2"/>
      <c r="UIE23" s="2"/>
      <c r="UIF23" s="2"/>
      <c r="UIG23" s="2"/>
      <c r="UIH23" s="2"/>
      <c r="UII23" s="2"/>
      <c r="UIJ23" s="2"/>
      <c r="UIK23" s="2"/>
      <c r="UIL23" s="2"/>
      <c r="UIM23" s="2"/>
      <c r="UIN23" s="2"/>
      <c r="UIO23" s="2"/>
      <c r="UIP23" s="2"/>
      <c r="UIQ23" s="2"/>
      <c r="UIR23" s="2"/>
      <c r="UIS23" s="2"/>
      <c r="UIT23" s="2"/>
      <c r="UIU23" s="2"/>
      <c r="UIV23" s="2"/>
      <c r="UIW23" s="2"/>
      <c r="UIX23" s="2"/>
      <c r="UIY23" s="2"/>
      <c r="UIZ23" s="2"/>
      <c r="UJA23" s="2"/>
      <c r="UJB23" s="2"/>
      <c r="UJC23" s="2"/>
      <c r="UJD23" s="2"/>
      <c r="UJE23" s="2"/>
      <c r="UJF23" s="2"/>
      <c r="UJG23" s="2"/>
      <c r="UJH23" s="2"/>
      <c r="UJI23" s="2"/>
      <c r="UJJ23" s="2"/>
      <c r="UJK23" s="2"/>
      <c r="UJL23" s="2"/>
      <c r="UJM23" s="2"/>
      <c r="UJN23" s="2"/>
      <c r="UJO23" s="2"/>
      <c r="UJP23" s="2"/>
      <c r="UJQ23" s="2"/>
      <c r="UJR23" s="2"/>
      <c r="UJS23" s="2"/>
      <c r="UJT23" s="2"/>
      <c r="UJU23" s="2"/>
      <c r="UJV23" s="2"/>
      <c r="UJW23" s="2"/>
      <c r="UJX23" s="2"/>
      <c r="UJY23" s="2"/>
      <c r="UJZ23" s="2"/>
      <c r="UKA23" s="2"/>
      <c r="UKB23" s="2"/>
      <c r="UKC23" s="2"/>
      <c r="UKD23" s="2"/>
      <c r="UKE23" s="2"/>
      <c r="UKF23" s="2"/>
      <c r="UKG23" s="2"/>
      <c r="UKH23" s="2"/>
      <c r="UKI23" s="2"/>
      <c r="UKJ23" s="2"/>
      <c r="UKK23" s="2"/>
      <c r="UKL23" s="2"/>
      <c r="UKM23" s="2"/>
      <c r="UKN23" s="2"/>
      <c r="UKO23" s="2"/>
      <c r="UKP23" s="2"/>
      <c r="UKQ23" s="2"/>
      <c r="UKR23" s="2"/>
      <c r="UKS23" s="2"/>
      <c r="UKT23" s="2"/>
      <c r="UKU23" s="2"/>
      <c r="UKV23" s="2"/>
      <c r="UKW23" s="2"/>
      <c r="UKX23" s="2"/>
      <c r="UKY23" s="2"/>
      <c r="UKZ23" s="2"/>
      <c r="ULA23" s="2"/>
      <c r="ULB23" s="2"/>
      <c r="ULC23" s="2"/>
      <c r="ULD23" s="2"/>
      <c r="ULE23" s="2"/>
      <c r="ULF23" s="2"/>
      <c r="ULG23" s="2"/>
      <c r="ULH23" s="2"/>
      <c r="ULI23" s="2"/>
      <c r="ULJ23" s="2"/>
      <c r="ULK23" s="2"/>
      <c r="ULL23" s="2"/>
      <c r="ULM23" s="2"/>
      <c r="ULN23" s="2"/>
      <c r="ULO23" s="2"/>
      <c r="ULP23" s="2"/>
      <c r="ULQ23" s="2"/>
      <c r="ULR23" s="2"/>
      <c r="ULS23" s="2"/>
      <c r="ULT23" s="2"/>
      <c r="ULU23" s="2"/>
      <c r="ULV23" s="2"/>
      <c r="ULW23" s="2"/>
      <c r="ULX23" s="2"/>
      <c r="ULY23" s="2"/>
      <c r="ULZ23" s="2"/>
      <c r="UMA23" s="2"/>
      <c r="UMB23" s="2"/>
      <c r="UMC23" s="2"/>
      <c r="UMD23" s="2"/>
      <c r="UME23" s="2"/>
      <c r="UMF23" s="2"/>
      <c r="UMG23" s="2"/>
      <c r="UMH23" s="2"/>
      <c r="UMI23" s="2"/>
      <c r="UMJ23" s="2"/>
      <c r="UMK23" s="2"/>
      <c r="UML23" s="2"/>
      <c r="UMM23" s="2"/>
      <c r="UMN23" s="2"/>
      <c r="UMO23" s="2"/>
      <c r="UMP23" s="2"/>
      <c r="UMQ23" s="2"/>
      <c r="UMR23" s="2"/>
      <c r="UMS23" s="2"/>
      <c r="UMT23" s="2"/>
      <c r="UMU23" s="2"/>
      <c r="UMV23" s="2"/>
      <c r="UMW23" s="2"/>
      <c r="UMX23" s="2"/>
      <c r="UMY23" s="2"/>
      <c r="UMZ23" s="2"/>
      <c r="UNA23" s="2"/>
      <c r="UNB23" s="2"/>
      <c r="UNC23" s="2"/>
      <c r="UND23" s="2"/>
      <c r="UNE23" s="2"/>
      <c r="UNF23" s="2"/>
      <c r="UNG23" s="2"/>
      <c r="UNH23" s="2"/>
      <c r="UNI23" s="2"/>
      <c r="UNJ23" s="2"/>
      <c r="UNK23" s="2"/>
      <c r="UNL23" s="2"/>
      <c r="UNM23" s="2"/>
      <c r="UNN23" s="2"/>
      <c r="UNO23" s="2"/>
      <c r="UNP23" s="2"/>
      <c r="UNQ23" s="2"/>
      <c r="UNR23" s="2"/>
      <c r="UNS23" s="2"/>
      <c r="UNT23" s="2"/>
      <c r="UNU23" s="2"/>
      <c r="UNV23" s="2"/>
      <c r="UNW23" s="2"/>
      <c r="UNX23" s="2"/>
      <c r="UNY23" s="2"/>
      <c r="UNZ23" s="2"/>
      <c r="UOA23" s="2"/>
      <c r="UOB23" s="2"/>
      <c r="UOC23" s="2"/>
      <c r="UOD23" s="2"/>
      <c r="UOE23" s="2"/>
      <c r="UOF23" s="2"/>
      <c r="UOG23" s="2"/>
      <c r="UOH23" s="2"/>
      <c r="UOI23" s="2"/>
      <c r="UOJ23" s="2"/>
      <c r="UOK23" s="2"/>
      <c r="UOL23" s="2"/>
      <c r="UOM23" s="2"/>
      <c r="UON23" s="2"/>
      <c r="UOO23" s="2"/>
      <c r="UOP23" s="2"/>
      <c r="UOQ23" s="2"/>
      <c r="UOR23" s="2"/>
      <c r="UOS23" s="2"/>
      <c r="UOT23" s="2"/>
      <c r="UOU23" s="2"/>
      <c r="UOV23" s="2"/>
      <c r="UOW23" s="2"/>
      <c r="UOX23" s="2"/>
      <c r="UOY23" s="2"/>
      <c r="UOZ23" s="2"/>
      <c r="UPA23" s="2"/>
      <c r="UPB23" s="2"/>
      <c r="UPC23" s="2"/>
      <c r="UPD23" s="2"/>
      <c r="UPE23" s="2"/>
      <c r="UPF23" s="2"/>
      <c r="UPG23" s="2"/>
      <c r="UPH23" s="2"/>
      <c r="UPI23" s="2"/>
      <c r="UPJ23" s="2"/>
      <c r="UPK23" s="2"/>
      <c r="UPL23" s="2"/>
      <c r="UPM23" s="2"/>
      <c r="UPN23" s="2"/>
      <c r="UPO23" s="2"/>
      <c r="UPP23" s="2"/>
      <c r="UPQ23" s="2"/>
      <c r="UPR23" s="2"/>
      <c r="UPS23" s="2"/>
      <c r="UPT23" s="2"/>
      <c r="UPU23" s="2"/>
      <c r="UPV23" s="2"/>
      <c r="UPW23" s="2"/>
      <c r="UPX23" s="2"/>
      <c r="UPY23" s="2"/>
      <c r="UPZ23" s="2"/>
      <c r="UQA23" s="2"/>
      <c r="UQB23" s="2"/>
      <c r="UQC23" s="2"/>
      <c r="UQD23" s="2"/>
      <c r="UQE23" s="2"/>
      <c r="UQF23" s="2"/>
      <c r="UQG23" s="2"/>
      <c r="UQH23" s="2"/>
      <c r="UQI23" s="2"/>
      <c r="UQJ23" s="2"/>
      <c r="UQK23" s="2"/>
      <c r="UQL23" s="2"/>
      <c r="UQM23" s="2"/>
      <c r="UQN23" s="2"/>
      <c r="UQO23" s="2"/>
      <c r="UQP23" s="2"/>
      <c r="UQQ23" s="2"/>
      <c r="UQR23" s="2"/>
      <c r="UQS23" s="2"/>
      <c r="UQT23" s="2"/>
      <c r="UQU23" s="2"/>
      <c r="UQV23" s="2"/>
      <c r="UQW23" s="2"/>
      <c r="UQX23" s="2"/>
      <c r="UQY23" s="2"/>
      <c r="UQZ23" s="2"/>
      <c r="URA23" s="2"/>
      <c r="URB23" s="2"/>
      <c r="URC23" s="2"/>
      <c r="URD23" s="2"/>
      <c r="URE23" s="2"/>
      <c r="URF23" s="2"/>
      <c r="URG23" s="2"/>
      <c r="URH23" s="2"/>
      <c r="URI23" s="2"/>
      <c r="URJ23" s="2"/>
      <c r="URK23" s="2"/>
      <c r="URL23" s="2"/>
      <c r="URM23" s="2"/>
      <c r="URN23" s="2"/>
      <c r="URO23" s="2"/>
      <c r="URP23" s="2"/>
      <c r="URQ23" s="2"/>
      <c r="URR23" s="2"/>
      <c r="URS23" s="2"/>
      <c r="URT23" s="2"/>
      <c r="URU23" s="2"/>
      <c r="URV23" s="2"/>
      <c r="URW23" s="2"/>
      <c r="URX23" s="2"/>
      <c r="URY23" s="2"/>
      <c r="URZ23" s="2"/>
      <c r="USA23" s="2"/>
      <c r="USB23" s="2"/>
      <c r="USC23" s="2"/>
      <c r="USD23" s="2"/>
      <c r="USE23" s="2"/>
      <c r="USF23" s="2"/>
      <c r="USG23" s="2"/>
      <c r="USH23" s="2"/>
      <c r="USI23" s="2"/>
      <c r="USJ23" s="2"/>
      <c r="USK23" s="2"/>
      <c r="USL23" s="2"/>
      <c r="USM23" s="2"/>
      <c r="USN23" s="2"/>
      <c r="USO23" s="2"/>
      <c r="USP23" s="2"/>
      <c r="USQ23" s="2"/>
      <c r="USR23" s="2"/>
      <c r="USS23" s="2"/>
      <c r="UST23" s="2"/>
      <c r="USU23" s="2"/>
      <c r="USV23" s="2"/>
      <c r="USW23" s="2"/>
      <c r="USX23" s="2"/>
      <c r="USY23" s="2"/>
      <c r="USZ23" s="2"/>
      <c r="UTA23" s="2"/>
      <c r="UTB23" s="2"/>
      <c r="UTC23" s="2"/>
      <c r="UTD23" s="2"/>
      <c r="UTE23" s="2"/>
      <c r="UTF23" s="2"/>
      <c r="UTG23" s="2"/>
      <c r="UTH23" s="2"/>
      <c r="UTI23" s="2"/>
      <c r="UTJ23" s="2"/>
      <c r="UTK23" s="2"/>
      <c r="UTL23" s="2"/>
      <c r="UTM23" s="2"/>
      <c r="UTN23" s="2"/>
      <c r="UTO23" s="2"/>
      <c r="UTP23" s="2"/>
      <c r="UTQ23" s="2"/>
      <c r="UTR23" s="2"/>
      <c r="UTS23" s="2"/>
      <c r="UTT23" s="2"/>
      <c r="UTU23" s="2"/>
      <c r="UTV23" s="2"/>
      <c r="UTW23" s="2"/>
      <c r="UTX23" s="2"/>
      <c r="UTY23" s="2"/>
      <c r="UTZ23" s="2"/>
      <c r="UUA23" s="2"/>
      <c r="UUB23" s="2"/>
      <c r="UUC23" s="2"/>
      <c r="UUD23" s="2"/>
      <c r="UUE23" s="2"/>
      <c r="UUF23" s="2"/>
      <c r="UUG23" s="2"/>
      <c r="UUH23" s="2"/>
      <c r="UUI23" s="2"/>
      <c r="UUJ23" s="2"/>
      <c r="UUK23" s="2"/>
      <c r="UUL23" s="2"/>
      <c r="UUM23" s="2"/>
      <c r="UUN23" s="2"/>
      <c r="UUO23" s="2"/>
      <c r="UUP23" s="2"/>
      <c r="UUQ23" s="2"/>
      <c r="UUR23" s="2"/>
      <c r="UUS23" s="2"/>
      <c r="UUT23" s="2"/>
      <c r="UUU23" s="2"/>
      <c r="UUV23" s="2"/>
      <c r="UUW23" s="2"/>
      <c r="UUX23" s="2"/>
      <c r="UUY23" s="2"/>
      <c r="UUZ23" s="2"/>
      <c r="UVA23" s="2"/>
      <c r="UVB23" s="2"/>
      <c r="UVC23" s="2"/>
      <c r="UVD23" s="2"/>
      <c r="UVE23" s="2"/>
      <c r="UVF23" s="2"/>
      <c r="UVG23" s="2"/>
      <c r="UVH23" s="2"/>
      <c r="UVI23" s="2"/>
      <c r="UVJ23" s="2"/>
      <c r="UVK23" s="2"/>
      <c r="UVL23" s="2"/>
      <c r="UVM23" s="2"/>
      <c r="UVN23" s="2"/>
      <c r="UVO23" s="2"/>
      <c r="UVP23" s="2"/>
      <c r="UVQ23" s="2"/>
      <c r="UVR23" s="2"/>
      <c r="UVS23" s="2"/>
      <c r="UVT23" s="2"/>
      <c r="UVU23" s="2"/>
      <c r="UVV23" s="2"/>
      <c r="UVW23" s="2"/>
      <c r="UVX23" s="2"/>
      <c r="UVY23" s="2"/>
      <c r="UVZ23" s="2"/>
      <c r="UWA23" s="2"/>
      <c r="UWB23" s="2"/>
      <c r="UWC23" s="2"/>
      <c r="UWD23" s="2"/>
      <c r="UWE23" s="2"/>
      <c r="UWF23" s="2"/>
      <c r="UWG23" s="2"/>
      <c r="UWH23" s="2"/>
      <c r="UWI23" s="2"/>
      <c r="UWJ23" s="2"/>
      <c r="UWK23" s="2"/>
      <c r="UWL23" s="2"/>
      <c r="UWM23" s="2"/>
      <c r="UWN23" s="2"/>
      <c r="UWO23" s="2"/>
      <c r="UWP23" s="2"/>
      <c r="UWQ23" s="2"/>
      <c r="UWR23" s="2"/>
      <c r="UWS23" s="2"/>
      <c r="UWT23" s="2"/>
      <c r="UWU23" s="2"/>
      <c r="UWV23" s="2"/>
      <c r="UWW23" s="2"/>
      <c r="UWX23" s="2"/>
      <c r="UWY23" s="2"/>
      <c r="UWZ23" s="2"/>
      <c r="UXA23" s="2"/>
      <c r="UXB23" s="2"/>
      <c r="UXC23" s="2"/>
      <c r="UXD23" s="2"/>
      <c r="UXE23" s="2"/>
      <c r="UXF23" s="2"/>
      <c r="UXG23" s="2"/>
      <c r="UXH23" s="2"/>
      <c r="UXI23" s="2"/>
      <c r="UXJ23" s="2"/>
      <c r="UXK23" s="2"/>
      <c r="UXL23" s="2"/>
      <c r="UXM23" s="2"/>
      <c r="UXN23" s="2"/>
      <c r="UXO23" s="2"/>
      <c r="UXP23" s="2"/>
      <c r="UXQ23" s="2"/>
      <c r="UXR23" s="2"/>
      <c r="UXS23" s="2"/>
      <c r="UXT23" s="2"/>
      <c r="UXU23" s="2"/>
      <c r="UXV23" s="2"/>
      <c r="UXW23" s="2"/>
      <c r="UXX23" s="2"/>
      <c r="UXY23" s="2"/>
      <c r="UXZ23" s="2"/>
      <c r="UYA23" s="2"/>
      <c r="UYB23" s="2"/>
      <c r="UYC23" s="2"/>
      <c r="UYD23" s="2"/>
      <c r="UYE23" s="2"/>
      <c r="UYF23" s="2"/>
      <c r="UYG23" s="2"/>
      <c r="UYH23" s="2"/>
      <c r="UYI23" s="2"/>
      <c r="UYJ23" s="2"/>
      <c r="UYK23" s="2"/>
      <c r="UYL23" s="2"/>
      <c r="UYM23" s="2"/>
      <c r="UYN23" s="2"/>
      <c r="UYO23" s="2"/>
      <c r="UYP23" s="2"/>
      <c r="UYQ23" s="2"/>
      <c r="UYR23" s="2"/>
      <c r="UYS23" s="2"/>
      <c r="UYT23" s="2"/>
      <c r="UYU23" s="2"/>
      <c r="UYV23" s="2"/>
      <c r="UYW23" s="2"/>
      <c r="UYX23" s="2"/>
      <c r="UYY23" s="2"/>
      <c r="UYZ23" s="2"/>
      <c r="UZA23" s="2"/>
      <c r="UZB23" s="2"/>
      <c r="UZC23" s="2"/>
      <c r="UZD23" s="2"/>
      <c r="UZE23" s="2"/>
      <c r="UZF23" s="2"/>
      <c r="UZG23" s="2"/>
      <c r="UZH23" s="2"/>
      <c r="UZI23" s="2"/>
      <c r="UZJ23" s="2"/>
      <c r="UZK23" s="2"/>
      <c r="UZL23" s="2"/>
      <c r="UZM23" s="2"/>
      <c r="UZN23" s="2"/>
      <c r="UZO23" s="2"/>
      <c r="UZP23" s="2"/>
      <c r="UZQ23" s="2"/>
      <c r="UZR23" s="2"/>
      <c r="UZS23" s="2"/>
      <c r="UZT23" s="2"/>
      <c r="UZU23" s="2"/>
      <c r="UZV23" s="2"/>
      <c r="UZW23" s="2"/>
      <c r="UZX23" s="2"/>
      <c r="UZY23" s="2"/>
      <c r="UZZ23" s="2"/>
      <c r="VAA23" s="2"/>
      <c r="VAB23" s="2"/>
      <c r="VAC23" s="2"/>
      <c r="VAD23" s="2"/>
      <c r="VAE23" s="2"/>
      <c r="VAF23" s="2"/>
      <c r="VAG23" s="2"/>
      <c r="VAH23" s="2"/>
      <c r="VAI23" s="2"/>
      <c r="VAJ23" s="2"/>
      <c r="VAK23" s="2"/>
      <c r="VAL23" s="2"/>
      <c r="VAM23" s="2"/>
      <c r="VAN23" s="2"/>
      <c r="VAO23" s="2"/>
      <c r="VAP23" s="2"/>
      <c r="VAQ23" s="2"/>
      <c r="VAR23" s="2"/>
      <c r="VAS23" s="2"/>
      <c r="VAT23" s="2"/>
      <c r="VAU23" s="2"/>
      <c r="VAV23" s="2"/>
      <c r="VAW23" s="2"/>
      <c r="VAX23" s="2"/>
      <c r="VAY23" s="2"/>
      <c r="VAZ23" s="2"/>
      <c r="VBA23" s="2"/>
      <c r="VBB23" s="2"/>
      <c r="VBC23" s="2"/>
      <c r="VBD23" s="2"/>
      <c r="VBE23" s="2"/>
      <c r="VBF23" s="2"/>
      <c r="VBG23" s="2"/>
      <c r="VBH23" s="2"/>
      <c r="VBI23" s="2"/>
      <c r="VBJ23" s="2"/>
      <c r="VBK23" s="2"/>
      <c r="VBL23" s="2"/>
      <c r="VBM23" s="2"/>
      <c r="VBN23" s="2"/>
      <c r="VBO23" s="2"/>
      <c r="VBP23" s="2"/>
      <c r="VBQ23" s="2"/>
      <c r="VBR23" s="2"/>
      <c r="VBS23" s="2"/>
      <c r="VBT23" s="2"/>
      <c r="VBU23" s="2"/>
      <c r="VBV23" s="2"/>
      <c r="VBW23" s="2"/>
      <c r="VBX23" s="2"/>
      <c r="VBY23" s="2"/>
      <c r="VBZ23" s="2"/>
      <c r="VCA23" s="2"/>
      <c r="VCB23" s="2"/>
      <c r="VCC23" s="2"/>
      <c r="VCD23" s="2"/>
      <c r="VCE23" s="2"/>
      <c r="VCF23" s="2"/>
      <c r="VCG23" s="2"/>
      <c r="VCH23" s="2"/>
      <c r="VCI23" s="2"/>
      <c r="VCJ23" s="2"/>
      <c r="VCK23" s="2"/>
      <c r="VCL23" s="2"/>
      <c r="VCM23" s="2"/>
      <c r="VCN23" s="2"/>
      <c r="VCO23" s="2"/>
      <c r="VCP23" s="2"/>
      <c r="VCQ23" s="2"/>
      <c r="VCR23" s="2"/>
      <c r="VCS23" s="2"/>
      <c r="VCT23" s="2"/>
      <c r="VCU23" s="2"/>
      <c r="VCV23" s="2"/>
      <c r="VCW23" s="2"/>
      <c r="VCX23" s="2"/>
      <c r="VCY23" s="2"/>
      <c r="VCZ23" s="2"/>
      <c r="VDA23" s="2"/>
      <c r="VDB23" s="2"/>
      <c r="VDC23" s="2"/>
      <c r="VDD23" s="2"/>
      <c r="VDE23" s="2"/>
      <c r="VDF23" s="2"/>
      <c r="VDG23" s="2"/>
      <c r="VDH23" s="2"/>
      <c r="VDI23" s="2"/>
      <c r="VDJ23" s="2"/>
      <c r="VDK23" s="2"/>
      <c r="VDL23" s="2"/>
      <c r="VDM23" s="2"/>
      <c r="VDN23" s="2"/>
      <c r="VDO23" s="2"/>
      <c r="VDP23" s="2"/>
      <c r="VDQ23" s="2"/>
      <c r="VDR23" s="2"/>
      <c r="VDS23" s="2"/>
      <c r="VDT23" s="2"/>
      <c r="VDU23" s="2"/>
      <c r="VDV23" s="2"/>
      <c r="VDW23" s="2"/>
      <c r="VDX23" s="2"/>
      <c r="VDY23" s="2"/>
      <c r="VDZ23" s="2"/>
      <c r="VEA23" s="2"/>
      <c r="VEB23" s="2"/>
      <c r="VEC23" s="2"/>
      <c r="VED23" s="2"/>
      <c r="VEE23" s="2"/>
      <c r="VEF23" s="2"/>
      <c r="VEG23" s="2"/>
      <c r="VEH23" s="2"/>
      <c r="VEI23" s="2"/>
      <c r="VEJ23" s="2"/>
      <c r="VEK23" s="2"/>
      <c r="VEL23" s="2"/>
      <c r="VEM23" s="2"/>
      <c r="VEN23" s="2"/>
      <c r="VEO23" s="2"/>
      <c r="VEP23" s="2"/>
      <c r="VEQ23" s="2"/>
      <c r="VER23" s="2"/>
      <c r="VES23" s="2"/>
      <c r="VET23" s="2"/>
      <c r="VEU23" s="2"/>
      <c r="VEV23" s="2"/>
      <c r="VEW23" s="2"/>
      <c r="VEX23" s="2"/>
      <c r="VEY23" s="2"/>
      <c r="VEZ23" s="2"/>
      <c r="VFA23" s="2"/>
      <c r="VFB23" s="2"/>
      <c r="VFC23" s="2"/>
      <c r="VFD23" s="2"/>
      <c r="VFE23" s="2"/>
      <c r="VFF23" s="2"/>
      <c r="VFG23" s="2"/>
      <c r="VFH23" s="2"/>
      <c r="VFI23" s="2"/>
      <c r="VFJ23" s="2"/>
      <c r="VFK23" s="2"/>
      <c r="VFL23" s="2"/>
      <c r="VFM23" s="2"/>
      <c r="VFN23" s="2"/>
      <c r="VFO23" s="2"/>
      <c r="VFP23" s="2"/>
      <c r="VFQ23" s="2"/>
      <c r="VFR23" s="2"/>
      <c r="VFS23" s="2"/>
      <c r="VFT23" s="2"/>
      <c r="VFU23" s="2"/>
      <c r="VFV23" s="2"/>
      <c r="VFW23" s="2"/>
      <c r="VFX23" s="2"/>
      <c r="VFY23" s="2"/>
      <c r="VFZ23" s="2"/>
      <c r="VGA23" s="2"/>
      <c r="VGB23" s="2"/>
      <c r="VGC23" s="2"/>
      <c r="VGD23" s="2"/>
      <c r="VGE23" s="2"/>
      <c r="VGF23" s="2"/>
      <c r="VGG23" s="2"/>
      <c r="VGH23" s="2"/>
      <c r="VGI23" s="2"/>
      <c r="VGJ23" s="2"/>
      <c r="VGK23" s="2"/>
      <c r="VGL23" s="2"/>
      <c r="VGM23" s="2"/>
      <c r="VGN23" s="2"/>
      <c r="VGO23" s="2"/>
      <c r="VGP23" s="2"/>
      <c r="VGQ23" s="2"/>
      <c r="VGR23" s="2"/>
      <c r="VGS23" s="2"/>
      <c r="VGT23" s="2"/>
      <c r="VGU23" s="2"/>
      <c r="VGV23" s="2"/>
      <c r="VGW23" s="2"/>
      <c r="VGX23" s="2"/>
      <c r="VGY23" s="2"/>
      <c r="VGZ23" s="2"/>
      <c r="VHA23" s="2"/>
      <c r="VHB23" s="2"/>
      <c r="VHC23" s="2"/>
      <c r="VHD23" s="2"/>
      <c r="VHE23" s="2"/>
      <c r="VHF23" s="2"/>
      <c r="VHG23" s="2"/>
      <c r="VHH23" s="2"/>
      <c r="VHI23" s="2"/>
      <c r="VHJ23" s="2"/>
      <c r="VHK23" s="2"/>
      <c r="VHL23" s="2"/>
      <c r="VHM23" s="2"/>
      <c r="VHN23" s="2"/>
      <c r="VHO23" s="2"/>
      <c r="VHP23" s="2"/>
      <c r="VHQ23" s="2"/>
      <c r="VHR23" s="2"/>
      <c r="VHS23" s="2"/>
      <c r="VHT23" s="2"/>
      <c r="VHU23" s="2"/>
      <c r="VHV23" s="2"/>
      <c r="VHW23" s="2"/>
      <c r="VHX23" s="2"/>
      <c r="VHY23" s="2"/>
      <c r="VHZ23" s="2"/>
      <c r="VIA23" s="2"/>
      <c r="VIB23" s="2"/>
      <c r="VIC23" s="2"/>
      <c r="VID23" s="2"/>
      <c r="VIE23" s="2"/>
      <c r="VIF23" s="2"/>
      <c r="VIG23" s="2"/>
      <c r="VIH23" s="2"/>
      <c r="VII23" s="2"/>
      <c r="VIJ23" s="2"/>
      <c r="VIK23" s="2"/>
      <c r="VIL23" s="2"/>
      <c r="VIM23" s="2"/>
      <c r="VIN23" s="2"/>
      <c r="VIO23" s="2"/>
      <c r="VIP23" s="2"/>
      <c r="VIQ23" s="2"/>
      <c r="VIR23" s="2"/>
      <c r="VIS23" s="2"/>
      <c r="VIT23" s="2"/>
      <c r="VIU23" s="2"/>
      <c r="VIV23" s="2"/>
      <c r="VIW23" s="2"/>
      <c r="VIX23" s="2"/>
      <c r="VIY23" s="2"/>
      <c r="VIZ23" s="2"/>
      <c r="VJA23" s="2"/>
      <c r="VJB23" s="2"/>
      <c r="VJC23" s="2"/>
      <c r="VJD23" s="2"/>
      <c r="VJE23" s="2"/>
      <c r="VJF23" s="2"/>
      <c r="VJG23" s="2"/>
      <c r="VJH23" s="2"/>
      <c r="VJI23" s="2"/>
      <c r="VJJ23" s="2"/>
      <c r="VJK23" s="2"/>
      <c r="VJL23" s="2"/>
      <c r="VJM23" s="2"/>
      <c r="VJN23" s="2"/>
      <c r="VJO23" s="2"/>
      <c r="VJP23" s="2"/>
      <c r="VJQ23" s="2"/>
      <c r="VJR23" s="2"/>
      <c r="VJS23" s="2"/>
      <c r="VJT23" s="2"/>
      <c r="VJU23" s="2"/>
      <c r="VJV23" s="2"/>
      <c r="VJW23" s="2"/>
      <c r="VJX23" s="2"/>
      <c r="VJY23" s="2"/>
      <c r="VJZ23" s="2"/>
      <c r="VKA23" s="2"/>
      <c r="VKB23" s="2"/>
      <c r="VKC23" s="2"/>
      <c r="VKD23" s="2"/>
      <c r="VKE23" s="2"/>
      <c r="VKF23" s="2"/>
      <c r="VKG23" s="2"/>
      <c r="VKH23" s="2"/>
      <c r="VKI23" s="2"/>
      <c r="VKJ23" s="2"/>
      <c r="VKK23" s="2"/>
      <c r="VKL23" s="2"/>
      <c r="VKM23" s="2"/>
      <c r="VKN23" s="2"/>
      <c r="VKO23" s="2"/>
      <c r="VKP23" s="2"/>
      <c r="VKQ23" s="2"/>
      <c r="VKR23" s="2"/>
      <c r="VKS23" s="2"/>
      <c r="VKT23" s="2"/>
      <c r="VKU23" s="2"/>
      <c r="VKV23" s="2"/>
      <c r="VKW23" s="2"/>
      <c r="VKX23" s="2"/>
      <c r="VKY23" s="2"/>
      <c r="VKZ23" s="2"/>
      <c r="VLA23" s="2"/>
      <c r="VLB23" s="2"/>
      <c r="VLC23" s="2"/>
      <c r="VLD23" s="2"/>
      <c r="VLE23" s="2"/>
      <c r="VLF23" s="2"/>
      <c r="VLG23" s="2"/>
      <c r="VLH23" s="2"/>
      <c r="VLI23" s="2"/>
      <c r="VLJ23" s="2"/>
      <c r="VLK23" s="2"/>
      <c r="VLL23" s="2"/>
      <c r="VLM23" s="2"/>
      <c r="VLN23" s="2"/>
      <c r="VLO23" s="2"/>
      <c r="VLP23" s="2"/>
      <c r="VLQ23" s="2"/>
      <c r="VLR23" s="2"/>
      <c r="VLS23" s="2"/>
      <c r="VLT23" s="2"/>
      <c r="VLU23" s="2"/>
      <c r="VLV23" s="2"/>
      <c r="VLW23" s="2"/>
      <c r="VLX23" s="2"/>
      <c r="VLY23" s="2"/>
      <c r="VLZ23" s="2"/>
      <c r="VMA23" s="2"/>
      <c r="VMB23" s="2"/>
      <c r="VMC23" s="2"/>
      <c r="VMD23" s="2"/>
      <c r="VME23" s="2"/>
      <c r="VMF23" s="2"/>
      <c r="VMG23" s="2"/>
      <c r="VMH23" s="2"/>
      <c r="VMI23" s="2"/>
      <c r="VMJ23" s="2"/>
      <c r="VMK23" s="2"/>
      <c r="VML23" s="2"/>
      <c r="VMM23" s="2"/>
      <c r="VMN23" s="2"/>
      <c r="VMO23" s="2"/>
      <c r="VMP23" s="2"/>
      <c r="VMQ23" s="2"/>
      <c r="VMR23" s="2"/>
      <c r="VMS23" s="2"/>
      <c r="VMT23" s="2"/>
      <c r="VMU23" s="2"/>
      <c r="VMV23" s="2"/>
      <c r="VMW23" s="2"/>
      <c r="VMX23" s="2"/>
      <c r="VMY23" s="2"/>
      <c r="VMZ23" s="2"/>
      <c r="VNA23" s="2"/>
      <c r="VNB23" s="2"/>
      <c r="VNC23" s="2"/>
      <c r="VND23" s="2"/>
      <c r="VNE23" s="2"/>
      <c r="VNF23" s="2"/>
      <c r="VNG23" s="2"/>
      <c r="VNH23" s="2"/>
      <c r="VNI23" s="2"/>
      <c r="VNJ23" s="2"/>
      <c r="VNK23" s="2"/>
      <c r="VNL23" s="2"/>
      <c r="VNM23" s="2"/>
      <c r="VNN23" s="2"/>
      <c r="VNO23" s="2"/>
      <c r="VNP23" s="2"/>
      <c r="VNQ23" s="2"/>
      <c r="VNR23" s="2"/>
      <c r="VNS23" s="2"/>
      <c r="VNT23" s="2"/>
      <c r="VNU23" s="2"/>
      <c r="VNV23" s="2"/>
      <c r="VNW23" s="2"/>
      <c r="VNX23" s="2"/>
      <c r="VNY23" s="2"/>
      <c r="VNZ23" s="2"/>
      <c r="VOA23" s="2"/>
      <c r="VOB23" s="2"/>
      <c r="VOC23" s="2"/>
      <c r="VOD23" s="2"/>
      <c r="VOE23" s="2"/>
      <c r="VOF23" s="2"/>
      <c r="VOG23" s="2"/>
      <c r="VOH23" s="2"/>
      <c r="VOI23" s="2"/>
      <c r="VOJ23" s="2"/>
      <c r="VOK23" s="2"/>
      <c r="VOL23" s="2"/>
      <c r="VOM23" s="2"/>
      <c r="VON23" s="2"/>
      <c r="VOO23" s="2"/>
      <c r="VOP23" s="2"/>
      <c r="VOQ23" s="2"/>
      <c r="VOR23" s="2"/>
      <c r="VOS23" s="2"/>
      <c r="VOT23" s="2"/>
      <c r="VOU23" s="2"/>
      <c r="VOV23" s="2"/>
      <c r="VOW23" s="2"/>
      <c r="VOX23" s="2"/>
      <c r="VOY23" s="2"/>
      <c r="VOZ23" s="2"/>
      <c r="VPA23" s="2"/>
      <c r="VPB23" s="2"/>
      <c r="VPC23" s="2"/>
      <c r="VPD23" s="2"/>
      <c r="VPE23" s="2"/>
      <c r="VPF23" s="2"/>
      <c r="VPG23" s="2"/>
      <c r="VPH23" s="2"/>
      <c r="VPI23" s="2"/>
      <c r="VPJ23" s="2"/>
      <c r="VPK23" s="2"/>
      <c r="VPL23" s="2"/>
      <c r="VPM23" s="2"/>
      <c r="VPN23" s="2"/>
      <c r="VPO23" s="2"/>
      <c r="VPP23" s="2"/>
      <c r="VPQ23" s="2"/>
      <c r="VPR23" s="2"/>
      <c r="VPS23" s="2"/>
      <c r="VPT23" s="2"/>
      <c r="VPU23" s="2"/>
      <c r="VPV23" s="2"/>
      <c r="VPW23" s="2"/>
      <c r="VPX23" s="2"/>
      <c r="VPY23" s="2"/>
      <c r="VPZ23" s="2"/>
      <c r="VQA23" s="2"/>
      <c r="VQB23" s="2"/>
      <c r="VQC23" s="2"/>
      <c r="VQD23" s="2"/>
      <c r="VQE23" s="2"/>
      <c r="VQF23" s="2"/>
      <c r="VQG23" s="2"/>
      <c r="VQH23" s="2"/>
      <c r="VQI23" s="2"/>
      <c r="VQJ23" s="2"/>
      <c r="VQK23" s="2"/>
      <c r="VQL23" s="2"/>
      <c r="VQM23" s="2"/>
      <c r="VQN23" s="2"/>
      <c r="VQO23" s="2"/>
      <c r="VQP23" s="2"/>
      <c r="VQQ23" s="2"/>
      <c r="VQR23" s="2"/>
      <c r="VQS23" s="2"/>
      <c r="VQT23" s="2"/>
      <c r="VQU23" s="2"/>
      <c r="VQV23" s="2"/>
      <c r="VQW23" s="2"/>
      <c r="VQX23" s="2"/>
      <c r="VQY23" s="2"/>
      <c r="VQZ23" s="2"/>
      <c r="VRA23" s="2"/>
      <c r="VRB23" s="2"/>
      <c r="VRC23" s="2"/>
      <c r="VRD23" s="2"/>
      <c r="VRE23" s="2"/>
      <c r="VRF23" s="2"/>
      <c r="VRG23" s="2"/>
      <c r="VRH23" s="2"/>
      <c r="VRI23" s="2"/>
      <c r="VRJ23" s="2"/>
      <c r="VRK23" s="2"/>
      <c r="VRL23" s="2"/>
      <c r="VRM23" s="2"/>
      <c r="VRN23" s="2"/>
      <c r="VRO23" s="2"/>
      <c r="VRP23" s="2"/>
      <c r="VRQ23" s="2"/>
      <c r="VRR23" s="2"/>
      <c r="VRS23" s="2"/>
      <c r="VRT23" s="2"/>
      <c r="VRU23" s="2"/>
      <c r="VRV23" s="2"/>
      <c r="VRW23" s="2"/>
      <c r="VRX23" s="2"/>
      <c r="VRY23" s="2"/>
      <c r="VRZ23" s="2"/>
      <c r="VSA23" s="2"/>
      <c r="VSB23" s="2"/>
      <c r="VSC23" s="2"/>
      <c r="VSD23" s="2"/>
      <c r="VSE23" s="2"/>
      <c r="VSF23" s="2"/>
      <c r="VSG23" s="2"/>
      <c r="VSH23" s="2"/>
      <c r="VSI23" s="2"/>
      <c r="VSJ23" s="2"/>
      <c r="VSK23" s="2"/>
      <c r="VSL23" s="2"/>
      <c r="VSM23" s="2"/>
      <c r="VSN23" s="2"/>
      <c r="VSO23" s="2"/>
      <c r="VSP23" s="2"/>
      <c r="VSQ23" s="2"/>
      <c r="VSR23" s="2"/>
      <c r="VSS23" s="2"/>
      <c r="VST23" s="2"/>
      <c r="VSU23" s="2"/>
      <c r="VSV23" s="2"/>
      <c r="VSW23" s="2"/>
      <c r="VSX23" s="2"/>
      <c r="VSY23" s="2"/>
      <c r="VSZ23" s="2"/>
      <c r="VTA23" s="2"/>
      <c r="VTB23" s="2"/>
      <c r="VTC23" s="2"/>
      <c r="VTD23" s="2"/>
      <c r="VTE23" s="2"/>
      <c r="VTF23" s="2"/>
      <c r="VTG23" s="2"/>
      <c r="VTH23" s="2"/>
      <c r="VTI23" s="2"/>
      <c r="VTJ23" s="2"/>
      <c r="VTK23" s="2"/>
      <c r="VTL23" s="2"/>
      <c r="VTM23" s="2"/>
      <c r="VTN23" s="2"/>
      <c r="VTO23" s="2"/>
      <c r="VTP23" s="2"/>
      <c r="VTQ23" s="2"/>
      <c r="VTR23" s="2"/>
      <c r="VTS23" s="2"/>
      <c r="VTT23" s="2"/>
      <c r="VTU23" s="2"/>
      <c r="VTV23" s="2"/>
      <c r="VTW23" s="2"/>
      <c r="VTX23" s="2"/>
      <c r="VTY23" s="2"/>
      <c r="VTZ23" s="2"/>
      <c r="VUA23" s="2"/>
      <c r="VUB23" s="2"/>
      <c r="VUC23" s="2"/>
      <c r="VUD23" s="2"/>
      <c r="VUE23" s="2"/>
      <c r="VUF23" s="2"/>
      <c r="VUG23" s="2"/>
      <c r="VUH23" s="2"/>
      <c r="VUI23" s="2"/>
      <c r="VUJ23" s="2"/>
      <c r="VUK23" s="2"/>
      <c r="VUL23" s="2"/>
      <c r="VUM23" s="2"/>
      <c r="VUN23" s="2"/>
      <c r="VUO23" s="2"/>
      <c r="VUP23" s="2"/>
      <c r="VUQ23" s="2"/>
      <c r="VUR23" s="2"/>
      <c r="VUS23" s="2"/>
      <c r="VUT23" s="2"/>
      <c r="VUU23" s="2"/>
      <c r="VUV23" s="2"/>
      <c r="VUW23" s="2"/>
      <c r="VUX23" s="2"/>
      <c r="VUY23" s="2"/>
      <c r="VUZ23" s="2"/>
      <c r="VVA23" s="2"/>
      <c r="VVB23" s="2"/>
      <c r="VVC23" s="2"/>
      <c r="VVD23" s="2"/>
      <c r="VVE23" s="2"/>
      <c r="VVF23" s="2"/>
      <c r="VVG23" s="2"/>
      <c r="VVH23" s="2"/>
      <c r="VVI23" s="2"/>
      <c r="VVJ23" s="2"/>
      <c r="VVK23" s="2"/>
      <c r="VVL23" s="2"/>
      <c r="VVM23" s="2"/>
      <c r="VVN23" s="2"/>
      <c r="VVO23" s="2"/>
      <c r="VVP23" s="2"/>
      <c r="VVQ23" s="2"/>
      <c r="VVR23" s="2"/>
      <c r="VVS23" s="2"/>
      <c r="VVT23" s="2"/>
      <c r="VVU23" s="2"/>
      <c r="VVV23" s="2"/>
      <c r="VVW23" s="2"/>
      <c r="VVX23" s="2"/>
      <c r="VVY23" s="2"/>
      <c r="VVZ23" s="2"/>
      <c r="VWA23" s="2"/>
      <c r="VWB23" s="2"/>
      <c r="VWC23" s="2"/>
      <c r="VWD23" s="2"/>
      <c r="VWE23" s="2"/>
      <c r="VWF23" s="2"/>
      <c r="VWG23" s="2"/>
      <c r="VWH23" s="2"/>
      <c r="VWI23" s="2"/>
      <c r="VWJ23" s="2"/>
      <c r="VWK23" s="2"/>
      <c r="VWL23" s="2"/>
      <c r="VWM23" s="2"/>
      <c r="VWN23" s="2"/>
      <c r="VWO23" s="2"/>
      <c r="VWP23" s="2"/>
      <c r="VWQ23" s="2"/>
      <c r="VWR23" s="2"/>
      <c r="VWS23" s="2"/>
      <c r="VWT23" s="2"/>
      <c r="VWU23" s="2"/>
      <c r="VWV23" s="2"/>
      <c r="VWW23" s="2"/>
      <c r="VWX23" s="2"/>
      <c r="VWY23" s="2"/>
      <c r="VWZ23" s="2"/>
      <c r="VXA23" s="2"/>
      <c r="VXB23" s="2"/>
      <c r="VXC23" s="2"/>
      <c r="VXD23" s="2"/>
      <c r="VXE23" s="2"/>
      <c r="VXF23" s="2"/>
      <c r="VXG23" s="2"/>
      <c r="VXH23" s="2"/>
      <c r="VXI23" s="2"/>
      <c r="VXJ23" s="2"/>
      <c r="VXK23" s="2"/>
      <c r="VXL23" s="2"/>
      <c r="VXM23" s="2"/>
      <c r="VXN23" s="2"/>
      <c r="VXO23" s="2"/>
      <c r="VXP23" s="2"/>
      <c r="VXQ23" s="2"/>
      <c r="VXR23" s="2"/>
      <c r="VXS23" s="2"/>
      <c r="VXT23" s="2"/>
      <c r="VXU23" s="2"/>
      <c r="VXV23" s="2"/>
      <c r="VXW23" s="2"/>
      <c r="VXX23" s="2"/>
      <c r="VXY23" s="2"/>
      <c r="VXZ23" s="2"/>
      <c r="VYA23" s="2"/>
      <c r="VYB23" s="2"/>
      <c r="VYC23" s="2"/>
      <c r="VYD23" s="2"/>
      <c r="VYE23" s="2"/>
      <c r="VYF23" s="2"/>
      <c r="VYG23" s="2"/>
      <c r="VYH23" s="2"/>
      <c r="VYI23" s="2"/>
      <c r="VYJ23" s="2"/>
      <c r="VYK23" s="2"/>
      <c r="VYL23" s="2"/>
      <c r="VYM23" s="2"/>
      <c r="VYN23" s="2"/>
      <c r="VYO23" s="2"/>
      <c r="VYP23" s="2"/>
      <c r="VYQ23" s="2"/>
      <c r="VYR23" s="2"/>
      <c r="VYS23" s="2"/>
      <c r="VYT23" s="2"/>
      <c r="VYU23" s="2"/>
      <c r="VYV23" s="2"/>
      <c r="VYW23" s="2"/>
      <c r="VYX23" s="2"/>
      <c r="VYY23" s="2"/>
      <c r="VYZ23" s="2"/>
      <c r="VZA23" s="2"/>
      <c r="VZB23" s="2"/>
      <c r="VZC23" s="2"/>
      <c r="VZD23" s="2"/>
      <c r="VZE23" s="2"/>
      <c r="VZF23" s="2"/>
      <c r="VZG23" s="2"/>
      <c r="VZH23" s="2"/>
      <c r="VZI23" s="2"/>
      <c r="VZJ23" s="2"/>
      <c r="VZK23" s="2"/>
      <c r="VZL23" s="2"/>
      <c r="VZM23" s="2"/>
      <c r="VZN23" s="2"/>
      <c r="VZO23" s="2"/>
      <c r="VZP23" s="2"/>
      <c r="VZQ23" s="2"/>
      <c r="VZR23" s="2"/>
      <c r="VZS23" s="2"/>
      <c r="VZT23" s="2"/>
      <c r="VZU23" s="2"/>
      <c r="VZV23" s="2"/>
      <c r="VZW23" s="2"/>
      <c r="VZX23" s="2"/>
      <c r="VZY23" s="2"/>
      <c r="VZZ23" s="2"/>
      <c r="WAA23" s="2"/>
      <c r="WAB23" s="2"/>
      <c r="WAC23" s="2"/>
      <c r="WAD23" s="2"/>
      <c r="WAE23" s="2"/>
      <c r="WAF23" s="2"/>
      <c r="WAG23" s="2"/>
      <c r="WAH23" s="2"/>
      <c r="WAI23" s="2"/>
      <c r="WAJ23" s="2"/>
      <c r="WAK23" s="2"/>
      <c r="WAL23" s="2"/>
      <c r="WAM23" s="2"/>
      <c r="WAN23" s="2"/>
      <c r="WAO23" s="2"/>
      <c r="WAP23" s="2"/>
      <c r="WAQ23" s="2"/>
      <c r="WAR23" s="2"/>
      <c r="WAS23" s="2"/>
      <c r="WAT23" s="2"/>
      <c r="WAU23" s="2"/>
      <c r="WAV23" s="2"/>
      <c r="WAW23" s="2"/>
      <c r="WAX23" s="2"/>
      <c r="WAY23" s="2"/>
      <c r="WAZ23" s="2"/>
      <c r="WBA23" s="2"/>
      <c r="WBB23" s="2"/>
      <c r="WBC23" s="2"/>
      <c r="WBD23" s="2"/>
      <c r="WBE23" s="2"/>
      <c r="WBF23" s="2"/>
      <c r="WBG23" s="2"/>
      <c r="WBH23" s="2"/>
      <c r="WBI23" s="2"/>
      <c r="WBJ23" s="2"/>
      <c r="WBK23" s="2"/>
      <c r="WBL23" s="2"/>
      <c r="WBM23" s="2"/>
      <c r="WBN23" s="2"/>
      <c r="WBO23" s="2"/>
      <c r="WBP23" s="2"/>
      <c r="WBQ23" s="2"/>
      <c r="WBR23" s="2"/>
      <c r="WBS23" s="2"/>
      <c r="WBT23" s="2"/>
      <c r="WBU23" s="2"/>
      <c r="WBV23" s="2"/>
      <c r="WBW23" s="2"/>
      <c r="WBX23" s="2"/>
      <c r="WBY23" s="2"/>
      <c r="WBZ23" s="2"/>
      <c r="WCA23" s="2"/>
      <c r="WCB23" s="2"/>
      <c r="WCC23" s="2"/>
      <c r="WCD23" s="2"/>
      <c r="WCE23" s="2"/>
      <c r="WCF23" s="2"/>
      <c r="WCG23" s="2"/>
      <c r="WCH23" s="2"/>
      <c r="WCI23" s="2"/>
      <c r="WCJ23" s="2"/>
      <c r="WCK23" s="2"/>
      <c r="WCL23" s="2"/>
      <c r="WCM23" s="2"/>
      <c r="WCN23" s="2"/>
      <c r="WCO23" s="2"/>
      <c r="WCP23" s="2"/>
      <c r="WCQ23" s="2"/>
      <c r="WCR23" s="2"/>
      <c r="WCS23" s="2"/>
      <c r="WCT23" s="2"/>
      <c r="WCU23" s="2"/>
      <c r="WCV23" s="2"/>
      <c r="WCW23" s="2"/>
      <c r="WCX23" s="2"/>
      <c r="WCY23" s="2"/>
      <c r="WCZ23" s="2"/>
      <c r="WDA23" s="2"/>
      <c r="WDB23" s="2"/>
      <c r="WDC23" s="2"/>
      <c r="WDD23" s="2"/>
      <c r="WDE23" s="2"/>
      <c r="WDF23" s="2"/>
      <c r="WDG23" s="2"/>
      <c r="WDH23" s="2"/>
      <c r="WDI23" s="2"/>
      <c r="WDJ23" s="2"/>
      <c r="WDK23" s="2"/>
      <c r="WDL23" s="2"/>
      <c r="WDM23" s="2"/>
      <c r="WDN23" s="2"/>
      <c r="WDO23" s="2"/>
      <c r="WDP23" s="2"/>
      <c r="WDQ23" s="2"/>
      <c r="WDR23" s="2"/>
      <c r="WDS23" s="2"/>
      <c r="WDT23" s="2"/>
      <c r="WDU23" s="2"/>
      <c r="WDV23" s="2"/>
      <c r="WDW23" s="2"/>
      <c r="WDX23" s="2"/>
      <c r="WDY23" s="2"/>
      <c r="WDZ23" s="2"/>
      <c r="WEA23" s="2"/>
      <c r="WEB23" s="2"/>
      <c r="WEC23" s="2"/>
      <c r="WED23" s="2"/>
      <c r="WEE23" s="2"/>
      <c r="WEF23" s="2"/>
      <c r="WEG23" s="2"/>
      <c r="WEH23" s="2"/>
      <c r="WEI23" s="2"/>
      <c r="WEJ23" s="2"/>
      <c r="WEK23" s="2"/>
      <c r="WEL23" s="2"/>
      <c r="WEM23" s="2"/>
      <c r="WEN23" s="2"/>
      <c r="WEO23" s="2"/>
      <c r="WEP23" s="2"/>
      <c r="WEQ23" s="2"/>
      <c r="WER23" s="2"/>
      <c r="WES23" s="2"/>
      <c r="WET23" s="2"/>
      <c r="WEU23" s="2"/>
      <c r="WEV23" s="2"/>
      <c r="WEW23" s="2"/>
      <c r="WEX23" s="2"/>
      <c r="WEY23" s="2"/>
      <c r="WEZ23" s="2"/>
      <c r="WFA23" s="2"/>
      <c r="WFB23" s="2"/>
      <c r="WFC23" s="2"/>
      <c r="WFD23" s="2"/>
      <c r="WFE23" s="2"/>
      <c r="WFF23" s="2"/>
      <c r="WFG23" s="2"/>
      <c r="WFH23" s="2"/>
      <c r="WFI23" s="2"/>
      <c r="WFJ23" s="2"/>
      <c r="WFK23" s="2"/>
      <c r="WFL23" s="2"/>
      <c r="WFM23" s="2"/>
      <c r="WFN23" s="2"/>
      <c r="WFO23" s="2"/>
      <c r="WFP23" s="2"/>
      <c r="WFQ23" s="2"/>
      <c r="WFR23" s="2"/>
      <c r="WFS23" s="2"/>
      <c r="WFT23" s="2"/>
      <c r="WFU23" s="2"/>
      <c r="WFV23" s="2"/>
      <c r="WFW23" s="2"/>
      <c r="WFX23" s="2"/>
      <c r="WFY23" s="2"/>
      <c r="WFZ23" s="2"/>
      <c r="WGA23" s="2"/>
      <c r="WGB23" s="2"/>
      <c r="WGC23" s="2"/>
      <c r="WGD23" s="2"/>
      <c r="WGE23" s="2"/>
      <c r="WGF23" s="2"/>
      <c r="WGG23" s="2"/>
      <c r="WGH23" s="2"/>
      <c r="WGI23" s="2"/>
      <c r="WGJ23" s="2"/>
      <c r="WGK23" s="2"/>
      <c r="WGL23" s="2"/>
      <c r="WGM23" s="2"/>
      <c r="WGN23" s="2"/>
      <c r="WGO23" s="2"/>
      <c r="WGP23" s="2"/>
      <c r="WGQ23" s="2"/>
      <c r="WGR23" s="2"/>
      <c r="WGS23" s="2"/>
      <c r="WGT23" s="2"/>
      <c r="WGU23" s="2"/>
      <c r="WGV23" s="2"/>
      <c r="WGW23" s="2"/>
      <c r="WGX23" s="2"/>
      <c r="WGY23" s="2"/>
      <c r="WGZ23" s="2"/>
      <c r="WHA23" s="2"/>
      <c r="WHB23" s="2"/>
      <c r="WHC23" s="2"/>
      <c r="WHD23" s="2"/>
      <c r="WHE23" s="2"/>
      <c r="WHF23" s="2"/>
      <c r="WHG23" s="2"/>
      <c r="WHH23" s="2"/>
      <c r="WHI23" s="2"/>
      <c r="WHJ23" s="2"/>
      <c r="WHK23" s="2"/>
      <c r="WHL23" s="2"/>
      <c r="WHM23" s="2"/>
      <c r="WHN23" s="2"/>
      <c r="WHO23" s="2"/>
      <c r="WHP23" s="2"/>
      <c r="WHQ23" s="2"/>
      <c r="WHR23" s="2"/>
      <c r="WHS23" s="2"/>
      <c r="WHT23" s="2"/>
      <c r="WHU23" s="2"/>
      <c r="WHV23" s="2"/>
      <c r="WHW23" s="2"/>
      <c r="WHX23" s="2"/>
      <c r="WHY23" s="2"/>
      <c r="WHZ23" s="2"/>
      <c r="WIA23" s="2"/>
      <c r="WIB23" s="2"/>
      <c r="WIC23" s="2"/>
      <c r="WID23" s="2"/>
      <c r="WIE23" s="2"/>
      <c r="WIF23" s="2"/>
      <c r="WIG23" s="2"/>
      <c r="WIH23" s="2"/>
      <c r="WII23" s="2"/>
      <c r="WIJ23" s="2"/>
      <c r="WIK23" s="2"/>
      <c r="WIL23" s="2"/>
      <c r="WIM23" s="2"/>
      <c r="WIN23" s="2"/>
      <c r="WIO23" s="2"/>
      <c r="WIP23" s="2"/>
      <c r="WIQ23" s="2"/>
      <c r="WIR23" s="2"/>
      <c r="WIS23" s="2"/>
      <c r="WIT23" s="2"/>
      <c r="WIU23" s="2"/>
      <c r="WIV23" s="2"/>
      <c r="WIW23" s="2"/>
      <c r="WIX23" s="2"/>
      <c r="WIY23" s="2"/>
      <c r="WIZ23" s="2"/>
      <c r="WJA23" s="2"/>
      <c r="WJB23" s="2"/>
      <c r="WJC23" s="2"/>
      <c r="WJD23" s="2"/>
      <c r="WJE23" s="2"/>
      <c r="WJF23" s="2"/>
      <c r="WJG23" s="2"/>
      <c r="WJH23" s="2"/>
      <c r="WJI23" s="2"/>
      <c r="WJJ23" s="2"/>
      <c r="WJK23" s="2"/>
      <c r="WJL23" s="2"/>
      <c r="WJM23" s="2"/>
      <c r="WJN23" s="2"/>
      <c r="WJO23" s="2"/>
      <c r="WJP23" s="2"/>
      <c r="WJQ23" s="2"/>
      <c r="WJR23" s="2"/>
      <c r="WJS23" s="2"/>
      <c r="WJT23" s="2"/>
      <c r="WJU23" s="2"/>
      <c r="WJV23" s="2"/>
      <c r="WJW23" s="2"/>
      <c r="WJX23" s="2"/>
      <c r="WJY23" s="2"/>
      <c r="WJZ23" s="2"/>
      <c r="WKA23" s="2"/>
      <c r="WKB23" s="2"/>
      <c r="WKC23" s="2"/>
      <c r="WKD23" s="2"/>
      <c r="WKE23" s="2"/>
      <c r="WKF23" s="2"/>
      <c r="WKG23" s="2"/>
      <c r="WKH23" s="2"/>
      <c r="WKI23" s="2"/>
      <c r="WKJ23" s="2"/>
      <c r="WKK23" s="2"/>
      <c r="WKL23" s="2"/>
      <c r="WKM23" s="2"/>
      <c r="WKN23" s="2"/>
      <c r="WKO23" s="2"/>
      <c r="WKP23" s="2"/>
      <c r="WKQ23" s="2"/>
      <c r="WKR23" s="2"/>
      <c r="WKS23" s="2"/>
      <c r="WKT23" s="2"/>
      <c r="WKU23" s="2"/>
      <c r="WKV23" s="2"/>
      <c r="WKW23" s="2"/>
      <c r="WKX23" s="2"/>
      <c r="WKY23" s="2"/>
      <c r="WKZ23" s="2"/>
      <c r="WLA23" s="2"/>
      <c r="WLB23" s="2"/>
      <c r="WLC23" s="2"/>
      <c r="WLD23" s="2"/>
      <c r="WLE23" s="2"/>
      <c r="WLF23" s="2"/>
      <c r="WLG23" s="2"/>
      <c r="WLH23" s="2"/>
      <c r="WLI23" s="2"/>
      <c r="WLJ23" s="2"/>
      <c r="WLK23" s="2"/>
      <c r="WLL23" s="2"/>
      <c r="WLM23" s="2"/>
      <c r="WLN23" s="2"/>
      <c r="WLO23" s="2"/>
      <c r="WLP23" s="2"/>
      <c r="WLQ23" s="2"/>
      <c r="WLR23" s="2"/>
      <c r="WLS23" s="2"/>
      <c r="WLT23" s="2"/>
      <c r="WLU23" s="2"/>
      <c r="WLV23" s="2"/>
      <c r="WLW23" s="2"/>
      <c r="WLX23" s="2"/>
      <c r="WLY23" s="2"/>
      <c r="WLZ23" s="2"/>
      <c r="WMA23" s="2"/>
      <c r="WMB23" s="2"/>
      <c r="WMC23" s="2"/>
      <c r="WMD23" s="2"/>
      <c r="WME23" s="2"/>
      <c r="WMF23" s="2"/>
      <c r="WMG23" s="2"/>
      <c r="WMH23" s="2"/>
      <c r="WMI23" s="2"/>
      <c r="WMJ23" s="2"/>
      <c r="WMK23" s="2"/>
      <c r="WML23" s="2"/>
      <c r="WMM23" s="2"/>
      <c r="WMN23" s="2"/>
      <c r="WMO23" s="2"/>
      <c r="WMP23" s="2"/>
      <c r="WMQ23" s="2"/>
      <c r="WMR23" s="2"/>
      <c r="WMS23" s="2"/>
      <c r="WMT23" s="2"/>
      <c r="WMU23" s="2"/>
      <c r="WMV23" s="2"/>
      <c r="WMW23" s="2"/>
      <c r="WMX23" s="2"/>
      <c r="WMY23" s="2"/>
      <c r="WMZ23" s="2"/>
      <c r="WNA23" s="2"/>
      <c r="WNB23" s="2"/>
      <c r="WNC23" s="2"/>
      <c r="WND23" s="2"/>
      <c r="WNE23" s="2"/>
      <c r="WNF23" s="2"/>
      <c r="WNG23" s="2"/>
      <c r="WNH23" s="2"/>
      <c r="WNI23" s="2"/>
      <c r="WNJ23" s="2"/>
      <c r="WNK23" s="2"/>
      <c r="WNL23" s="2"/>
      <c r="WNM23" s="2"/>
      <c r="WNN23" s="2"/>
      <c r="WNO23" s="2"/>
      <c r="WNP23" s="2"/>
      <c r="WNQ23" s="2"/>
      <c r="WNR23" s="2"/>
      <c r="WNS23" s="2"/>
      <c r="WNT23" s="2"/>
      <c r="WNU23" s="2"/>
      <c r="WNV23" s="2"/>
      <c r="WNW23" s="2"/>
      <c r="WNX23" s="2"/>
      <c r="WNY23" s="2"/>
      <c r="WNZ23" s="2"/>
      <c r="WOA23" s="2"/>
      <c r="WOB23" s="2"/>
      <c r="WOC23" s="2"/>
      <c r="WOD23" s="2"/>
      <c r="WOE23" s="2"/>
      <c r="WOF23" s="2"/>
      <c r="WOG23" s="2"/>
      <c r="WOH23" s="2"/>
      <c r="WOI23" s="2"/>
      <c r="WOJ23" s="2"/>
      <c r="WOK23" s="2"/>
      <c r="WOL23" s="2"/>
      <c r="WOM23" s="2"/>
      <c r="WON23" s="2"/>
      <c r="WOO23" s="2"/>
      <c r="WOP23" s="2"/>
      <c r="WOQ23" s="2"/>
      <c r="WOR23" s="2"/>
      <c r="WOS23" s="2"/>
      <c r="WOT23" s="2"/>
      <c r="WOU23" s="2"/>
      <c r="WOV23" s="2"/>
      <c r="WOW23" s="2"/>
      <c r="WOX23" s="2"/>
      <c r="WOY23" s="2"/>
      <c r="WOZ23" s="2"/>
      <c r="WPA23" s="2"/>
      <c r="WPB23" s="2"/>
      <c r="WPC23" s="2"/>
      <c r="WPD23" s="2"/>
      <c r="WPE23" s="2"/>
      <c r="WPF23" s="2"/>
      <c r="WPG23" s="2"/>
      <c r="WPH23" s="2"/>
      <c r="WPI23" s="2"/>
      <c r="WPJ23" s="2"/>
      <c r="WPK23" s="2"/>
      <c r="WPL23" s="2"/>
      <c r="WPM23" s="2"/>
      <c r="WPN23" s="2"/>
      <c r="WPO23" s="2"/>
      <c r="WPP23" s="2"/>
      <c r="WPQ23" s="2"/>
      <c r="WPR23" s="2"/>
      <c r="WPS23" s="2"/>
      <c r="WPT23" s="2"/>
      <c r="WPU23" s="2"/>
      <c r="WPV23" s="2"/>
      <c r="WPW23" s="2"/>
      <c r="WPX23" s="2"/>
      <c r="WPY23" s="2"/>
      <c r="WPZ23" s="2"/>
      <c r="WQA23" s="2"/>
      <c r="WQB23" s="2"/>
      <c r="WQC23" s="2"/>
      <c r="WQD23" s="2"/>
      <c r="WQE23" s="2"/>
      <c r="WQF23" s="2"/>
      <c r="WQG23" s="2"/>
      <c r="WQH23" s="2"/>
      <c r="WQI23" s="2"/>
      <c r="WQJ23" s="2"/>
      <c r="WQK23" s="2"/>
      <c r="WQL23" s="2"/>
      <c r="WQM23" s="2"/>
      <c r="WQN23" s="2"/>
      <c r="WQO23" s="2"/>
      <c r="WQP23" s="2"/>
      <c r="WQQ23" s="2"/>
      <c r="WQR23" s="2"/>
      <c r="WQS23" s="2"/>
      <c r="WQT23" s="2"/>
      <c r="WQU23" s="2"/>
      <c r="WQV23" s="2"/>
      <c r="WQW23" s="2"/>
      <c r="WQX23" s="2"/>
      <c r="WQY23" s="2"/>
      <c r="WQZ23" s="2"/>
      <c r="WRA23" s="2"/>
      <c r="WRB23" s="2"/>
      <c r="WRC23" s="2"/>
      <c r="WRD23" s="2"/>
      <c r="WRE23" s="2"/>
      <c r="WRF23" s="2"/>
      <c r="WRG23" s="2"/>
      <c r="WRH23" s="2"/>
      <c r="WRI23" s="2"/>
      <c r="WRJ23" s="2"/>
      <c r="WRK23" s="2"/>
      <c r="WRL23" s="2"/>
      <c r="WRM23" s="2"/>
      <c r="WRN23" s="2"/>
      <c r="WRO23" s="2"/>
      <c r="WRP23" s="2"/>
      <c r="WRQ23" s="2"/>
      <c r="WRR23" s="2"/>
      <c r="WRS23" s="2"/>
      <c r="WRT23" s="2"/>
      <c r="WRU23" s="2"/>
      <c r="WRV23" s="2"/>
      <c r="WRW23" s="2"/>
      <c r="WRX23" s="2"/>
      <c r="WRY23" s="2"/>
      <c r="WRZ23" s="2"/>
      <c r="WSA23" s="2"/>
      <c r="WSB23" s="2"/>
      <c r="WSC23" s="2"/>
      <c r="WSD23" s="2"/>
      <c r="WSE23" s="2"/>
      <c r="WSF23" s="2"/>
      <c r="WSG23" s="2"/>
      <c r="WSH23" s="2"/>
      <c r="WSI23" s="2"/>
      <c r="WSJ23" s="2"/>
      <c r="WSK23" s="2"/>
      <c r="WSL23" s="2"/>
      <c r="WSM23" s="2"/>
      <c r="WSN23" s="2"/>
      <c r="WSO23" s="2"/>
      <c r="WSP23" s="2"/>
      <c r="WSQ23" s="2"/>
      <c r="WSR23" s="2"/>
      <c r="WSS23" s="2"/>
      <c r="WST23" s="2"/>
      <c r="WSU23" s="2"/>
      <c r="WSV23" s="2"/>
      <c r="WSW23" s="2"/>
      <c r="WSX23" s="2"/>
      <c r="WSY23" s="2"/>
      <c r="WSZ23" s="2"/>
      <c r="WTA23" s="2"/>
      <c r="WTB23" s="2"/>
      <c r="WTC23" s="2"/>
      <c r="WTD23" s="2"/>
      <c r="WTE23" s="2"/>
      <c r="WTF23" s="2"/>
      <c r="WTG23" s="2"/>
      <c r="WTH23" s="2"/>
      <c r="WTI23" s="2"/>
      <c r="WTJ23" s="2"/>
      <c r="WTK23" s="2"/>
      <c r="WTL23" s="2"/>
      <c r="WTM23" s="2"/>
      <c r="WTN23" s="2"/>
      <c r="WTO23" s="2"/>
      <c r="WTP23" s="2"/>
      <c r="WTQ23" s="2"/>
      <c r="WTR23" s="2"/>
      <c r="WTS23" s="2"/>
      <c r="WTT23" s="2"/>
      <c r="WTU23" s="2"/>
      <c r="WTV23" s="2"/>
      <c r="WTW23" s="2"/>
      <c r="WTX23" s="2"/>
      <c r="WTY23" s="2"/>
      <c r="WTZ23" s="2"/>
      <c r="WUA23" s="2"/>
      <c r="WUB23" s="2"/>
      <c r="WUC23" s="2"/>
      <c r="WUD23" s="2"/>
      <c r="WUE23" s="2"/>
      <c r="WUF23" s="2"/>
      <c r="WUG23" s="2"/>
      <c r="WUH23" s="2"/>
      <c r="WUI23" s="2"/>
      <c r="WUJ23" s="2"/>
      <c r="WUK23" s="2"/>
      <c r="WUL23" s="2"/>
      <c r="WUM23" s="2"/>
      <c r="WUN23" s="2"/>
      <c r="WUO23" s="2"/>
      <c r="WUP23" s="2"/>
      <c r="WUQ23" s="2"/>
      <c r="WUR23" s="2"/>
      <c r="WUS23" s="2"/>
      <c r="WUT23" s="2"/>
      <c r="WUU23" s="2"/>
      <c r="WUV23" s="2"/>
      <c r="WUW23" s="2"/>
      <c r="WUX23" s="2"/>
      <c r="WUY23" s="2"/>
      <c r="WUZ23" s="2"/>
      <c r="WVA23" s="2"/>
      <c r="WVB23" s="2"/>
      <c r="WVC23" s="2"/>
      <c r="WVD23" s="2"/>
      <c r="WVE23" s="2"/>
      <c r="WVF23" s="2"/>
      <c r="WVG23" s="2"/>
      <c r="WVH23" s="2"/>
      <c r="WVI23" s="2"/>
      <c r="WVJ23" s="2"/>
      <c r="WVK23" s="2"/>
      <c r="WVL23" s="2"/>
      <c r="WVM23" s="2"/>
      <c r="WVN23" s="2"/>
      <c r="WVO23" s="2"/>
      <c r="WVP23" s="2"/>
      <c r="WVQ23" s="2"/>
      <c r="WVR23" s="2"/>
      <c r="WVS23" s="2"/>
      <c r="WVT23" s="2"/>
      <c r="WVU23" s="2"/>
      <c r="WVV23" s="2"/>
      <c r="WVW23" s="2"/>
      <c r="WVX23" s="2"/>
      <c r="WVY23" s="2"/>
      <c r="WVZ23" s="2"/>
      <c r="WWA23" s="2"/>
      <c r="WWB23" s="2"/>
      <c r="WWC23" s="2"/>
      <c r="WWD23" s="2"/>
      <c r="WWE23" s="2"/>
      <c r="WWF23" s="2"/>
      <c r="WWG23" s="2"/>
      <c r="WWH23" s="2"/>
      <c r="WWI23" s="2"/>
      <c r="WWJ23" s="2"/>
      <c r="WWK23" s="2"/>
      <c r="WWL23" s="2"/>
      <c r="WWM23" s="2"/>
      <c r="WWN23" s="2"/>
      <c r="WWO23" s="2"/>
      <c r="WWP23" s="2"/>
      <c r="WWQ23" s="2"/>
      <c r="WWR23" s="2"/>
      <c r="WWS23" s="2"/>
      <c r="WWT23" s="2"/>
      <c r="WWU23" s="2"/>
      <c r="WWV23" s="2"/>
      <c r="WWW23" s="2"/>
      <c r="WWX23" s="2"/>
      <c r="WWY23" s="2"/>
      <c r="WWZ23" s="2"/>
      <c r="WXA23" s="2"/>
      <c r="WXB23" s="2"/>
      <c r="WXC23" s="2"/>
      <c r="WXD23" s="2"/>
      <c r="WXE23" s="2"/>
      <c r="WXF23" s="2"/>
      <c r="WXG23" s="2"/>
      <c r="WXH23" s="2"/>
      <c r="WXI23" s="2"/>
      <c r="WXJ23" s="2"/>
      <c r="WXK23" s="2"/>
      <c r="WXL23" s="2"/>
      <c r="WXM23" s="2"/>
      <c r="WXN23" s="2"/>
      <c r="WXO23" s="2"/>
      <c r="WXP23" s="2"/>
      <c r="WXQ23" s="2"/>
      <c r="WXR23" s="2"/>
      <c r="WXS23" s="2"/>
      <c r="WXT23" s="2"/>
      <c r="WXU23" s="2"/>
      <c r="WXV23" s="2"/>
      <c r="WXW23" s="2"/>
      <c r="WXX23" s="2"/>
      <c r="WXY23" s="2"/>
      <c r="WXZ23" s="2"/>
      <c r="WYA23" s="2"/>
      <c r="WYB23" s="2"/>
      <c r="WYC23" s="2"/>
      <c r="WYD23" s="2"/>
      <c r="WYE23" s="2"/>
      <c r="WYF23" s="2"/>
      <c r="WYG23" s="2"/>
      <c r="WYH23" s="2"/>
      <c r="WYI23" s="2"/>
      <c r="WYJ23" s="2"/>
      <c r="WYK23" s="2"/>
      <c r="WYL23" s="2"/>
      <c r="WYM23" s="2"/>
      <c r="WYN23" s="2"/>
      <c r="WYO23" s="2"/>
      <c r="WYP23" s="2"/>
      <c r="WYQ23" s="2"/>
      <c r="WYR23" s="2"/>
      <c r="WYS23" s="2"/>
      <c r="WYT23" s="2"/>
      <c r="WYU23" s="2"/>
      <c r="WYV23" s="2"/>
      <c r="WYW23" s="2"/>
      <c r="WYX23" s="2"/>
      <c r="WYY23" s="2"/>
      <c r="WYZ23" s="2"/>
      <c r="WZA23" s="2"/>
      <c r="WZB23" s="2"/>
      <c r="WZC23" s="2"/>
      <c r="WZD23" s="2"/>
      <c r="WZE23" s="2"/>
      <c r="WZF23" s="2"/>
      <c r="WZG23" s="2"/>
      <c r="WZH23" s="2"/>
      <c r="WZI23" s="2"/>
      <c r="WZJ23" s="2"/>
      <c r="WZK23" s="2"/>
      <c r="WZL23" s="2"/>
      <c r="WZM23" s="2"/>
      <c r="WZN23" s="2"/>
      <c r="WZO23" s="2"/>
      <c r="WZP23" s="2"/>
      <c r="WZQ23" s="2"/>
      <c r="WZR23" s="2"/>
      <c r="WZS23" s="2"/>
      <c r="WZT23" s="2"/>
      <c r="WZU23" s="2"/>
      <c r="WZV23" s="2"/>
      <c r="WZW23" s="2"/>
      <c r="WZX23" s="2"/>
      <c r="WZY23" s="2"/>
      <c r="WZZ23" s="2"/>
      <c r="XAA23" s="2"/>
      <c r="XAB23" s="2"/>
      <c r="XAC23" s="2"/>
      <c r="XAD23" s="2"/>
      <c r="XAE23" s="2"/>
      <c r="XAF23" s="2"/>
      <c r="XAG23" s="2"/>
      <c r="XAH23" s="2"/>
      <c r="XAI23" s="2"/>
      <c r="XAJ23" s="2"/>
      <c r="XAK23" s="2"/>
      <c r="XAL23" s="2"/>
      <c r="XAM23" s="2"/>
      <c r="XAN23" s="2"/>
      <c r="XAO23" s="2"/>
      <c r="XAP23" s="2"/>
      <c r="XAQ23" s="2"/>
      <c r="XAR23" s="2"/>
      <c r="XAS23" s="2"/>
      <c r="XAT23" s="2"/>
      <c r="XAU23" s="2"/>
      <c r="XAV23" s="2"/>
      <c r="XAW23" s="2"/>
      <c r="XAX23" s="2"/>
      <c r="XAY23" s="2"/>
      <c r="XAZ23" s="2"/>
      <c r="XBA23" s="2"/>
      <c r="XBB23" s="2"/>
      <c r="XBC23" s="2"/>
      <c r="XBD23" s="2"/>
      <c r="XBE23" s="2"/>
      <c r="XBF23" s="2"/>
      <c r="XBG23" s="2"/>
      <c r="XBH23" s="2"/>
      <c r="XBI23" s="2"/>
      <c r="XBJ23" s="2"/>
      <c r="XBK23" s="2"/>
      <c r="XBL23" s="2"/>
      <c r="XBM23" s="2"/>
      <c r="XBN23" s="2"/>
      <c r="XBO23" s="2"/>
      <c r="XBP23" s="2"/>
      <c r="XBQ23" s="2"/>
      <c r="XBR23" s="2"/>
      <c r="XBS23" s="2"/>
      <c r="XBT23" s="2"/>
      <c r="XBU23" s="2"/>
      <c r="XBV23" s="2"/>
      <c r="XBW23" s="2"/>
      <c r="XBX23" s="2"/>
      <c r="XBY23" s="2"/>
      <c r="XBZ23" s="2"/>
      <c r="XCA23" s="2"/>
      <c r="XCB23" s="2"/>
      <c r="XCC23" s="2"/>
      <c r="XCD23" s="2"/>
      <c r="XCE23" s="2"/>
      <c r="XCF23" s="2"/>
      <c r="XCG23" s="2"/>
      <c r="XCH23" s="2"/>
      <c r="XCI23" s="2"/>
      <c r="XCJ23" s="2"/>
      <c r="XCK23" s="2"/>
      <c r="XCL23" s="2"/>
      <c r="XCM23" s="2"/>
      <c r="XCN23" s="2"/>
      <c r="XCO23" s="2"/>
      <c r="XCP23" s="2"/>
      <c r="XCQ23" s="2"/>
      <c r="XCR23" s="2"/>
      <c r="XCS23" s="2"/>
      <c r="XCT23" s="2"/>
      <c r="XCU23" s="2"/>
      <c r="XCV23" s="2"/>
      <c r="XCW23" s="2"/>
      <c r="XCX23" s="2"/>
      <c r="XCY23" s="2"/>
      <c r="XCZ23" s="2"/>
      <c r="XDA23" s="2"/>
      <c r="XDB23" s="2"/>
      <c r="XDC23" s="2"/>
      <c r="XDD23" s="2"/>
      <c r="XDE23" s="2"/>
      <c r="XDF23" s="2"/>
      <c r="XDG23" s="2"/>
      <c r="XDH23" s="2"/>
      <c r="XDI23" s="2"/>
      <c r="XDJ23" s="2"/>
      <c r="XDK23" s="2"/>
      <c r="XDL23" s="2"/>
      <c r="XDM23" s="2"/>
      <c r="XDN23" s="2"/>
      <c r="XDO23" s="2"/>
      <c r="XDP23" s="2"/>
      <c r="XDQ23" s="2"/>
      <c r="XDR23" s="2"/>
      <c r="XDS23" s="2"/>
      <c r="XDT23" s="2"/>
      <c r="XDU23" s="2"/>
      <c r="XDV23" s="2"/>
      <c r="XDW23" s="2"/>
      <c r="XDX23" s="2"/>
      <c r="XDY23" s="2"/>
      <c r="XDZ23" s="2"/>
      <c r="XEA23" s="2"/>
      <c r="XEB23" s="2"/>
      <c r="XEC23" s="2"/>
      <c r="XED23" s="2"/>
      <c r="XEE23" s="2"/>
      <c r="XEF23" s="2"/>
      <c r="XEG23" s="2"/>
      <c r="XEH23" s="2"/>
      <c r="XEI23" s="2"/>
      <c r="XEJ23" s="2"/>
      <c r="XEK23" s="2"/>
      <c r="XEL23" s="2"/>
      <c r="XEM23" s="2"/>
      <c r="XEN23" s="2"/>
      <c r="XEO23" s="2"/>
      <c r="XEP23" s="2"/>
      <c r="XEQ23" s="2"/>
      <c r="XER23" s="2"/>
      <c r="XES23" s="2"/>
      <c r="XET23" s="2"/>
      <c r="XEU23" s="2"/>
      <c r="XEV23" s="2"/>
      <c r="XEW23" s="2"/>
      <c r="XEX23" s="2"/>
      <c r="XEY23" s="2"/>
      <c r="XEZ23" s="2"/>
      <c r="XFA23" s="2"/>
      <c r="XFB23" s="2"/>
      <c r="XFC23" s="2"/>
      <c r="XFD23" s="2"/>
    </row>
    <row r="24" spans="1:16384" s="60" customFormat="1">
      <c r="A24" s="86">
        <v>45189</v>
      </c>
      <c r="B24" s="19" t="s">
        <v>254</v>
      </c>
      <c r="C24" s="19">
        <v>52500</v>
      </c>
      <c r="D24" s="19" t="s">
        <v>265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  <c r="IX24" s="19"/>
      <c r="IY24" s="19"/>
      <c r="IZ24" s="19"/>
      <c r="JA24" s="19"/>
      <c r="JB24" s="19"/>
      <c r="JC24" s="19"/>
      <c r="JD24" s="19"/>
      <c r="JE24" s="19"/>
      <c r="JF24" s="19"/>
      <c r="JG24" s="19"/>
      <c r="JH24" s="19"/>
      <c r="JI24" s="19"/>
      <c r="JJ24" s="19"/>
      <c r="JK24" s="19"/>
      <c r="JL24" s="19"/>
      <c r="JM24" s="19"/>
      <c r="JN24" s="19"/>
      <c r="JO24" s="19"/>
      <c r="JP24" s="19"/>
      <c r="JQ24" s="19"/>
      <c r="JR24" s="19"/>
      <c r="JS24" s="19"/>
      <c r="JT24" s="19"/>
      <c r="JU24" s="19"/>
      <c r="JV24" s="19"/>
      <c r="JW24" s="19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U24" s="19"/>
      <c r="KV24" s="19"/>
      <c r="KW24" s="19"/>
      <c r="KX24" s="19"/>
      <c r="KY24" s="19"/>
      <c r="KZ24" s="19"/>
      <c r="LA24" s="19"/>
      <c r="LB24" s="19"/>
      <c r="LC24" s="19"/>
      <c r="LD24" s="19"/>
      <c r="LE24" s="19"/>
      <c r="LF24" s="19"/>
      <c r="LG24" s="19"/>
      <c r="LH24" s="19"/>
      <c r="LI24" s="19"/>
      <c r="LJ24" s="19"/>
      <c r="LK24" s="19"/>
      <c r="LL24" s="19"/>
      <c r="LM24" s="19"/>
      <c r="LN24" s="19"/>
      <c r="LO24" s="19"/>
      <c r="LP24" s="19"/>
      <c r="LQ24" s="19"/>
      <c r="LR24" s="19"/>
      <c r="LS24" s="19"/>
      <c r="LT24" s="19"/>
      <c r="LU24" s="19"/>
      <c r="LV24" s="19"/>
      <c r="LW24" s="19"/>
      <c r="LX24" s="19"/>
      <c r="LY24" s="19"/>
      <c r="LZ24" s="19"/>
      <c r="MA24" s="19"/>
      <c r="MB24" s="19"/>
      <c r="MC24" s="19"/>
      <c r="MD24" s="19"/>
      <c r="ME24" s="19"/>
      <c r="MF24" s="19"/>
      <c r="MG24" s="19"/>
      <c r="MH24" s="19"/>
      <c r="MI24" s="19"/>
      <c r="MJ24" s="19"/>
      <c r="MK24" s="19"/>
      <c r="ML24" s="19"/>
      <c r="MM24" s="19"/>
      <c r="MN24" s="19"/>
      <c r="MO24" s="19"/>
      <c r="MP24" s="19"/>
      <c r="MQ24" s="19"/>
      <c r="MR24" s="19"/>
      <c r="MS24" s="19"/>
      <c r="MT24" s="19"/>
      <c r="MU24" s="19"/>
      <c r="MV24" s="19"/>
      <c r="MW24" s="19"/>
      <c r="MX24" s="19"/>
      <c r="MY24" s="19"/>
      <c r="MZ24" s="19"/>
      <c r="NA24" s="19"/>
      <c r="NB24" s="19"/>
      <c r="NC24" s="19"/>
      <c r="ND24" s="19"/>
      <c r="NE24" s="19"/>
      <c r="NF24" s="19"/>
      <c r="NG24" s="19"/>
      <c r="NH24" s="19"/>
      <c r="NI24" s="19"/>
      <c r="NJ24" s="19"/>
      <c r="NK24" s="19"/>
      <c r="NL24" s="19"/>
      <c r="NM24" s="19"/>
      <c r="NN24" s="19"/>
      <c r="NO24" s="19"/>
      <c r="NP24" s="19"/>
      <c r="NQ24" s="19"/>
      <c r="NR24" s="19"/>
      <c r="NS24" s="19"/>
      <c r="NT24" s="19"/>
      <c r="NU24" s="19"/>
      <c r="NV24" s="19"/>
      <c r="NW24" s="19"/>
      <c r="NX24" s="19"/>
      <c r="NY24" s="19"/>
      <c r="NZ24" s="19"/>
      <c r="OA24" s="19"/>
      <c r="OB24" s="19"/>
      <c r="OC24" s="19"/>
      <c r="OD24" s="19"/>
      <c r="OE24" s="19"/>
      <c r="OF24" s="19"/>
      <c r="OG24" s="19"/>
      <c r="OH24" s="19"/>
      <c r="OI24" s="19"/>
      <c r="OJ24" s="19"/>
      <c r="OK24" s="19"/>
      <c r="OL24" s="19"/>
      <c r="OM24" s="19"/>
      <c r="ON24" s="19"/>
      <c r="OO24" s="19"/>
      <c r="OP24" s="19"/>
      <c r="OQ24" s="19"/>
      <c r="OR24" s="19"/>
      <c r="OS24" s="19"/>
      <c r="OT24" s="19"/>
      <c r="OU24" s="19"/>
      <c r="OV24" s="19"/>
      <c r="OW24" s="19"/>
      <c r="OX24" s="19"/>
      <c r="OY24" s="19"/>
      <c r="OZ24" s="19"/>
      <c r="PA24" s="19"/>
      <c r="PB24" s="19"/>
      <c r="PC24" s="19"/>
      <c r="PD24" s="19"/>
      <c r="PE24" s="19"/>
      <c r="PF24" s="19"/>
      <c r="PG24" s="19"/>
      <c r="PH24" s="19"/>
      <c r="PI24" s="19"/>
      <c r="PJ24" s="19"/>
      <c r="PK24" s="19"/>
      <c r="PL24" s="19"/>
      <c r="PM24" s="19"/>
      <c r="PN24" s="19"/>
      <c r="PO24" s="19"/>
      <c r="PP24" s="19"/>
      <c r="PQ24" s="19"/>
      <c r="PR24" s="19"/>
      <c r="PS24" s="19"/>
      <c r="PT24" s="19"/>
      <c r="PU24" s="19"/>
      <c r="PV24" s="19"/>
      <c r="PW24" s="19"/>
      <c r="PX24" s="19"/>
      <c r="PY24" s="19"/>
      <c r="PZ24" s="19"/>
      <c r="QA24" s="19"/>
      <c r="QB24" s="19"/>
      <c r="QC24" s="19"/>
      <c r="QD24" s="19"/>
      <c r="QE24" s="19"/>
      <c r="QF24" s="19"/>
      <c r="QG24" s="19"/>
      <c r="QH24" s="19"/>
      <c r="QI24" s="19"/>
      <c r="QJ24" s="19"/>
      <c r="QK24" s="19"/>
      <c r="QL24" s="19"/>
      <c r="QM24" s="19"/>
      <c r="QN24" s="19"/>
      <c r="QO24" s="19"/>
      <c r="QP24" s="19"/>
      <c r="QQ24" s="19"/>
      <c r="QR24" s="19"/>
      <c r="QS24" s="19"/>
      <c r="QT24" s="19"/>
      <c r="QU24" s="19"/>
      <c r="QV24" s="19"/>
      <c r="QW24" s="19"/>
      <c r="QX24" s="19"/>
      <c r="QY24" s="19"/>
      <c r="QZ24" s="19"/>
      <c r="RA24" s="19"/>
      <c r="RB24" s="19"/>
      <c r="RC24" s="19"/>
      <c r="RD24" s="19"/>
      <c r="RE24" s="19"/>
      <c r="RF24" s="19"/>
      <c r="RG24" s="19"/>
      <c r="RH24" s="19"/>
      <c r="RI24" s="19"/>
      <c r="RJ24" s="19"/>
      <c r="RK24" s="19"/>
      <c r="RL24" s="19"/>
      <c r="RM24" s="19"/>
      <c r="RN24" s="19"/>
      <c r="RO24" s="19"/>
      <c r="RP24" s="19"/>
      <c r="RQ24" s="19"/>
      <c r="RR24" s="19"/>
      <c r="RS24" s="19"/>
      <c r="RT24" s="19"/>
      <c r="RU24" s="19"/>
      <c r="RV24" s="19"/>
      <c r="RW24" s="19"/>
      <c r="RX24" s="19"/>
      <c r="RY24" s="19"/>
      <c r="RZ24" s="19"/>
      <c r="SA24" s="19"/>
      <c r="SB24" s="19"/>
      <c r="SC24" s="19"/>
      <c r="SD24" s="19"/>
      <c r="SE24" s="19"/>
      <c r="SF24" s="19"/>
      <c r="SG24" s="19"/>
      <c r="SH24" s="19"/>
      <c r="SI24" s="19"/>
      <c r="SJ24" s="19"/>
      <c r="SK24" s="19"/>
      <c r="SL24" s="19"/>
      <c r="SM24" s="19"/>
      <c r="SN24" s="19"/>
      <c r="SO24" s="19"/>
      <c r="SP24" s="19"/>
      <c r="SQ24" s="19"/>
      <c r="SR24" s="19"/>
      <c r="SS24" s="19"/>
      <c r="ST24" s="19"/>
      <c r="SU24" s="19"/>
      <c r="SV24" s="19"/>
      <c r="SW24" s="19"/>
      <c r="SX24" s="19"/>
      <c r="SY24" s="19"/>
      <c r="SZ24" s="19"/>
      <c r="TA24" s="19"/>
      <c r="TB24" s="19"/>
      <c r="TC24" s="19"/>
      <c r="TD24" s="19"/>
      <c r="TE24" s="19"/>
      <c r="TF24" s="19"/>
      <c r="TG24" s="19"/>
      <c r="TH24" s="19"/>
      <c r="TI24" s="19"/>
      <c r="TJ24" s="19"/>
      <c r="TK24" s="19"/>
      <c r="TL24" s="19"/>
      <c r="TM24" s="19"/>
      <c r="TN24" s="19"/>
      <c r="TO24" s="19"/>
      <c r="TP24" s="19"/>
      <c r="TQ24" s="19"/>
      <c r="TR24" s="19"/>
      <c r="TS24" s="19"/>
      <c r="TT24" s="19"/>
      <c r="TU24" s="19"/>
      <c r="TV24" s="19"/>
      <c r="TW24" s="19"/>
      <c r="TX24" s="19"/>
      <c r="TY24" s="19"/>
      <c r="TZ24" s="19"/>
      <c r="UA24" s="19"/>
      <c r="UB24" s="19"/>
      <c r="UC24" s="19"/>
      <c r="UD24" s="19"/>
      <c r="UE24" s="19"/>
      <c r="UF24" s="19"/>
      <c r="UG24" s="19"/>
      <c r="UH24" s="19"/>
      <c r="UI24" s="19"/>
      <c r="UJ24" s="19"/>
      <c r="UK24" s="19"/>
      <c r="UL24" s="19"/>
      <c r="UM24" s="19"/>
      <c r="UN24" s="19"/>
      <c r="UO24" s="19"/>
      <c r="UP24" s="19"/>
      <c r="UQ24" s="19"/>
      <c r="UR24" s="19"/>
      <c r="US24" s="19"/>
      <c r="UT24" s="19"/>
      <c r="UU24" s="19"/>
      <c r="UV24" s="19"/>
      <c r="UW24" s="19"/>
      <c r="UX24" s="19"/>
      <c r="UY24" s="19"/>
      <c r="UZ24" s="19"/>
      <c r="VA24" s="19"/>
      <c r="VB24" s="19"/>
      <c r="VC24" s="19"/>
      <c r="VD24" s="19"/>
      <c r="VE24" s="19"/>
      <c r="VF24" s="19"/>
      <c r="VG24" s="19"/>
      <c r="VH24" s="19"/>
      <c r="VI24" s="19"/>
      <c r="VJ24" s="19"/>
      <c r="VK24" s="19"/>
      <c r="VL24" s="19"/>
      <c r="VM24" s="19"/>
      <c r="VN24" s="19"/>
      <c r="VO24" s="19"/>
      <c r="VP24" s="19"/>
      <c r="VQ24" s="19"/>
      <c r="VR24" s="19"/>
      <c r="VS24" s="19"/>
      <c r="VT24" s="19"/>
      <c r="VU24" s="19"/>
      <c r="VV24" s="19"/>
      <c r="VW24" s="19"/>
      <c r="VX24" s="19"/>
      <c r="VY24" s="19"/>
      <c r="VZ24" s="19"/>
      <c r="WA24" s="19"/>
      <c r="WB24" s="19"/>
      <c r="WC24" s="19"/>
      <c r="WD24" s="19"/>
      <c r="WE24" s="19"/>
      <c r="WF24" s="19"/>
      <c r="WG24" s="19"/>
      <c r="WH24" s="19"/>
      <c r="WI24" s="19"/>
      <c r="WJ24" s="19"/>
      <c r="WK24" s="19"/>
      <c r="WL24" s="19"/>
      <c r="WM24" s="19"/>
      <c r="WN24" s="19"/>
      <c r="WO24" s="19"/>
      <c r="WP24" s="19"/>
      <c r="WQ24" s="19"/>
      <c r="WR24" s="19"/>
      <c r="WS24" s="19"/>
      <c r="WT24" s="19"/>
      <c r="WU24" s="19"/>
      <c r="WV24" s="19"/>
      <c r="WW24" s="19"/>
      <c r="WX24" s="19"/>
      <c r="WY24" s="19"/>
      <c r="WZ24" s="19"/>
      <c r="XA24" s="19"/>
      <c r="XB24" s="19"/>
      <c r="XC24" s="19"/>
      <c r="XD24" s="19"/>
      <c r="XE24" s="19"/>
      <c r="XF24" s="19"/>
      <c r="XG24" s="19"/>
      <c r="XH24" s="19"/>
      <c r="XI24" s="19"/>
      <c r="XJ24" s="19"/>
      <c r="XK24" s="19"/>
      <c r="XL24" s="19"/>
      <c r="XM24" s="19"/>
      <c r="XN24" s="19"/>
      <c r="XO24" s="19"/>
      <c r="XP24" s="19"/>
      <c r="XQ24" s="19"/>
      <c r="XR24" s="19"/>
      <c r="XS24" s="19"/>
      <c r="XT24" s="19"/>
      <c r="XU24" s="19"/>
      <c r="XV24" s="19"/>
      <c r="XW24" s="19"/>
      <c r="XX24" s="19"/>
      <c r="XY24" s="19"/>
      <c r="XZ24" s="19"/>
      <c r="YA24" s="19"/>
      <c r="YB24" s="19"/>
      <c r="YC24" s="19"/>
      <c r="YD24" s="19"/>
      <c r="YE24" s="19"/>
      <c r="YF24" s="19"/>
      <c r="YG24" s="19"/>
      <c r="YH24" s="19"/>
      <c r="YI24" s="19"/>
      <c r="YJ24" s="19"/>
      <c r="YK24" s="19"/>
      <c r="YL24" s="19"/>
      <c r="YM24" s="19"/>
      <c r="YN24" s="19"/>
      <c r="YO24" s="19"/>
      <c r="YP24" s="19"/>
      <c r="YQ24" s="19"/>
      <c r="YR24" s="19"/>
      <c r="YS24" s="19"/>
      <c r="YT24" s="19"/>
      <c r="YU24" s="19"/>
      <c r="YV24" s="19"/>
      <c r="YW24" s="19"/>
      <c r="YX24" s="19"/>
      <c r="YY24" s="19"/>
      <c r="YZ24" s="19"/>
      <c r="ZA24" s="19"/>
      <c r="ZB24" s="19"/>
      <c r="ZC24" s="19"/>
      <c r="ZD24" s="19"/>
      <c r="ZE24" s="19"/>
      <c r="ZF24" s="19"/>
      <c r="ZG24" s="19"/>
      <c r="ZH24" s="19"/>
      <c r="ZI24" s="19"/>
      <c r="ZJ24" s="19"/>
      <c r="ZK24" s="19"/>
      <c r="ZL24" s="19"/>
      <c r="ZM24" s="19"/>
      <c r="ZN24" s="19"/>
      <c r="ZO24" s="19"/>
      <c r="ZP24" s="19"/>
      <c r="ZQ24" s="19"/>
      <c r="ZR24" s="19"/>
      <c r="ZS24" s="19"/>
      <c r="ZT24" s="19"/>
      <c r="ZU24" s="19"/>
      <c r="ZV24" s="19"/>
      <c r="ZW24" s="19"/>
      <c r="ZX24" s="19"/>
      <c r="ZY24" s="19"/>
      <c r="ZZ24" s="19"/>
      <c r="AAA24" s="19"/>
      <c r="AAB24" s="19"/>
      <c r="AAC24" s="19"/>
      <c r="AAD24" s="19"/>
      <c r="AAE24" s="19"/>
      <c r="AAF24" s="19"/>
      <c r="AAG24" s="19"/>
      <c r="AAH24" s="19"/>
      <c r="AAI24" s="19"/>
      <c r="AAJ24" s="19"/>
      <c r="AAK24" s="19"/>
      <c r="AAL24" s="19"/>
      <c r="AAM24" s="19"/>
      <c r="AAN24" s="19"/>
      <c r="AAO24" s="19"/>
      <c r="AAP24" s="19"/>
      <c r="AAQ24" s="19"/>
      <c r="AAR24" s="19"/>
      <c r="AAS24" s="19"/>
      <c r="AAT24" s="19"/>
      <c r="AAU24" s="19"/>
      <c r="AAV24" s="19"/>
      <c r="AAW24" s="19"/>
      <c r="AAX24" s="19"/>
      <c r="AAY24" s="19"/>
      <c r="AAZ24" s="19"/>
      <c r="ABA24" s="19"/>
      <c r="ABB24" s="19"/>
      <c r="ABC24" s="19"/>
      <c r="ABD24" s="19"/>
      <c r="ABE24" s="19"/>
      <c r="ABF24" s="19"/>
      <c r="ABG24" s="19"/>
      <c r="ABH24" s="19"/>
      <c r="ABI24" s="19"/>
      <c r="ABJ24" s="19"/>
      <c r="ABK24" s="19"/>
      <c r="ABL24" s="19"/>
      <c r="ABM24" s="19"/>
      <c r="ABN24" s="19"/>
      <c r="ABO24" s="19"/>
      <c r="ABP24" s="19"/>
      <c r="ABQ24" s="19"/>
      <c r="ABR24" s="19"/>
      <c r="ABS24" s="19"/>
      <c r="ABT24" s="19"/>
      <c r="ABU24" s="19"/>
      <c r="ABV24" s="19"/>
      <c r="ABW24" s="19"/>
      <c r="ABX24" s="19"/>
      <c r="ABY24" s="19"/>
      <c r="ABZ24" s="19"/>
      <c r="ACA24" s="19"/>
      <c r="ACB24" s="19"/>
      <c r="ACC24" s="19"/>
      <c r="ACD24" s="19"/>
      <c r="ACE24" s="19"/>
      <c r="ACF24" s="19"/>
      <c r="ACG24" s="19"/>
      <c r="ACH24" s="19"/>
      <c r="ACI24" s="19"/>
      <c r="ACJ24" s="19"/>
      <c r="ACK24" s="19"/>
      <c r="ACL24" s="19"/>
      <c r="ACM24" s="19"/>
      <c r="ACN24" s="19"/>
      <c r="ACO24" s="19"/>
      <c r="ACP24" s="19"/>
      <c r="ACQ24" s="19"/>
      <c r="ACR24" s="19"/>
      <c r="ACS24" s="19"/>
      <c r="ACT24" s="19"/>
      <c r="ACU24" s="19"/>
      <c r="ACV24" s="19"/>
      <c r="ACW24" s="19"/>
      <c r="ACX24" s="19"/>
      <c r="ACY24" s="19"/>
      <c r="ACZ24" s="19"/>
      <c r="ADA24" s="19"/>
      <c r="ADB24" s="19"/>
      <c r="ADC24" s="19"/>
      <c r="ADD24" s="19"/>
      <c r="ADE24" s="19"/>
      <c r="ADF24" s="19"/>
      <c r="ADG24" s="19"/>
      <c r="ADH24" s="19"/>
      <c r="ADI24" s="19"/>
      <c r="ADJ24" s="19"/>
      <c r="ADK24" s="19"/>
      <c r="ADL24" s="19"/>
      <c r="ADM24" s="19"/>
      <c r="ADN24" s="19"/>
      <c r="ADO24" s="19"/>
      <c r="ADP24" s="19"/>
      <c r="ADQ24" s="19"/>
      <c r="ADR24" s="19"/>
      <c r="ADS24" s="19"/>
      <c r="ADT24" s="19"/>
      <c r="ADU24" s="19"/>
      <c r="ADV24" s="19"/>
      <c r="ADW24" s="19"/>
      <c r="ADX24" s="19"/>
      <c r="ADY24" s="19"/>
      <c r="ADZ24" s="19"/>
      <c r="AEA24" s="19"/>
      <c r="AEB24" s="19"/>
      <c r="AEC24" s="19"/>
      <c r="AED24" s="19"/>
      <c r="AEE24" s="19"/>
      <c r="AEF24" s="19"/>
      <c r="AEG24" s="19"/>
      <c r="AEH24" s="19"/>
      <c r="AEI24" s="19"/>
      <c r="AEJ24" s="19"/>
      <c r="AEK24" s="19"/>
      <c r="AEL24" s="19"/>
      <c r="AEM24" s="19"/>
      <c r="AEN24" s="19"/>
      <c r="AEO24" s="19"/>
      <c r="AEP24" s="19"/>
      <c r="AEQ24" s="19"/>
      <c r="AER24" s="19"/>
      <c r="AES24" s="19"/>
      <c r="AET24" s="19"/>
      <c r="AEU24" s="19"/>
      <c r="AEV24" s="19"/>
      <c r="AEW24" s="19"/>
      <c r="AEX24" s="19"/>
      <c r="AEY24" s="19"/>
      <c r="AEZ24" s="19"/>
      <c r="AFA24" s="19"/>
      <c r="AFB24" s="19"/>
      <c r="AFC24" s="19"/>
      <c r="AFD24" s="19"/>
      <c r="AFE24" s="19"/>
      <c r="AFF24" s="19"/>
      <c r="AFG24" s="19"/>
      <c r="AFH24" s="19"/>
      <c r="AFI24" s="19"/>
      <c r="AFJ24" s="19"/>
      <c r="AFK24" s="19"/>
      <c r="AFL24" s="19"/>
      <c r="AFM24" s="19"/>
      <c r="AFN24" s="19"/>
      <c r="AFO24" s="19"/>
      <c r="AFP24" s="19"/>
      <c r="AFQ24" s="19"/>
      <c r="AFR24" s="19"/>
      <c r="AFS24" s="19"/>
      <c r="AFT24" s="19"/>
      <c r="AFU24" s="19"/>
      <c r="AFV24" s="19"/>
      <c r="AFW24" s="19"/>
      <c r="AFX24" s="19"/>
      <c r="AFY24" s="19"/>
      <c r="AFZ24" s="19"/>
      <c r="AGA24" s="19"/>
      <c r="AGB24" s="19"/>
      <c r="AGC24" s="19"/>
      <c r="AGD24" s="19"/>
      <c r="AGE24" s="19"/>
      <c r="AGF24" s="19"/>
      <c r="AGG24" s="19"/>
      <c r="AGH24" s="19"/>
      <c r="AGI24" s="19"/>
      <c r="AGJ24" s="19"/>
      <c r="AGK24" s="19"/>
      <c r="AGL24" s="19"/>
      <c r="AGM24" s="19"/>
      <c r="AGN24" s="19"/>
      <c r="AGO24" s="19"/>
      <c r="AGP24" s="19"/>
      <c r="AGQ24" s="19"/>
      <c r="AGR24" s="19"/>
      <c r="AGS24" s="19"/>
      <c r="AGT24" s="19"/>
      <c r="AGU24" s="19"/>
      <c r="AGV24" s="19"/>
      <c r="AGW24" s="19"/>
      <c r="AGX24" s="19"/>
      <c r="AGY24" s="19"/>
      <c r="AGZ24" s="19"/>
      <c r="AHA24" s="19"/>
      <c r="AHB24" s="19"/>
      <c r="AHC24" s="19"/>
      <c r="AHD24" s="19"/>
      <c r="AHE24" s="19"/>
      <c r="AHF24" s="19"/>
      <c r="AHG24" s="19"/>
      <c r="AHH24" s="19"/>
      <c r="AHI24" s="19"/>
      <c r="AHJ24" s="19"/>
      <c r="AHK24" s="19"/>
      <c r="AHL24" s="19"/>
      <c r="AHM24" s="19"/>
      <c r="AHN24" s="19"/>
      <c r="AHO24" s="19"/>
      <c r="AHP24" s="19"/>
      <c r="AHQ24" s="19"/>
      <c r="AHR24" s="19"/>
      <c r="AHS24" s="19"/>
      <c r="AHT24" s="19"/>
      <c r="AHU24" s="19"/>
      <c r="AHV24" s="19"/>
      <c r="AHW24" s="19"/>
      <c r="AHX24" s="19"/>
      <c r="AHY24" s="19"/>
      <c r="AHZ24" s="19"/>
      <c r="AIA24" s="19"/>
      <c r="AIB24" s="19"/>
      <c r="AIC24" s="19"/>
      <c r="AID24" s="19"/>
      <c r="AIE24" s="19"/>
      <c r="AIF24" s="19"/>
      <c r="AIG24" s="19"/>
      <c r="AIH24" s="19"/>
      <c r="AII24" s="19"/>
      <c r="AIJ24" s="19"/>
      <c r="AIK24" s="19"/>
      <c r="AIL24" s="19"/>
      <c r="AIM24" s="19"/>
      <c r="AIN24" s="19"/>
      <c r="AIO24" s="19"/>
      <c r="AIP24" s="19"/>
      <c r="AIQ24" s="19"/>
      <c r="AIR24" s="19"/>
      <c r="AIS24" s="19"/>
      <c r="AIT24" s="19"/>
      <c r="AIU24" s="19"/>
      <c r="AIV24" s="19"/>
      <c r="AIW24" s="19"/>
      <c r="AIX24" s="19"/>
      <c r="AIY24" s="19"/>
      <c r="AIZ24" s="19"/>
      <c r="AJA24" s="19"/>
      <c r="AJB24" s="19"/>
      <c r="AJC24" s="19"/>
      <c r="AJD24" s="19"/>
      <c r="AJE24" s="19"/>
      <c r="AJF24" s="19"/>
      <c r="AJG24" s="19"/>
      <c r="AJH24" s="19"/>
      <c r="AJI24" s="19"/>
      <c r="AJJ24" s="19"/>
      <c r="AJK24" s="19"/>
      <c r="AJL24" s="19"/>
      <c r="AJM24" s="19"/>
      <c r="AJN24" s="19"/>
      <c r="AJO24" s="19"/>
      <c r="AJP24" s="19"/>
      <c r="AJQ24" s="19"/>
      <c r="AJR24" s="19"/>
      <c r="AJS24" s="19"/>
      <c r="AJT24" s="19"/>
      <c r="AJU24" s="19"/>
      <c r="AJV24" s="19"/>
      <c r="AJW24" s="19"/>
      <c r="AJX24" s="19"/>
      <c r="AJY24" s="19"/>
      <c r="AJZ24" s="19"/>
      <c r="AKA24" s="19"/>
      <c r="AKB24" s="19"/>
      <c r="AKC24" s="19"/>
      <c r="AKD24" s="19"/>
      <c r="AKE24" s="19"/>
      <c r="AKF24" s="19"/>
      <c r="AKG24" s="19"/>
      <c r="AKH24" s="19"/>
      <c r="AKI24" s="19"/>
      <c r="AKJ24" s="19"/>
      <c r="AKK24" s="19"/>
      <c r="AKL24" s="19"/>
      <c r="AKM24" s="19"/>
      <c r="AKN24" s="19"/>
      <c r="AKO24" s="19"/>
      <c r="AKP24" s="19"/>
      <c r="AKQ24" s="19"/>
      <c r="AKR24" s="19"/>
      <c r="AKS24" s="19"/>
      <c r="AKT24" s="19"/>
      <c r="AKU24" s="19"/>
      <c r="AKV24" s="19"/>
      <c r="AKW24" s="19"/>
      <c r="AKX24" s="19"/>
      <c r="AKY24" s="19"/>
      <c r="AKZ24" s="19"/>
      <c r="ALA24" s="19"/>
      <c r="ALB24" s="19"/>
      <c r="ALC24" s="19"/>
      <c r="ALD24" s="19"/>
      <c r="ALE24" s="19"/>
      <c r="ALF24" s="19"/>
      <c r="ALG24" s="19"/>
      <c r="ALH24" s="19"/>
      <c r="ALI24" s="19"/>
      <c r="ALJ24" s="19"/>
      <c r="ALK24" s="19"/>
      <c r="ALL24" s="19"/>
      <c r="ALM24" s="19"/>
      <c r="ALN24" s="19"/>
      <c r="ALO24" s="19"/>
      <c r="ALP24" s="19"/>
      <c r="ALQ24" s="19"/>
      <c r="ALR24" s="19"/>
      <c r="ALS24" s="19"/>
      <c r="ALT24" s="19"/>
      <c r="ALU24" s="19"/>
      <c r="ALV24" s="19"/>
      <c r="ALW24" s="19"/>
      <c r="ALX24" s="19"/>
      <c r="ALY24" s="19"/>
      <c r="ALZ24" s="19"/>
      <c r="AMA24" s="19"/>
      <c r="AMB24" s="19"/>
      <c r="AMC24" s="19"/>
      <c r="AMD24" s="19"/>
      <c r="AME24" s="19"/>
      <c r="AMF24" s="19"/>
      <c r="AMG24" s="19"/>
      <c r="AMH24" s="19"/>
      <c r="AMI24" s="19"/>
      <c r="AMJ24" s="19"/>
      <c r="AMK24" s="19"/>
      <c r="AML24" s="19"/>
      <c r="AMM24" s="19"/>
      <c r="AMN24" s="19"/>
      <c r="AMO24" s="19"/>
      <c r="AMP24" s="19"/>
      <c r="AMQ24" s="19"/>
      <c r="AMR24" s="19"/>
      <c r="AMS24" s="19"/>
      <c r="AMT24" s="19"/>
      <c r="AMU24" s="19"/>
      <c r="AMV24" s="19"/>
      <c r="AMW24" s="19"/>
      <c r="AMX24" s="19"/>
      <c r="AMY24" s="19"/>
      <c r="AMZ24" s="19"/>
      <c r="ANA24" s="19"/>
      <c r="ANB24" s="19"/>
      <c r="ANC24" s="19"/>
      <c r="AND24" s="19"/>
      <c r="ANE24" s="19"/>
      <c r="ANF24" s="19"/>
      <c r="ANG24" s="19"/>
      <c r="ANH24" s="19"/>
      <c r="ANI24" s="19"/>
      <c r="ANJ24" s="19"/>
      <c r="ANK24" s="19"/>
      <c r="ANL24" s="19"/>
      <c r="ANM24" s="19"/>
      <c r="ANN24" s="19"/>
      <c r="ANO24" s="19"/>
      <c r="ANP24" s="19"/>
      <c r="ANQ24" s="19"/>
      <c r="ANR24" s="19"/>
      <c r="ANS24" s="19"/>
      <c r="ANT24" s="19"/>
      <c r="ANU24" s="19"/>
      <c r="ANV24" s="19"/>
      <c r="ANW24" s="19"/>
      <c r="ANX24" s="19"/>
      <c r="ANY24" s="19"/>
      <c r="ANZ24" s="19"/>
      <c r="AOA24" s="19"/>
      <c r="AOB24" s="19"/>
      <c r="AOC24" s="19"/>
      <c r="AOD24" s="19"/>
      <c r="AOE24" s="19"/>
      <c r="AOF24" s="19"/>
      <c r="AOG24" s="19"/>
      <c r="AOH24" s="19"/>
      <c r="AOI24" s="19"/>
      <c r="AOJ24" s="19"/>
      <c r="AOK24" s="19"/>
      <c r="AOL24" s="19"/>
      <c r="AOM24" s="19"/>
      <c r="AON24" s="19"/>
      <c r="AOO24" s="19"/>
      <c r="AOP24" s="19"/>
      <c r="AOQ24" s="19"/>
      <c r="AOR24" s="19"/>
      <c r="AOS24" s="19"/>
      <c r="AOT24" s="19"/>
      <c r="AOU24" s="19"/>
      <c r="AOV24" s="19"/>
      <c r="AOW24" s="19"/>
      <c r="AOX24" s="19"/>
      <c r="AOY24" s="19"/>
      <c r="AOZ24" s="19"/>
      <c r="APA24" s="19"/>
      <c r="APB24" s="19"/>
      <c r="APC24" s="19"/>
      <c r="APD24" s="19"/>
      <c r="APE24" s="19"/>
      <c r="APF24" s="19"/>
      <c r="APG24" s="19"/>
      <c r="APH24" s="19"/>
      <c r="API24" s="19"/>
      <c r="APJ24" s="19"/>
      <c r="APK24" s="19"/>
      <c r="APL24" s="19"/>
      <c r="APM24" s="19"/>
      <c r="APN24" s="19"/>
      <c r="APO24" s="19"/>
      <c r="APP24" s="19"/>
      <c r="APQ24" s="19"/>
      <c r="APR24" s="19"/>
      <c r="APS24" s="19"/>
      <c r="APT24" s="19"/>
      <c r="APU24" s="19"/>
      <c r="APV24" s="19"/>
      <c r="APW24" s="19"/>
      <c r="APX24" s="19"/>
      <c r="APY24" s="19"/>
      <c r="APZ24" s="19"/>
      <c r="AQA24" s="19"/>
      <c r="AQB24" s="19"/>
      <c r="AQC24" s="19"/>
      <c r="AQD24" s="19"/>
      <c r="AQE24" s="19"/>
      <c r="AQF24" s="19"/>
      <c r="AQG24" s="19"/>
      <c r="AQH24" s="19"/>
      <c r="AQI24" s="19"/>
      <c r="AQJ24" s="19"/>
      <c r="AQK24" s="19"/>
      <c r="AQL24" s="19"/>
      <c r="AQM24" s="19"/>
      <c r="AQN24" s="19"/>
      <c r="AQO24" s="19"/>
      <c r="AQP24" s="19"/>
      <c r="AQQ24" s="19"/>
      <c r="AQR24" s="19"/>
      <c r="AQS24" s="19"/>
      <c r="AQT24" s="19"/>
      <c r="AQU24" s="19"/>
      <c r="AQV24" s="19"/>
      <c r="AQW24" s="19"/>
      <c r="AQX24" s="19"/>
      <c r="AQY24" s="19"/>
      <c r="AQZ24" s="19"/>
      <c r="ARA24" s="19"/>
      <c r="ARB24" s="19"/>
      <c r="ARC24" s="19"/>
      <c r="ARD24" s="19"/>
      <c r="ARE24" s="19"/>
      <c r="ARF24" s="19"/>
      <c r="ARG24" s="19"/>
      <c r="ARH24" s="19"/>
      <c r="ARI24" s="19"/>
      <c r="ARJ24" s="19"/>
      <c r="ARK24" s="19"/>
      <c r="ARL24" s="19"/>
      <c r="ARM24" s="19"/>
      <c r="ARN24" s="19"/>
      <c r="ARO24" s="19"/>
      <c r="ARP24" s="19"/>
      <c r="ARQ24" s="19"/>
      <c r="ARR24" s="19"/>
      <c r="ARS24" s="19"/>
      <c r="ART24" s="19"/>
      <c r="ARU24" s="19"/>
      <c r="ARV24" s="19"/>
      <c r="ARW24" s="19"/>
      <c r="ARX24" s="19"/>
      <c r="ARY24" s="19"/>
      <c r="ARZ24" s="19"/>
      <c r="ASA24" s="19"/>
      <c r="ASB24" s="19"/>
      <c r="ASC24" s="19"/>
      <c r="ASD24" s="19"/>
      <c r="ASE24" s="19"/>
      <c r="ASF24" s="19"/>
      <c r="ASG24" s="19"/>
      <c r="ASH24" s="19"/>
      <c r="ASI24" s="19"/>
      <c r="ASJ24" s="19"/>
      <c r="ASK24" s="19"/>
      <c r="ASL24" s="19"/>
      <c r="ASM24" s="19"/>
      <c r="ASN24" s="19"/>
      <c r="ASO24" s="19"/>
      <c r="ASP24" s="19"/>
      <c r="ASQ24" s="19"/>
      <c r="ASR24" s="19"/>
      <c r="ASS24" s="19"/>
      <c r="AST24" s="19"/>
      <c r="ASU24" s="19"/>
      <c r="ASV24" s="19"/>
      <c r="ASW24" s="19"/>
      <c r="ASX24" s="19"/>
      <c r="ASY24" s="19"/>
      <c r="ASZ24" s="19"/>
      <c r="ATA24" s="19"/>
      <c r="ATB24" s="19"/>
      <c r="ATC24" s="19"/>
      <c r="ATD24" s="19"/>
      <c r="ATE24" s="19"/>
      <c r="ATF24" s="19"/>
      <c r="ATG24" s="19"/>
      <c r="ATH24" s="19"/>
      <c r="ATI24" s="19"/>
      <c r="ATJ24" s="19"/>
      <c r="ATK24" s="19"/>
      <c r="ATL24" s="19"/>
      <c r="ATM24" s="19"/>
      <c r="ATN24" s="19"/>
      <c r="ATO24" s="19"/>
      <c r="ATP24" s="19"/>
      <c r="ATQ24" s="19"/>
      <c r="ATR24" s="19"/>
      <c r="ATS24" s="19"/>
      <c r="ATT24" s="19"/>
      <c r="ATU24" s="19"/>
      <c r="ATV24" s="19"/>
      <c r="ATW24" s="19"/>
      <c r="ATX24" s="19"/>
      <c r="ATY24" s="19"/>
      <c r="ATZ24" s="19"/>
      <c r="AUA24" s="19"/>
      <c r="AUB24" s="19"/>
      <c r="AUC24" s="19"/>
      <c r="AUD24" s="19"/>
      <c r="AUE24" s="19"/>
      <c r="AUF24" s="19"/>
      <c r="AUG24" s="19"/>
      <c r="AUH24" s="19"/>
      <c r="AUI24" s="19"/>
      <c r="AUJ24" s="19"/>
      <c r="AUK24" s="19"/>
      <c r="AUL24" s="19"/>
      <c r="AUM24" s="19"/>
      <c r="AUN24" s="19"/>
      <c r="AUO24" s="19"/>
      <c r="AUP24" s="19"/>
      <c r="AUQ24" s="19"/>
      <c r="AUR24" s="19"/>
      <c r="AUS24" s="19"/>
      <c r="AUT24" s="19"/>
      <c r="AUU24" s="19"/>
      <c r="AUV24" s="19"/>
      <c r="AUW24" s="19"/>
      <c r="AUX24" s="19"/>
      <c r="AUY24" s="19"/>
      <c r="AUZ24" s="19"/>
      <c r="AVA24" s="19"/>
      <c r="AVB24" s="19"/>
      <c r="AVC24" s="19"/>
      <c r="AVD24" s="19"/>
      <c r="AVE24" s="19"/>
      <c r="AVF24" s="19"/>
      <c r="AVG24" s="19"/>
      <c r="AVH24" s="19"/>
      <c r="AVI24" s="19"/>
      <c r="AVJ24" s="19"/>
      <c r="AVK24" s="19"/>
      <c r="AVL24" s="19"/>
      <c r="AVM24" s="19"/>
      <c r="AVN24" s="19"/>
      <c r="AVO24" s="19"/>
      <c r="AVP24" s="19"/>
      <c r="AVQ24" s="19"/>
      <c r="AVR24" s="19"/>
      <c r="AVS24" s="19"/>
      <c r="AVT24" s="19"/>
      <c r="AVU24" s="19"/>
      <c r="AVV24" s="19"/>
      <c r="AVW24" s="19"/>
      <c r="AVX24" s="19"/>
      <c r="AVY24" s="19"/>
      <c r="AVZ24" s="19"/>
      <c r="AWA24" s="19"/>
      <c r="AWB24" s="19"/>
      <c r="AWC24" s="19"/>
      <c r="AWD24" s="19"/>
      <c r="AWE24" s="19"/>
      <c r="AWF24" s="19"/>
      <c r="AWG24" s="19"/>
      <c r="AWH24" s="19"/>
      <c r="AWI24" s="19"/>
      <c r="AWJ24" s="19"/>
      <c r="AWK24" s="19"/>
      <c r="AWL24" s="19"/>
      <c r="AWM24" s="19"/>
      <c r="AWN24" s="19"/>
      <c r="AWO24" s="19"/>
      <c r="AWP24" s="19"/>
      <c r="AWQ24" s="19"/>
      <c r="AWR24" s="19"/>
      <c r="AWS24" s="19"/>
      <c r="AWT24" s="19"/>
      <c r="AWU24" s="19"/>
      <c r="AWV24" s="19"/>
      <c r="AWW24" s="19"/>
      <c r="AWX24" s="19"/>
      <c r="AWY24" s="19"/>
      <c r="AWZ24" s="19"/>
      <c r="AXA24" s="19"/>
      <c r="AXB24" s="19"/>
      <c r="AXC24" s="19"/>
      <c r="AXD24" s="19"/>
      <c r="AXE24" s="19"/>
      <c r="AXF24" s="19"/>
      <c r="AXG24" s="19"/>
      <c r="AXH24" s="19"/>
      <c r="AXI24" s="19"/>
      <c r="AXJ24" s="19"/>
      <c r="AXK24" s="19"/>
      <c r="AXL24" s="19"/>
      <c r="AXM24" s="19"/>
      <c r="AXN24" s="19"/>
      <c r="AXO24" s="19"/>
      <c r="AXP24" s="19"/>
      <c r="AXQ24" s="19"/>
      <c r="AXR24" s="19"/>
      <c r="AXS24" s="19"/>
      <c r="AXT24" s="19"/>
      <c r="AXU24" s="19"/>
      <c r="AXV24" s="19"/>
      <c r="AXW24" s="19"/>
      <c r="AXX24" s="19"/>
      <c r="AXY24" s="19"/>
      <c r="AXZ24" s="19"/>
      <c r="AYA24" s="19"/>
      <c r="AYB24" s="19"/>
      <c r="AYC24" s="19"/>
      <c r="AYD24" s="19"/>
      <c r="AYE24" s="19"/>
      <c r="AYF24" s="19"/>
      <c r="AYG24" s="19"/>
      <c r="AYH24" s="19"/>
      <c r="AYI24" s="19"/>
      <c r="AYJ24" s="19"/>
      <c r="AYK24" s="19"/>
      <c r="AYL24" s="19"/>
      <c r="AYM24" s="19"/>
      <c r="AYN24" s="19"/>
      <c r="AYO24" s="19"/>
      <c r="AYP24" s="19"/>
      <c r="AYQ24" s="19"/>
      <c r="AYR24" s="19"/>
      <c r="AYS24" s="19"/>
      <c r="AYT24" s="19"/>
      <c r="AYU24" s="19"/>
      <c r="AYV24" s="19"/>
      <c r="AYW24" s="19"/>
      <c r="AYX24" s="19"/>
      <c r="AYY24" s="19"/>
      <c r="AYZ24" s="19"/>
      <c r="AZA24" s="19"/>
      <c r="AZB24" s="19"/>
      <c r="AZC24" s="19"/>
      <c r="AZD24" s="19"/>
      <c r="AZE24" s="19"/>
      <c r="AZF24" s="19"/>
      <c r="AZG24" s="19"/>
      <c r="AZH24" s="19"/>
      <c r="AZI24" s="19"/>
      <c r="AZJ24" s="19"/>
      <c r="AZK24" s="19"/>
      <c r="AZL24" s="19"/>
      <c r="AZM24" s="19"/>
      <c r="AZN24" s="19"/>
      <c r="AZO24" s="19"/>
      <c r="AZP24" s="19"/>
      <c r="AZQ24" s="19"/>
      <c r="AZR24" s="19"/>
      <c r="AZS24" s="19"/>
      <c r="AZT24" s="19"/>
      <c r="AZU24" s="19"/>
      <c r="AZV24" s="19"/>
      <c r="AZW24" s="19"/>
      <c r="AZX24" s="19"/>
      <c r="AZY24" s="19"/>
      <c r="AZZ24" s="19"/>
      <c r="BAA24" s="19"/>
      <c r="BAB24" s="19"/>
      <c r="BAC24" s="19"/>
      <c r="BAD24" s="19"/>
      <c r="BAE24" s="19"/>
      <c r="BAF24" s="19"/>
      <c r="BAG24" s="19"/>
      <c r="BAH24" s="19"/>
      <c r="BAI24" s="19"/>
      <c r="BAJ24" s="19"/>
      <c r="BAK24" s="19"/>
      <c r="BAL24" s="19"/>
      <c r="BAM24" s="19"/>
      <c r="BAN24" s="19"/>
      <c r="BAO24" s="19"/>
      <c r="BAP24" s="19"/>
      <c r="BAQ24" s="19"/>
      <c r="BAR24" s="19"/>
      <c r="BAS24" s="19"/>
      <c r="BAT24" s="19"/>
      <c r="BAU24" s="19"/>
      <c r="BAV24" s="19"/>
      <c r="BAW24" s="19"/>
      <c r="BAX24" s="19"/>
      <c r="BAY24" s="19"/>
      <c r="BAZ24" s="19"/>
      <c r="BBA24" s="19"/>
      <c r="BBB24" s="19"/>
      <c r="BBC24" s="19"/>
      <c r="BBD24" s="19"/>
      <c r="BBE24" s="19"/>
      <c r="BBF24" s="19"/>
      <c r="BBG24" s="19"/>
      <c r="BBH24" s="19"/>
      <c r="BBI24" s="19"/>
      <c r="BBJ24" s="19"/>
      <c r="BBK24" s="19"/>
      <c r="BBL24" s="19"/>
      <c r="BBM24" s="19"/>
      <c r="BBN24" s="19"/>
      <c r="BBO24" s="19"/>
      <c r="BBP24" s="19"/>
      <c r="BBQ24" s="19"/>
      <c r="BBR24" s="19"/>
      <c r="BBS24" s="19"/>
      <c r="BBT24" s="19"/>
      <c r="BBU24" s="19"/>
      <c r="BBV24" s="19"/>
      <c r="BBW24" s="19"/>
      <c r="BBX24" s="19"/>
      <c r="BBY24" s="19"/>
      <c r="BBZ24" s="19"/>
      <c r="BCA24" s="19"/>
      <c r="BCB24" s="19"/>
      <c r="BCC24" s="19"/>
      <c r="BCD24" s="19"/>
      <c r="BCE24" s="19"/>
      <c r="BCF24" s="19"/>
      <c r="BCG24" s="19"/>
      <c r="BCH24" s="19"/>
      <c r="BCI24" s="19"/>
      <c r="BCJ24" s="19"/>
      <c r="BCK24" s="19"/>
      <c r="BCL24" s="19"/>
      <c r="BCM24" s="19"/>
      <c r="BCN24" s="19"/>
      <c r="BCO24" s="19"/>
      <c r="BCP24" s="19"/>
      <c r="BCQ24" s="19"/>
      <c r="BCR24" s="19"/>
      <c r="BCS24" s="19"/>
      <c r="BCT24" s="19"/>
      <c r="BCU24" s="19"/>
      <c r="BCV24" s="19"/>
      <c r="BCW24" s="19"/>
      <c r="BCX24" s="19"/>
      <c r="BCY24" s="19"/>
      <c r="BCZ24" s="19"/>
      <c r="BDA24" s="19"/>
      <c r="BDB24" s="19"/>
      <c r="BDC24" s="19"/>
      <c r="BDD24" s="19"/>
      <c r="BDE24" s="19"/>
      <c r="BDF24" s="19"/>
      <c r="BDG24" s="19"/>
      <c r="BDH24" s="19"/>
      <c r="BDI24" s="19"/>
      <c r="BDJ24" s="19"/>
      <c r="BDK24" s="19"/>
      <c r="BDL24" s="19"/>
      <c r="BDM24" s="19"/>
      <c r="BDN24" s="19"/>
      <c r="BDO24" s="19"/>
      <c r="BDP24" s="19"/>
      <c r="BDQ24" s="19"/>
      <c r="BDR24" s="19"/>
      <c r="BDS24" s="19"/>
      <c r="BDT24" s="19"/>
      <c r="BDU24" s="19"/>
      <c r="BDV24" s="19"/>
      <c r="BDW24" s="19"/>
      <c r="BDX24" s="19"/>
      <c r="BDY24" s="19"/>
      <c r="BDZ24" s="19"/>
      <c r="BEA24" s="19"/>
      <c r="BEB24" s="19"/>
      <c r="BEC24" s="19"/>
      <c r="BED24" s="19"/>
      <c r="BEE24" s="19"/>
      <c r="BEF24" s="19"/>
      <c r="BEG24" s="19"/>
      <c r="BEH24" s="19"/>
      <c r="BEI24" s="19"/>
      <c r="BEJ24" s="19"/>
      <c r="BEK24" s="19"/>
      <c r="BEL24" s="19"/>
      <c r="BEM24" s="19"/>
      <c r="BEN24" s="19"/>
      <c r="BEO24" s="19"/>
      <c r="BEP24" s="19"/>
      <c r="BEQ24" s="19"/>
      <c r="BER24" s="19"/>
      <c r="BES24" s="19"/>
      <c r="BET24" s="19"/>
      <c r="BEU24" s="19"/>
      <c r="BEV24" s="19"/>
      <c r="BEW24" s="19"/>
      <c r="BEX24" s="19"/>
      <c r="BEY24" s="19"/>
      <c r="BEZ24" s="19"/>
      <c r="BFA24" s="19"/>
      <c r="BFB24" s="19"/>
      <c r="BFC24" s="19"/>
      <c r="BFD24" s="19"/>
      <c r="BFE24" s="19"/>
      <c r="BFF24" s="19"/>
      <c r="BFG24" s="19"/>
      <c r="BFH24" s="19"/>
      <c r="BFI24" s="19"/>
      <c r="BFJ24" s="19"/>
      <c r="BFK24" s="19"/>
      <c r="BFL24" s="19"/>
      <c r="BFM24" s="19"/>
      <c r="BFN24" s="19"/>
      <c r="BFO24" s="19"/>
      <c r="BFP24" s="19"/>
      <c r="BFQ24" s="19"/>
      <c r="BFR24" s="19"/>
      <c r="BFS24" s="19"/>
      <c r="BFT24" s="19"/>
      <c r="BFU24" s="19"/>
      <c r="BFV24" s="19"/>
      <c r="BFW24" s="19"/>
      <c r="BFX24" s="19"/>
      <c r="BFY24" s="19"/>
      <c r="BFZ24" s="19"/>
      <c r="BGA24" s="19"/>
      <c r="BGB24" s="19"/>
      <c r="BGC24" s="19"/>
      <c r="BGD24" s="19"/>
      <c r="BGE24" s="19"/>
      <c r="BGF24" s="19"/>
      <c r="BGG24" s="19"/>
      <c r="BGH24" s="19"/>
      <c r="BGI24" s="19"/>
      <c r="BGJ24" s="19"/>
      <c r="BGK24" s="19"/>
      <c r="BGL24" s="19"/>
      <c r="BGM24" s="19"/>
      <c r="BGN24" s="19"/>
      <c r="BGO24" s="19"/>
      <c r="BGP24" s="19"/>
      <c r="BGQ24" s="19"/>
      <c r="BGR24" s="19"/>
      <c r="BGS24" s="19"/>
      <c r="BGT24" s="19"/>
      <c r="BGU24" s="19"/>
      <c r="BGV24" s="19"/>
      <c r="BGW24" s="19"/>
      <c r="BGX24" s="19"/>
      <c r="BGY24" s="19"/>
      <c r="BGZ24" s="19"/>
      <c r="BHA24" s="19"/>
      <c r="BHB24" s="19"/>
      <c r="BHC24" s="19"/>
      <c r="BHD24" s="19"/>
      <c r="BHE24" s="19"/>
      <c r="BHF24" s="19"/>
      <c r="BHG24" s="19"/>
      <c r="BHH24" s="19"/>
      <c r="BHI24" s="19"/>
      <c r="BHJ24" s="19"/>
      <c r="BHK24" s="19"/>
      <c r="BHL24" s="19"/>
      <c r="BHM24" s="19"/>
      <c r="BHN24" s="19"/>
      <c r="BHO24" s="19"/>
      <c r="BHP24" s="19"/>
      <c r="BHQ24" s="19"/>
      <c r="BHR24" s="19"/>
      <c r="BHS24" s="19"/>
      <c r="BHT24" s="19"/>
      <c r="BHU24" s="19"/>
      <c r="BHV24" s="19"/>
      <c r="BHW24" s="19"/>
      <c r="BHX24" s="19"/>
      <c r="BHY24" s="19"/>
      <c r="BHZ24" s="19"/>
      <c r="BIA24" s="19"/>
      <c r="BIB24" s="19"/>
      <c r="BIC24" s="19"/>
      <c r="BID24" s="19"/>
      <c r="BIE24" s="19"/>
      <c r="BIF24" s="19"/>
      <c r="BIG24" s="19"/>
      <c r="BIH24" s="19"/>
      <c r="BII24" s="19"/>
      <c r="BIJ24" s="19"/>
      <c r="BIK24" s="19"/>
      <c r="BIL24" s="19"/>
      <c r="BIM24" s="19"/>
      <c r="BIN24" s="19"/>
      <c r="BIO24" s="19"/>
      <c r="BIP24" s="19"/>
      <c r="BIQ24" s="19"/>
      <c r="BIR24" s="19"/>
      <c r="BIS24" s="19"/>
      <c r="BIT24" s="19"/>
      <c r="BIU24" s="19"/>
      <c r="BIV24" s="19"/>
      <c r="BIW24" s="19"/>
      <c r="BIX24" s="19"/>
      <c r="BIY24" s="19"/>
      <c r="BIZ24" s="19"/>
      <c r="BJA24" s="19"/>
      <c r="BJB24" s="19"/>
      <c r="BJC24" s="19"/>
      <c r="BJD24" s="19"/>
      <c r="BJE24" s="19"/>
      <c r="BJF24" s="19"/>
      <c r="BJG24" s="19"/>
      <c r="BJH24" s="19"/>
      <c r="BJI24" s="19"/>
      <c r="BJJ24" s="19"/>
      <c r="BJK24" s="19"/>
      <c r="BJL24" s="19"/>
      <c r="BJM24" s="19"/>
      <c r="BJN24" s="19"/>
      <c r="BJO24" s="19"/>
      <c r="BJP24" s="19"/>
      <c r="BJQ24" s="19"/>
      <c r="BJR24" s="19"/>
      <c r="BJS24" s="19"/>
      <c r="BJT24" s="19"/>
      <c r="BJU24" s="19"/>
      <c r="BJV24" s="19"/>
      <c r="BJW24" s="19"/>
      <c r="BJX24" s="19"/>
      <c r="BJY24" s="19"/>
      <c r="BJZ24" s="19"/>
      <c r="BKA24" s="19"/>
      <c r="BKB24" s="19"/>
      <c r="BKC24" s="19"/>
      <c r="BKD24" s="19"/>
      <c r="BKE24" s="19"/>
      <c r="BKF24" s="19"/>
      <c r="BKG24" s="19"/>
      <c r="BKH24" s="19"/>
      <c r="BKI24" s="19"/>
      <c r="BKJ24" s="19"/>
      <c r="BKK24" s="19"/>
      <c r="BKL24" s="19"/>
      <c r="BKM24" s="19"/>
      <c r="BKN24" s="19"/>
      <c r="BKO24" s="19"/>
      <c r="BKP24" s="19"/>
      <c r="BKQ24" s="19"/>
      <c r="BKR24" s="19"/>
      <c r="BKS24" s="19"/>
      <c r="BKT24" s="19"/>
      <c r="BKU24" s="19"/>
      <c r="BKV24" s="19"/>
      <c r="BKW24" s="19"/>
      <c r="BKX24" s="19"/>
      <c r="BKY24" s="19"/>
      <c r="BKZ24" s="19"/>
      <c r="BLA24" s="19"/>
      <c r="BLB24" s="19"/>
      <c r="BLC24" s="19"/>
      <c r="BLD24" s="19"/>
      <c r="BLE24" s="19"/>
      <c r="BLF24" s="19"/>
      <c r="BLG24" s="19"/>
      <c r="BLH24" s="19"/>
      <c r="BLI24" s="19"/>
      <c r="BLJ24" s="19"/>
      <c r="BLK24" s="19"/>
      <c r="BLL24" s="19"/>
      <c r="BLM24" s="19"/>
      <c r="BLN24" s="19"/>
      <c r="BLO24" s="19"/>
      <c r="BLP24" s="19"/>
      <c r="BLQ24" s="19"/>
      <c r="BLR24" s="19"/>
      <c r="BLS24" s="19"/>
      <c r="BLT24" s="19"/>
      <c r="BLU24" s="19"/>
      <c r="BLV24" s="19"/>
      <c r="BLW24" s="19"/>
      <c r="BLX24" s="19"/>
      <c r="BLY24" s="19"/>
      <c r="BLZ24" s="19"/>
      <c r="BMA24" s="19"/>
      <c r="BMB24" s="19"/>
      <c r="BMC24" s="19"/>
      <c r="BMD24" s="19"/>
      <c r="BME24" s="19"/>
      <c r="BMF24" s="19"/>
      <c r="BMG24" s="19"/>
      <c r="BMH24" s="19"/>
      <c r="BMI24" s="19"/>
      <c r="BMJ24" s="19"/>
      <c r="BMK24" s="19"/>
      <c r="BML24" s="19"/>
      <c r="BMM24" s="19"/>
      <c r="BMN24" s="19"/>
      <c r="BMO24" s="19"/>
      <c r="BMP24" s="19"/>
      <c r="BMQ24" s="19"/>
      <c r="BMR24" s="19"/>
      <c r="BMS24" s="19"/>
      <c r="BMT24" s="19"/>
      <c r="BMU24" s="19"/>
      <c r="BMV24" s="19"/>
      <c r="BMW24" s="19"/>
      <c r="BMX24" s="19"/>
      <c r="BMY24" s="19"/>
      <c r="BMZ24" s="19"/>
      <c r="BNA24" s="19"/>
      <c r="BNB24" s="19"/>
      <c r="BNC24" s="19"/>
      <c r="BND24" s="19"/>
      <c r="BNE24" s="19"/>
      <c r="BNF24" s="19"/>
      <c r="BNG24" s="19"/>
      <c r="BNH24" s="19"/>
      <c r="BNI24" s="19"/>
      <c r="BNJ24" s="19"/>
      <c r="BNK24" s="19"/>
      <c r="BNL24" s="19"/>
      <c r="BNM24" s="19"/>
      <c r="BNN24" s="19"/>
      <c r="BNO24" s="19"/>
      <c r="BNP24" s="19"/>
      <c r="BNQ24" s="19"/>
      <c r="BNR24" s="19"/>
      <c r="BNS24" s="19"/>
      <c r="BNT24" s="19"/>
      <c r="BNU24" s="19"/>
      <c r="BNV24" s="19"/>
      <c r="BNW24" s="19"/>
      <c r="BNX24" s="19"/>
      <c r="BNY24" s="19"/>
      <c r="BNZ24" s="19"/>
      <c r="BOA24" s="19"/>
      <c r="BOB24" s="19"/>
      <c r="BOC24" s="19"/>
      <c r="BOD24" s="19"/>
      <c r="BOE24" s="19"/>
      <c r="BOF24" s="19"/>
      <c r="BOG24" s="19"/>
      <c r="BOH24" s="19"/>
      <c r="BOI24" s="19"/>
      <c r="BOJ24" s="19"/>
      <c r="BOK24" s="19"/>
      <c r="BOL24" s="19"/>
      <c r="BOM24" s="19"/>
      <c r="BON24" s="19"/>
      <c r="BOO24" s="19"/>
      <c r="BOP24" s="19"/>
      <c r="BOQ24" s="19"/>
      <c r="BOR24" s="19"/>
      <c r="BOS24" s="19"/>
      <c r="BOT24" s="19"/>
      <c r="BOU24" s="19"/>
      <c r="BOV24" s="19"/>
      <c r="BOW24" s="19"/>
      <c r="BOX24" s="19"/>
      <c r="BOY24" s="19"/>
      <c r="BOZ24" s="19"/>
      <c r="BPA24" s="19"/>
      <c r="BPB24" s="19"/>
      <c r="BPC24" s="19"/>
      <c r="BPD24" s="19"/>
      <c r="BPE24" s="19"/>
      <c r="BPF24" s="19"/>
      <c r="BPG24" s="19"/>
      <c r="BPH24" s="19"/>
      <c r="BPI24" s="19"/>
      <c r="BPJ24" s="19"/>
      <c r="BPK24" s="19"/>
      <c r="BPL24" s="19"/>
      <c r="BPM24" s="19"/>
      <c r="BPN24" s="19"/>
      <c r="BPO24" s="19"/>
      <c r="BPP24" s="19"/>
      <c r="BPQ24" s="19"/>
      <c r="BPR24" s="19"/>
      <c r="BPS24" s="19"/>
      <c r="BPT24" s="19"/>
      <c r="BPU24" s="19"/>
      <c r="BPV24" s="19"/>
      <c r="BPW24" s="19"/>
      <c r="BPX24" s="19"/>
      <c r="BPY24" s="19"/>
      <c r="BPZ24" s="19"/>
      <c r="BQA24" s="19"/>
      <c r="BQB24" s="19"/>
      <c r="BQC24" s="19"/>
      <c r="BQD24" s="19"/>
      <c r="BQE24" s="19"/>
      <c r="BQF24" s="19"/>
      <c r="BQG24" s="19"/>
      <c r="BQH24" s="19"/>
      <c r="BQI24" s="19"/>
      <c r="BQJ24" s="19"/>
      <c r="BQK24" s="19"/>
      <c r="BQL24" s="19"/>
      <c r="BQM24" s="19"/>
      <c r="BQN24" s="19"/>
      <c r="BQO24" s="19"/>
      <c r="BQP24" s="19"/>
      <c r="BQQ24" s="19"/>
      <c r="BQR24" s="19"/>
      <c r="BQS24" s="19"/>
      <c r="BQT24" s="19"/>
      <c r="BQU24" s="19"/>
      <c r="BQV24" s="19"/>
      <c r="BQW24" s="19"/>
      <c r="BQX24" s="19"/>
      <c r="BQY24" s="19"/>
      <c r="BQZ24" s="19"/>
      <c r="BRA24" s="19"/>
      <c r="BRB24" s="19"/>
      <c r="BRC24" s="19"/>
      <c r="BRD24" s="19"/>
      <c r="BRE24" s="19"/>
      <c r="BRF24" s="19"/>
      <c r="BRG24" s="19"/>
      <c r="BRH24" s="19"/>
      <c r="BRI24" s="19"/>
      <c r="BRJ24" s="19"/>
      <c r="BRK24" s="19"/>
      <c r="BRL24" s="19"/>
      <c r="BRM24" s="19"/>
      <c r="BRN24" s="19"/>
      <c r="BRO24" s="19"/>
      <c r="BRP24" s="19"/>
      <c r="BRQ24" s="19"/>
      <c r="BRR24" s="19"/>
      <c r="BRS24" s="19"/>
      <c r="BRT24" s="19"/>
      <c r="BRU24" s="19"/>
      <c r="BRV24" s="19"/>
      <c r="BRW24" s="19"/>
      <c r="BRX24" s="19"/>
      <c r="BRY24" s="19"/>
      <c r="BRZ24" s="19"/>
      <c r="BSA24" s="19"/>
      <c r="BSB24" s="19"/>
      <c r="BSC24" s="19"/>
      <c r="BSD24" s="19"/>
      <c r="BSE24" s="19"/>
      <c r="BSF24" s="19"/>
      <c r="BSG24" s="19"/>
      <c r="BSH24" s="19"/>
      <c r="BSI24" s="19"/>
      <c r="BSJ24" s="19"/>
      <c r="BSK24" s="19"/>
      <c r="BSL24" s="19"/>
      <c r="BSM24" s="19"/>
      <c r="BSN24" s="19"/>
      <c r="BSO24" s="19"/>
      <c r="BSP24" s="19"/>
      <c r="BSQ24" s="19"/>
      <c r="BSR24" s="19"/>
      <c r="BSS24" s="19"/>
      <c r="BST24" s="19"/>
      <c r="BSU24" s="19"/>
      <c r="BSV24" s="19"/>
      <c r="BSW24" s="19"/>
      <c r="BSX24" s="19"/>
      <c r="BSY24" s="19"/>
      <c r="BSZ24" s="19"/>
      <c r="BTA24" s="19"/>
      <c r="BTB24" s="19"/>
      <c r="BTC24" s="19"/>
      <c r="BTD24" s="19"/>
      <c r="BTE24" s="19"/>
      <c r="BTF24" s="19"/>
      <c r="BTG24" s="19"/>
      <c r="BTH24" s="19"/>
      <c r="BTI24" s="19"/>
      <c r="BTJ24" s="19"/>
      <c r="BTK24" s="19"/>
      <c r="BTL24" s="19"/>
      <c r="BTM24" s="19"/>
      <c r="BTN24" s="19"/>
      <c r="BTO24" s="19"/>
      <c r="BTP24" s="19"/>
      <c r="BTQ24" s="19"/>
      <c r="BTR24" s="19"/>
      <c r="BTS24" s="19"/>
      <c r="BTT24" s="19"/>
      <c r="BTU24" s="19"/>
      <c r="BTV24" s="19"/>
      <c r="BTW24" s="19"/>
      <c r="BTX24" s="19"/>
      <c r="BTY24" s="19"/>
      <c r="BTZ24" s="19"/>
      <c r="BUA24" s="19"/>
      <c r="BUB24" s="19"/>
      <c r="BUC24" s="19"/>
      <c r="BUD24" s="19"/>
      <c r="BUE24" s="19"/>
      <c r="BUF24" s="19"/>
      <c r="BUG24" s="19"/>
      <c r="BUH24" s="19"/>
      <c r="BUI24" s="19"/>
      <c r="BUJ24" s="19"/>
      <c r="BUK24" s="19"/>
      <c r="BUL24" s="19"/>
      <c r="BUM24" s="19"/>
      <c r="BUN24" s="19"/>
      <c r="BUO24" s="19"/>
      <c r="BUP24" s="19"/>
      <c r="BUQ24" s="19"/>
      <c r="BUR24" s="19"/>
      <c r="BUS24" s="19"/>
      <c r="BUT24" s="19"/>
      <c r="BUU24" s="19"/>
      <c r="BUV24" s="19"/>
      <c r="BUW24" s="19"/>
      <c r="BUX24" s="19"/>
      <c r="BUY24" s="19"/>
      <c r="BUZ24" s="19"/>
      <c r="BVA24" s="19"/>
      <c r="BVB24" s="19"/>
      <c r="BVC24" s="19"/>
      <c r="BVD24" s="19"/>
      <c r="BVE24" s="19"/>
      <c r="BVF24" s="19"/>
      <c r="BVG24" s="19"/>
      <c r="BVH24" s="19"/>
      <c r="BVI24" s="19"/>
      <c r="BVJ24" s="19"/>
      <c r="BVK24" s="19"/>
      <c r="BVL24" s="19"/>
      <c r="BVM24" s="19"/>
      <c r="BVN24" s="19"/>
      <c r="BVO24" s="19"/>
      <c r="BVP24" s="19"/>
      <c r="BVQ24" s="19"/>
      <c r="BVR24" s="19"/>
      <c r="BVS24" s="19"/>
      <c r="BVT24" s="19"/>
      <c r="BVU24" s="19"/>
      <c r="BVV24" s="19"/>
      <c r="BVW24" s="19"/>
      <c r="BVX24" s="19"/>
      <c r="BVY24" s="19"/>
      <c r="BVZ24" s="19"/>
      <c r="BWA24" s="19"/>
      <c r="BWB24" s="19"/>
      <c r="BWC24" s="19"/>
      <c r="BWD24" s="19"/>
      <c r="BWE24" s="19"/>
      <c r="BWF24" s="19"/>
      <c r="BWG24" s="19"/>
      <c r="BWH24" s="19"/>
      <c r="BWI24" s="19"/>
      <c r="BWJ24" s="19"/>
      <c r="BWK24" s="19"/>
      <c r="BWL24" s="19"/>
      <c r="BWM24" s="19"/>
      <c r="BWN24" s="19"/>
      <c r="BWO24" s="19"/>
      <c r="BWP24" s="19"/>
      <c r="BWQ24" s="19"/>
      <c r="BWR24" s="19"/>
      <c r="BWS24" s="19"/>
      <c r="BWT24" s="19"/>
      <c r="BWU24" s="19"/>
      <c r="BWV24" s="19"/>
      <c r="BWW24" s="19"/>
      <c r="BWX24" s="19"/>
      <c r="BWY24" s="19"/>
      <c r="BWZ24" s="19"/>
      <c r="BXA24" s="19"/>
      <c r="BXB24" s="19"/>
      <c r="BXC24" s="19"/>
      <c r="BXD24" s="19"/>
      <c r="BXE24" s="19"/>
      <c r="BXF24" s="19"/>
      <c r="BXG24" s="19"/>
      <c r="BXH24" s="19"/>
      <c r="BXI24" s="19"/>
      <c r="BXJ24" s="19"/>
      <c r="BXK24" s="19"/>
      <c r="BXL24" s="19"/>
      <c r="BXM24" s="19"/>
      <c r="BXN24" s="19"/>
      <c r="BXO24" s="19"/>
      <c r="BXP24" s="19"/>
      <c r="BXQ24" s="19"/>
      <c r="BXR24" s="19"/>
      <c r="BXS24" s="19"/>
      <c r="BXT24" s="19"/>
      <c r="BXU24" s="19"/>
      <c r="BXV24" s="19"/>
      <c r="BXW24" s="19"/>
      <c r="BXX24" s="19"/>
      <c r="BXY24" s="19"/>
      <c r="BXZ24" s="19"/>
      <c r="BYA24" s="19"/>
      <c r="BYB24" s="19"/>
      <c r="BYC24" s="19"/>
      <c r="BYD24" s="19"/>
      <c r="BYE24" s="19"/>
      <c r="BYF24" s="19"/>
      <c r="BYG24" s="19"/>
      <c r="BYH24" s="19"/>
      <c r="BYI24" s="19"/>
      <c r="BYJ24" s="19"/>
      <c r="BYK24" s="19"/>
      <c r="BYL24" s="19"/>
      <c r="BYM24" s="19"/>
      <c r="BYN24" s="19"/>
      <c r="BYO24" s="19"/>
      <c r="BYP24" s="19"/>
      <c r="BYQ24" s="19"/>
      <c r="BYR24" s="19"/>
      <c r="BYS24" s="19"/>
      <c r="BYT24" s="19"/>
      <c r="BYU24" s="19"/>
      <c r="BYV24" s="19"/>
      <c r="BYW24" s="19"/>
      <c r="BYX24" s="19"/>
      <c r="BYY24" s="19"/>
      <c r="BYZ24" s="19"/>
      <c r="BZA24" s="19"/>
      <c r="BZB24" s="19"/>
      <c r="BZC24" s="19"/>
      <c r="BZD24" s="19"/>
      <c r="BZE24" s="19"/>
      <c r="BZF24" s="19"/>
      <c r="BZG24" s="19"/>
      <c r="BZH24" s="19"/>
      <c r="BZI24" s="19"/>
      <c r="BZJ24" s="19"/>
      <c r="BZK24" s="19"/>
      <c r="BZL24" s="19"/>
      <c r="BZM24" s="19"/>
      <c r="BZN24" s="19"/>
      <c r="BZO24" s="19"/>
      <c r="BZP24" s="19"/>
      <c r="BZQ24" s="19"/>
      <c r="BZR24" s="19"/>
      <c r="BZS24" s="19"/>
      <c r="BZT24" s="19"/>
      <c r="BZU24" s="19"/>
      <c r="BZV24" s="19"/>
      <c r="BZW24" s="19"/>
      <c r="BZX24" s="19"/>
      <c r="BZY24" s="19"/>
      <c r="BZZ24" s="19"/>
      <c r="CAA24" s="19"/>
      <c r="CAB24" s="19"/>
      <c r="CAC24" s="19"/>
      <c r="CAD24" s="19"/>
      <c r="CAE24" s="19"/>
      <c r="CAF24" s="19"/>
      <c r="CAG24" s="19"/>
      <c r="CAH24" s="19"/>
      <c r="CAI24" s="19"/>
      <c r="CAJ24" s="19"/>
      <c r="CAK24" s="19"/>
      <c r="CAL24" s="19"/>
      <c r="CAM24" s="19"/>
      <c r="CAN24" s="19"/>
      <c r="CAO24" s="19"/>
      <c r="CAP24" s="19"/>
      <c r="CAQ24" s="19"/>
      <c r="CAR24" s="19"/>
      <c r="CAS24" s="19"/>
      <c r="CAT24" s="19"/>
      <c r="CAU24" s="19"/>
      <c r="CAV24" s="19"/>
      <c r="CAW24" s="19"/>
      <c r="CAX24" s="19"/>
      <c r="CAY24" s="19"/>
      <c r="CAZ24" s="19"/>
      <c r="CBA24" s="19"/>
      <c r="CBB24" s="19"/>
      <c r="CBC24" s="19"/>
      <c r="CBD24" s="19"/>
      <c r="CBE24" s="19"/>
      <c r="CBF24" s="19"/>
      <c r="CBG24" s="19"/>
      <c r="CBH24" s="19"/>
      <c r="CBI24" s="19"/>
      <c r="CBJ24" s="19"/>
      <c r="CBK24" s="19"/>
      <c r="CBL24" s="19"/>
      <c r="CBM24" s="19"/>
      <c r="CBN24" s="19"/>
      <c r="CBO24" s="19"/>
      <c r="CBP24" s="19"/>
      <c r="CBQ24" s="19"/>
      <c r="CBR24" s="19"/>
      <c r="CBS24" s="19"/>
      <c r="CBT24" s="19"/>
      <c r="CBU24" s="19"/>
      <c r="CBV24" s="19"/>
      <c r="CBW24" s="19"/>
      <c r="CBX24" s="19"/>
      <c r="CBY24" s="19"/>
      <c r="CBZ24" s="19"/>
      <c r="CCA24" s="19"/>
      <c r="CCB24" s="19"/>
      <c r="CCC24" s="19"/>
      <c r="CCD24" s="19"/>
      <c r="CCE24" s="19"/>
      <c r="CCF24" s="19"/>
      <c r="CCG24" s="19"/>
      <c r="CCH24" s="19"/>
      <c r="CCI24" s="19"/>
      <c r="CCJ24" s="19"/>
      <c r="CCK24" s="19"/>
      <c r="CCL24" s="19"/>
      <c r="CCM24" s="19"/>
      <c r="CCN24" s="19"/>
      <c r="CCO24" s="19"/>
      <c r="CCP24" s="19"/>
      <c r="CCQ24" s="19"/>
      <c r="CCR24" s="19"/>
      <c r="CCS24" s="19"/>
      <c r="CCT24" s="19"/>
      <c r="CCU24" s="19"/>
      <c r="CCV24" s="19"/>
      <c r="CCW24" s="19"/>
      <c r="CCX24" s="19"/>
      <c r="CCY24" s="19"/>
      <c r="CCZ24" s="19"/>
      <c r="CDA24" s="19"/>
      <c r="CDB24" s="19"/>
      <c r="CDC24" s="19"/>
      <c r="CDD24" s="19"/>
      <c r="CDE24" s="19"/>
      <c r="CDF24" s="19"/>
      <c r="CDG24" s="19"/>
      <c r="CDH24" s="19"/>
      <c r="CDI24" s="19"/>
      <c r="CDJ24" s="19"/>
      <c r="CDK24" s="19"/>
      <c r="CDL24" s="19"/>
      <c r="CDM24" s="19"/>
      <c r="CDN24" s="19"/>
      <c r="CDO24" s="19"/>
      <c r="CDP24" s="19"/>
      <c r="CDQ24" s="19"/>
      <c r="CDR24" s="19"/>
      <c r="CDS24" s="19"/>
      <c r="CDT24" s="19"/>
      <c r="CDU24" s="19"/>
      <c r="CDV24" s="19"/>
      <c r="CDW24" s="19"/>
      <c r="CDX24" s="19"/>
      <c r="CDY24" s="19"/>
      <c r="CDZ24" s="19"/>
      <c r="CEA24" s="19"/>
      <c r="CEB24" s="19"/>
      <c r="CEC24" s="19"/>
      <c r="CED24" s="19"/>
      <c r="CEE24" s="19"/>
      <c r="CEF24" s="19"/>
      <c r="CEG24" s="19"/>
      <c r="CEH24" s="19"/>
      <c r="CEI24" s="19"/>
      <c r="CEJ24" s="19"/>
      <c r="CEK24" s="19"/>
      <c r="CEL24" s="19"/>
      <c r="CEM24" s="19"/>
      <c r="CEN24" s="19"/>
      <c r="CEO24" s="19"/>
      <c r="CEP24" s="19"/>
      <c r="CEQ24" s="19"/>
      <c r="CER24" s="19"/>
      <c r="CES24" s="19"/>
      <c r="CET24" s="19"/>
      <c r="CEU24" s="19"/>
      <c r="CEV24" s="19"/>
      <c r="CEW24" s="19"/>
      <c r="CEX24" s="19"/>
      <c r="CEY24" s="19"/>
      <c r="CEZ24" s="19"/>
      <c r="CFA24" s="19"/>
      <c r="CFB24" s="19"/>
      <c r="CFC24" s="19"/>
      <c r="CFD24" s="19"/>
      <c r="CFE24" s="19"/>
      <c r="CFF24" s="19"/>
      <c r="CFG24" s="19"/>
      <c r="CFH24" s="19"/>
      <c r="CFI24" s="19"/>
      <c r="CFJ24" s="19"/>
      <c r="CFK24" s="19"/>
      <c r="CFL24" s="19"/>
      <c r="CFM24" s="19"/>
      <c r="CFN24" s="19"/>
      <c r="CFO24" s="19"/>
      <c r="CFP24" s="19"/>
      <c r="CFQ24" s="19"/>
      <c r="CFR24" s="19"/>
      <c r="CFS24" s="19"/>
      <c r="CFT24" s="19"/>
      <c r="CFU24" s="19"/>
      <c r="CFV24" s="19"/>
      <c r="CFW24" s="19"/>
      <c r="CFX24" s="19"/>
      <c r="CFY24" s="19"/>
      <c r="CFZ24" s="19"/>
      <c r="CGA24" s="19"/>
      <c r="CGB24" s="19"/>
      <c r="CGC24" s="19"/>
      <c r="CGD24" s="19"/>
      <c r="CGE24" s="19"/>
      <c r="CGF24" s="19"/>
      <c r="CGG24" s="19"/>
      <c r="CGH24" s="19"/>
      <c r="CGI24" s="19"/>
      <c r="CGJ24" s="19"/>
      <c r="CGK24" s="19"/>
      <c r="CGL24" s="19"/>
      <c r="CGM24" s="19"/>
      <c r="CGN24" s="19"/>
      <c r="CGO24" s="19"/>
      <c r="CGP24" s="19"/>
      <c r="CGQ24" s="19"/>
      <c r="CGR24" s="19"/>
      <c r="CGS24" s="19"/>
      <c r="CGT24" s="19"/>
      <c r="CGU24" s="19"/>
      <c r="CGV24" s="19"/>
      <c r="CGW24" s="19"/>
      <c r="CGX24" s="19"/>
      <c r="CGY24" s="19"/>
      <c r="CGZ24" s="19"/>
      <c r="CHA24" s="19"/>
      <c r="CHB24" s="19"/>
      <c r="CHC24" s="19"/>
      <c r="CHD24" s="19"/>
      <c r="CHE24" s="19"/>
      <c r="CHF24" s="19"/>
      <c r="CHG24" s="19"/>
      <c r="CHH24" s="19"/>
      <c r="CHI24" s="19"/>
      <c r="CHJ24" s="19"/>
      <c r="CHK24" s="19"/>
      <c r="CHL24" s="19"/>
      <c r="CHM24" s="19"/>
      <c r="CHN24" s="19"/>
      <c r="CHO24" s="19"/>
      <c r="CHP24" s="19"/>
      <c r="CHQ24" s="19"/>
      <c r="CHR24" s="19"/>
      <c r="CHS24" s="19"/>
      <c r="CHT24" s="19"/>
      <c r="CHU24" s="19"/>
      <c r="CHV24" s="19"/>
      <c r="CHW24" s="19"/>
      <c r="CHX24" s="19"/>
      <c r="CHY24" s="19"/>
      <c r="CHZ24" s="19"/>
      <c r="CIA24" s="19"/>
      <c r="CIB24" s="19"/>
      <c r="CIC24" s="19"/>
      <c r="CID24" s="19"/>
      <c r="CIE24" s="19"/>
      <c r="CIF24" s="19"/>
      <c r="CIG24" s="19"/>
      <c r="CIH24" s="19"/>
      <c r="CII24" s="19"/>
      <c r="CIJ24" s="19"/>
      <c r="CIK24" s="19"/>
      <c r="CIL24" s="19"/>
      <c r="CIM24" s="19"/>
      <c r="CIN24" s="19"/>
      <c r="CIO24" s="19"/>
      <c r="CIP24" s="19"/>
      <c r="CIQ24" s="19"/>
      <c r="CIR24" s="19"/>
      <c r="CIS24" s="19"/>
      <c r="CIT24" s="19"/>
      <c r="CIU24" s="19"/>
      <c r="CIV24" s="19"/>
      <c r="CIW24" s="19"/>
      <c r="CIX24" s="19"/>
      <c r="CIY24" s="19"/>
      <c r="CIZ24" s="19"/>
      <c r="CJA24" s="19"/>
      <c r="CJB24" s="19"/>
      <c r="CJC24" s="19"/>
      <c r="CJD24" s="19"/>
      <c r="CJE24" s="19"/>
      <c r="CJF24" s="19"/>
      <c r="CJG24" s="19"/>
      <c r="CJH24" s="19"/>
      <c r="CJI24" s="19"/>
      <c r="CJJ24" s="19"/>
      <c r="CJK24" s="19"/>
      <c r="CJL24" s="19"/>
      <c r="CJM24" s="19"/>
      <c r="CJN24" s="19"/>
      <c r="CJO24" s="19"/>
      <c r="CJP24" s="19"/>
      <c r="CJQ24" s="19"/>
      <c r="CJR24" s="19"/>
      <c r="CJS24" s="19"/>
      <c r="CJT24" s="19"/>
      <c r="CJU24" s="19"/>
      <c r="CJV24" s="19"/>
      <c r="CJW24" s="19"/>
      <c r="CJX24" s="19"/>
      <c r="CJY24" s="19"/>
      <c r="CJZ24" s="19"/>
      <c r="CKA24" s="19"/>
      <c r="CKB24" s="19"/>
      <c r="CKC24" s="19"/>
      <c r="CKD24" s="19"/>
      <c r="CKE24" s="19"/>
      <c r="CKF24" s="19"/>
      <c r="CKG24" s="19"/>
      <c r="CKH24" s="19"/>
      <c r="CKI24" s="19"/>
      <c r="CKJ24" s="19"/>
      <c r="CKK24" s="19"/>
      <c r="CKL24" s="19"/>
      <c r="CKM24" s="19"/>
      <c r="CKN24" s="19"/>
      <c r="CKO24" s="19"/>
      <c r="CKP24" s="19"/>
      <c r="CKQ24" s="19"/>
      <c r="CKR24" s="19"/>
      <c r="CKS24" s="19"/>
      <c r="CKT24" s="19"/>
      <c r="CKU24" s="19"/>
      <c r="CKV24" s="19"/>
      <c r="CKW24" s="19"/>
      <c r="CKX24" s="19"/>
      <c r="CKY24" s="19"/>
      <c r="CKZ24" s="19"/>
      <c r="CLA24" s="19"/>
      <c r="CLB24" s="19"/>
      <c r="CLC24" s="19"/>
      <c r="CLD24" s="19"/>
      <c r="CLE24" s="19"/>
      <c r="CLF24" s="19"/>
      <c r="CLG24" s="19"/>
      <c r="CLH24" s="19"/>
      <c r="CLI24" s="19"/>
      <c r="CLJ24" s="19"/>
      <c r="CLK24" s="19"/>
      <c r="CLL24" s="19"/>
      <c r="CLM24" s="19"/>
      <c r="CLN24" s="19"/>
      <c r="CLO24" s="19"/>
      <c r="CLP24" s="19"/>
      <c r="CLQ24" s="19"/>
      <c r="CLR24" s="19"/>
      <c r="CLS24" s="19"/>
      <c r="CLT24" s="19"/>
      <c r="CLU24" s="19"/>
      <c r="CLV24" s="19"/>
      <c r="CLW24" s="19"/>
      <c r="CLX24" s="19"/>
      <c r="CLY24" s="19"/>
      <c r="CLZ24" s="19"/>
      <c r="CMA24" s="19"/>
      <c r="CMB24" s="19"/>
      <c r="CMC24" s="19"/>
      <c r="CMD24" s="19"/>
      <c r="CME24" s="19"/>
      <c r="CMF24" s="19"/>
      <c r="CMG24" s="19"/>
      <c r="CMH24" s="19"/>
      <c r="CMI24" s="19"/>
      <c r="CMJ24" s="19"/>
      <c r="CMK24" s="19"/>
      <c r="CML24" s="19"/>
      <c r="CMM24" s="19"/>
      <c r="CMN24" s="19"/>
      <c r="CMO24" s="19"/>
      <c r="CMP24" s="19"/>
      <c r="CMQ24" s="19"/>
      <c r="CMR24" s="19"/>
      <c r="CMS24" s="19"/>
      <c r="CMT24" s="19"/>
      <c r="CMU24" s="19"/>
      <c r="CMV24" s="19"/>
      <c r="CMW24" s="19"/>
      <c r="CMX24" s="19"/>
      <c r="CMY24" s="19"/>
      <c r="CMZ24" s="19"/>
      <c r="CNA24" s="19"/>
      <c r="CNB24" s="19"/>
      <c r="CNC24" s="19"/>
      <c r="CND24" s="19"/>
      <c r="CNE24" s="19"/>
      <c r="CNF24" s="19"/>
      <c r="CNG24" s="19"/>
      <c r="CNH24" s="19"/>
      <c r="CNI24" s="19"/>
      <c r="CNJ24" s="19"/>
      <c r="CNK24" s="19"/>
      <c r="CNL24" s="19"/>
      <c r="CNM24" s="19"/>
      <c r="CNN24" s="19"/>
      <c r="CNO24" s="19"/>
      <c r="CNP24" s="19"/>
      <c r="CNQ24" s="19"/>
      <c r="CNR24" s="19"/>
      <c r="CNS24" s="19"/>
      <c r="CNT24" s="19"/>
      <c r="CNU24" s="19"/>
      <c r="CNV24" s="19"/>
      <c r="CNW24" s="19"/>
      <c r="CNX24" s="19"/>
      <c r="CNY24" s="19"/>
      <c r="CNZ24" s="19"/>
      <c r="COA24" s="19"/>
      <c r="COB24" s="19"/>
      <c r="COC24" s="19"/>
      <c r="COD24" s="19"/>
      <c r="COE24" s="19"/>
      <c r="COF24" s="19"/>
      <c r="COG24" s="19"/>
      <c r="COH24" s="19"/>
      <c r="COI24" s="19"/>
      <c r="COJ24" s="19"/>
      <c r="COK24" s="19"/>
      <c r="COL24" s="19"/>
      <c r="COM24" s="19"/>
      <c r="CON24" s="19"/>
      <c r="COO24" s="19"/>
      <c r="COP24" s="19"/>
      <c r="COQ24" s="19"/>
      <c r="COR24" s="19"/>
      <c r="COS24" s="19"/>
      <c r="COT24" s="19"/>
      <c r="COU24" s="19"/>
      <c r="COV24" s="19"/>
      <c r="COW24" s="19"/>
      <c r="COX24" s="19"/>
      <c r="COY24" s="19"/>
      <c r="COZ24" s="19"/>
      <c r="CPA24" s="19"/>
      <c r="CPB24" s="19"/>
      <c r="CPC24" s="19"/>
      <c r="CPD24" s="19"/>
      <c r="CPE24" s="19"/>
      <c r="CPF24" s="19"/>
      <c r="CPG24" s="19"/>
      <c r="CPH24" s="19"/>
      <c r="CPI24" s="19"/>
      <c r="CPJ24" s="19"/>
      <c r="CPK24" s="19"/>
      <c r="CPL24" s="19"/>
      <c r="CPM24" s="19"/>
      <c r="CPN24" s="19"/>
      <c r="CPO24" s="19"/>
      <c r="CPP24" s="19"/>
      <c r="CPQ24" s="19"/>
      <c r="CPR24" s="19"/>
      <c r="CPS24" s="19"/>
      <c r="CPT24" s="19"/>
      <c r="CPU24" s="19"/>
      <c r="CPV24" s="19"/>
      <c r="CPW24" s="19"/>
      <c r="CPX24" s="19"/>
      <c r="CPY24" s="19"/>
      <c r="CPZ24" s="19"/>
      <c r="CQA24" s="19"/>
      <c r="CQB24" s="19"/>
      <c r="CQC24" s="19"/>
      <c r="CQD24" s="19"/>
      <c r="CQE24" s="19"/>
      <c r="CQF24" s="19"/>
      <c r="CQG24" s="19"/>
      <c r="CQH24" s="19"/>
      <c r="CQI24" s="19"/>
      <c r="CQJ24" s="19"/>
      <c r="CQK24" s="19"/>
      <c r="CQL24" s="19"/>
      <c r="CQM24" s="19"/>
      <c r="CQN24" s="19"/>
      <c r="CQO24" s="19"/>
      <c r="CQP24" s="19"/>
      <c r="CQQ24" s="19"/>
      <c r="CQR24" s="19"/>
      <c r="CQS24" s="19"/>
      <c r="CQT24" s="19"/>
      <c r="CQU24" s="19"/>
      <c r="CQV24" s="19"/>
      <c r="CQW24" s="19"/>
      <c r="CQX24" s="19"/>
      <c r="CQY24" s="19"/>
      <c r="CQZ24" s="19"/>
      <c r="CRA24" s="19"/>
      <c r="CRB24" s="19"/>
      <c r="CRC24" s="19"/>
      <c r="CRD24" s="19"/>
      <c r="CRE24" s="19"/>
      <c r="CRF24" s="19"/>
      <c r="CRG24" s="19"/>
      <c r="CRH24" s="19"/>
      <c r="CRI24" s="19"/>
      <c r="CRJ24" s="19"/>
      <c r="CRK24" s="19"/>
      <c r="CRL24" s="19"/>
      <c r="CRM24" s="19"/>
      <c r="CRN24" s="19"/>
      <c r="CRO24" s="19"/>
      <c r="CRP24" s="19"/>
      <c r="CRQ24" s="19"/>
      <c r="CRR24" s="19"/>
      <c r="CRS24" s="19"/>
      <c r="CRT24" s="19"/>
      <c r="CRU24" s="19"/>
      <c r="CRV24" s="19"/>
      <c r="CRW24" s="19"/>
      <c r="CRX24" s="19"/>
      <c r="CRY24" s="19"/>
      <c r="CRZ24" s="19"/>
      <c r="CSA24" s="19"/>
      <c r="CSB24" s="19"/>
      <c r="CSC24" s="19"/>
      <c r="CSD24" s="19"/>
      <c r="CSE24" s="19"/>
      <c r="CSF24" s="19"/>
      <c r="CSG24" s="19"/>
      <c r="CSH24" s="19"/>
      <c r="CSI24" s="19"/>
      <c r="CSJ24" s="19"/>
      <c r="CSK24" s="19"/>
      <c r="CSL24" s="19"/>
      <c r="CSM24" s="19"/>
      <c r="CSN24" s="19"/>
      <c r="CSO24" s="19"/>
      <c r="CSP24" s="19"/>
      <c r="CSQ24" s="19"/>
      <c r="CSR24" s="19"/>
      <c r="CSS24" s="19"/>
      <c r="CST24" s="19"/>
      <c r="CSU24" s="19"/>
      <c r="CSV24" s="19"/>
      <c r="CSW24" s="19"/>
      <c r="CSX24" s="19"/>
      <c r="CSY24" s="19"/>
      <c r="CSZ24" s="19"/>
      <c r="CTA24" s="19"/>
      <c r="CTB24" s="19"/>
      <c r="CTC24" s="19"/>
      <c r="CTD24" s="19"/>
      <c r="CTE24" s="19"/>
      <c r="CTF24" s="19"/>
      <c r="CTG24" s="19"/>
      <c r="CTH24" s="19"/>
      <c r="CTI24" s="19"/>
      <c r="CTJ24" s="19"/>
      <c r="CTK24" s="19"/>
      <c r="CTL24" s="19"/>
      <c r="CTM24" s="19"/>
      <c r="CTN24" s="19"/>
      <c r="CTO24" s="19"/>
      <c r="CTP24" s="19"/>
      <c r="CTQ24" s="19"/>
      <c r="CTR24" s="19"/>
      <c r="CTS24" s="19"/>
      <c r="CTT24" s="19"/>
      <c r="CTU24" s="19"/>
      <c r="CTV24" s="19"/>
      <c r="CTW24" s="19"/>
      <c r="CTX24" s="19"/>
      <c r="CTY24" s="19"/>
      <c r="CTZ24" s="19"/>
      <c r="CUA24" s="19"/>
      <c r="CUB24" s="19"/>
      <c r="CUC24" s="19"/>
      <c r="CUD24" s="19"/>
      <c r="CUE24" s="19"/>
      <c r="CUF24" s="19"/>
      <c r="CUG24" s="19"/>
      <c r="CUH24" s="19"/>
      <c r="CUI24" s="19"/>
      <c r="CUJ24" s="19"/>
      <c r="CUK24" s="19"/>
      <c r="CUL24" s="19"/>
      <c r="CUM24" s="19"/>
      <c r="CUN24" s="19"/>
      <c r="CUO24" s="19"/>
      <c r="CUP24" s="19"/>
      <c r="CUQ24" s="19"/>
      <c r="CUR24" s="19"/>
      <c r="CUS24" s="19"/>
      <c r="CUT24" s="19"/>
      <c r="CUU24" s="19"/>
      <c r="CUV24" s="19"/>
      <c r="CUW24" s="19"/>
      <c r="CUX24" s="19"/>
      <c r="CUY24" s="19"/>
      <c r="CUZ24" s="19"/>
      <c r="CVA24" s="19"/>
      <c r="CVB24" s="19"/>
      <c r="CVC24" s="19"/>
      <c r="CVD24" s="19"/>
      <c r="CVE24" s="19"/>
      <c r="CVF24" s="19"/>
      <c r="CVG24" s="19"/>
      <c r="CVH24" s="19"/>
      <c r="CVI24" s="19"/>
      <c r="CVJ24" s="19"/>
      <c r="CVK24" s="19"/>
      <c r="CVL24" s="19"/>
      <c r="CVM24" s="19"/>
      <c r="CVN24" s="19"/>
      <c r="CVO24" s="19"/>
      <c r="CVP24" s="19"/>
      <c r="CVQ24" s="19"/>
      <c r="CVR24" s="19"/>
      <c r="CVS24" s="19"/>
      <c r="CVT24" s="19"/>
      <c r="CVU24" s="19"/>
      <c r="CVV24" s="19"/>
      <c r="CVW24" s="19"/>
      <c r="CVX24" s="19"/>
      <c r="CVY24" s="19"/>
      <c r="CVZ24" s="19"/>
      <c r="CWA24" s="19"/>
      <c r="CWB24" s="19"/>
      <c r="CWC24" s="19"/>
      <c r="CWD24" s="19"/>
      <c r="CWE24" s="19"/>
      <c r="CWF24" s="19"/>
      <c r="CWG24" s="19"/>
      <c r="CWH24" s="19"/>
      <c r="CWI24" s="19"/>
      <c r="CWJ24" s="19"/>
      <c r="CWK24" s="19"/>
      <c r="CWL24" s="19"/>
      <c r="CWM24" s="19"/>
      <c r="CWN24" s="19"/>
      <c r="CWO24" s="19"/>
      <c r="CWP24" s="19"/>
      <c r="CWQ24" s="19"/>
      <c r="CWR24" s="19"/>
      <c r="CWS24" s="19"/>
      <c r="CWT24" s="19"/>
      <c r="CWU24" s="19"/>
      <c r="CWV24" s="19"/>
      <c r="CWW24" s="19"/>
      <c r="CWX24" s="19"/>
      <c r="CWY24" s="19"/>
      <c r="CWZ24" s="19"/>
      <c r="CXA24" s="19"/>
      <c r="CXB24" s="19"/>
      <c r="CXC24" s="19"/>
      <c r="CXD24" s="19"/>
      <c r="CXE24" s="19"/>
      <c r="CXF24" s="19"/>
      <c r="CXG24" s="19"/>
      <c r="CXH24" s="19"/>
      <c r="CXI24" s="19"/>
      <c r="CXJ24" s="19"/>
      <c r="CXK24" s="19"/>
      <c r="CXL24" s="19"/>
      <c r="CXM24" s="19"/>
      <c r="CXN24" s="19"/>
      <c r="CXO24" s="19"/>
      <c r="CXP24" s="19"/>
      <c r="CXQ24" s="19"/>
      <c r="CXR24" s="19"/>
      <c r="CXS24" s="19"/>
      <c r="CXT24" s="19"/>
      <c r="CXU24" s="19"/>
      <c r="CXV24" s="19"/>
      <c r="CXW24" s="19"/>
      <c r="CXX24" s="19"/>
      <c r="CXY24" s="19"/>
      <c r="CXZ24" s="19"/>
      <c r="CYA24" s="19"/>
      <c r="CYB24" s="19"/>
      <c r="CYC24" s="19"/>
      <c r="CYD24" s="19"/>
      <c r="CYE24" s="19"/>
      <c r="CYF24" s="19"/>
      <c r="CYG24" s="19"/>
      <c r="CYH24" s="19"/>
      <c r="CYI24" s="19"/>
      <c r="CYJ24" s="19"/>
      <c r="CYK24" s="19"/>
      <c r="CYL24" s="19"/>
      <c r="CYM24" s="19"/>
      <c r="CYN24" s="19"/>
      <c r="CYO24" s="19"/>
      <c r="CYP24" s="19"/>
      <c r="CYQ24" s="19"/>
      <c r="CYR24" s="19"/>
      <c r="CYS24" s="19"/>
      <c r="CYT24" s="19"/>
      <c r="CYU24" s="19"/>
      <c r="CYV24" s="19"/>
      <c r="CYW24" s="19"/>
      <c r="CYX24" s="19"/>
      <c r="CYY24" s="19"/>
      <c r="CYZ24" s="19"/>
      <c r="CZA24" s="19"/>
      <c r="CZB24" s="19"/>
      <c r="CZC24" s="19"/>
      <c r="CZD24" s="19"/>
      <c r="CZE24" s="19"/>
      <c r="CZF24" s="19"/>
      <c r="CZG24" s="19"/>
      <c r="CZH24" s="19"/>
      <c r="CZI24" s="19"/>
      <c r="CZJ24" s="19"/>
      <c r="CZK24" s="19"/>
      <c r="CZL24" s="19"/>
      <c r="CZM24" s="19"/>
      <c r="CZN24" s="19"/>
      <c r="CZO24" s="19"/>
      <c r="CZP24" s="19"/>
      <c r="CZQ24" s="19"/>
      <c r="CZR24" s="19"/>
      <c r="CZS24" s="19"/>
      <c r="CZT24" s="19"/>
      <c r="CZU24" s="19"/>
      <c r="CZV24" s="19"/>
      <c r="CZW24" s="19"/>
      <c r="CZX24" s="19"/>
      <c r="CZY24" s="19"/>
      <c r="CZZ24" s="19"/>
      <c r="DAA24" s="19"/>
      <c r="DAB24" s="19"/>
      <c r="DAC24" s="19"/>
      <c r="DAD24" s="19"/>
      <c r="DAE24" s="19"/>
      <c r="DAF24" s="19"/>
      <c r="DAG24" s="19"/>
      <c r="DAH24" s="19"/>
      <c r="DAI24" s="19"/>
      <c r="DAJ24" s="19"/>
      <c r="DAK24" s="19"/>
      <c r="DAL24" s="19"/>
      <c r="DAM24" s="19"/>
      <c r="DAN24" s="19"/>
      <c r="DAO24" s="19"/>
      <c r="DAP24" s="19"/>
      <c r="DAQ24" s="19"/>
      <c r="DAR24" s="19"/>
      <c r="DAS24" s="19"/>
      <c r="DAT24" s="19"/>
      <c r="DAU24" s="19"/>
      <c r="DAV24" s="19"/>
      <c r="DAW24" s="19"/>
      <c r="DAX24" s="19"/>
      <c r="DAY24" s="19"/>
      <c r="DAZ24" s="19"/>
      <c r="DBA24" s="19"/>
      <c r="DBB24" s="19"/>
      <c r="DBC24" s="19"/>
      <c r="DBD24" s="19"/>
      <c r="DBE24" s="19"/>
      <c r="DBF24" s="19"/>
      <c r="DBG24" s="19"/>
      <c r="DBH24" s="19"/>
      <c r="DBI24" s="19"/>
      <c r="DBJ24" s="19"/>
      <c r="DBK24" s="19"/>
      <c r="DBL24" s="19"/>
      <c r="DBM24" s="19"/>
      <c r="DBN24" s="19"/>
      <c r="DBO24" s="19"/>
      <c r="DBP24" s="19"/>
      <c r="DBQ24" s="19"/>
      <c r="DBR24" s="19"/>
      <c r="DBS24" s="19"/>
      <c r="DBT24" s="19"/>
      <c r="DBU24" s="19"/>
      <c r="DBV24" s="19"/>
      <c r="DBW24" s="19"/>
      <c r="DBX24" s="19"/>
      <c r="DBY24" s="19"/>
      <c r="DBZ24" s="19"/>
      <c r="DCA24" s="19"/>
      <c r="DCB24" s="19"/>
      <c r="DCC24" s="19"/>
      <c r="DCD24" s="19"/>
      <c r="DCE24" s="19"/>
      <c r="DCF24" s="19"/>
      <c r="DCG24" s="19"/>
      <c r="DCH24" s="19"/>
      <c r="DCI24" s="19"/>
      <c r="DCJ24" s="19"/>
      <c r="DCK24" s="19"/>
      <c r="DCL24" s="19"/>
      <c r="DCM24" s="19"/>
      <c r="DCN24" s="19"/>
      <c r="DCO24" s="19"/>
      <c r="DCP24" s="19"/>
      <c r="DCQ24" s="19"/>
      <c r="DCR24" s="19"/>
      <c r="DCS24" s="19"/>
      <c r="DCT24" s="19"/>
      <c r="DCU24" s="19"/>
      <c r="DCV24" s="19"/>
      <c r="DCW24" s="19"/>
      <c r="DCX24" s="19"/>
      <c r="DCY24" s="19"/>
      <c r="DCZ24" s="19"/>
      <c r="DDA24" s="19"/>
      <c r="DDB24" s="19"/>
      <c r="DDC24" s="19"/>
      <c r="DDD24" s="19"/>
      <c r="DDE24" s="19"/>
      <c r="DDF24" s="19"/>
      <c r="DDG24" s="19"/>
      <c r="DDH24" s="19"/>
      <c r="DDI24" s="19"/>
      <c r="DDJ24" s="19"/>
      <c r="DDK24" s="19"/>
      <c r="DDL24" s="19"/>
      <c r="DDM24" s="19"/>
      <c r="DDN24" s="19"/>
      <c r="DDO24" s="19"/>
      <c r="DDP24" s="19"/>
      <c r="DDQ24" s="19"/>
      <c r="DDR24" s="19"/>
      <c r="DDS24" s="19"/>
      <c r="DDT24" s="19"/>
      <c r="DDU24" s="19"/>
      <c r="DDV24" s="19"/>
      <c r="DDW24" s="19"/>
      <c r="DDX24" s="19"/>
      <c r="DDY24" s="19"/>
      <c r="DDZ24" s="19"/>
      <c r="DEA24" s="19"/>
      <c r="DEB24" s="19"/>
      <c r="DEC24" s="19"/>
      <c r="DED24" s="19"/>
      <c r="DEE24" s="19"/>
      <c r="DEF24" s="19"/>
      <c r="DEG24" s="19"/>
      <c r="DEH24" s="19"/>
      <c r="DEI24" s="19"/>
      <c r="DEJ24" s="19"/>
      <c r="DEK24" s="19"/>
      <c r="DEL24" s="19"/>
      <c r="DEM24" s="19"/>
      <c r="DEN24" s="19"/>
      <c r="DEO24" s="19"/>
      <c r="DEP24" s="19"/>
      <c r="DEQ24" s="19"/>
      <c r="DER24" s="19"/>
      <c r="DES24" s="19"/>
      <c r="DET24" s="19"/>
      <c r="DEU24" s="19"/>
      <c r="DEV24" s="19"/>
      <c r="DEW24" s="19"/>
      <c r="DEX24" s="19"/>
      <c r="DEY24" s="19"/>
      <c r="DEZ24" s="19"/>
      <c r="DFA24" s="19"/>
      <c r="DFB24" s="19"/>
      <c r="DFC24" s="19"/>
      <c r="DFD24" s="19"/>
      <c r="DFE24" s="19"/>
      <c r="DFF24" s="19"/>
      <c r="DFG24" s="19"/>
      <c r="DFH24" s="19"/>
      <c r="DFI24" s="19"/>
      <c r="DFJ24" s="19"/>
      <c r="DFK24" s="19"/>
      <c r="DFL24" s="19"/>
      <c r="DFM24" s="19"/>
      <c r="DFN24" s="19"/>
      <c r="DFO24" s="19"/>
      <c r="DFP24" s="19"/>
      <c r="DFQ24" s="19"/>
      <c r="DFR24" s="19"/>
      <c r="DFS24" s="19"/>
      <c r="DFT24" s="19"/>
      <c r="DFU24" s="19"/>
      <c r="DFV24" s="19"/>
      <c r="DFW24" s="19"/>
      <c r="DFX24" s="19"/>
      <c r="DFY24" s="19"/>
      <c r="DFZ24" s="19"/>
      <c r="DGA24" s="19"/>
      <c r="DGB24" s="19"/>
      <c r="DGC24" s="19"/>
      <c r="DGD24" s="19"/>
      <c r="DGE24" s="19"/>
      <c r="DGF24" s="19"/>
      <c r="DGG24" s="19"/>
      <c r="DGH24" s="19"/>
      <c r="DGI24" s="19"/>
      <c r="DGJ24" s="19"/>
      <c r="DGK24" s="19"/>
      <c r="DGL24" s="19"/>
      <c r="DGM24" s="19"/>
      <c r="DGN24" s="19"/>
      <c r="DGO24" s="19"/>
      <c r="DGP24" s="19"/>
      <c r="DGQ24" s="19"/>
      <c r="DGR24" s="19"/>
      <c r="DGS24" s="19"/>
      <c r="DGT24" s="19"/>
      <c r="DGU24" s="19"/>
      <c r="DGV24" s="19"/>
      <c r="DGW24" s="19"/>
      <c r="DGX24" s="19"/>
      <c r="DGY24" s="19"/>
      <c r="DGZ24" s="19"/>
      <c r="DHA24" s="19"/>
      <c r="DHB24" s="19"/>
      <c r="DHC24" s="19"/>
      <c r="DHD24" s="19"/>
      <c r="DHE24" s="19"/>
      <c r="DHF24" s="19"/>
      <c r="DHG24" s="19"/>
      <c r="DHH24" s="19"/>
      <c r="DHI24" s="19"/>
      <c r="DHJ24" s="19"/>
      <c r="DHK24" s="19"/>
      <c r="DHL24" s="19"/>
      <c r="DHM24" s="19"/>
      <c r="DHN24" s="19"/>
      <c r="DHO24" s="19"/>
      <c r="DHP24" s="19"/>
      <c r="DHQ24" s="19"/>
      <c r="DHR24" s="19"/>
      <c r="DHS24" s="19"/>
      <c r="DHT24" s="19"/>
      <c r="DHU24" s="19"/>
      <c r="DHV24" s="19"/>
      <c r="DHW24" s="19"/>
      <c r="DHX24" s="19"/>
      <c r="DHY24" s="19"/>
      <c r="DHZ24" s="19"/>
      <c r="DIA24" s="19"/>
      <c r="DIB24" s="19"/>
      <c r="DIC24" s="19"/>
      <c r="DID24" s="19"/>
      <c r="DIE24" s="19"/>
      <c r="DIF24" s="19"/>
      <c r="DIG24" s="19"/>
      <c r="DIH24" s="19"/>
      <c r="DII24" s="19"/>
      <c r="DIJ24" s="19"/>
      <c r="DIK24" s="19"/>
      <c r="DIL24" s="19"/>
      <c r="DIM24" s="19"/>
      <c r="DIN24" s="19"/>
      <c r="DIO24" s="19"/>
      <c r="DIP24" s="19"/>
      <c r="DIQ24" s="19"/>
      <c r="DIR24" s="19"/>
      <c r="DIS24" s="19"/>
      <c r="DIT24" s="19"/>
      <c r="DIU24" s="19"/>
      <c r="DIV24" s="19"/>
      <c r="DIW24" s="19"/>
      <c r="DIX24" s="19"/>
      <c r="DIY24" s="19"/>
      <c r="DIZ24" s="19"/>
      <c r="DJA24" s="19"/>
      <c r="DJB24" s="19"/>
      <c r="DJC24" s="19"/>
      <c r="DJD24" s="19"/>
      <c r="DJE24" s="19"/>
      <c r="DJF24" s="19"/>
      <c r="DJG24" s="19"/>
      <c r="DJH24" s="19"/>
      <c r="DJI24" s="19"/>
      <c r="DJJ24" s="19"/>
      <c r="DJK24" s="19"/>
      <c r="DJL24" s="19"/>
      <c r="DJM24" s="19"/>
      <c r="DJN24" s="19"/>
      <c r="DJO24" s="19"/>
      <c r="DJP24" s="19"/>
      <c r="DJQ24" s="19"/>
      <c r="DJR24" s="19"/>
      <c r="DJS24" s="19"/>
      <c r="DJT24" s="19"/>
      <c r="DJU24" s="19"/>
      <c r="DJV24" s="19"/>
      <c r="DJW24" s="19"/>
      <c r="DJX24" s="19"/>
      <c r="DJY24" s="19"/>
      <c r="DJZ24" s="19"/>
      <c r="DKA24" s="19"/>
      <c r="DKB24" s="19"/>
      <c r="DKC24" s="19"/>
      <c r="DKD24" s="19"/>
      <c r="DKE24" s="19"/>
      <c r="DKF24" s="19"/>
      <c r="DKG24" s="19"/>
      <c r="DKH24" s="19"/>
      <c r="DKI24" s="19"/>
      <c r="DKJ24" s="19"/>
      <c r="DKK24" s="19"/>
      <c r="DKL24" s="19"/>
      <c r="DKM24" s="19"/>
      <c r="DKN24" s="19"/>
      <c r="DKO24" s="19"/>
      <c r="DKP24" s="19"/>
      <c r="DKQ24" s="19"/>
      <c r="DKR24" s="19"/>
      <c r="DKS24" s="19"/>
      <c r="DKT24" s="19"/>
      <c r="DKU24" s="19"/>
      <c r="DKV24" s="19"/>
      <c r="DKW24" s="19"/>
      <c r="DKX24" s="19"/>
      <c r="DKY24" s="19"/>
      <c r="DKZ24" s="19"/>
      <c r="DLA24" s="19"/>
      <c r="DLB24" s="19"/>
      <c r="DLC24" s="19"/>
      <c r="DLD24" s="19"/>
      <c r="DLE24" s="19"/>
      <c r="DLF24" s="19"/>
      <c r="DLG24" s="19"/>
      <c r="DLH24" s="19"/>
      <c r="DLI24" s="19"/>
      <c r="DLJ24" s="19"/>
      <c r="DLK24" s="19"/>
      <c r="DLL24" s="19"/>
      <c r="DLM24" s="19"/>
      <c r="DLN24" s="19"/>
      <c r="DLO24" s="19"/>
      <c r="DLP24" s="19"/>
      <c r="DLQ24" s="19"/>
      <c r="DLR24" s="19"/>
      <c r="DLS24" s="19"/>
      <c r="DLT24" s="19"/>
      <c r="DLU24" s="19"/>
      <c r="DLV24" s="19"/>
      <c r="DLW24" s="19"/>
      <c r="DLX24" s="19"/>
      <c r="DLY24" s="19"/>
      <c r="DLZ24" s="19"/>
      <c r="DMA24" s="19"/>
      <c r="DMB24" s="19"/>
      <c r="DMC24" s="19"/>
      <c r="DMD24" s="19"/>
      <c r="DME24" s="19"/>
      <c r="DMF24" s="19"/>
      <c r="DMG24" s="19"/>
      <c r="DMH24" s="19"/>
      <c r="DMI24" s="19"/>
      <c r="DMJ24" s="19"/>
      <c r="DMK24" s="19"/>
      <c r="DML24" s="19"/>
      <c r="DMM24" s="19"/>
      <c r="DMN24" s="19"/>
      <c r="DMO24" s="19"/>
      <c r="DMP24" s="19"/>
      <c r="DMQ24" s="19"/>
      <c r="DMR24" s="19"/>
      <c r="DMS24" s="19"/>
      <c r="DMT24" s="19"/>
      <c r="DMU24" s="19"/>
      <c r="DMV24" s="19"/>
      <c r="DMW24" s="19"/>
      <c r="DMX24" s="19"/>
      <c r="DMY24" s="19"/>
      <c r="DMZ24" s="19"/>
      <c r="DNA24" s="19"/>
      <c r="DNB24" s="19"/>
      <c r="DNC24" s="19"/>
      <c r="DND24" s="19"/>
      <c r="DNE24" s="19"/>
      <c r="DNF24" s="19"/>
      <c r="DNG24" s="19"/>
      <c r="DNH24" s="19"/>
      <c r="DNI24" s="19"/>
      <c r="DNJ24" s="19"/>
      <c r="DNK24" s="19"/>
      <c r="DNL24" s="19"/>
      <c r="DNM24" s="19"/>
      <c r="DNN24" s="19"/>
      <c r="DNO24" s="19"/>
      <c r="DNP24" s="19"/>
      <c r="DNQ24" s="19"/>
      <c r="DNR24" s="19"/>
      <c r="DNS24" s="19"/>
      <c r="DNT24" s="19"/>
      <c r="DNU24" s="19"/>
      <c r="DNV24" s="19"/>
      <c r="DNW24" s="19"/>
      <c r="DNX24" s="19"/>
      <c r="DNY24" s="19"/>
      <c r="DNZ24" s="19"/>
      <c r="DOA24" s="19"/>
      <c r="DOB24" s="19"/>
      <c r="DOC24" s="19"/>
      <c r="DOD24" s="19"/>
      <c r="DOE24" s="19"/>
      <c r="DOF24" s="19"/>
      <c r="DOG24" s="19"/>
      <c r="DOH24" s="19"/>
      <c r="DOI24" s="19"/>
      <c r="DOJ24" s="19"/>
      <c r="DOK24" s="19"/>
      <c r="DOL24" s="19"/>
      <c r="DOM24" s="19"/>
      <c r="DON24" s="19"/>
      <c r="DOO24" s="19"/>
      <c r="DOP24" s="19"/>
      <c r="DOQ24" s="19"/>
      <c r="DOR24" s="19"/>
      <c r="DOS24" s="19"/>
      <c r="DOT24" s="19"/>
      <c r="DOU24" s="19"/>
      <c r="DOV24" s="19"/>
      <c r="DOW24" s="19"/>
      <c r="DOX24" s="19"/>
      <c r="DOY24" s="19"/>
      <c r="DOZ24" s="19"/>
      <c r="DPA24" s="19"/>
      <c r="DPB24" s="19"/>
      <c r="DPC24" s="19"/>
      <c r="DPD24" s="19"/>
      <c r="DPE24" s="19"/>
      <c r="DPF24" s="19"/>
      <c r="DPG24" s="19"/>
      <c r="DPH24" s="19"/>
      <c r="DPI24" s="19"/>
      <c r="DPJ24" s="19"/>
      <c r="DPK24" s="19"/>
      <c r="DPL24" s="19"/>
      <c r="DPM24" s="19"/>
      <c r="DPN24" s="19"/>
      <c r="DPO24" s="19"/>
      <c r="DPP24" s="19"/>
      <c r="DPQ24" s="19"/>
      <c r="DPR24" s="19"/>
      <c r="DPS24" s="19"/>
      <c r="DPT24" s="19"/>
      <c r="DPU24" s="19"/>
      <c r="DPV24" s="19"/>
      <c r="DPW24" s="19"/>
      <c r="DPX24" s="19"/>
      <c r="DPY24" s="19"/>
      <c r="DPZ24" s="19"/>
      <c r="DQA24" s="19"/>
      <c r="DQB24" s="19"/>
      <c r="DQC24" s="19"/>
      <c r="DQD24" s="19"/>
      <c r="DQE24" s="19"/>
      <c r="DQF24" s="19"/>
      <c r="DQG24" s="19"/>
      <c r="DQH24" s="19"/>
      <c r="DQI24" s="19"/>
      <c r="DQJ24" s="19"/>
      <c r="DQK24" s="19"/>
      <c r="DQL24" s="19"/>
      <c r="DQM24" s="19"/>
      <c r="DQN24" s="19"/>
      <c r="DQO24" s="19"/>
      <c r="DQP24" s="19"/>
      <c r="DQQ24" s="19"/>
      <c r="DQR24" s="19"/>
      <c r="DQS24" s="19"/>
      <c r="DQT24" s="19"/>
      <c r="DQU24" s="19"/>
      <c r="DQV24" s="19"/>
      <c r="DQW24" s="19"/>
      <c r="DQX24" s="19"/>
      <c r="DQY24" s="19"/>
      <c r="DQZ24" s="19"/>
      <c r="DRA24" s="19"/>
      <c r="DRB24" s="19"/>
      <c r="DRC24" s="19"/>
      <c r="DRD24" s="19"/>
      <c r="DRE24" s="19"/>
      <c r="DRF24" s="19"/>
      <c r="DRG24" s="19"/>
      <c r="DRH24" s="19"/>
      <c r="DRI24" s="19"/>
      <c r="DRJ24" s="19"/>
      <c r="DRK24" s="19"/>
      <c r="DRL24" s="19"/>
      <c r="DRM24" s="19"/>
      <c r="DRN24" s="19"/>
      <c r="DRO24" s="19"/>
      <c r="DRP24" s="19"/>
      <c r="DRQ24" s="19"/>
      <c r="DRR24" s="19"/>
      <c r="DRS24" s="19"/>
      <c r="DRT24" s="19"/>
      <c r="DRU24" s="19"/>
      <c r="DRV24" s="19"/>
      <c r="DRW24" s="19"/>
      <c r="DRX24" s="19"/>
      <c r="DRY24" s="19"/>
      <c r="DRZ24" s="19"/>
      <c r="DSA24" s="19"/>
      <c r="DSB24" s="19"/>
      <c r="DSC24" s="19"/>
      <c r="DSD24" s="19"/>
      <c r="DSE24" s="19"/>
      <c r="DSF24" s="19"/>
      <c r="DSG24" s="19"/>
      <c r="DSH24" s="19"/>
      <c r="DSI24" s="19"/>
      <c r="DSJ24" s="19"/>
      <c r="DSK24" s="19"/>
      <c r="DSL24" s="19"/>
      <c r="DSM24" s="19"/>
      <c r="DSN24" s="19"/>
      <c r="DSO24" s="19"/>
      <c r="DSP24" s="19"/>
      <c r="DSQ24" s="19"/>
      <c r="DSR24" s="19"/>
      <c r="DSS24" s="19"/>
      <c r="DST24" s="19"/>
      <c r="DSU24" s="19"/>
      <c r="DSV24" s="19"/>
      <c r="DSW24" s="19"/>
      <c r="DSX24" s="19"/>
      <c r="DSY24" s="19"/>
      <c r="DSZ24" s="19"/>
      <c r="DTA24" s="19"/>
      <c r="DTB24" s="19"/>
      <c r="DTC24" s="19"/>
      <c r="DTD24" s="19"/>
      <c r="DTE24" s="19"/>
      <c r="DTF24" s="19"/>
      <c r="DTG24" s="19"/>
      <c r="DTH24" s="19"/>
      <c r="DTI24" s="19"/>
      <c r="DTJ24" s="19"/>
      <c r="DTK24" s="19"/>
      <c r="DTL24" s="19"/>
      <c r="DTM24" s="19"/>
      <c r="DTN24" s="19"/>
      <c r="DTO24" s="19"/>
      <c r="DTP24" s="19"/>
      <c r="DTQ24" s="19"/>
      <c r="DTR24" s="19"/>
      <c r="DTS24" s="19"/>
      <c r="DTT24" s="19"/>
      <c r="DTU24" s="19"/>
      <c r="DTV24" s="19"/>
      <c r="DTW24" s="19"/>
      <c r="DTX24" s="19"/>
      <c r="DTY24" s="19"/>
      <c r="DTZ24" s="19"/>
      <c r="DUA24" s="19"/>
      <c r="DUB24" s="19"/>
      <c r="DUC24" s="19"/>
      <c r="DUD24" s="19"/>
      <c r="DUE24" s="19"/>
      <c r="DUF24" s="19"/>
      <c r="DUG24" s="19"/>
      <c r="DUH24" s="19"/>
      <c r="DUI24" s="19"/>
      <c r="DUJ24" s="19"/>
      <c r="DUK24" s="19"/>
      <c r="DUL24" s="19"/>
      <c r="DUM24" s="19"/>
      <c r="DUN24" s="19"/>
      <c r="DUO24" s="19"/>
      <c r="DUP24" s="19"/>
      <c r="DUQ24" s="19"/>
      <c r="DUR24" s="19"/>
      <c r="DUS24" s="19"/>
      <c r="DUT24" s="19"/>
      <c r="DUU24" s="19"/>
      <c r="DUV24" s="19"/>
      <c r="DUW24" s="19"/>
      <c r="DUX24" s="19"/>
      <c r="DUY24" s="19"/>
      <c r="DUZ24" s="19"/>
      <c r="DVA24" s="19"/>
      <c r="DVB24" s="19"/>
      <c r="DVC24" s="19"/>
      <c r="DVD24" s="19"/>
      <c r="DVE24" s="19"/>
      <c r="DVF24" s="19"/>
      <c r="DVG24" s="19"/>
      <c r="DVH24" s="19"/>
      <c r="DVI24" s="19"/>
      <c r="DVJ24" s="19"/>
      <c r="DVK24" s="19"/>
      <c r="DVL24" s="19"/>
      <c r="DVM24" s="19"/>
      <c r="DVN24" s="19"/>
      <c r="DVO24" s="19"/>
      <c r="DVP24" s="19"/>
      <c r="DVQ24" s="19"/>
      <c r="DVR24" s="19"/>
      <c r="DVS24" s="19"/>
      <c r="DVT24" s="19"/>
      <c r="DVU24" s="19"/>
      <c r="DVV24" s="19"/>
      <c r="DVW24" s="19"/>
      <c r="DVX24" s="19"/>
      <c r="DVY24" s="19"/>
      <c r="DVZ24" s="19"/>
      <c r="DWA24" s="19"/>
      <c r="DWB24" s="19"/>
      <c r="DWC24" s="19"/>
      <c r="DWD24" s="19"/>
      <c r="DWE24" s="19"/>
      <c r="DWF24" s="19"/>
      <c r="DWG24" s="19"/>
      <c r="DWH24" s="19"/>
      <c r="DWI24" s="19"/>
      <c r="DWJ24" s="19"/>
      <c r="DWK24" s="19"/>
      <c r="DWL24" s="19"/>
      <c r="DWM24" s="19"/>
      <c r="DWN24" s="19"/>
      <c r="DWO24" s="19"/>
      <c r="DWP24" s="19"/>
      <c r="DWQ24" s="19"/>
      <c r="DWR24" s="19"/>
      <c r="DWS24" s="19"/>
      <c r="DWT24" s="19"/>
      <c r="DWU24" s="19"/>
      <c r="DWV24" s="19"/>
      <c r="DWW24" s="19"/>
      <c r="DWX24" s="19"/>
      <c r="DWY24" s="19"/>
      <c r="DWZ24" s="19"/>
      <c r="DXA24" s="19"/>
      <c r="DXB24" s="19"/>
      <c r="DXC24" s="19"/>
      <c r="DXD24" s="19"/>
      <c r="DXE24" s="19"/>
      <c r="DXF24" s="19"/>
      <c r="DXG24" s="19"/>
      <c r="DXH24" s="19"/>
      <c r="DXI24" s="19"/>
      <c r="DXJ24" s="19"/>
      <c r="DXK24" s="19"/>
      <c r="DXL24" s="19"/>
      <c r="DXM24" s="19"/>
      <c r="DXN24" s="19"/>
      <c r="DXO24" s="19"/>
      <c r="DXP24" s="19"/>
      <c r="DXQ24" s="19"/>
      <c r="DXR24" s="19"/>
      <c r="DXS24" s="19"/>
      <c r="DXT24" s="19"/>
      <c r="DXU24" s="19"/>
      <c r="DXV24" s="19"/>
      <c r="DXW24" s="19"/>
      <c r="DXX24" s="19"/>
      <c r="DXY24" s="19"/>
      <c r="DXZ24" s="19"/>
      <c r="DYA24" s="19"/>
      <c r="DYB24" s="19"/>
      <c r="DYC24" s="19"/>
      <c r="DYD24" s="19"/>
      <c r="DYE24" s="19"/>
      <c r="DYF24" s="19"/>
      <c r="DYG24" s="19"/>
      <c r="DYH24" s="19"/>
      <c r="DYI24" s="19"/>
      <c r="DYJ24" s="19"/>
      <c r="DYK24" s="19"/>
      <c r="DYL24" s="19"/>
      <c r="DYM24" s="19"/>
      <c r="DYN24" s="19"/>
      <c r="DYO24" s="19"/>
      <c r="DYP24" s="19"/>
      <c r="DYQ24" s="19"/>
      <c r="DYR24" s="19"/>
      <c r="DYS24" s="19"/>
      <c r="DYT24" s="19"/>
      <c r="DYU24" s="19"/>
      <c r="DYV24" s="19"/>
      <c r="DYW24" s="19"/>
      <c r="DYX24" s="19"/>
      <c r="DYY24" s="19"/>
      <c r="DYZ24" s="19"/>
      <c r="DZA24" s="19"/>
      <c r="DZB24" s="19"/>
      <c r="DZC24" s="19"/>
      <c r="DZD24" s="19"/>
      <c r="DZE24" s="19"/>
      <c r="DZF24" s="19"/>
      <c r="DZG24" s="19"/>
      <c r="DZH24" s="19"/>
      <c r="DZI24" s="19"/>
      <c r="DZJ24" s="19"/>
      <c r="DZK24" s="19"/>
      <c r="DZL24" s="19"/>
      <c r="DZM24" s="19"/>
      <c r="DZN24" s="19"/>
      <c r="DZO24" s="19"/>
      <c r="DZP24" s="19"/>
      <c r="DZQ24" s="19"/>
      <c r="DZR24" s="19"/>
      <c r="DZS24" s="19"/>
      <c r="DZT24" s="19"/>
      <c r="DZU24" s="19"/>
      <c r="DZV24" s="19"/>
      <c r="DZW24" s="19"/>
      <c r="DZX24" s="19"/>
      <c r="DZY24" s="19"/>
      <c r="DZZ24" s="19"/>
      <c r="EAA24" s="19"/>
      <c r="EAB24" s="19"/>
      <c r="EAC24" s="19"/>
      <c r="EAD24" s="19"/>
      <c r="EAE24" s="19"/>
      <c r="EAF24" s="19"/>
      <c r="EAG24" s="19"/>
      <c r="EAH24" s="19"/>
      <c r="EAI24" s="19"/>
      <c r="EAJ24" s="19"/>
      <c r="EAK24" s="19"/>
      <c r="EAL24" s="19"/>
      <c r="EAM24" s="19"/>
      <c r="EAN24" s="19"/>
      <c r="EAO24" s="19"/>
      <c r="EAP24" s="19"/>
      <c r="EAQ24" s="19"/>
      <c r="EAR24" s="19"/>
      <c r="EAS24" s="19"/>
      <c r="EAT24" s="19"/>
      <c r="EAU24" s="19"/>
      <c r="EAV24" s="19"/>
      <c r="EAW24" s="19"/>
      <c r="EAX24" s="19"/>
      <c r="EAY24" s="19"/>
      <c r="EAZ24" s="19"/>
      <c r="EBA24" s="19"/>
      <c r="EBB24" s="19"/>
      <c r="EBC24" s="19"/>
      <c r="EBD24" s="19"/>
      <c r="EBE24" s="19"/>
      <c r="EBF24" s="19"/>
      <c r="EBG24" s="19"/>
      <c r="EBH24" s="19"/>
      <c r="EBI24" s="19"/>
      <c r="EBJ24" s="19"/>
      <c r="EBK24" s="19"/>
      <c r="EBL24" s="19"/>
      <c r="EBM24" s="19"/>
      <c r="EBN24" s="19"/>
      <c r="EBO24" s="19"/>
      <c r="EBP24" s="19"/>
      <c r="EBQ24" s="19"/>
      <c r="EBR24" s="19"/>
      <c r="EBS24" s="19"/>
      <c r="EBT24" s="19"/>
      <c r="EBU24" s="19"/>
      <c r="EBV24" s="19"/>
      <c r="EBW24" s="19"/>
      <c r="EBX24" s="19"/>
      <c r="EBY24" s="19"/>
      <c r="EBZ24" s="19"/>
      <c r="ECA24" s="19"/>
      <c r="ECB24" s="19"/>
      <c r="ECC24" s="19"/>
      <c r="ECD24" s="19"/>
      <c r="ECE24" s="19"/>
      <c r="ECF24" s="19"/>
      <c r="ECG24" s="19"/>
      <c r="ECH24" s="19"/>
      <c r="ECI24" s="19"/>
      <c r="ECJ24" s="19"/>
      <c r="ECK24" s="19"/>
      <c r="ECL24" s="19"/>
      <c r="ECM24" s="19"/>
      <c r="ECN24" s="19"/>
      <c r="ECO24" s="19"/>
      <c r="ECP24" s="19"/>
      <c r="ECQ24" s="19"/>
      <c r="ECR24" s="19"/>
      <c r="ECS24" s="19"/>
      <c r="ECT24" s="19"/>
      <c r="ECU24" s="19"/>
      <c r="ECV24" s="19"/>
      <c r="ECW24" s="19"/>
      <c r="ECX24" s="19"/>
      <c r="ECY24" s="19"/>
      <c r="ECZ24" s="19"/>
      <c r="EDA24" s="19"/>
      <c r="EDB24" s="19"/>
      <c r="EDC24" s="19"/>
      <c r="EDD24" s="19"/>
      <c r="EDE24" s="19"/>
      <c r="EDF24" s="19"/>
      <c r="EDG24" s="19"/>
      <c r="EDH24" s="19"/>
      <c r="EDI24" s="19"/>
      <c r="EDJ24" s="19"/>
      <c r="EDK24" s="19"/>
      <c r="EDL24" s="19"/>
      <c r="EDM24" s="19"/>
      <c r="EDN24" s="19"/>
      <c r="EDO24" s="19"/>
      <c r="EDP24" s="19"/>
      <c r="EDQ24" s="19"/>
      <c r="EDR24" s="19"/>
      <c r="EDS24" s="19"/>
      <c r="EDT24" s="19"/>
      <c r="EDU24" s="19"/>
      <c r="EDV24" s="19"/>
      <c r="EDW24" s="19"/>
      <c r="EDX24" s="19"/>
      <c r="EDY24" s="19"/>
      <c r="EDZ24" s="19"/>
      <c r="EEA24" s="19"/>
      <c r="EEB24" s="19"/>
      <c r="EEC24" s="19"/>
      <c r="EED24" s="19"/>
      <c r="EEE24" s="19"/>
      <c r="EEF24" s="19"/>
      <c r="EEG24" s="19"/>
      <c r="EEH24" s="19"/>
      <c r="EEI24" s="19"/>
      <c r="EEJ24" s="19"/>
      <c r="EEK24" s="19"/>
      <c r="EEL24" s="19"/>
      <c r="EEM24" s="19"/>
      <c r="EEN24" s="19"/>
      <c r="EEO24" s="19"/>
      <c r="EEP24" s="19"/>
      <c r="EEQ24" s="19"/>
      <c r="EER24" s="19"/>
      <c r="EES24" s="19"/>
      <c r="EET24" s="19"/>
      <c r="EEU24" s="19"/>
      <c r="EEV24" s="19"/>
      <c r="EEW24" s="19"/>
      <c r="EEX24" s="19"/>
      <c r="EEY24" s="19"/>
      <c r="EEZ24" s="19"/>
      <c r="EFA24" s="19"/>
      <c r="EFB24" s="19"/>
      <c r="EFC24" s="19"/>
      <c r="EFD24" s="19"/>
      <c r="EFE24" s="19"/>
      <c r="EFF24" s="19"/>
      <c r="EFG24" s="19"/>
      <c r="EFH24" s="19"/>
      <c r="EFI24" s="19"/>
      <c r="EFJ24" s="19"/>
      <c r="EFK24" s="19"/>
      <c r="EFL24" s="19"/>
      <c r="EFM24" s="19"/>
      <c r="EFN24" s="19"/>
      <c r="EFO24" s="19"/>
      <c r="EFP24" s="19"/>
      <c r="EFQ24" s="19"/>
      <c r="EFR24" s="19"/>
      <c r="EFS24" s="19"/>
      <c r="EFT24" s="19"/>
      <c r="EFU24" s="19"/>
      <c r="EFV24" s="19"/>
      <c r="EFW24" s="19"/>
      <c r="EFX24" s="19"/>
      <c r="EFY24" s="19"/>
      <c r="EFZ24" s="19"/>
      <c r="EGA24" s="19"/>
      <c r="EGB24" s="19"/>
      <c r="EGC24" s="19"/>
      <c r="EGD24" s="19"/>
      <c r="EGE24" s="19"/>
      <c r="EGF24" s="19"/>
      <c r="EGG24" s="19"/>
      <c r="EGH24" s="19"/>
      <c r="EGI24" s="19"/>
      <c r="EGJ24" s="19"/>
      <c r="EGK24" s="19"/>
      <c r="EGL24" s="19"/>
      <c r="EGM24" s="19"/>
      <c r="EGN24" s="19"/>
      <c r="EGO24" s="19"/>
      <c r="EGP24" s="19"/>
      <c r="EGQ24" s="19"/>
      <c r="EGR24" s="19"/>
      <c r="EGS24" s="19"/>
      <c r="EGT24" s="19"/>
      <c r="EGU24" s="19"/>
      <c r="EGV24" s="19"/>
      <c r="EGW24" s="19"/>
      <c r="EGX24" s="19"/>
      <c r="EGY24" s="19"/>
      <c r="EGZ24" s="19"/>
      <c r="EHA24" s="19"/>
      <c r="EHB24" s="19"/>
      <c r="EHC24" s="19"/>
      <c r="EHD24" s="19"/>
      <c r="EHE24" s="19"/>
      <c r="EHF24" s="19"/>
      <c r="EHG24" s="19"/>
      <c r="EHH24" s="19"/>
      <c r="EHI24" s="19"/>
      <c r="EHJ24" s="19"/>
      <c r="EHK24" s="19"/>
      <c r="EHL24" s="19"/>
      <c r="EHM24" s="19"/>
      <c r="EHN24" s="19"/>
      <c r="EHO24" s="19"/>
      <c r="EHP24" s="19"/>
      <c r="EHQ24" s="19"/>
      <c r="EHR24" s="19"/>
      <c r="EHS24" s="19"/>
      <c r="EHT24" s="19"/>
      <c r="EHU24" s="19"/>
      <c r="EHV24" s="19"/>
      <c r="EHW24" s="19"/>
      <c r="EHX24" s="19"/>
      <c r="EHY24" s="19"/>
      <c r="EHZ24" s="19"/>
      <c r="EIA24" s="19"/>
      <c r="EIB24" s="19"/>
      <c r="EIC24" s="19"/>
      <c r="EID24" s="19"/>
      <c r="EIE24" s="19"/>
      <c r="EIF24" s="19"/>
      <c r="EIG24" s="19"/>
      <c r="EIH24" s="19"/>
      <c r="EII24" s="19"/>
      <c r="EIJ24" s="19"/>
      <c r="EIK24" s="19"/>
      <c r="EIL24" s="19"/>
      <c r="EIM24" s="19"/>
      <c r="EIN24" s="19"/>
      <c r="EIO24" s="19"/>
      <c r="EIP24" s="19"/>
      <c r="EIQ24" s="19"/>
      <c r="EIR24" s="19"/>
      <c r="EIS24" s="19"/>
      <c r="EIT24" s="19"/>
      <c r="EIU24" s="19"/>
      <c r="EIV24" s="19"/>
      <c r="EIW24" s="19"/>
      <c r="EIX24" s="19"/>
      <c r="EIY24" s="19"/>
      <c r="EIZ24" s="19"/>
      <c r="EJA24" s="19"/>
      <c r="EJB24" s="19"/>
      <c r="EJC24" s="19"/>
      <c r="EJD24" s="19"/>
      <c r="EJE24" s="19"/>
      <c r="EJF24" s="19"/>
      <c r="EJG24" s="19"/>
      <c r="EJH24" s="19"/>
      <c r="EJI24" s="19"/>
      <c r="EJJ24" s="19"/>
      <c r="EJK24" s="19"/>
      <c r="EJL24" s="19"/>
      <c r="EJM24" s="19"/>
      <c r="EJN24" s="19"/>
      <c r="EJO24" s="19"/>
      <c r="EJP24" s="19"/>
      <c r="EJQ24" s="19"/>
      <c r="EJR24" s="19"/>
      <c r="EJS24" s="19"/>
      <c r="EJT24" s="19"/>
      <c r="EJU24" s="19"/>
      <c r="EJV24" s="19"/>
      <c r="EJW24" s="19"/>
      <c r="EJX24" s="19"/>
      <c r="EJY24" s="19"/>
      <c r="EJZ24" s="19"/>
      <c r="EKA24" s="19"/>
      <c r="EKB24" s="19"/>
      <c r="EKC24" s="19"/>
      <c r="EKD24" s="19"/>
      <c r="EKE24" s="19"/>
      <c r="EKF24" s="19"/>
      <c r="EKG24" s="19"/>
      <c r="EKH24" s="19"/>
      <c r="EKI24" s="19"/>
      <c r="EKJ24" s="19"/>
      <c r="EKK24" s="19"/>
      <c r="EKL24" s="19"/>
      <c r="EKM24" s="19"/>
      <c r="EKN24" s="19"/>
      <c r="EKO24" s="19"/>
      <c r="EKP24" s="19"/>
      <c r="EKQ24" s="19"/>
      <c r="EKR24" s="19"/>
      <c r="EKS24" s="19"/>
      <c r="EKT24" s="19"/>
      <c r="EKU24" s="19"/>
      <c r="EKV24" s="19"/>
      <c r="EKW24" s="19"/>
      <c r="EKX24" s="19"/>
      <c r="EKY24" s="19"/>
      <c r="EKZ24" s="19"/>
      <c r="ELA24" s="19"/>
      <c r="ELB24" s="19"/>
      <c r="ELC24" s="19"/>
      <c r="ELD24" s="19"/>
      <c r="ELE24" s="19"/>
      <c r="ELF24" s="19"/>
      <c r="ELG24" s="19"/>
      <c r="ELH24" s="19"/>
      <c r="ELI24" s="19"/>
      <c r="ELJ24" s="19"/>
      <c r="ELK24" s="19"/>
      <c r="ELL24" s="19"/>
      <c r="ELM24" s="19"/>
      <c r="ELN24" s="19"/>
      <c r="ELO24" s="19"/>
      <c r="ELP24" s="19"/>
      <c r="ELQ24" s="19"/>
      <c r="ELR24" s="19"/>
      <c r="ELS24" s="19"/>
      <c r="ELT24" s="19"/>
      <c r="ELU24" s="19"/>
      <c r="ELV24" s="19"/>
      <c r="ELW24" s="19"/>
      <c r="ELX24" s="19"/>
      <c r="ELY24" s="19"/>
      <c r="ELZ24" s="19"/>
      <c r="EMA24" s="19"/>
      <c r="EMB24" s="19"/>
      <c r="EMC24" s="19"/>
      <c r="EMD24" s="19"/>
      <c r="EME24" s="19"/>
      <c r="EMF24" s="19"/>
      <c r="EMG24" s="19"/>
      <c r="EMH24" s="19"/>
      <c r="EMI24" s="19"/>
      <c r="EMJ24" s="19"/>
      <c r="EMK24" s="19"/>
      <c r="EML24" s="19"/>
      <c r="EMM24" s="19"/>
      <c r="EMN24" s="19"/>
      <c r="EMO24" s="19"/>
      <c r="EMP24" s="19"/>
      <c r="EMQ24" s="19"/>
      <c r="EMR24" s="19"/>
      <c r="EMS24" s="19"/>
      <c r="EMT24" s="19"/>
      <c r="EMU24" s="19"/>
      <c r="EMV24" s="19"/>
      <c r="EMW24" s="19"/>
      <c r="EMX24" s="19"/>
      <c r="EMY24" s="19"/>
      <c r="EMZ24" s="19"/>
      <c r="ENA24" s="19"/>
      <c r="ENB24" s="19"/>
      <c r="ENC24" s="19"/>
      <c r="END24" s="19"/>
      <c r="ENE24" s="19"/>
      <c r="ENF24" s="19"/>
      <c r="ENG24" s="19"/>
      <c r="ENH24" s="19"/>
      <c r="ENI24" s="19"/>
      <c r="ENJ24" s="19"/>
      <c r="ENK24" s="19"/>
      <c r="ENL24" s="19"/>
      <c r="ENM24" s="19"/>
      <c r="ENN24" s="19"/>
      <c r="ENO24" s="19"/>
      <c r="ENP24" s="19"/>
      <c r="ENQ24" s="19"/>
      <c r="ENR24" s="19"/>
      <c r="ENS24" s="19"/>
      <c r="ENT24" s="19"/>
      <c r="ENU24" s="19"/>
      <c r="ENV24" s="19"/>
      <c r="ENW24" s="19"/>
      <c r="ENX24" s="19"/>
      <c r="ENY24" s="19"/>
      <c r="ENZ24" s="19"/>
      <c r="EOA24" s="19"/>
      <c r="EOB24" s="19"/>
      <c r="EOC24" s="19"/>
      <c r="EOD24" s="19"/>
      <c r="EOE24" s="19"/>
      <c r="EOF24" s="19"/>
      <c r="EOG24" s="19"/>
      <c r="EOH24" s="19"/>
      <c r="EOI24" s="19"/>
      <c r="EOJ24" s="19"/>
      <c r="EOK24" s="19"/>
      <c r="EOL24" s="19"/>
      <c r="EOM24" s="19"/>
      <c r="EON24" s="19"/>
      <c r="EOO24" s="19"/>
      <c r="EOP24" s="19"/>
      <c r="EOQ24" s="19"/>
      <c r="EOR24" s="19"/>
      <c r="EOS24" s="19"/>
      <c r="EOT24" s="19"/>
      <c r="EOU24" s="19"/>
      <c r="EOV24" s="19"/>
      <c r="EOW24" s="19"/>
      <c r="EOX24" s="19"/>
      <c r="EOY24" s="19"/>
      <c r="EOZ24" s="19"/>
      <c r="EPA24" s="19"/>
      <c r="EPB24" s="19"/>
      <c r="EPC24" s="19"/>
      <c r="EPD24" s="19"/>
      <c r="EPE24" s="19"/>
      <c r="EPF24" s="19"/>
      <c r="EPG24" s="19"/>
      <c r="EPH24" s="19"/>
      <c r="EPI24" s="19"/>
      <c r="EPJ24" s="19"/>
      <c r="EPK24" s="19"/>
      <c r="EPL24" s="19"/>
      <c r="EPM24" s="19"/>
      <c r="EPN24" s="19"/>
      <c r="EPO24" s="19"/>
      <c r="EPP24" s="19"/>
      <c r="EPQ24" s="19"/>
      <c r="EPR24" s="19"/>
      <c r="EPS24" s="19"/>
      <c r="EPT24" s="19"/>
      <c r="EPU24" s="19"/>
      <c r="EPV24" s="19"/>
      <c r="EPW24" s="19"/>
      <c r="EPX24" s="19"/>
      <c r="EPY24" s="19"/>
      <c r="EPZ24" s="19"/>
      <c r="EQA24" s="19"/>
      <c r="EQB24" s="19"/>
      <c r="EQC24" s="19"/>
      <c r="EQD24" s="19"/>
      <c r="EQE24" s="19"/>
      <c r="EQF24" s="19"/>
      <c r="EQG24" s="19"/>
      <c r="EQH24" s="19"/>
      <c r="EQI24" s="19"/>
      <c r="EQJ24" s="19"/>
      <c r="EQK24" s="19"/>
      <c r="EQL24" s="19"/>
      <c r="EQM24" s="19"/>
      <c r="EQN24" s="19"/>
      <c r="EQO24" s="19"/>
      <c r="EQP24" s="19"/>
      <c r="EQQ24" s="19"/>
      <c r="EQR24" s="19"/>
      <c r="EQS24" s="19"/>
      <c r="EQT24" s="19"/>
      <c r="EQU24" s="19"/>
      <c r="EQV24" s="19"/>
      <c r="EQW24" s="19"/>
      <c r="EQX24" s="19"/>
      <c r="EQY24" s="19"/>
      <c r="EQZ24" s="19"/>
      <c r="ERA24" s="19"/>
      <c r="ERB24" s="19"/>
      <c r="ERC24" s="19"/>
      <c r="ERD24" s="19"/>
      <c r="ERE24" s="19"/>
      <c r="ERF24" s="19"/>
      <c r="ERG24" s="19"/>
      <c r="ERH24" s="19"/>
      <c r="ERI24" s="19"/>
      <c r="ERJ24" s="19"/>
      <c r="ERK24" s="19"/>
      <c r="ERL24" s="19"/>
      <c r="ERM24" s="19"/>
      <c r="ERN24" s="19"/>
      <c r="ERO24" s="19"/>
      <c r="ERP24" s="19"/>
      <c r="ERQ24" s="19"/>
      <c r="ERR24" s="19"/>
      <c r="ERS24" s="19"/>
      <c r="ERT24" s="19"/>
      <c r="ERU24" s="19"/>
      <c r="ERV24" s="19"/>
      <c r="ERW24" s="19"/>
      <c r="ERX24" s="19"/>
      <c r="ERY24" s="19"/>
      <c r="ERZ24" s="19"/>
      <c r="ESA24" s="19"/>
      <c r="ESB24" s="19"/>
      <c r="ESC24" s="19"/>
      <c r="ESD24" s="19"/>
      <c r="ESE24" s="19"/>
      <c r="ESF24" s="19"/>
      <c r="ESG24" s="19"/>
      <c r="ESH24" s="19"/>
      <c r="ESI24" s="19"/>
      <c r="ESJ24" s="19"/>
      <c r="ESK24" s="19"/>
      <c r="ESL24" s="19"/>
      <c r="ESM24" s="19"/>
      <c r="ESN24" s="19"/>
      <c r="ESO24" s="19"/>
      <c r="ESP24" s="19"/>
      <c r="ESQ24" s="19"/>
      <c r="ESR24" s="19"/>
      <c r="ESS24" s="19"/>
      <c r="EST24" s="19"/>
      <c r="ESU24" s="19"/>
      <c r="ESV24" s="19"/>
      <c r="ESW24" s="19"/>
      <c r="ESX24" s="19"/>
      <c r="ESY24" s="19"/>
      <c r="ESZ24" s="19"/>
      <c r="ETA24" s="19"/>
      <c r="ETB24" s="19"/>
      <c r="ETC24" s="19"/>
      <c r="ETD24" s="19"/>
      <c r="ETE24" s="19"/>
      <c r="ETF24" s="19"/>
      <c r="ETG24" s="19"/>
      <c r="ETH24" s="19"/>
      <c r="ETI24" s="19"/>
      <c r="ETJ24" s="19"/>
      <c r="ETK24" s="19"/>
      <c r="ETL24" s="19"/>
      <c r="ETM24" s="19"/>
      <c r="ETN24" s="19"/>
      <c r="ETO24" s="19"/>
      <c r="ETP24" s="19"/>
      <c r="ETQ24" s="19"/>
      <c r="ETR24" s="19"/>
      <c r="ETS24" s="19"/>
      <c r="ETT24" s="19"/>
      <c r="ETU24" s="19"/>
      <c r="ETV24" s="19"/>
      <c r="ETW24" s="19"/>
      <c r="ETX24" s="19"/>
      <c r="ETY24" s="19"/>
      <c r="ETZ24" s="19"/>
      <c r="EUA24" s="19"/>
      <c r="EUB24" s="19"/>
      <c r="EUC24" s="19"/>
      <c r="EUD24" s="19"/>
      <c r="EUE24" s="19"/>
      <c r="EUF24" s="19"/>
      <c r="EUG24" s="19"/>
      <c r="EUH24" s="19"/>
      <c r="EUI24" s="19"/>
      <c r="EUJ24" s="19"/>
      <c r="EUK24" s="19"/>
      <c r="EUL24" s="19"/>
      <c r="EUM24" s="19"/>
      <c r="EUN24" s="19"/>
      <c r="EUO24" s="19"/>
      <c r="EUP24" s="19"/>
      <c r="EUQ24" s="19"/>
      <c r="EUR24" s="19"/>
      <c r="EUS24" s="19"/>
      <c r="EUT24" s="19"/>
      <c r="EUU24" s="19"/>
      <c r="EUV24" s="19"/>
      <c r="EUW24" s="19"/>
      <c r="EUX24" s="19"/>
      <c r="EUY24" s="19"/>
      <c r="EUZ24" s="19"/>
      <c r="EVA24" s="19"/>
      <c r="EVB24" s="19"/>
      <c r="EVC24" s="19"/>
      <c r="EVD24" s="19"/>
      <c r="EVE24" s="19"/>
      <c r="EVF24" s="19"/>
      <c r="EVG24" s="19"/>
      <c r="EVH24" s="19"/>
      <c r="EVI24" s="19"/>
      <c r="EVJ24" s="19"/>
      <c r="EVK24" s="19"/>
      <c r="EVL24" s="19"/>
      <c r="EVM24" s="19"/>
      <c r="EVN24" s="19"/>
      <c r="EVO24" s="19"/>
      <c r="EVP24" s="19"/>
      <c r="EVQ24" s="19"/>
      <c r="EVR24" s="19"/>
      <c r="EVS24" s="19"/>
      <c r="EVT24" s="19"/>
      <c r="EVU24" s="19"/>
      <c r="EVV24" s="19"/>
      <c r="EVW24" s="19"/>
      <c r="EVX24" s="19"/>
      <c r="EVY24" s="19"/>
      <c r="EVZ24" s="19"/>
      <c r="EWA24" s="19"/>
      <c r="EWB24" s="19"/>
      <c r="EWC24" s="19"/>
      <c r="EWD24" s="19"/>
      <c r="EWE24" s="19"/>
      <c r="EWF24" s="19"/>
      <c r="EWG24" s="19"/>
      <c r="EWH24" s="19"/>
      <c r="EWI24" s="19"/>
      <c r="EWJ24" s="19"/>
      <c r="EWK24" s="19"/>
      <c r="EWL24" s="19"/>
      <c r="EWM24" s="19"/>
      <c r="EWN24" s="19"/>
      <c r="EWO24" s="19"/>
      <c r="EWP24" s="19"/>
      <c r="EWQ24" s="19"/>
      <c r="EWR24" s="19"/>
      <c r="EWS24" s="19"/>
      <c r="EWT24" s="19"/>
      <c r="EWU24" s="19"/>
      <c r="EWV24" s="19"/>
      <c r="EWW24" s="19"/>
      <c r="EWX24" s="19"/>
      <c r="EWY24" s="19"/>
      <c r="EWZ24" s="19"/>
      <c r="EXA24" s="19"/>
      <c r="EXB24" s="19"/>
      <c r="EXC24" s="19"/>
      <c r="EXD24" s="19"/>
      <c r="EXE24" s="19"/>
      <c r="EXF24" s="19"/>
      <c r="EXG24" s="19"/>
      <c r="EXH24" s="19"/>
      <c r="EXI24" s="19"/>
      <c r="EXJ24" s="19"/>
      <c r="EXK24" s="19"/>
      <c r="EXL24" s="19"/>
      <c r="EXM24" s="19"/>
      <c r="EXN24" s="19"/>
      <c r="EXO24" s="19"/>
      <c r="EXP24" s="19"/>
      <c r="EXQ24" s="19"/>
      <c r="EXR24" s="19"/>
      <c r="EXS24" s="19"/>
      <c r="EXT24" s="19"/>
      <c r="EXU24" s="19"/>
      <c r="EXV24" s="19"/>
      <c r="EXW24" s="19"/>
      <c r="EXX24" s="19"/>
      <c r="EXY24" s="19"/>
      <c r="EXZ24" s="19"/>
      <c r="EYA24" s="19"/>
      <c r="EYB24" s="19"/>
      <c r="EYC24" s="19"/>
      <c r="EYD24" s="19"/>
      <c r="EYE24" s="19"/>
      <c r="EYF24" s="19"/>
      <c r="EYG24" s="19"/>
      <c r="EYH24" s="19"/>
      <c r="EYI24" s="19"/>
      <c r="EYJ24" s="19"/>
      <c r="EYK24" s="19"/>
      <c r="EYL24" s="19"/>
      <c r="EYM24" s="19"/>
      <c r="EYN24" s="19"/>
      <c r="EYO24" s="19"/>
      <c r="EYP24" s="19"/>
      <c r="EYQ24" s="19"/>
      <c r="EYR24" s="19"/>
      <c r="EYS24" s="19"/>
      <c r="EYT24" s="19"/>
      <c r="EYU24" s="19"/>
      <c r="EYV24" s="19"/>
      <c r="EYW24" s="19"/>
      <c r="EYX24" s="19"/>
      <c r="EYY24" s="19"/>
      <c r="EYZ24" s="19"/>
      <c r="EZA24" s="19"/>
      <c r="EZB24" s="19"/>
      <c r="EZC24" s="19"/>
      <c r="EZD24" s="19"/>
      <c r="EZE24" s="19"/>
      <c r="EZF24" s="19"/>
      <c r="EZG24" s="19"/>
      <c r="EZH24" s="19"/>
      <c r="EZI24" s="19"/>
      <c r="EZJ24" s="19"/>
      <c r="EZK24" s="19"/>
      <c r="EZL24" s="19"/>
      <c r="EZM24" s="19"/>
      <c r="EZN24" s="19"/>
      <c r="EZO24" s="19"/>
      <c r="EZP24" s="19"/>
      <c r="EZQ24" s="19"/>
      <c r="EZR24" s="19"/>
      <c r="EZS24" s="19"/>
      <c r="EZT24" s="19"/>
      <c r="EZU24" s="19"/>
      <c r="EZV24" s="19"/>
      <c r="EZW24" s="19"/>
      <c r="EZX24" s="19"/>
      <c r="EZY24" s="19"/>
      <c r="EZZ24" s="19"/>
      <c r="FAA24" s="19"/>
      <c r="FAB24" s="19"/>
      <c r="FAC24" s="19"/>
      <c r="FAD24" s="19"/>
      <c r="FAE24" s="19"/>
      <c r="FAF24" s="19"/>
      <c r="FAG24" s="19"/>
      <c r="FAH24" s="19"/>
      <c r="FAI24" s="19"/>
      <c r="FAJ24" s="19"/>
      <c r="FAK24" s="19"/>
      <c r="FAL24" s="19"/>
      <c r="FAM24" s="19"/>
      <c r="FAN24" s="19"/>
      <c r="FAO24" s="19"/>
      <c r="FAP24" s="19"/>
      <c r="FAQ24" s="19"/>
      <c r="FAR24" s="19"/>
      <c r="FAS24" s="19"/>
      <c r="FAT24" s="19"/>
      <c r="FAU24" s="19"/>
      <c r="FAV24" s="19"/>
      <c r="FAW24" s="19"/>
      <c r="FAX24" s="19"/>
      <c r="FAY24" s="19"/>
      <c r="FAZ24" s="19"/>
      <c r="FBA24" s="19"/>
      <c r="FBB24" s="19"/>
      <c r="FBC24" s="19"/>
      <c r="FBD24" s="19"/>
      <c r="FBE24" s="19"/>
      <c r="FBF24" s="19"/>
      <c r="FBG24" s="19"/>
      <c r="FBH24" s="19"/>
      <c r="FBI24" s="19"/>
      <c r="FBJ24" s="19"/>
      <c r="FBK24" s="19"/>
      <c r="FBL24" s="19"/>
      <c r="FBM24" s="19"/>
      <c r="FBN24" s="19"/>
      <c r="FBO24" s="19"/>
      <c r="FBP24" s="19"/>
      <c r="FBQ24" s="19"/>
      <c r="FBR24" s="19"/>
      <c r="FBS24" s="19"/>
      <c r="FBT24" s="19"/>
      <c r="FBU24" s="19"/>
      <c r="FBV24" s="19"/>
      <c r="FBW24" s="19"/>
      <c r="FBX24" s="19"/>
      <c r="FBY24" s="19"/>
      <c r="FBZ24" s="19"/>
      <c r="FCA24" s="19"/>
      <c r="FCB24" s="19"/>
      <c r="FCC24" s="19"/>
      <c r="FCD24" s="19"/>
      <c r="FCE24" s="19"/>
      <c r="FCF24" s="19"/>
      <c r="FCG24" s="19"/>
      <c r="FCH24" s="19"/>
      <c r="FCI24" s="19"/>
      <c r="FCJ24" s="19"/>
      <c r="FCK24" s="19"/>
      <c r="FCL24" s="19"/>
      <c r="FCM24" s="19"/>
      <c r="FCN24" s="19"/>
      <c r="FCO24" s="19"/>
      <c r="FCP24" s="19"/>
      <c r="FCQ24" s="19"/>
      <c r="FCR24" s="19"/>
      <c r="FCS24" s="19"/>
      <c r="FCT24" s="19"/>
      <c r="FCU24" s="19"/>
      <c r="FCV24" s="19"/>
      <c r="FCW24" s="19"/>
      <c r="FCX24" s="19"/>
      <c r="FCY24" s="19"/>
      <c r="FCZ24" s="19"/>
      <c r="FDA24" s="19"/>
      <c r="FDB24" s="19"/>
      <c r="FDC24" s="19"/>
      <c r="FDD24" s="19"/>
      <c r="FDE24" s="19"/>
      <c r="FDF24" s="19"/>
      <c r="FDG24" s="19"/>
      <c r="FDH24" s="19"/>
      <c r="FDI24" s="19"/>
      <c r="FDJ24" s="19"/>
      <c r="FDK24" s="19"/>
      <c r="FDL24" s="19"/>
      <c r="FDM24" s="19"/>
      <c r="FDN24" s="19"/>
      <c r="FDO24" s="19"/>
      <c r="FDP24" s="19"/>
      <c r="FDQ24" s="19"/>
      <c r="FDR24" s="19"/>
      <c r="FDS24" s="19"/>
      <c r="FDT24" s="19"/>
      <c r="FDU24" s="19"/>
      <c r="FDV24" s="19"/>
      <c r="FDW24" s="19"/>
      <c r="FDX24" s="19"/>
      <c r="FDY24" s="19"/>
      <c r="FDZ24" s="19"/>
      <c r="FEA24" s="19"/>
      <c r="FEB24" s="19"/>
      <c r="FEC24" s="19"/>
      <c r="FED24" s="19"/>
      <c r="FEE24" s="19"/>
      <c r="FEF24" s="19"/>
      <c r="FEG24" s="19"/>
      <c r="FEH24" s="19"/>
      <c r="FEI24" s="19"/>
      <c r="FEJ24" s="19"/>
      <c r="FEK24" s="19"/>
      <c r="FEL24" s="19"/>
      <c r="FEM24" s="19"/>
      <c r="FEN24" s="19"/>
      <c r="FEO24" s="19"/>
      <c r="FEP24" s="19"/>
      <c r="FEQ24" s="19"/>
      <c r="FER24" s="19"/>
      <c r="FES24" s="19"/>
      <c r="FET24" s="19"/>
      <c r="FEU24" s="19"/>
      <c r="FEV24" s="19"/>
      <c r="FEW24" s="19"/>
      <c r="FEX24" s="19"/>
      <c r="FEY24" s="19"/>
      <c r="FEZ24" s="19"/>
      <c r="FFA24" s="19"/>
      <c r="FFB24" s="19"/>
      <c r="FFC24" s="19"/>
      <c r="FFD24" s="19"/>
      <c r="FFE24" s="19"/>
      <c r="FFF24" s="19"/>
      <c r="FFG24" s="19"/>
      <c r="FFH24" s="19"/>
      <c r="FFI24" s="19"/>
      <c r="FFJ24" s="19"/>
      <c r="FFK24" s="19"/>
      <c r="FFL24" s="19"/>
      <c r="FFM24" s="19"/>
      <c r="FFN24" s="19"/>
      <c r="FFO24" s="19"/>
      <c r="FFP24" s="19"/>
      <c r="FFQ24" s="19"/>
      <c r="FFR24" s="19"/>
      <c r="FFS24" s="19"/>
      <c r="FFT24" s="19"/>
      <c r="FFU24" s="19"/>
      <c r="FFV24" s="19"/>
      <c r="FFW24" s="19"/>
      <c r="FFX24" s="19"/>
      <c r="FFY24" s="19"/>
      <c r="FFZ24" s="19"/>
      <c r="FGA24" s="19"/>
      <c r="FGB24" s="19"/>
      <c r="FGC24" s="19"/>
      <c r="FGD24" s="19"/>
      <c r="FGE24" s="19"/>
      <c r="FGF24" s="19"/>
      <c r="FGG24" s="19"/>
      <c r="FGH24" s="19"/>
      <c r="FGI24" s="19"/>
      <c r="FGJ24" s="19"/>
      <c r="FGK24" s="19"/>
      <c r="FGL24" s="19"/>
      <c r="FGM24" s="19"/>
      <c r="FGN24" s="19"/>
      <c r="FGO24" s="19"/>
      <c r="FGP24" s="19"/>
      <c r="FGQ24" s="19"/>
      <c r="FGR24" s="19"/>
      <c r="FGS24" s="19"/>
      <c r="FGT24" s="19"/>
      <c r="FGU24" s="19"/>
      <c r="FGV24" s="19"/>
      <c r="FGW24" s="19"/>
      <c r="FGX24" s="19"/>
      <c r="FGY24" s="19"/>
      <c r="FGZ24" s="19"/>
      <c r="FHA24" s="19"/>
      <c r="FHB24" s="19"/>
      <c r="FHC24" s="19"/>
      <c r="FHD24" s="19"/>
      <c r="FHE24" s="19"/>
      <c r="FHF24" s="19"/>
      <c r="FHG24" s="19"/>
      <c r="FHH24" s="19"/>
      <c r="FHI24" s="19"/>
      <c r="FHJ24" s="19"/>
      <c r="FHK24" s="19"/>
      <c r="FHL24" s="19"/>
      <c r="FHM24" s="19"/>
      <c r="FHN24" s="19"/>
      <c r="FHO24" s="19"/>
      <c r="FHP24" s="19"/>
      <c r="FHQ24" s="19"/>
      <c r="FHR24" s="19"/>
      <c r="FHS24" s="19"/>
      <c r="FHT24" s="19"/>
      <c r="FHU24" s="19"/>
      <c r="FHV24" s="19"/>
      <c r="FHW24" s="19"/>
      <c r="FHX24" s="19"/>
      <c r="FHY24" s="19"/>
      <c r="FHZ24" s="19"/>
      <c r="FIA24" s="19"/>
      <c r="FIB24" s="19"/>
      <c r="FIC24" s="19"/>
      <c r="FID24" s="19"/>
      <c r="FIE24" s="19"/>
      <c r="FIF24" s="19"/>
      <c r="FIG24" s="19"/>
      <c r="FIH24" s="19"/>
      <c r="FII24" s="19"/>
      <c r="FIJ24" s="19"/>
      <c r="FIK24" s="19"/>
      <c r="FIL24" s="19"/>
      <c r="FIM24" s="19"/>
      <c r="FIN24" s="19"/>
      <c r="FIO24" s="19"/>
      <c r="FIP24" s="19"/>
      <c r="FIQ24" s="19"/>
      <c r="FIR24" s="19"/>
      <c r="FIS24" s="19"/>
      <c r="FIT24" s="19"/>
      <c r="FIU24" s="19"/>
      <c r="FIV24" s="19"/>
      <c r="FIW24" s="19"/>
      <c r="FIX24" s="19"/>
      <c r="FIY24" s="19"/>
      <c r="FIZ24" s="19"/>
      <c r="FJA24" s="19"/>
      <c r="FJB24" s="19"/>
      <c r="FJC24" s="19"/>
      <c r="FJD24" s="19"/>
      <c r="FJE24" s="19"/>
      <c r="FJF24" s="19"/>
      <c r="FJG24" s="19"/>
      <c r="FJH24" s="19"/>
      <c r="FJI24" s="19"/>
      <c r="FJJ24" s="19"/>
      <c r="FJK24" s="19"/>
      <c r="FJL24" s="19"/>
      <c r="FJM24" s="19"/>
      <c r="FJN24" s="19"/>
      <c r="FJO24" s="19"/>
      <c r="FJP24" s="19"/>
      <c r="FJQ24" s="19"/>
      <c r="FJR24" s="19"/>
      <c r="FJS24" s="19"/>
      <c r="FJT24" s="19"/>
      <c r="FJU24" s="19"/>
      <c r="FJV24" s="19"/>
      <c r="FJW24" s="19"/>
      <c r="FJX24" s="19"/>
      <c r="FJY24" s="19"/>
      <c r="FJZ24" s="19"/>
      <c r="FKA24" s="19"/>
      <c r="FKB24" s="19"/>
      <c r="FKC24" s="19"/>
      <c r="FKD24" s="19"/>
      <c r="FKE24" s="19"/>
      <c r="FKF24" s="19"/>
      <c r="FKG24" s="19"/>
      <c r="FKH24" s="19"/>
      <c r="FKI24" s="19"/>
      <c r="FKJ24" s="19"/>
      <c r="FKK24" s="19"/>
      <c r="FKL24" s="19"/>
      <c r="FKM24" s="19"/>
      <c r="FKN24" s="19"/>
      <c r="FKO24" s="19"/>
      <c r="FKP24" s="19"/>
      <c r="FKQ24" s="19"/>
      <c r="FKR24" s="19"/>
      <c r="FKS24" s="19"/>
      <c r="FKT24" s="19"/>
      <c r="FKU24" s="19"/>
      <c r="FKV24" s="19"/>
      <c r="FKW24" s="19"/>
      <c r="FKX24" s="19"/>
      <c r="FKY24" s="19"/>
      <c r="FKZ24" s="19"/>
      <c r="FLA24" s="19"/>
      <c r="FLB24" s="19"/>
      <c r="FLC24" s="19"/>
      <c r="FLD24" s="19"/>
      <c r="FLE24" s="19"/>
      <c r="FLF24" s="19"/>
      <c r="FLG24" s="19"/>
      <c r="FLH24" s="19"/>
      <c r="FLI24" s="19"/>
      <c r="FLJ24" s="19"/>
      <c r="FLK24" s="19"/>
      <c r="FLL24" s="19"/>
      <c r="FLM24" s="19"/>
      <c r="FLN24" s="19"/>
      <c r="FLO24" s="19"/>
      <c r="FLP24" s="19"/>
      <c r="FLQ24" s="19"/>
      <c r="FLR24" s="19"/>
      <c r="FLS24" s="19"/>
      <c r="FLT24" s="19"/>
      <c r="FLU24" s="19"/>
      <c r="FLV24" s="19"/>
      <c r="FLW24" s="19"/>
      <c r="FLX24" s="19"/>
      <c r="FLY24" s="19"/>
      <c r="FLZ24" s="19"/>
      <c r="FMA24" s="19"/>
      <c r="FMB24" s="19"/>
      <c r="FMC24" s="19"/>
      <c r="FMD24" s="19"/>
      <c r="FME24" s="19"/>
      <c r="FMF24" s="19"/>
      <c r="FMG24" s="19"/>
      <c r="FMH24" s="19"/>
      <c r="FMI24" s="19"/>
      <c r="FMJ24" s="19"/>
      <c r="FMK24" s="19"/>
      <c r="FML24" s="19"/>
      <c r="FMM24" s="19"/>
      <c r="FMN24" s="19"/>
      <c r="FMO24" s="19"/>
      <c r="FMP24" s="19"/>
      <c r="FMQ24" s="19"/>
      <c r="FMR24" s="19"/>
      <c r="FMS24" s="19"/>
      <c r="FMT24" s="19"/>
      <c r="FMU24" s="19"/>
      <c r="FMV24" s="19"/>
      <c r="FMW24" s="19"/>
      <c r="FMX24" s="19"/>
      <c r="FMY24" s="19"/>
      <c r="FMZ24" s="19"/>
      <c r="FNA24" s="19"/>
      <c r="FNB24" s="19"/>
      <c r="FNC24" s="19"/>
      <c r="FND24" s="19"/>
      <c r="FNE24" s="19"/>
      <c r="FNF24" s="19"/>
      <c r="FNG24" s="19"/>
      <c r="FNH24" s="19"/>
      <c r="FNI24" s="19"/>
      <c r="FNJ24" s="19"/>
      <c r="FNK24" s="19"/>
      <c r="FNL24" s="19"/>
      <c r="FNM24" s="19"/>
      <c r="FNN24" s="19"/>
      <c r="FNO24" s="19"/>
      <c r="FNP24" s="19"/>
      <c r="FNQ24" s="19"/>
      <c r="FNR24" s="19"/>
      <c r="FNS24" s="19"/>
      <c r="FNT24" s="19"/>
      <c r="FNU24" s="19"/>
      <c r="FNV24" s="19"/>
      <c r="FNW24" s="19"/>
      <c r="FNX24" s="19"/>
      <c r="FNY24" s="19"/>
      <c r="FNZ24" s="19"/>
      <c r="FOA24" s="19"/>
      <c r="FOB24" s="19"/>
      <c r="FOC24" s="19"/>
      <c r="FOD24" s="19"/>
      <c r="FOE24" s="19"/>
      <c r="FOF24" s="19"/>
      <c r="FOG24" s="19"/>
      <c r="FOH24" s="19"/>
      <c r="FOI24" s="19"/>
      <c r="FOJ24" s="19"/>
      <c r="FOK24" s="19"/>
      <c r="FOL24" s="19"/>
      <c r="FOM24" s="19"/>
      <c r="FON24" s="19"/>
      <c r="FOO24" s="19"/>
      <c r="FOP24" s="19"/>
      <c r="FOQ24" s="19"/>
      <c r="FOR24" s="19"/>
      <c r="FOS24" s="19"/>
      <c r="FOT24" s="19"/>
      <c r="FOU24" s="19"/>
      <c r="FOV24" s="19"/>
      <c r="FOW24" s="19"/>
      <c r="FOX24" s="19"/>
      <c r="FOY24" s="19"/>
      <c r="FOZ24" s="19"/>
      <c r="FPA24" s="19"/>
      <c r="FPB24" s="19"/>
      <c r="FPC24" s="19"/>
      <c r="FPD24" s="19"/>
      <c r="FPE24" s="19"/>
      <c r="FPF24" s="19"/>
      <c r="FPG24" s="19"/>
      <c r="FPH24" s="19"/>
      <c r="FPI24" s="19"/>
      <c r="FPJ24" s="19"/>
      <c r="FPK24" s="19"/>
      <c r="FPL24" s="19"/>
      <c r="FPM24" s="19"/>
      <c r="FPN24" s="19"/>
      <c r="FPO24" s="19"/>
      <c r="FPP24" s="19"/>
      <c r="FPQ24" s="19"/>
      <c r="FPR24" s="19"/>
      <c r="FPS24" s="19"/>
      <c r="FPT24" s="19"/>
      <c r="FPU24" s="19"/>
      <c r="FPV24" s="19"/>
      <c r="FPW24" s="19"/>
      <c r="FPX24" s="19"/>
      <c r="FPY24" s="19"/>
      <c r="FPZ24" s="19"/>
      <c r="FQA24" s="19"/>
      <c r="FQB24" s="19"/>
      <c r="FQC24" s="19"/>
      <c r="FQD24" s="19"/>
      <c r="FQE24" s="19"/>
      <c r="FQF24" s="19"/>
      <c r="FQG24" s="19"/>
      <c r="FQH24" s="19"/>
      <c r="FQI24" s="19"/>
      <c r="FQJ24" s="19"/>
      <c r="FQK24" s="19"/>
      <c r="FQL24" s="19"/>
      <c r="FQM24" s="19"/>
      <c r="FQN24" s="19"/>
      <c r="FQO24" s="19"/>
      <c r="FQP24" s="19"/>
      <c r="FQQ24" s="19"/>
      <c r="FQR24" s="19"/>
      <c r="FQS24" s="19"/>
      <c r="FQT24" s="19"/>
      <c r="FQU24" s="19"/>
      <c r="FQV24" s="19"/>
      <c r="FQW24" s="19"/>
      <c r="FQX24" s="19"/>
      <c r="FQY24" s="19"/>
      <c r="FQZ24" s="19"/>
      <c r="FRA24" s="19"/>
      <c r="FRB24" s="19"/>
      <c r="FRC24" s="19"/>
      <c r="FRD24" s="19"/>
      <c r="FRE24" s="19"/>
      <c r="FRF24" s="19"/>
      <c r="FRG24" s="19"/>
      <c r="FRH24" s="19"/>
      <c r="FRI24" s="19"/>
      <c r="FRJ24" s="19"/>
      <c r="FRK24" s="19"/>
      <c r="FRL24" s="19"/>
      <c r="FRM24" s="19"/>
      <c r="FRN24" s="19"/>
      <c r="FRO24" s="19"/>
      <c r="FRP24" s="19"/>
      <c r="FRQ24" s="19"/>
      <c r="FRR24" s="19"/>
      <c r="FRS24" s="19"/>
      <c r="FRT24" s="19"/>
      <c r="FRU24" s="19"/>
      <c r="FRV24" s="19"/>
      <c r="FRW24" s="19"/>
      <c r="FRX24" s="19"/>
      <c r="FRY24" s="19"/>
      <c r="FRZ24" s="19"/>
      <c r="FSA24" s="19"/>
      <c r="FSB24" s="19"/>
      <c r="FSC24" s="19"/>
      <c r="FSD24" s="19"/>
      <c r="FSE24" s="19"/>
      <c r="FSF24" s="19"/>
      <c r="FSG24" s="19"/>
      <c r="FSH24" s="19"/>
      <c r="FSI24" s="19"/>
      <c r="FSJ24" s="19"/>
      <c r="FSK24" s="19"/>
      <c r="FSL24" s="19"/>
      <c r="FSM24" s="19"/>
      <c r="FSN24" s="19"/>
      <c r="FSO24" s="19"/>
      <c r="FSP24" s="19"/>
      <c r="FSQ24" s="19"/>
      <c r="FSR24" s="19"/>
      <c r="FSS24" s="19"/>
      <c r="FST24" s="19"/>
      <c r="FSU24" s="19"/>
      <c r="FSV24" s="19"/>
      <c r="FSW24" s="19"/>
      <c r="FSX24" s="19"/>
      <c r="FSY24" s="19"/>
      <c r="FSZ24" s="19"/>
      <c r="FTA24" s="19"/>
      <c r="FTB24" s="19"/>
      <c r="FTC24" s="19"/>
      <c r="FTD24" s="19"/>
      <c r="FTE24" s="19"/>
      <c r="FTF24" s="19"/>
      <c r="FTG24" s="19"/>
      <c r="FTH24" s="19"/>
      <c r="FTI24" s="19"/>
      <c r="FTJ24" s="19"/>
      <c r="FTK24" s="19"/>
      <c r="FTL24" s="19"/>
      <c r="FTM24" s="19"/>
      <c r="FTN24" s="19"/>
      <c r="FTO24" s="19"/>
      <c r="FTP24" s="19"/>
      <c r="FTQ24" s="19"/>
      <c r="FTR24" s="19"/>
      <c r="FTS24" s="19"/>
      <c r="FTT24" s="19"/>
      <c r="FTU24" s="19"/>
      <c r="FTV24" s="19"/>
      <c r="FTW24" s="19"/>
      <c r="FTX24" s="19"/>
      <c r="FTY24" s="19"/>
      <c r="FTZ24" s="19"/>
      <c r="FUA24" s="19"/>
      <c r="FUB24" s="19"/>
      <c r="FUC24" s="19"/>
      <c r="FUD24" s="19"/>
      <c r="FUE24" s="19"/>
      <c r="FUF24" s="19"/>
      <c r="FUG24" s="19"/>
      <c r="FUH24" s="19"/>
      <c r="FUI24" s="19"/>
      <c r="FUJ24" s="19"/>
      <c r="FUK24" s="19"/>
      <c r="FUL24" s="19"/>
      <c r="FUM24" s="19"/>
      <c r="FUN24" s="19"/>
      <c r="FUO24" s="19"/>
      <c r="FUP24" s="19"/>
      <c r="FUQ24" s="19"/>
      <c r="FUR24" s="19"/>
      <c r="FUS24" s="19"/>
      <c r="FUT24" s="19"/>
      <c r="FUU24" s="19"/>
      <c r="FUV24" s="19"/>
      <c r="FUW24" s="19"/>
      <c r="FUX24" s="19"/>
      <c r="FUY24" s="19"/>
      <c r="FUZ24" s="19"/>
      <c r="FVA24" s="19"/>
      <c r="FVB24" s="19"/>
      <c r="FVC24" s="19"/>
      <c r="FVD24" s="19"/>
      <c r="FVE24" s="19"/>
      <c r="FVF24" s="19"/>
      <c r="FVG24" s="19"/>
      <c r="FVH24" s="19"/>
      <c r="FVI24" s="19"/>
      <c r="FVJ24" s="19"/>
      <c r="FVK24" s="19"/>
      <c r="FVL24" s="19"/>
      <c r="FVM24" s="19"/>
      <c r="FVN24" s="19"/>
      <c r="FVO24" s="19"/>
      <c r="FVP24" s="19"/>
      <c r="FVQ24" s="19"/>
      <c r="FVR24" s="19"/>
      <c r="FVS24" s="19"/>
      <c r="FVT24" s="19"/>
      <c r="FVU24" s="19"/>
      <c r="FVV24" s="19"/>
      <c r="FVW24" s="19"/>
      <c r="FVX24" s="19"/>
      <c r="FVY24" s="19"/>
      <c r="FVZ24" s="19"/>
      <c r="FWA24" s="19"/>
      <c r="FWB24" s="19"/>
      <c r="FWC24" s="19"/>
      <c r="FWD24" s="19"/>
      <c r="FWE24" s="19"/>
      <c r="FWF24" s="19"/>
      <c r="FWG24" s="19"/>
      <c r="FWH24" s="19"/>
      <c r="FWI24" s="19"/>
      <c r="FWJ24" s="19"/>
      <c r="FWK24" s="19"/>
      <c r="FWL24" s="19"/>
      <c r="FWM24" s="19"/>
      <c r="FWN24" s="19"/>
      <c r="FWO24" s="19"/>
      <c r="FWP24" s="19"/>
      <c r="FWQ24" s="19"/>
      <c r="FWR24" s="19"/>
      <c r="FWS24" s="19"/>
      <c r="FWT24" s="19"/>
      <c r="FWU24" s="19"/>
      <c r="FWV24" s="19"/>
      <c r="FWW24" s="19"/>
      <c r="FWX24" s="19"/>
      <c r="FWY24" s="19"/>
      <c r="FWZ24" s="19"/>
      <c r="FXA24" s="19"/>
      <c r="FXB24" s="19"/>
      <c r="FXC24" s="19"/>
      <c r="FXD24" s="19"/>
      <c r="FXE24" s="19"/>
      <c r="FXF24" s="19"/>
      <c r="FXG24" s="19"/>
      <c r="FXH24" s="19"/>
      <c r="FXI24" s="19"/>
      <c r="FXJ24" s="19"/>
      <c r="FXK24" s="19"/>
      <c r="FXL24" s="19"/>
      <c r="FXM24" s="19"/>
      <c r="FXN24" s="19"/>
      <c r="FXO24" s="19"/>
      <c r="FXP24" s="19"/>
      <c r="FXQ24" s="19"/>
      <c r="FXR24" s="19"/>
      <c r="FXS24" s="19"/>
      <c r="FXT24" s="19"/>
      <c r="FXU24" s="19"/>
      <c r="FXV24" s="19"/>
      <c r="FXW24" s="19"/>
      <c r="FXX24" s="19"/>
      <c r="FXY24" s="19"/>
      <c r="FXZ24" s="19"/>
      <c r="FYA24" s="19"/>
      <c r="FYB24" s="19"/>
      <c r="FYC24" s="19"/>
      <c r="FYD24" s="19"/>
      <c r="FYE24" s="19"/>
      <c r="FYF24" s="19"/>
      <c r="FYG24" s="19"/>
      <c r="FYH24" s="19"/>
      <c r="FYI24" s="19"/>
      <c r="FYJ24" s="19"/>
      <c r="FYK24" s="19"/>
      <c r="FYL24" s="19"/>
      <c r="FYM24" s="19"/>
      <c r="FYN24" s="19"/>
      <c r="FYO24" s="19"/>
      <c r="FYP24" s="19"/>
      <c r="FYQ24" s="19"/>
      <c r="FYR24" s="19"/>
      <c r="FYS24" s="19"/>
      <c r="FYT24" s="19"/>
      <c r="FYU24" s="19"/>
      <c r="FYV24" s="19"/>
      <c r="FYW24" s="19"/>
      <c r="FYX24" s="19"/>
      <c r="FYY24" s="19"/>
      <c r="FYZ24" s="19"/>
      <c r="FZA24" s="19"/>
      <c r="FZB24" s="19"/>
      <c r="FZC24" s="19"/>
      <c r="FZD24" s="19"/>
      <c r="FZE24" s="19"/>
      <c r="FZF24" s="19"/>
      <c r="FZG24" s="19"/>
      <c r="FZH24" s="19"/>
      <c r="FZI24" s="19"/>
      <c r="FZJ24" s="19"/>
      <c r="FZK24" s="19"/>
      <c r="FZL24" s="19"/>
      <c r="FZM24" s="19"/>
      <c r="FZN24" s="19"/>
      <c r="FZO24" s="19"/>
      <c r="FZP24" s="19"/>
      <c r="FZQ24" s="19"/>
      <c r="FZR24" s="19"/>
      <c r="FZS24" s="19"/>
      <c r="FZT24" s="19"/>
      <c r="FZU24" s="19"/>
      <c r="FZV24" s="19"/>
      <c r="FZW24" s="19"/>
      <c r="FZX24" s="19"/>
      <c r="FZY24" s="19"/>
      <c r="FZZ24" s="19"/>
      <c r="GAA24" s="19"/>
      <c r="GAB24" s="19"/>
      <c r="GAC24" s="19"/>
      <c r="GAD24" s="19"/>
      <c r="GAE24" s="19"/>
      <c r="GAF24" s="19"/>
      <c r="GAG24" s="19"/>
      <c r="GAH24" s="19"/>
      <c r="GAI24" s="19"/>
      <c r="GAJ24" s="19"/>
      <c r="GAK24" s="19"/>
      <c r="GAL24" s="19"/>
      <c r="GAM24" s="19"/>
      <c r="GAN24" s="19"/>
      <c r="GAO24" s="19"/>
      <c r="GAP24" s="19"/>
      <c r="GAQ24" s="19"/>
      <c r="GAR24" s="19"/>
      <c r="GAS24" s="19"/>
      <c r="GAT24" s="19"/>
      <c r="GAU24" s="19"/>
      <c r="GAV24" s="19"/>
      <c r="GAW24" s="19"/>
      <c r="GAX24" s="19"/>
      <c r="GAY24" s="19"/>
      <c r="GAZ24" s="19"/>
      <c r="GBA24" s="19"/>
      <c r="GBB24" s="19"/>
      <c r="GBC24" s="19"/>
      <c r="GBD24" s="19"/>
      <c r="GBE24" s="19"/>
      <c r="GBF24" s="19"/>
      <c r="GBG24" s="19"/>
      <c r="GBH24" s="19"/>
      <c r="GBI24" s="19"/>
      <c r="GBJ24" s="19"/>
      <c r="GBK24" s="19"/>
      <c r="GBL24" s="19"/>
      <c r="GBM24" s="19"/>
      <c r="GBN24" s="19"/>
      <c r="GBO24" s="19"/>
      <c r="GBP24" s="19"/>
      <c r="GBQ24" s="19"/>
      <c r="GBR24" s="19"/>
      <c r="GBS24" s="19"/>
      <c r="GBT24" s="19"/>
      <c r="GBU24" s="19"/>
      <c r="GBV24" s="19"/>
      <c r="GBW24" s="19"/>
      <c r="GBX24" s="19"/>
      <c r="GBY24" s="19"/>
      <c r="GBZ24" s="19"/>
      <c r="GCA24" s="19"/>
      <c r="GCB24" s="19"/>
      <c r="GCC24" s="19"/>
      <c r="GCD24" s="19"/>
      <c r="GCE24" s="19"/>
      <c r="GCF24" s="19"/>
      <c r="GCG24" s="19"/>
      <c r="GCH24" s="19"/>
      <c r="GCI24" s="19"/>
      <c r="GCJ24" s="19"/>
      <c r="GCK24" s="19"/>
      <c r="GCL24" s="19"/>
      <c r="GCM24" s="19"/>
      <c r="GCN24" s="19"/>
      <c r="GCO24" s="19"/>
      <c r="GCP24" s="19"/>
      <c r="GCQ24" s="19"/>
      <c r="GCR24" s="19"/>
      <c r="GCS24" s="19"/>
      <c r="GCT24" s="19"/>
      <c r="GCU24" s="19"/>
      <c r="GCV24" s="19"/>
      <c r="GCW24" s="19"/>
      <c r="GCX24" s="19"/>
      <c r="GCY24" s="19"/>
      <c r="GCZ24" s="19"/>
      <c r="GDA24" s="19"/>
      <c r="GDB24" s="19"/>
      <c r="GDC24" s="19"/>
      <c r="GDD24" s="19"/>
      <c r="GDE24" s="19"/>
      <c r="GDF24" s="19"/>
      <c r="GDG24" s="19"/>
      <c r="GDH24" s="19"/>
      <c r="GDI24" s="19"/>
      <c r="GDJ24" s="19"/>
      <c r="GDK24" s="19"/>
      <c r="GDL24" s="19"/>
      <c r="GDM24" s="19"/>
      <c r="GDN24" s="19"/>
      <c r="GDO24" s="19"/>
      <c r="GDP24" s="19"/>
      <c r="GDQ24" s="19"/>
      <c r="GDR24" s="19"/>
      <c r="GDS24" s="19"/>
      <c r="GDT24" s="19"/>
      <c r="GDU24" s="19"/>
      <c r="GDV24" s="19"/>
      <c r="GDW24" s="19"/>
      <c r="GDX24" s="19"/>
      <c r="GDY24" s="19"/>
      <c r="GDZ24" s="19"/>
      <c r="GEA24" s="19"/>
      <c r="GEB24" s="19"/>
      <c r="GEC24" s="19"/>
      <c r="GED24" s="19"/>
      <c r="GEE24" s="19"/>
      <c r="GEF24" s="19"/>
      <c r="GEG24" s="19"/>
      <c r="GEH24" s="19"/>
      <c r="GEI24" s="19"/>
      <c r="GEJ24" s="19"/>
      <c r="GEK24" s="19"/>
      <c r="GEL24" s="19"/>
      <c r="GEM24" s="19"/>
      <c r="GEN24" s="19"/>
      <c r="GEO24" s="19"/>
      <c r="GEP24" s="19"/>
      <c r="GEQ24" s="19"/>
      <c r="GER24" s="19"/>
      <c r="GES24" s="19"/>
      <c r="GET24" s="19"/>
      <c r="GEU24" s="19"/>
      <c r="GEV24" s="19"/>
      <c r="GEW24" s="19"/>
      <c r="GEX24" s="19"/>
      <c r="GEY24" s="19"/>
      <c r="GEZ24" s="19"/>
      <c r="GFA24" s="19"/>
      <c r="GFB24" s="19"/>
      <c r="GFC24" s="19"/>
      <c r="GFD24" s="19"/>
      <c r="GFE24" s="19"/>
      <c r="GFF24" s="19"/>
      <c r="GFG24" s="19"/>
      <c r="GFH24" s="19"/>
      <c r="GFI24" s="19"/>
      <c r="GFJ24" s="19"/>
      <c r="GFK24" s="19"/>
      <c r="GFL24" s="19"/>
      <c r="GFM24" s="19"/>
      <c r="GFN24" s="19"/>
      <c r="GFO24" s="19"/>
      <c r="GFP24" s="19"/>
      <c r="GFQ24" s="19"/>
      <c r="GFR24" s="19"/>
      <c r="GFS24" s="19"/>
      <c r="GFT24" s="19"/>
      <c r="GFU24" s="19"/>
      <c r="GFV24" s="19"/>
      <c r="GFW24" s="19"/>
      <c r="GFX24" s="19"/>
      <c r="GFY24" s="19"/>
      <c r="GFZ24" s="19"/>
      <c r="GGA24" s="19"/>
      <c r="GGB24" s="19"/>
      <c r="GGC24" s="19"/>
      <c r="GGD24" s="19"/>
      <c r="GGE24" s="19"/>
      <c r="GGF24" s="19"/>
      <c r="GGG24" s="19"/>
      <c r="GGH24" s="19"/>
      <c r="GGI24" s="19"/>
      <c r="GGJ24" s="19"/>
      <c r="GGK24" s="19"/>
      <c r="GGL24" s="19"/>
      <c r="GGM24" s="19"/>
      <c r="GGN24" s="19"/>
      <c r="GGO24" s="19"/>
      <c r="GGP24" s="19"/>
      <c r="GGQ24" s="19"/>
      <c r="GGR24" s="19"/>
      <c r="GGS24" s="19"/>
      <c r="GGT24" s="19"/>
      <c r="GGU24" s="19"/>
      <c r="GGV24" s="19"/>
      <c r="GGW24" s="19"/>
      <c r="GGX24" s="19"/>
      <c r="GGY24" s="19"/>
      <c r="GGZ24" s="19"/>
      <c r="GHA24" s="19"/>
      <c r="GHB24" s="19"/>
      <c r="GHC24" s="19"/>
      <c r="GHD24" s="19"/>
      <c r="GHE24" s="19"/>
      <c r="GHF24" s="19"/>
      <c r="GHG24" s="19"/>
      <c r="GHH24" s="19"/>
      <c r="GHI24" s="19"/>
      <c r="GHJ24" s="19"/>
      <c r="GHK24" s="19"/>
      <c r="GHL24" s="19"/>
      <c r="GHM24" s="19"/>
      <c r="GHN24" s="19"/>
      <c r="GHO24" s="19"/>
      <c r="GHP24" s="19"/>
      <c r="GHQ24" s="19"/>
      <c r="GHR24" s="19"/>
      <c r="GHS24" s="19"/>
      <c r="GHT24" s="19"/>
      <c r="GHU24" s="19"/>
      <c r="GHV24" s="19"/>
      <c r="GHW24" s="19"/>
      <c r="GHX24" s="19"/>
      <c r="GHY24" s="19"/>
      <c r="GHZ24" s="19"/>
      <c r="GIA24" s="19"/>
      <c r="GIB24" s="19"/>
      <c r="GIC24" s="19"/>
      <c r="GID24" s="19"/>
      <c r="GIE24" s="19"/>
      <c r="GIF24" s="19"/>
      <c r="GIG24" s="19"/>
      <c r="GIH24" s="19"/>
      <c r="GII24" s="19"/>
      <c r="GIJ24" s="19"/>
      <c r="GIK24" s="19"/>
      <c r="GIL24" s="19"/>
      <c r="GIM24" s="19"/>
      <c r="GIN24" s="19"/>
      <c r="GIO24" s="19"/>
      <c r="GIP24" s="19"/>
      <c r="GIQ24" s="19"/>
      <c r="GIR24" s="19"/>
      <c r="GIS24" s="19"/>
      <c r="GIT24" s="19"/>
      <c r="GIU24" s="19"/>
      <c r="GIV24" s="19"/>
      <c r="GIW24" s="19"/>
      <c r="GIX24" s="19"/>
      <c r="GIY24" s="19"/>
      <c r="GIZ24" s="19"/>
      <c r="GJA24" s="19"/>
      <c r="GJB24" s="19"/>
      <c r="GJC24" s="19"/>
      <c r="GJD24" s="19"/>
      <c r="GJE24" s="19"/>
      <c r="GJF24" s="19"/>
      <c r="GJG24" s="19"/>
      <c r="GJH24" s="19"/>
      <c r="GJI24" s="19"/>
      <c r="GJJ24" s="19"/>
      <c r="GJK24" s="19"/>
      <c r="GJL24" s="19"/>
      <c r="GJM24" s="19"/>
      <c r="GJN24" s="19"/>
      <c r="GJO24" s="19"/>
      <c r="GJP24" s="19"/>
      <c r="GJQ24" s="19"/>
      <c r="GJR24" s="19"/>
      <c r="GJS24" s="19"/>
      <c r="GJT24" s="19"/>
      <c r="GJU24" s="19"/>
      <c r="GJV24" s="19"/>
      <c r="GJW24" s="19"/>
      <c r="GJX24" s="19"/>
      <c r="GJY24" s="19"/>
      <c r="GJZ24" s="19"/>
      <c r="GKA24" s="19"/>
      <c r="GKB24" s="19"/>
      <c r="GKC24" s="19"/>
      <c r="GKD24" s="19"/>
      <c r="GKE24" s="19"/>
      <c r="GKF24" s="19"/>
      <c r="GKG24" s="19"/>
      <c r="GKH24" s="19"/>
      <c r="GKI24" s="19"/>
      <c r="GKJ24" s="19"/>
      <c r="GKK24" s="19"/>
      <c r="GKL24" s="19"/>
      <c r="GKM24" s="19"/>
      <c r="GKN24" s="19"/>
      <c r="GKO24" s="19"/>
      <c r="GKP24" s="19"/>
      <c r="GKQ24" s="19"/>
      <c r="GKR24" s="19"/>
      <c r="GKS24" s="19"/>
      <c r="GKT24" s="19"/>
      <c r="GKU24" s="19"/>
      <c r="GKV24" s="19"/>
      <c r="GKW24" s="19"/>
      <c r="GKX24" s="19"/>
      <c r="GKY24" s="19"/>
      <c r="GKZ24" s="19"/>
      <c r="GLA24" s="19"/>
      <c r="GLB24" s="19"/>
      <c r="GLC24" s="19"/>
      <c r="GLD24" s="19"/>
      <c r="GLE24" s="19"/>
      <c r="GLF24" s="19"/>
      <c r="GLG24" s="19"/>
      <c r="GLH24" s="19"/>
      <c r="GLI24" s="19"/>
      <c r="GLJ24" s="19"/>
      <c r="GLK24" s="19"/>
      <c r="GLL24" s="19"/>
      <c r="GLM24" s="19"/>
      <c r="GLN24" s="19"/>
      <c r="GLO24" s="19"/>
      <c r="GLP24" s="19"/>
      <c r="GLQ24" s="19"/>
      <c r="GLR24" s="19"/>
      <c r="GLS24" s="19"/>
      <c r="GLT24" s="19"/>
      <c r="GLU24" s="19"/>
      <c r="GLV24" s="19"/>
      <c r="GLW24" s="19"/>
      <c r="GLX24" s="19"/>
      <c r="GLY24" s="19"/>
      <c r="GLZ24" s="19"/>
      <c r="GMA24" s="19"/>
      <c r="GMB24" s="19"/>
      <c r="GMC24" s="19"/>
      <c r="GMD24" s="19"/>
      <c r="GME24" s="19"/>
      <c r="GMF24" s="19"/>
      <c r="GMG24" s="19"/>
      <c r="GMH24" s="19"/>
      <c r="GMI24" s="19"/>
      <c r="GMJ24" s="19"/>
      <c r="GMK24" s="19"/>
      <c r="GML24" s="19"/>
      <c r="GMM24" s="19"/>
      <c r="GMN24" s="19"/>
      <c r="GMO24" s="19"/>
      <c r="GMP24" s="19"/>
      <c r="GMQ24" s="19"/>
      <c r="GMR24" s="19"/>
      <c r="GMS24" s="19"/>
      <c r="GMT24" s="19"/>
      <c r="GMU24" s="19"/>
      <c r="GMV24" s="19"/>
      <c r="GMW24" s="19"/>
      <c r="GMX24" s="19"/>
      <c r="GMY24" s="19"/>
      <c r="GMZ24" s="19"/>
      <c r="GNA24" s="19"/>
      <c r="GNB24" s="19"/>
      <c r="GNC24" s="19"/>
      <c r="GND24" s="19"/>
      <c r="GNE24" s="19"/>
      <c r="GNF24" s="19"/>
      <c r="GNG24" s="19"/>
      <c r="GNH24" s="19"/>
      <c r="GNI24" s="19"/>
      <c r="GNJ24" s="19"/>
      <c r="GNK24" s="19"/>
      <c r="GNL24" s="19"/>
      <c r="GNM24" s="19"/>
      <c r="GNN24" s="19"/>
      <c r="GNO24" s="19"/>
      <c r="GNP24" s="19"/>
      <c r="GNQ24" s="19"/>
      <c r="GNR24" s="19"/>
      <c r="GNS24" s="19"/>
      <c r="GNT24" s="19"/>
      <c r="GNU24" s="19"/>
      <c r="GNV24" s="19"/>
      <c r="GNW24" s="19"/>
      <c r="GNX24" s="19"/>
      <c r="GNY24" s="19"/>
      <c r="GNZ24" s="19"/>
      <c r="GOA24" s="19"/>
      <c r="GOB24" s="19"/>
      <c r="GOC24" s="19"/>
      <c r="GOD24" s="19"/>
      <c r="GOE24" s="19"/>
      <c r="GOF24" s="19"/>
      <c r="GOG24" s="19"/>
      <c r="GOH24" s="19"/>
      <c r="GOI24" s="19"/>
      <c r="GOJ24" s="19"/>
      <c r="GOK24" s="19"/>
      <c r="GOL24" s="19"/>
      <c r="GOM24" s="19"/>
      <c r="GON24" s="19"/>
      <c r="GOO24" s="19"/>
      <c r="GOP24" s="19"/>
      <c r="GOQ24" s="19"/>
      <c r="GOR24" s="19"/>
      <c r="GOS24" s="19"/>
      <c r="GOT24" s="19"/>
      <c r="GOU24" s="19"/>
      <c r="GOV24" s="19"/>
      <c r="GOW24" s="19"/>
      <c r="GOX24" s="19"/>
      <c r="GOY24" s="19"/>
      <c r="GOZ24" s="19"/>
      <c r="GPA24" s="19"/>
      <c r="GPB24" s="19"/>
      <c r="GPC24" s="19"/>
      <c r="GPD24" s="19"/>
      <c r="GPE24" s="19"/>
      <c r="GPF24" s="19"/>
      <c r="GPG24" s="19"/>
      <c r="GPH24" s="19"/>
      <c r="GPI24" s="19"/>
      <c r="GPJ24" s="19"/>
      <c r="GPK24" s="19"/>
      <c r="GPL24" s="19"/>
      <c r="GPM24" s="19"/>
      <c r="GPN24" s="19"/>
      <c r="GPO24" s="19"/>
      <c r="GPP24" s="19"/>
      <c r="GPQ24" s="19"/>
      <c r="GPR24" s="19"/>
      <c r="GPS24" s="19"/>
      <c r="GPT24" s="19"/>
      <c r="GPU24" s="19"/>
      <c r="GPV24" s="19"/>
      <c r="GPW24" s="19"/>
      <c r="GPX24" s="19"/>
      <c r="GPY24" s="19"/>
      <c r="GPZ24" s="19"/>
      <c r="GQA24" s="19"/>
      <c r="GQB24" s="19"/>
      <c r="GQC24" s="19"/>
      <c r="GQD24" s="19"/>
      <c r="GQE24" s="19"/>
      <c r="GQF24" s="19"/>
      <c r="GQG24" s="19"/>
      <c r="GQH24" s="19"/>
      <c r="GQI24" s="19"/>
      <c r="GQJ24" s="19"/>
      <c r="GQK24" s="19"/>
      <c r="GQL24" s="19"/>
      <c r="GQM24" s="19"/>
      <c r="GQN24" s="19"/>
      <c r="GQO24" s="19"/>
      <c r="GQP24" s="19"/>
      <c r="GQQ24" s="19"/>
      <c r="GQR24" s="19"/>
      <c r="GQS24" s="19"/>
      <c r="GQT24" s="19"/>
      <c r="GQU24" s="19"/>
      <c r="GQV24" s="19"/>
      <c r="GQW24" s="19"/>
      <c r="GQX24" s="19"/>
      <c r="GQY24" s="19"/>
      <c r="GQZ24" s="19"/>
      <c r="GRA24" s="19"/>
      <c r="GRB24" s="19"/>
      <c r="GRC24" s="19"/>
      <c r="GRD24" s="19"/>
      <c r="GRE24" s="19"/>
      <c r="GRF24" s="19"/>
      <c r="GRG24" s="19"/>
      <c r="GRH24" s="19"/>
      <c r="GRI24" s="19"/>
      <c r="GRJ24" s="19"/>
      <c r="GRK24" s="19"/>
      <c r="GRL24" s="19"/>
      <c r="GRM24" s="19"/>
      <c r="GRN24" s="19"/>
      <c r="GRO24" s="19"/>
      <c r="GRP24" s="19"/>
      <c r="GRQ24" s="19"/>
      <c r="GRR24" s="19"/>
      <c r="GRS24" s="19"/>
      <c r="GRT24" s="19"/>
      <c r="GRU24" s="19"/>
      <c r="GRV24" s="19"/>
      <c r="GRW24" s="19"/>
      <c r="GRX24" s="19"/>
      <c r="GRY24" s="19"/>
      <c r="GRZ24" s="19"/>
      <c r="GSA24" s="19"/>
      <c r="GSB24" s="19"/>
      <c r="GSC24" s="19"/>
      <c r="GSD24" s="19"/>
      <c r="GSE24" s="19"/>
      <c r="GSF24" s="19"/>
      <c r="GSG24" s="19"/>
      <c r="GSH24" s="19"/>
      <c r="GSI24" s="19"/>
      <c r="GSJ24" s="19"/>
      <c r="GSK24" s="19"/>
      <c r="GSL24" s="19"/>
      <c r="GSM24" s="19"/>
      <c r="GSN24" s="19"/>
      <c r="GSO24" s="19"/>
      <c r="GSP24" s="19"/>
      <c r="GSQ24" s="19"/>
      <c r="GSR24" s="19"/>
      <c r="GSS24" s="19"/>
      <c r="GST24" s="19"/>
      <c r="GSU24" s="19"/>
      <c r="GSV24" s="19"/>
      <c r="GSW24" s="19"/>
      <c r="GSX24" s="19"/>
      <c r="GSY24" s="19"/>
      <c r="GSZ24" s="19"/>
      <c r="GTA24" s="19"/>
      <c r="GTB24" s="19"/>
      <c r="GTC24" s="19"/>
      <c r="GTD24" s="19"/>
      <c r="GTE24" s="19"/>
      <c r="GTF24" s="19"/>
      <c r="GTG24" s="19"/>
      <c r="GTH24" s="19"/>
      <c r="GTI24" s="19"/>
      <c r="GTJ24" s="19"/>
      <c r="GTK24" s="19"/>
      <c r="GTL24" s="19"/>
      <c r="GTM24" s="19"/>
      <c r="GTN24" s="19"/>
      <c r="GTO24" s="19"/>
      <c r="GTP24" s="19"/>
      <c r="GTQ24" s="19"/>
      <c r="GTR24" s="19"/>
      <c r="GTS24" s="19"/>
      <c r="GTT24" s="19"/>
      <c r="GTU24" s="19"/>
      <c r="GTV24" s="19"/>
      <c r="GTW24" s="19"/>
      <c r="GTX24" s="19"/>
      <c r="GTY24" s="19"/>
      <c r="GTZ24" s="19"/>
      <c r="GUA24" s="19"/>
      <c r="GUB24" s="19"/>
      <c r="GUC24" s="19"/>
      <c r="GUD24" s="19"/>
      <c r="GUE24" s="19"/>
      <c r="GUF24" s="19"/>
      <c r="GUG24" s="19"/>
      <c r="GUH24" s="19"/>
      <c r="GUI24" s="19"/>
      <c r="GUJ24" s="19"/>
      <c r="GUK24" s="19"/>
      <c r="GUL24" s="19"/>
      <c r="GUM24" s="19"/>
      <c r="GUN24" s="19"/>
      <c r="GUO24" s="19"/>
      <c r="GUP24" s="19"/>
      <c r="GUQ24" s="19"/>
      <c r="GUR24" s="19"/>
      <c r="GUS24" s="19"/>
      <c r="GUT24" s="19"/>
      <c r="GUU24" s="19"/>
      <c r="GUV24" s="19"/>
      <c r="GUW24" s="19"/>
      <c r="GUX24" s="19"/>
      <c r="GUY24" s="19"/>
      <c r="GUZ24" s="19"/>
      <c r="GVA24" s="19"/>
      <c r="GVB24" s="19"/>
      <c r="GVC24" s="19"/>
      <c r="GVD24" s="19"/>
      <c r="GVE24" s="19"/>
      <c r="GVF24" s="19"/>
      <c r="GVG24" s="19"/>
      <c r="GVH24" s="19"/>
      <c r="GVI24" s="19"/>
      <c r="GVJ24" s="19"/>
      <c r="GVK24" s="19"/>
      <c r="GVL24" s="19"/>
      <c r="GVM24" s="19"/>
      <c r="GVN24" s="19"/>
      <c r="GVO24" s="19"/>
      <c r="GVP24" s="19"/>
      <c r="GVQ24" s="19"/>
      <c r="GVR24" s="19"/>
      <c r="GVS24" s="19"/>
      <c r="GVT24" s="19"/>
      <c r="GVU24" s="19"/>
      <c r="GVV24" s="19"/>
      <c r="GVW24" s="19"/>
      <c r="GVX24" s="19"/>
      <c r="GVY24" s="19"/>
      <c r="GVZ24" s="19"/>
      <c r="GWA24" s="19"/>
      <c r="GWB24" s="19"/>
      <c r="GWC24" s="19"/>
      <c r="GWD24" s="19"/>
      <c r="GWE24" s="19"/>
      <c r="GWF24" s="19"/>
      <c r="GWG24" s="19"/>
      <c r="GWH24" s="19"/>
      <c r="GWI24" s="19"/>
      <c r="GWJ24" s="19"/>
      <c r="GWK24" s="19"/>
      <c r="GWL24" s="19"/>
      <c r="GWM24" s="19"/>
      <c r="GWN24" s="19"/>
      <c r="GWO24" s="19"/>
      <c r="GWP24" s="19"/>
      <c r="GWQ24" s="19"/>
      <c r="GWR24" s="19"/>
      <c r="GWS24" s="19"/>
      <c r="GWT24" s="19"/>
      <c r="GWU24" s="19"/>
      <c r="GWV24" s="19"/>
      <c r="GWW24" s="19"/>
      <c r="GWX24" s="19"/>
      <c r="GWY24" s="19"/>
      <c r="GWZ24" s="19"/>
      <c r="GXA24" s="19"/>
      <c r="GXB24" s="19"/>
      <c r="GXC24" s="19"/>
      <c r="GXD24" s="19"/>
      <c r="GXE24" s="19"/>
      <c r="GXF24" s="19"/>
      <c r="GXG24" s="19"/>
      <c r="GXH24" s="19"/>
      <c r="GXI24" s="19"/>
      <c r="GXJ24" s="19"/>
      <c r="GXK24" s="19"/>
      <c r="GXL24" s="19"/>
      <c r="GXM24" s="19"/>
      <c r="GXN24" s="19"/>
      <c r="GXO24" s="19"/>
      <c r="GXP24" s="19"/>
      <c r="GXQ24" s="19"/>
      <c r="GXR24" s="19"/>
      <c r="GXS24" s="19"/>
      <c r="GXT24" s="19"/>
      <c r="GXU24" s="19"/>
      <c r="GXV24" s="19"/>
      <c r="GXW24" s="19"/>
      <c r="GXX24" s="19"/>
      <c r="GXY24" s="19"/>
      <c r="GXZ24" s="19"/>
      <c r="GYA24" s="19"/>
      <c r="GYB24" s="19"/>
      <c r="GYC24" s="19"/>
      <c r="GYD24" s="19"/>
      <c r="GYE24" s="19"/>
      <c r="GYF24" s="19"/>
      <c r="GYG24" s="19"/>
      <c r="GYH24" s="19"/>
      <c r="GYI24" s="19"/>
      <c r="GYJ24" s="19"/>
      <c r="GYK24" s="19"/>
      <c r="GYL24" s="19"/>
      <c r="GYM24" s="19"/>
      <c r="GYN24" s="19"/>
      <c r="GYO24" s="19"/>
      <c r="GYP24" s="19"/>
      <c r="GYQ24" s="19"/>
      <c r="GYR24" s="19"/>
      <c r="GYS24" s="19"/>
      <c r="GYT24" s="19"/>
      <c r="GYU24" s="19"/>
      <c r="GYV24" s="19"/>
      <c r="GYW24" s="19"/>
      <c r="GYX24" s="19"/>
      <c r="GYY24" s="19"/>
      <c r="GYZ24" s="19"/>
      <c r="GZA24" s="19"/>
      <c r="GZB24" s="19"/>
      <c r="GZC24" s="19"/>
      <c r="GZD24" s="19"/>
      <c r="GZE24" s="19"/>
      <c r="GZF24" s="19"/>
      <c r="GZG24" s="19"/>
      <c r="GZH24" s="19"/>
      <c r="GZI24" s="19"/>
      <c r="GZJ24" s="19"/>
      <c r="GZK24" s="19"/>
      <c r="GZL24" s="19"/>
      <c r="GZM24" s="19"/>
      <c r="GZN24" s="19"/>
      <c r="GZO24" s="19"/>
      <c r="GZP24" s="19"/>
      <c r="GZQ24" s="19"/>
      <c r="GZR24" s="19"/>
      <c r="GZS24" s="19"/>
      <c r="GZT24" s="19"/>
      <c r="GZU24" s="19"/>
      <c r="GZV24" s="19"/>
      <c r="GZW24" s="19"/>
      <c r="GZX24" s="19"/>
      <c r="GZY24" s="19"/>
      <c r="GZZ24" s="19"/>
      <c r="HAA24" s="19"/>
      <c r="HAB24" s="19"/>
      <c r="HAC24" s="19"/>
      <c r="HAD24" s="19"/>
      <c r="HAE24" s="19"/>
      <c r="HAF24" s="19"/>
      <c r="HAG24" s="19"/>
      <c r="HAH24" s="19"/>
      <c r="HAI24" s="19"/>
      <c r="HAJ24" s="19"/>
      <c r="HAK24" s="19"/>
      <c r="HAL24" s="19"/>
      <c r="HAM24" s="19"/>
      <c r="HAN24" s="19"/>
      <c r="HAO24" s="19"/>
      <c r="HAP24" s="19"/>
      <c r="HAQ24" s="19"/>
      <c r="HAR24" s="19"/>
      <c r="HAS24" s="19"/>
      <c r="HAT24" s="19"/>
      <c r="HAU24" s="19"/>
      <c r="HAV24" s="19"/>
      <c r="HAW24" s="19"/>
      <c r="HAX24" s="19"/>
      <c r="HAY24" s="19"/>
      <c r="HAZ24" s="19"/>
      <c r="HBA24" s="19"/>
      <c r="HBB24" s="19"/>
      <c r="HBC24" s="19"/>
      <c r="HBD24" s="19"/>
      <c r="HBE24" s="19"/>
      <c r="HBF24" s="19"/>
      <c r="HBG24" s="19"/>
      <c r="HBH24" s="19"/>
      <c r="HBI24" s="19"/>
      <c r="HBJ24" s="19"/>
      <c r="HBK24" s="19"/>
      <c r="HBL24" s="19"/>
      <c r="HBM24" s="19"/>
      <c r="HBN24" s="19"/>
      <c r="HBO24" s="19"/>
      <c r="HBP24" s="19"/>
      <c r="HBQ24" s="19"/>
      <c r="HBR24" s="19"/>
      <c r="HBS24" s="19"/>
      <c r="HBT24" s="19"/>
      <c r="HBU24" s="19"/>
      <c r="HBV24" s="19"/>
      <c r="HBW24" s="19"/>
      <c r="HBX24" s="19"/>
      <c r="HBY24" s="19"/>
      <c r="HBZ24" s="19"/>
      <c r="HCA24" s="19"/>
      <c r="HCB24" s="19"/>
      <c r="HCC24" s="19"/>
      <c r="HCD24" s="19"/>
      <c r="HCE24" s="19"/>
      <c r="HCF24" s="19"/>
      <c r="HCG24" s="19"/>
      <c r="HCH24" s="19"/>
      <c r="HCI24" s="19"/>
      <c r="HCJ24" s="19"/>
      <c r="HCK24" s="19"/>
      <c r="HCL24" s="19"/>
      <c r="HCM24" s="19"/>
      <c r="HCN24" s="19"/>
      <c r="HCO24" s="19"/>
      <c r="HCP24" s="19"/>
      <c r="HCQ24" s="19"/>
      <c r="HCR24" s="19"/>
      <c r="HCS24" s="19"/>
      <c r="HCT24" s="19"/>
      <c r="HCU24" s="19"/>
      <c r="HCV24" s="19"/>
      <c r="HCW24" s="19"/>
      <c r="HCX24" s="19"/>
      <c r="HCY24" s="19"/>
      <c r="HCZ24" s="19"/>
      <c r="HDA24" s="19"/>
      <c r="HDB24" s="19"/>
      <c r="HDC24" s="19"/>
      <c r="HDD24" s="19"/>
      <c r="HDE24" s="19"/>
      <c r="HDF24" s="19"/>
      <c r="HDG24" s="19"/>
      <c r="HDH24" s="19"/>
      <c r="HDI24" s="19"/>
      <c r="HDJ24" s="19"/>
      <c r="HDK24" s="19"/>
      <c r="HDL24" s="19"/>
      <c r="HDM24" s="19"/>
      <c r="HDN24" s="19"/>
      <c r="HDO24" s="19"/>
      <c r="HDP24" s="19"/>
      <c r="HDQ24" s="19"/>
      <c r="HDR24" s="19"/>
      <c r="HDS24" s="19"/>
      <c r="HDT24" s="19"/>
      <c r="HDU24" s="19"/>
      <c r="HDV24" s="19"/>
      <c r="HDW24" s="19"/>
      <c r="HDX24" s="19"/>
      <c r="HDY24" s="19"/>
      <c r="HDZ24" s="19"/>
      <c r="HEA24" s="19"/>
      <c r="HEB24" s="19"/>
      <c r="HEC24" s="19"/>
      <c r="HED24" s="19"/>
      <c r="HEE24" s="19"/>
      <c r="HEF24" s="19"/>
      <c r="HEG24" s="19"/>
      <c r="HEH24" s="19"/>
      <c r="HEI24" s="19"/>
      <c r="HEJ24" s="19"/>
      <c r="HEK24" s="19"/>
      <c r="HEL24" s="19"/>
      <c r="HEM24" s="19"/>
      <c r="HEN24" s="19"/>
      <c r="HEO24" s="19"/>
      <c r="HEP24" s="19"/>
      <c r="HEQ24" s="19"/>
      <c r="HER24" s="19"/>
      <c r="HES24" s="19"/>
      <c r="HET24" s="19"/>
      <c r="HEU24" s="19"/>
      <c r="HEV24" s="19"/>
      <c r="HEW24" s="19"/>
      <c r="HEX24" s="19"/>
      <c r="HEY24" s="19"/>
      <c r="HEZ24" s="19"/>
      <c r="HFA24" s="19"/>
      <c r="HFB24" s="19"/>
      <c r="HFC24" s="19"/>
      <c r="HFD24" s="19"/>
      <c r="HFE24" s="19"/>
      <c r="HFF24" s="19"/>
      <c r="HFG24" s="19"/>
      <c r="HFH24" s="19"/>
      <c r="HFI24" s="19"/>
      <c r="HFJ24" s="19"/>
      <c r="HFK24" s="19"/>
      <c r="HFL24" s="19"/>
      <c r="HFM24" s="19"/>
      <c r="HFN24" s="19"/>
      <c r="HFO24" s="19"/>
      <c r="HFP24" s="19"/>
      <c r="HFQ24" s="19"/>
      <c r="HFR24" s="19"/>
      <c r="HFS24" s="19"/>
      <c r="HFT24" s="19"/>
      <c r="HFU24" s="19"/>
      <c r="HFV24" s="19"/>
      <c r="HFW24" s="19"/>
      <c r="HFX24" s="19"/>
      <c r="HFY24" s="19"/>
      <c r="HFZ24" s="19"/>
      <c r="HGA24" s="19"/>
      <c r="HGB24" s="19"/>
      <c r="HGC24" s="19"/>
      <c r="HGD24" s="19"/>
      <c r="HGE24" s="19"/>
      <c r="HGF24" s="19"/>
      <c r="HGG24" s="19"/>
      <c r="HGH24" s="19"/>
      <c r="HGI24" s="19"/>
      <c r="HGJ24" s="19"/>
      <c r="HGK24" s="19"/>
      <c r="HGL24" s="19"/>
      <c r="HGM24" s="19"/>
      <c r="HGN24" s="19"/>
      <c r="HGO24" s="19"/>
      <c r="HGP24" s="19"/>
      <c r="HGQ24" s="19"/>
      <c r="HGR24" s="19"/>
      <c r="HGS24" s="19"/>
      <c r="HGT24" s="19"/>
      <c r="HGU24" s="19"/>
      <c r="HGV24" s="19"/>
      <c r="HGW24" s="19"/>
      <c r="HGX24" s="19"/>
      <c r="HGY24" s="19"/>
      <c r="HGZ24" s="19"/>
      <c r="HHA24" s="19"/>
      <c r="HHB24" s="19"/>
      <c r="HHC24" s="19"/>
      <c r="HHD24" s="19"/>
      <c r="HHE24" s="19"/>
      <c r="HHF24" s="19"/>
      <c r="HHG24" s="19"/>
      <c r="HHH24" s="19"/>
      <c r="HHI24" s="19"/>
      <c r="HHJ24" s="19"/>
      <c r="HHK24" s="19"/>
      <c r="HHL24" s="19"/>
      <c r="HHM24" s="19"/>
      <c r="HHN24" s="19"/>
      <c r="HHO24" s="19"/>
      <c r="HHP24" s="19"/>
      <c r="HHQ24" s="19"/>
      <c r="HHR24" s="19"/>
      <c r="HHS24" s="19"/>
      <c r="HHT24" s="19"/>
      <c r="HHU24" s="19"/>
      <c r="HHV24" s="19"/>
      <c r="HHW24" s="19"/>
      <c r="HHX24" s="19"/>
      <c r="HHY24" s="19"/>
      <c r="HHZ24" s="19"/>
      <c r="HIA24" s="19"/>
      <c r="HIB24" s="19"/>
      <c r="HIC24" s="19"/>
      <c r="HID24" s="19"/>
      <c r="HIE24" s="19"/>
      <c r="HIF24" s="19"/>
      <c r="HIG24" s="19"/>
      <c r="HIH24" s="19"/>
      <c r="HII24" s="19"/>
      <c r="HIJ24" s="19"/>
      <c r="HIK24" s="19"/>
      <c r="HIL24" s="19"/>
      <c r="HIM24" s="19"/>
      <c r="HIN24" s="19"/>
      <c r="HIO24" s="19"/>
      <c r="HIP24" s="19"/>
      <c r="HIQ24" s="19"/>
      <c r="HIR24" s="19"/>
      <c r="HIS24" s="19"/>
      <c r="HIT24" s="19"/>
      <c r="HIU24" s="19"/>
      <c r="HIV24" s="19"/>
      <c r="HIW24" s="19"/>
      <c r="HIX24" s="19"/>
      <c r="HIY24" s="19"/>
      <c r="HIZ24" s="19"/>
      <c r="HJA24" s="19"/>
      <c r="HJB24" s="19"/>
      <c r="HJC24" s="19"/>
      <c r="HJD24" s="19"/>
      <c r="HJE24" s="19"/>
      <c r="HJF24" s="19"/>
      <c r="HJG24" s="19"/>
      <c r="HJH24" s="19"/>
      <c r="HJI24" s="19"/>
      <c r="HJJ24" s="19"/>
      <c r="HJK24" s="19"/>
      <c r="HJL24" s="19"/>
      <c r="HJM24" s="19"/>
      <c r="HJN24" s="19"/>
      <c r="HJO24" s="19"/>
      <c r="HJP24" s="19"/>
      <c r="HJQ24" s="19"/>
      <c r="HJR24" s="19"/>
      <c r="HJS24" s="19"/>
      <c r="HJT24" s="19"/>
      <c r="HJU24" s="19"/>
      <c r="HJV24" s="19"/>
      <c r="HJW24" s="19"/>
      <c r="HJX24" s="19"/>
      <c r="HJY24" s="19"/>
      <c r="HJZ24" s="19"/>
      <c r="HKA24" s="19"/>
      <c r="HKB24" s="19"/>
      <c r="HKC24" s="19"/>
      <c r="HKD24" s="19"/>
      <c r="HKE24" s="19"/>
      <c r="HKF24" s="19"/>
      <c r="HKG24" s="19"/>
      <c r="HKH24" s="19"/>
      <c r="HKI24" s="19"/>
      <c r="HKJ24" s="19"/>
      <c r="HKK24" s="19"/>
      <c r="HKL24" s="19"/>
      <c r="HKM24" s="19"/>
      <c r="HKN24" s="19"/>
      <c r="HKO24" s="19"/>
      <c r="HKP24" s="19"/>
      <c r="HKQ24" s="19"/>
      <c r="HKR24" s="19"/>
      <c r="HKS24" s="19"/>
      <c r="HKT24" s="19"/>
      <c r="HKU24" s="19"/>
      <c r="HKV24" s="19"/>
      <c r="HKW24" s="19"/>
      <c r="HKX24" s="19"/>
      <c r="HKY24" s="19"/>
      <c r="HKZ24" s="19"/>
      <c r="HLA24" s="19"/>
      <c r="HLB24" s="19"/>
      <c r="HLC24" s="19"/>
      <c r="HLD24" s="19"/>
      <c r="HLE24" s="19"/>
      <c r="HLF24" s="19"/>
      <c r="HLG24" s="19"/>
      <c r="HLH24" s="19"/>
      <c r="HLI24" s="19"/>
      <c r="HLJ24" s="19"/>
      <c r="HLK24" s="19"/>
      <c r="HLL24" s="19"/>
      <c r="HLM24" s="19"/>
      <c r="HLN24" s="19"/>
      <c r="HLO24" s="19"/>
      <c r="HLP24" s="19"/>
      <c r="HLQ24" s="19"/>
      <c r="HLR24" s="19"/>
      <c r="HLS24" s="19"/>
      <c r="HLT24" s="19"/>
      <c r="HLU24" s="19"/>
      <c r="HLV24" s="19"/>
      <c r="HLW24" s="19"/>
      <c r="HLX24" s="19"/>
      <c r="HLY24" s="19"/>
      <c r="HLZ24" s="19"/>
      <c r="HMA24" s="19"/>
      <c r="HMB24" s="19"/>
      <c r="HMC24" s="19"/>
      <c r="HMD24" s="19"/>
      <c r="HME24" s="19"/>
      <c r="HMF24" s="19"/>
      <c r="HMG24" s="19"/>
      <c r="HMH24" s="19"/>
      <c r="HMI24" s="19"/>
      <c r="HMJ24" s="19"/>
      <c r="HMK24" s="19"/>
      <c r="HML24" s="19"/>
      <c r="HMM24" s="19"/>
      <c r="HMN24" s="19"/>
      <c r="HMO24" s="19"/>
      <c r="HMP24" s="19"/>
      <c r="HMQ24" s="19"/>
      <c r="HMR24" s="19"/>
      <c r="HMS24" s="19"/>
      <c r="HMT24" s="19"/>
      <c r="HMU24" s="19"/>
      <c r="HMV24" s="19"/>
      <c r="HMW24" s="19"/>
      <c r="HMX24" s="19"/>
      <c r="HMY24" s="19"/>
      <c r="HMZ24" s="19"/>
      <c r="HNA24" s="19"/>
      <c r="HNB24" s="19"/>
      <c r="HNC24" s="19"/>
      <c r="HND24" s="19"/>
      <c r="HNE24" s="19"/>
      <c r="HNF24" s="19"/>
      <c r="HNG24" s="19"/>
      <c r="HNH24" s="19"/>
      <c r="HNI24" s="19"/>
      <c r="HNJ24" s="19"/>
      <c r="HNK24" s="19"/>
      <c r="HNL24" s="19"/>
      <c r="HNM24" s="19"/>
      <c r="HNN24" s="19"/>
      <c r="HNO24" s="19"/>
      <c r="HNP24" s="19"/>
      <c r="HNQ24" s="19"/>
      <c r="HNR24" s="19"/>
      <c r="HNS24" s="19"/>
      <c r="HNT24" s="19"/>
      <c r="HNU24" s="19"/>
      <c r="HNV24" s="19"/>
      <c r="HNW24" s="19"/>
      <c r="HNX24" s="19"/>
      <c r="HNY24" s="19"/>
      <c r="HNZ24" s="19"/>
      <c r="HOA24" s="19"/>
      <c r="HOB24" s="19"/>
      <c r="HOC24" s="19"/>
      <c r="HOD24" s="19"/>
      <c r="HOE24" s="19"/>
      <c r="HOF24" s="19"/>
      <c r="HOG24" s="19"/>
      <c r="HOH24" s="19"/>
      <c r="HOI24" s="19"/>
      <c r="HOJ24" s="19"/>
      <c r="HOK24" s="19"/>
      <c r="HOL24" s="19"/>
      <c r="HOM24" s="19"/>
      <c r="HON24" s="19"/>
      <c r="HOO24" s="19"/>
      <c r="HOP24" s="19"/>
      <c r="HOQ24" s="19"/>
      <c r="HOR24" s="19"/>
      <c r="HOS24" s="19"/>
      <c r="HOT24" s="19"/>
      <c r="HOU24" s="19"/>
      <c r="HOV24" s="19"/>
      <c r="HOW24" s="19"/>
      <c r="HOX24" s="19"/>
      <c r="HOY24" s="19"/>
      <c r="HOZ24" s="19"/>
      <c r="HPA24" s="19"/>
      <c r="HPB24" s="19"/>
      <c r="HPC24" s="19"/>
      <c r="HPD24" s="19"/>
      <c r="HPE24" s="19"/>
      <c r="HPF24" s="19"/>
      <c r="HPG24" s="19"/>
      <c r="HPH24" s="19"/>
      <c r="HPI24" s="19"/>
      <c r="HPJ24" s="19"/>
      <c r="HPK24" s="19"/>
      <c r="HPL24" s="19"/>
      <c r="HPM24" s="19"/>
      <c r="HPN24" s="19"/>
      <c r="HPO24" s="19"/>
      <c r="HPP24" s="19"/>
      <c r="HPQ24" s="19"/>
      <c r="HPR24" s="19"/>
      <c r="HPS24" s="19"/>
      <c r="HPT24" s="19"/>
      <c r="HPU24" s="19"/>
      <c r="HPV24" s="19"/>
      <c r="HPW24" s="19"/>
      <c r="HPX24" s="19"/>
      <c r="HPY24" s="19"/>
      <c r="HPZ24" s="19"/>
      <c r="HQA24" s="19"/>
      <c r="HQB24" s="19"/>
      <c r="HQC24" s="19"/>
      <c r="HQD24" s="19"/>
      <c r="HQE24" s="19"/>
      <c r="HQF24" s="19"/>
      <c r="HQG24" s="19"/>
      <c r="HQH24" s="19"/>
      <c r="HQI24" s="19"/>
      <c r="HQJ24" s="19"/>
      <c r="HQK24" s="19"/>
      <c r="HQL24" s="19"/>
      <c r="HQM24" s="19"/>
      <c r="HQN24" s="19"/>
      <c r="HQO24" s="19"/>
      <c r="HQP24" s="19"/>
      <c r="HQQ24" s="19"/>
      <c r="HQR24" s="19"/>
      <c r="HQS24" s="19"/>
      <c r="HQT24" s="19"/>
      <c r="HQU24" s="19"/>
      <c r="HQV24" s="19"/>
      <c r="HQW24" s="19"/>
      <c r="HQX24" s="19"/>
      <c r="HQY24" s="19"/>
      <c r="HQZ24" s="19"/>
      <c r="HRA24" s="19"/>
      <c r="HRB24" s="19"/>
      <c r="HRC24" s="19"/>
      <c r="HRD24" s="19"/>
      <c r="HRE24" s="19"/>
      <c r="HRF24" s="19"/>
      <c r="HRG24" s="19"/>
      <c r="HRH24" s="19"/>
      <c r="HRI24" s="19"/>
      <c r="HRJ24" s="19"/>
      <c r="HRK24" s="19"/>
      <c r="HRL24" s="19"/>
      <c r="HRM24" s="19"/>
      <c r="HRN24" s="19"/>
      <c r="HRO24" s="19"/>
      <c r="HRP24" s="19"/>
      <c r="HRQ24" s="19"/>
      <c r="HRR24" s="19"/>
      <c r="HRS24" s="19"/>
      <c r="HRT24" s="19"/>
      <c r="HRU24" s="19"/>
      <c r="HRV24" s="19"/>
      <c r="HRW24" s="19"/>
      <c r="HRX24" s="19"/>
      <c r="HRY24" s="19"/>
      <c r="HRZ24" s="19"/>
      <c r="HSA24" s="19"/>
      <c r="HSB24" s="19"/>
      <c r="HSC24" s="19"/>
      <c r="HSD24" s="19"/>
      <c r="HSE24" s="19"/>
      <c r="HSF24" s="19"/>
      <c r="HSG24" s="19"/>
      <c r="HSH24" s="19"/>
      <c r="HSI24" s="19"/>
      <c r="HSJ24" s="19"/>
      <c r="HSK24" s="19"/>
      <c r="HSL24" s="19"/>
      <c r="HSM24" s="19"/>
      <c r="HSN24" s="19"/>
      <c r="HSO24" s="19"/>
      <c r="HSP24" s="19"/>
      <c r="HSQ24" s="19"/>
      <c r="HSR24" s="19"/>
      <c r="HSS24" s="19"/>
      <c r="HST24" s="19"/>
      <c r="HSU24" s="19"/>
      <c r="HSV24" s="19"/>
      <c r="HSW24" s="19"/>
      <c r="HSX24" s="19"/>
      <c r="HSY24" s="19"/>
      <c r="HSZ24" s="19"/>
      <c r="HTA24" s="19"/>
      <c r="HTB24" s="19"/>
      <c r="HTC24" s="19"/>
      <c r="HTD24" s="19"/>
      <c r="HTE24" s="19"/>
      <c r="HTF24" s="19"/>
      <c r="HTG24" s="19"/>
      <c r="HTH24" s="19"/>
      <c r="HTI24" s="19"/>
      <c r="HTJ24" s="19"/>
      <c r="HTK24" s="19"/>
      <c r="HTL24" s="19"/>
      <c r="HTM24" s="19"/>
      <c r="HTN24" s="19"/>
      <c r="HTO24" s="19"/>
      <c r="HTP24" s="19"/>
      <c r="HTQ24" s="19"/>
      <c r="HTR24" s="19"/>
      <c r="HTS24" s="19"/>
      <c r="HTT24" s="19"/>
      <c r="HTU24" s="19"/>
      <c r="HTV24" s="19"/>
      <c r="HTW24" s="19"/>
      <c r="HTX24" s="19"/>
      <c r="HTY24" s="19"/>
      <c r="HTZ24" s="19"/>
      <c r="HUA24" s="19"/>
      <c r="HUB24" s="19"/>
      <c r="HUC24" s="19"/>
      <c r="HUD24" s="19"/>
      <c r="HUE24" s="19"/>
      <c r="HUF24" s="19"/>
      <c r="HUG24" s="19"/>
      <c r="HUH24" s="19"/>
      <c r="HUI24" s="19"/>
      <c r="HUJ24" s="19"/>
      <c r="HUK24" s="19"/>
      <c r="HUL24" s="19"/>
      <c r="HUM24" s="19"/>
      <c r="HUN24" s="19"/>
      <c r="HUO24" s="19"/>
      <c r="HUP24" s="19"/>
      <c r="HUQ24" s="19"/>
      <c r="HUR24" s="19"/>
      <c r="HUS24" s="19"/>
      <c r="HUT24" s="19"/>
      <c r="HUU24" s="19"/>
      <c r="HUV24" s="19"/>
      <c r="HUW24" s="19"/>
      <c r="HUX24" s="19"/>
      <c r="HUY24" s="19"/>
      <c r="HUZ24" s="19"/>
      <c r="HVA24" s="19"/>
      <c r="HVB24" s="19"/>
      <c r="HVC24" s="19"/>
      <c r="HVD24" s="19"/>
      <c r="HVE24" s="19"/>
      <c r="HVF24" s="19"/>
      <c r="HVG24" s="19"/>
      <c r="HVH24" s="19"/>
      <c r="HVI24" s="19"/>
      <c r="HVJ24" s="19"/>
      <c r="HVK24" s="19"/>
      <c r="HVL24" s="19"/>
      <c r="HVM24" s="19"/>
      <c r="HVN24" s="19"/>
      <c r="HVO24" s="19"/>
      <c r="HVP24" s="19"/>
      <c r="HVQ24" s="19"/>
      <c r="HVR24" s="19"/>
      <c r="HVS24" s="19"/>
      <c r="HVT24" s="19"/>
      <c r="HVU24" s="19"/>
      <c r="HVV24" s="19"/>
      <c r="HVW24" s="19"/>
      <c r="HVX24" s="19"/>
      <c r="HVY24" s="19"/>
      <c r="HVZ24" s="19"/>
      <c r="HWA24" s="19"/>
      <c r="HWB24" s="19"/>
      <c r="HWC24" s="19"/>
      <c r="HWD24" s="19"/>
      <c r="HWE24" s="19"/>
      <c r="HWF24" s="19"/>
      <c r="HWG24" s="19"/>
      <c r="HWH24" s="19"/>
      <c r="HWI24" s="19"/>
      <c r="HWJ24" s="19"/>
      <c r="HWK24" s="19"/>
      <c r="HWL24" s="19"/>
      <c r="HWM24" s="19"/>
      <c r="HWN24" s="19"/>
      <c r="HWO24" s="19"/>
      <c r="HWP24" s="19"/>
      <c r="HWQ24" s="19"/>
      <c r="HWR24" s="19"/>
      <c r="HWS24" s="19"/>
      <c r="HWT24" s="19"/>
      <c r="HWU24" s="19"/>
      <c r="HWV24" s="19"/>
      <c r="HWW24" s="19"/>
      <c r="HWX24" s="19"/>
      <c r="HWY24" s="19"/>
      <c r="HWZ24" s="19"/>
      <c r="HXA24" s="19"/>
      <c r="HXB24" s="19"/>
      <c r="HXC24" s="19"/>
      <c r="HXD24" s="19"/>
      <c r="HXE24" s="19"/>
      <c r="HXF24" s="19"/>
      <c r="HXG24" s="19"/>
      <c r="HXH24" s="19"/>
      <c r="HXI24" s="19"/>
      <c r="HXJ24" s="19"/>
      <c r="HXK24" s="19"/>
      <c r="HXL24" s="19"/>
      <c r="HXM24" s="19"/>
      <c r="HXN24" s="19"/>
      <c r="HXO24" s="19"/>
      <c r="HXP24" s="19"/>
      <c r="HXQ24" s="19"/>
      <c r="HXR24" s="19"/>
      <c r="HXS24" s="19"/>
      <c r="HXT24" s="19"/>
      <c r="HXU24" s="19"/>
      <c r="HXV24" s="19"/>
      <c r="HXW24" s="19"/>
      <c r="HXX24" s="19"/>
      <c r="HXY24" s="19"/>
      <c r="HXZ24" s="19"/>
      <c r="HYA24" s="19"/>
      <c r="HYB24" s="19"/>
      <c r="HYC24" s="19"/>
      <c r="HYD24" s="19"/>
      <c r="HYE24" s="19"/>
      <c r="HYF24" s="19"/>
      <c r="HYG24" s="19"/>
      <c r="HYH24" s="19"/>
      <c r="HYI24" s="19"/>
      <c r="HYJ24" s="19"/>
      <c r="HYK24" s="19"/>
      <c r="HYL24" s="19"/>
      <c r="HYM24" s="19"/>
      <c r="HYN24" s="19"/>
      <c r="HYO24" s="19"/>
      <c r="HYP24" s="19"/>
      <c r="HYQ24" s="19"/>
      <c r="HYR24" s="19"/>
      <c r="HYS24" s="19"/>
      <c r="HYT24" s="19"/>
      <c r="HYU24" s="19"/>
      <c r="HYV24" s="19"/>
      <c r="HYW24" s="19"/>
      <c r="HYX24" s="19"/>
      <c r="HYY24" s="19"/>
      <c r="HYZ24" s="19"/>
      <c r="HZA24" s="19"/>
      <c r="HZB24" s="19"/>
      <c r="HZC24" s="19"/>
      <c r="HZD24" s="19"/>
      <c r="HZE24" s="19"/>
      <c r="HZF24" s="19"/>
      <c r="HZG24" s="19"/>
      <c r="HZH24" s="19"/>
      <c r="HZI24" s="19"/>
      <c r="HZJ24" s="19"/>
      <c r="HZK24" s="19"/>
      <c r="HZL24" s="19"/>
      <c r="HZM24" s="19"/>
      <c r="HZN24" s="19"/>
      <c r="HZO24" s="19"/>
      <c r="HZP24" s="19"/>
      <c r="HZQ24" s="19"/>
      <c r="HZR24" s="19"/>
      <c r="HZS24" s="19"/>
      <c r="HZT24" s="19"/>
      <c r="HZU24" s="19"/>
      <c r="HZV24" s="19"/>
      <c r="HZW24" s="19"/>
      <c r="HZX24" s="19"/>
      <c r="HZY24" s="19"/>
      <c r="HZZ24" s="19"/>
      <c r="IAA24" s="19"/>
      <c r="IAB24" s="19"/>
      <c r="IAC24" s="19"/>
      <c r="IAD24" s="19"/>
      <c r="IAE24" s="19"/>
      <c r="IAF24" s="19"/>
      <c r="IAG24" s="19"/>
      <c r="IAH24" s="19"/>
      <c r="IAI24" s="19"/>
      <c r="IAJ24" s="19"/>
      <c r="IAK24" s="19"/>
      <c r="IAL24" s="19"/>
      <c r="IAM24" s="19"/>
      <c r="IAN24" s="19"/>
      <c r="IAO24" s="19"/>
      <c r="IAP24" s="19"/>
      <c r="IAQ24" s="19"/>
      <c r="IAR24" s="19"/>
      <c r="IAS24" s="19"/>
      <c r="IAT24" s="19"/>
      <c r="IAU24" s="19"/>
      <c r="IAV24" s="19"/>
      <c r="IAW24" s="19"/>
      <c r="IAX24" s="19"/>
      <c r="IAY24" s="19"/>
      <c r="IAZ24" s="19"/>
      <c r="IBA24" s="19"/>
      <c r="IBB24" s="19"/>
      <c r="IBC24" s="19"/>
      <c r="IBD24" s="19"/>
      <c r="IBE24" s="19"/>
      <c r="IBF24" s="19"/>
      <c r="IBG24" s="19"/>
      <c r="IBH24" s="19"/>
      <c r="IBI24" s="19"/>
      <c r="IBJ24" s="19"/>
      <c r="IBK24" s="19"/>
      <c r="IBL24" s="19"/>
      <c r="IBM24" s="19"/>
      <c r="IBN24" s="19"/>
      <c r="IBO24" s="19"/>
      <c r="IBP24" s="19"/>
      <c r="IBQ24" s="19"/>
      <c r="IBR24" s="19"/>
      <c r="IBS24" s="19"/>
      <c r="IBT24" s="19"/>
      <c r="IBU24" s="19"/>
      <c r="IBV24" s="19"/>
      <c r="IBW24" s="19"/>
      <c r="IBX24" s="19"/>
      <c r="IBY24" s="19"/>
      <c r="IBZ24" s="19"/>
      <c r="ICA24" s="19"/>
      <c r="ICB24" s="19"/>
      <c r="ICC24" s="19"/>
      <c r="ICD24" s="19"/>
      <c r="ICE24" s="19"/>
      <c r="ICF24" s="19"/>
      <c r="ICG24" s="19"/>
      <c r="ICH24" s="19"/>
      <c r="ICI24" s="19"/>
      <c r="ICJ24" s="19"/>
      <c r="ICK24" s="19"/>
      <c r="ICL24" s="19"/>
      <c r="ICM24" s="19"/>
      <c r="ICN24" s="19"/>
      <c r="ICO24" s="19"/>
      <c r="ICP24" s="19"/>
      <c r="ICQ24" s="19"/>
      <c r="ICR24" s="19"/>
      <c r="ICS24" s="19"/>
      <c r="ICT24" s="19"/>
      <c r="ICU24" s="19"/>
      <c r="ICV24" s="19"/>
      <c r="ICW24" s="19"/>
      <c r="ICX24" s="19"/>
      <c r="ICY24" s="19"/>
      <c r="ICZ24" s="19"/>
      <c r="IDA24" s="19"/>
      <c r="IDB24" s="19"/>
      <c r="IDC24" s="19"/>
      <c r="IDD24" s="19"/>
      <c r="IDE24" s="19"/>
      <c r="IDF24" s="19"/>
      <c r="IDG24" s="19"/>
      <c r="IDH24" s="19"/>
      <c r="IDI24" s="19"/>
      <c r="IDJ24" s="19"/>
      <c r="IDK24" s="19"/>
      <c r="IDL24" s="19"/>
      <c r="IDM24" s="19"/>
      <c r="IDN24" s="19"/>
      <c r="IDO24" s="19"/>
      <c r="IDP24" s="19"/>
      <c r="IDQ24" s="19"/>
      <c r="IDR24" s="19"/>
      <c r="IDS24" s="19"/>
      <c r="IDT24" s="19"/>
      <c r="IDU24" s="19"/>
      <c r="IDV24" s="19"/>
      <c r="IDW24" s="19"/>
      <c r="IDX24" s="19"/>
      <c r="IDY24" s="19"/>
      <c r="IDZ24" s="19"/>
      <c r="IEA24" s="19"/>
      <c r="IEB24" s="19"/>
      <c r="IEC24" s="19"/>
      <c r="IED24" s="19"/>
      <c r="IEE24" s="19"/>
      <c r="IEF24" s="19"/>
      <c r="IEG24" s="19"/>
      <c r="IEH24" s="19"/>
      <c r="IEI24" s="19"/>
      <c r="IEJ24" s="19"/>
      <c r="IEK24" s="19"/>
      <c r="IEL24" s="19"/>
      <c r="IEM24" s="19"/>
      <c r="IEN24" s="19"/>
      <c r="IEO24" s="19"/>
      <c r="IEP24" s="19"/>
      <c r="IEQ24" s="19"/>
      <c r="IER24" s="19"/>
      <c r="IES24" s="19"/>
      <c r="IET24" s="19"/>
      <c r="IEU24" s="19"/>
      <c r="IEV24" s="19"/>
      <c r="IEW24" s="19"/>
      <c r="IEX24" s="19"/>
      <c r="IEY24" s="19"/>
      <c r="IEZ24" s="19"/>
      <c r="IFA24" s="19"/>
      <c r="IFB24" s="19"/>
      <c r="IFC24" s="19"/>
      <c r="IFD24" s="19"/>
      <c r="IFE24" s="19"/>
      <c r="IFF24" s="19"/>
      <c r="IFG24" s="19"/>
      <c r="IFH24" s="19"/>
      <c r="IFI24" s="19"/>
      <c r="IFJ24" s="19"/>
      <c r="IFK24" s="19"/>
      <c r="IFL24" s="19"/>
      <c r="IFM24" s="19"/>
      <c r="IFN24" s="19"/>
      <c r="IFO24" s="19"/>
      <c r="IFP24" s="19"/>
      <c r="IFQ24" s="19"/>
      <c r="IFR24" s="19"/>
      <c r="IFS24" s="19"/>
      <c r="IFT24" s="19"/>
      <c r="IFU24" s="19"/>
      <c r="IFV24" s="19"/>
      <c r="IFW24" s="19"/>
      <c r="IFX24" s="19"/>
      <c r="IFY24" s="19"/>
      <c r="IFZ24" s="19"/>
      <c r="IGA24" s="19"/>
      <c r="IGB24" s="19"/>
      <c r="IGC24" s="19"/>
      <c r="IGD24" s="19"/>
      <c r="IGE24" s="19"/>
      <c r="IGF24" s="19"/>
      <c r="IGG24" s="19"/>
      <c r="IGH24" s="19"/>
      <c r="IGI24" s="19"/>
      <c r="IGJ24" s="19"/>
      <c r="IGK24" s="19"/>
      <c r="IGL24" s="19"/>
      <c r="IGM24" s="19"/>
      <c r="IGN24" s="19"/>
      <c r="IGO24" s="19"/>
      <c r="IGP24" s="19"/>
      <c r="IGQ24" s="19"/>
      <c r="IGR24" s="19"/>
      <c r="IGS24" s="19"/>
      <c r="IGT24" s="19"/>
      <c r="IGU24" s="19"/>
      <c r="IGV24" s="19"/>
      <c r="IGW24" s="19"/>
      <c r="IGX24" s="19"/>
      <c r="IGY24" s="19"/>
      <c r="IGZ24" s="19"/>
      <c r="IHA24" s="19"/>
      <c r="IHB24" s="19"/>
      <c r="IHC24" s="19"/>
      <c r="IHD24" s="19"/>
      <c r="IHE24" s="19"/>
      <c r="IHF24" s="19"/>
      <c r="IHG24" s="19"/>
      <c r="IHH24" s="19"/>
      <c r="IHI24" s="19"/>
      <c r="IHJ24" s="19"/>
      <c r="IHK24" s="19"/>
      <c r="IHL24" s="19"/>
      <c r="IHM24" s="19"/>
      <c r="IHN24" s="19"/>
      <c r="IHO24" s="19"/>
      <c r="IHP24" s="19"/>
      <c r="IHQ24" s="19"/>
      <c r="IHR24" s="19"/>
      <c r="IHS24" s="19"/>
      <c r="IHT24" s="19"/>
      <c r="IHU24" s="19"/>
      <c r="IHV24" s="19"/>
      <c r="IHW24" s="19"/>
      <c r="IHX24" s="19"/>
      <c r="IHY24" s="19"/>
      <c r="IHZ24" s="19"/>
      <c r="IIA24" s="19"/>
      <c r="IIB24" s="19"/>
      <c r="IIC24" s="19"/>
      <c r="IID24" s="19"/>
      <c r="IIE24" s="19"/>
      <c r="IIF24" s="19"/>
      <c r="IIG24" s="19"/>
      <c r="IIH24" s="19"/>
      <c r="III24" s="19"/>
      <c r="IIJ24" s="19"/>
      <c r="IIK24" s="19"/>
      <c r="IIL24" s="19"/>
      <c r="IIM24" s="19"/>
      <c r="IIN24" s="19"/>
      <c r="IIO24" s="19"/>
      <c r="IIP24" s="19"/>
      <c r="IIQ24" s="19"/>
      <c r="IIR24" s="19"/>
      <c r="IIS24" s="19"/>
      <c r="IIT24" s="19"/>
      <c r="IIU24" s="19"/>
      <c r="IIV24" s="19"/>
      <c r="IIW24" s="19"/>
      <c r="IIX24" s="19"/>
      <c r="IIY24" s="19"/>
      <c r="IIZ24" s="19"/>
      <c r="IJA24" s="19"/>
      <c r="IJB24" s="19"/>
      <c r="IJC24" s="19"/>
      <c r="IJD24" s="19"/>
      <c r="IJE24" s="19"/>
      <c r="IJF24" s="19"/>
      <c r="IJG24" s="19"/>
      <c r="IJH24" s="19"/>
      <c r="IJI24" s="19"/>
      <c r="IJJ24" s="19"/>
      <c r="IJK24" s="19"/>
      <c r="IJL24" s="19"/>
      <c r="IJM24" s="19"/>
      <c r="IJN24" s="19"/>
      <c r="IJO24" s="19"/>
      <c r="IJP24" s="19"/>
      <c r="IJQ24" s="19"/>
      <c r="IJR24" s="19"/>
      <c r="IJS24" s="19"/>
      <c r="IJT24" s="19"/>
      <c r="IJU24" s="19"/>
      <c r="IJV24" s="19"/>
      <c r="IJW24" s="19"/>
      <c r="IJX24" s="19"/>
      <c r="IJY24" s="19"/>
      <c r="IJZ24" s="19"/>
      <c r="IKA24" s="19"/>
      <c r="IKB24" s="19"/>
      <c r="IKC24" s="19"/>
      <c r="IKD24" s="19"/>
      <c r="IKE24" s="19"/>
      <c r="IKF24" s="19"/>
      <c r="IKG24" s="19"/>
      <c r="IKH24" s="19"/>
      <c r="IKI24" s="19"/>
      <c r="IKJ24" s="19"/>
      <c r="IKK24" s="19"/>
      <c r="IKL24" s="19"/>
      <c r="IKM24" s="19"/>
      <c r="IKN24" s="19"/>
      <c r="IKO24" s="19"/>
      <c r="IKP24" s="19"/>
      <c r="IKQ24" s="19"/>
      <c r="IKR24" s="19"/>
      <c r="IKS24" s="19"/>
      <c r="IKT24" s="19"/>
      <c r="IKU24" s="19"/>
      <c r="IKV24" s="19"/>
      <c r="IKW24" s="19"/>
      <c r="IKX24" s="19"/>
      <c r="IKY24" s="19"/>
      <c r="IKZ24" s="19"/>
      <c r="ILA24" s="19"/>
      <c r="ILB24" s="19"/>
      <c r="ILC24" s="19"/>
      <c r="ILD24" s="19"/>
      <c r="ILE24" s="19"/>
      <c r="ILF24" s="19"/>
      <c r="ILG24" s="19"/>
      <c r="ILH24" s="19"/>
      <c r="ILI24" s="19"/>
      <c r="ILJ24" s="19"/>
      <c r="ILK24" s="19"/>
      <c r="ILL24" s="19"/>
      <c r="ILM24" s="19"/>
      <c r="ILN24" s="19"/>
      <c r="ILO24" s="19"/>
      <c r="ILP24" s="19"/>
      <c r="ILQ24" s="19"/>
      <c r="ILR24" s="19"/>
      <c r="ILS24" s="19"/>
      <c r="ILT24" s="19"/>
      <c r="ILU24" s="19"/>
      <c r="ILV24" s="19"/>
      <c r="ILW24" s="19"/>
      <c r="ILX24" s="19"/>
      <c r="ILY24" s="19"/>
      <c r="ILZ24" s="19"/>
      <c r="IMA24" s="19"/>
      <c r="IMB24" s="19"/>
      <c r="IMC24" s="19"/>
      <c r="IMD24" s="19"/>
      <c r="IME24" s="19"/>
      <c r="IMF24" s="19"/>
      <c r="IMG24" s="19"/>
      <c r="IMH24" s="19"/>
      <c r="IMI24" s="19"/>
      <c r="IMJ24" s="19"/>
      <c r="IMK24" s="19"/>
      <c r="IML24" s="19"/>
      <c r="IMM24" s="19"/>
      <c r="IMN24" s="19"/>
      <c r="IMO24" s="19"/>
      <c r="IMP24" s="19"/>
      <c r="IMQ24" s="19"/>
      <c r="IMR24" s="19"/>
      <c r="IMS24" s="19"/>
      <c r="IMT24" s="19"/>
      <c r="IMU24" s="19"/>
      <c r="IMV24" s="19"/>
      <c r="IMW24" s="19"/>
      <c r="IMX24" s="19"/>
      <c r="IMY24" s="19"/>
      <c r="IMZ24" s="19"/>
      <c r="INA24" s="19"/>
      <c r="INB24" s="19"/>
      <c r="INC24" s="19"/>
      <c r="IND24" s="19"/>
      <c r="INE24" s="19"/>
      <c r="INF24" s="19"/>
      <c r="ING24" s="19"/>
      <c r="INH24" s="19"/>
      <c r="INI24" s="19"/>
      <c r="INJ24" s="19"/>
      <c r="INK24" s="19"/>
      <c r="INL24" s="19"/>
      <c r="INM24" s="19"/>
      <c r="INN24" s="19"/>
      <c r="INO24" s="19"/>
      <c r="INP24" s="19"/>
      <c r="INQ24" s="19"/>
      <c r="INR24" s="19"/>
      <c r="INS24" s="19"/>
      <c r="INT24" s="19"/>
      <c r="INU24" s="19"/>
      <c r="INV24" s="19"/>
      <c r="INW24" s="19"/>
      <c r="INX24" s="19"/>
      <c r="INY24" s="19"/>
      <c r="INZ24" s="19"/>
      <c r="IOA24" s="19"/>
      <c r="IOB24" s="19"/>
      <c r="IOC24" s="19"/>
      <c r="IOD24" s="19"/>
      <c r="IOE24" s="19"/>
      <c r="IOF24" s="19"/>
      <c r="IOG24" s="19"/>
      <c r="IOH24" s="19"/>
      <c r="IOI24" s="19"/>
      <c r="IOJ24" s="19"/>
      <c r="IOK24" s="19"/>
      <c r="IOL24" s="19"/>
      <c r="IOM24" s="19"/>
      <c r="ION24" s="19"/>
      <c r="IOO24" s="19"/>
      <c r="IOP24" s="19"/>
      <c r="IOQ24" s="19"/>
      <c r="IOR24" s="19"/>
      <c r="IOS24" s="19"/>
      <c r="IOT24" s="19"/>
      <c r="IOU24" s="19"/>
      <c r="IOV24" s="19"/>
      <c r="IOW24" s="19"/>
      <c r="IOX24" s="19"/>
      <c r="IOY24" s="19"/>
      <c r="IOZ24" s="19"/>
      <c r="IPA24" s="19"/>
      <c r="IPB24" s="19"/>
      <c r="IPC24" s="19"/>
      <c r="IPD24" s="19"/>
      <c r="IPE24" s="19"/>
      <c r="IPF24" s="19"/>
      <c r="IPG24" s="19"/>
      <c r="IPH24" s="19"/>
      <c r="IPI24" s="19"/>
      <c r="IPJ24" s="19"/>
      <c r="IPK24" s="19"/>
      <c r="IPL24" s="19"/>
      <c r="IPM24" s="19"/>
      <c r="IPN24" s="19"/>
      <c r="IPO24" s="19"/>
      <c r="IPP24" s="19"/>
      <c r="IPQ24" s="19"/>
      <c r="IPR24" s="19"/>
      <c r="IPS24" s="19"/>
      <c r="IPT24" s="19"/>
      <c r="IPU24" s="19"/>
      <c r="IPV24" s="19"/>
      <c r="IPW24" s="19"/>
      <c r="IPX24" s="19"/>
      <c r="IPY24" s="19"/>
      <c r="IPZ24" s="19"/>
      <c r="IQA24" s="19"/>
      <c r="IQB24" s="19"/>
      <c r="IQC24" s="19"/>
      <c r="IQD24" s="19"/>
      <c r="IQE24" s="19"/>
      <c r="IQF24" s="19"/>
      <c r="IQG24" s="19"/>
      <c r="IQH24" s="19"/>
      <c r="IQI24" s="19"/>
      <c r="IQJ24" s="19"/>
      <c r="IQK24" s="19"/>
      <c r="IQL24" s="19"/>
      <c r="IQM24" s="19"/>
      <c r="IQN24" s="19"/>
      <c r="IQO24" s="19"/>
      <c r="IQP24" s="19"/>
      <c r="IQQ24" s="19"/>
      <c r="IQR24" s="19"/>
      <c r="IQS24" s="19"/>
      <c r="IQT24" s="19"/>
      <c r="IQU24" s="19"/>
      <c r="IQV24" s="19"/>
      <c r="IQW24" s="19"/>
      <c r="IQX24" s="19"/>
      <c r="IQY24" s="19"/>
      <c r="IQZ24" s="19"/>
      <c r="IRA24" s="19"/>
      <c r="IRB24" s="19"/>
      <c r="IRC24" s="19"/>
      <c r="IRD24" s="19"/>
      <c r="IRE24" s="19"/>
      <c r="IRF24" s="19"/>
      <c r="IRG24" s="19"/>
      <c r="IRH24" s="19"/>
      <c r="IRI24" s="19"/>
      <c r="IRJ24" s="19"/>
      <c r="IRK24" s="19"/>
      <c r="IRL24" s="19"/>
      <c r="IRM24" s="19"/>
      <c r="IRN24" s="19"/>
      <c r="IRO24" s="19"/>
      <c r="IRP24" s="19"/>
      <c r="IRQ24" s="19"/>
      <c r="IRR24" s="19"/>
      <c r="IRS24" s="19"/>
      <c r="IRT24" s="19"/>
      <c r="IRU24" s="19"/>
      <c r="IRV24" s="19"/>
      <c r="IRW24" s="19"/>
      <c r="IRX24" s="19"/>
      <c r="IRY24" s="19"/>
      <c r="IRZ24" s="19"/>
      <c r="ISA24" s="19"/>
      <c r="ISB24" s="19"/>
      <c r="ISC24" s="19"/>
      <c r="ISD24" s="19"/>
      <c r="ISE24" s="19"/>
      <c r="ISF24" s="19"/>
      <c r="ISG24" s="19"/>
      <c r="ISH24" s="19"/>
      <c r="ISI24" s="19"/>
      <c r="ISJ24" s="19"/>
      <c r="ISK24" s="19"/>
      <c r="ISL24" s="19"/>
      <c r="ISM24" s="19"/>
      <c r="ISN24" s="19"/>
      <c r="ISO24" s="19"/>
      <c r="ISP24" s="19"/>
      <c r="ISQ24" s="19"/>
      <c r="ISR24" s="19"/>
      <c r="ISS24" s="19"/>
      <c r="IST24" s="19"/>
      <c r="ISU24" s="19"/>
      <c r="ISV24" s="19"/>
      <c r="ISW24" s="19"/>
      <c r="ISX24" s="19"/>
      <c r="ISY24" s="19"/>
      <c r="ISZ24" s="19"/>
      <c r="ITA24" s="19"/>
      <c r="ITB24" s="19"/>
      <c r="ITC24" s="19"/>
      <c r="ITD24" s="19"/>
      <c r="ITE24" s="19"/>
      <c r="ITF24" s="19"/>
      <c r="ITG24" s="19"/>
      <c r="ITH24" s="19"/>
      <c r="ITI24" s="19"/>
      <c r="ITJ24" s="19"/>
      <c r="ITK24" s="19"/>
      <c r="ITL24" s="19"/>
      <c r="ITM24" s="19"/>
      <c r="ITN24" s="19"/>
      <c r="ITO24" s="19"/>
      <c r="ITP24" s="19"/>
      <c r="ITQ24" s="19"/>
      <c r="ITR24" s="19"/>
      <c r="ITS24" s="19"/>
      <c r="ITT24" s="19"/>
      <c r="ITU24" s="19"/>
      <c r="ITV24" s="19"/>
      <c r="ITW24" s="19"/>
      <c r="ITX24" s="19"/>
      <c r="ITY24" s="19"/>
      <c r="ITZ24" s="19"/>
      <c r="IUA24" s="19"/>
      <c r="IUB24" s="19"/>
      <c r="IUC24" s="19"/>
      <c r="IUD24" s="19"/>
      <c r="IUE24" s="19"/>
      <c r="IUF24" s="19"/>
      <c r="IUG24" s="19"/>
      <c r="IUH24" s="19"/>
      <c r="IUI24" s="19"/>
      <c r="IUJ24" s="19"/>
      <c r="IUK24" s="19"/>
      <c r="IUL24" s="19"/>
      <c r="IUM24" s="19"/>
      <c r="IUN24" s="19"/>
      <c r="IUO24" s="19"/>
      <c r="IUP24" s="19"/>
      <c r="IUQ24" s="19"/>
      <c r="IUR24" s="19"/>
      <c r="IUS24" s="19"/>
      <c r="IUT24" s="19"/>
      <c r="IUU24" s="19"/>
      <c r="IUV24" s="19"/>
      <c r="IUW24" s="19"/>
      <c r="IUX24" s="19"/>
      <c r="IUY24" s="19"/>
      <c r="IUZ24" s="19"/>
      <c r="IVA24" s="19"/>
      <c r="IVB24" s="19"/>
      <c r="IVC24" s="19"/>
      <c r="IVD24" s="19"/>
      <c r="IVE24" s="19"/>
      <c r="IVF24" s="19"/>
      <c r="IVG24" s="19"/>
      <c r="IVH24" s="19"/>
      <c r="IVI24" s="19"/>
      <c r="IVJ24" s="19"/>
      <c r="IVK24" s="19"/>
      <c r="IVL24" s="19"/>
      <c r="IVM24" s="19"/>
      <c r="IVN24" s="19"/>
      <c r="IVO24" s="19"/>
      <c r="IVP24" s="19"/>
      <c r="IVQ24" s="19"/>
      <c r="IVR24" s="19"/>
      <c r="IVS24" s="19"/>
      <c r="IVT24" s="19"/>
      <c r="IVU24" s="19"/>
      <c r="IVV24" s="19"/>
      <c r="IVW24" s="19"/>
      <c r="IVX24" s="19"/>
      <c r="IVY24" s="19"/>
      <c r="IVZ24" s="19"/>
      <c r="IWA24" s="19"/>
      <c r="IWB24" s="19"/>
      <c r="IWC24" s="19"/>
      <c r="IWD24" s="19"/>
      <c r="IWE24" s="19"/>
      <c r="IWF24" s="19"/>
      <c r="IWG24" s="19"/>
      <c r="IWH24" s="19"/>
      <c r="IWI24" s="19"/>
      <c r="IWJ24" s="19"/>
      <c r="IWK24" s="19"/>
      <c r="IWL24" s="19"/>
      <c r="IWM24" s="19"/>
      <c r="IWN24" s="19"/>
      <c r="IWO24" s="19"/>
      <c r="IWP24" s="19"/>
      <c r="IWQ24" s="19"/>
      <c r="IWR24" s="19"/>
      <c r="IWS24" s="19"/>
      <c r="IWT24" s="19"/>
      <c r="IWU24" s="19"/>
      <c r="IWV24" s="19"/>
      <c r="IWW24" s="19"/>
      <c r="IWX24" s="19"/>
      <c r="IWY24" s="19"/>
      <c r="IWZ24" s="19"/>
      <c r="IXA24" s="19"/>
      <c r="IXB24" s="19"/>
      <c r="IXC24" s="19"/>
      <c r="IXD24" s="19"/>
      <c r="IXE24" s="19"/>
      <c r="IXF24" s="19"/>
      <c r="IXG24" s="19"/>
      <c r="IXH24" s="19"/>
      <c r="IXI24" s="19"/>
      <c r="IXJ24" s="19"/>
      <c r="IXK24" s="19"/>
      <c r="IXL24" s="19"/>
      <c r="IXM24" s="19"/>
      <c r="IXN24" s="19"/>
      <c r="IXO24" s="19"/>
      <c r="IXP24" s="19"/>
      <c r="IXQ24" s="19"/>
      <c r="IXR24" s="19"/>
      <c r="IXS24" s="19"/>
      <c r="IXT24" s="19"/>
      <c r="IXU24" s="19"/>
      <c r="IXV24" s="19"/>
      <c r="IXW24" s="19"/>
      <c r="IXX24" s="19"/>
      <c r="IXY24" s="19"/>
      <c r="IXZ24" s="19"/>
      <c r="IYA24" s="19"/>
      <c r="IYB24" s="19"/>
      <c r="IYC24" s="19"/>
      <c r="IYD24" s="19"/>
      <c r="IYE24" s="19"/>
      <c r="IYF24" s="19"/>
      <c r="IYG24" s="19"/>
      <c r="IYH24" s="19"/>
      <c r="IYI24" s="19"/>
      <c r="IYJ24" s="19"/>
      <c r="IYK24" s="19"/>
      <c r="IYL24" s="19"/>
      <c r="IYM24" s="19"/>
      <c r="IYN24" s="19"/>
      <c r="IYO24" s="19"/>
      <c r="IYP24" s="19"/>
      <c r="IYQ24" s="19"/>
      <c r="IYR24" s="19"/>
      <c r="IYS24" s="19"/>
      <c r="IYT24" s="19"/>
      <c r="IYU24" s="19"/>
      <c r="IYV24" s="19"/>
      <c r="IYW24" s="19"/>
      <c r="IYX24" s="19"/>
      <c r="IYY24" s="19"/>
      <c r="IYZ24" s="19"/>
      <c r="IZA24" s="19"/>
      <c r="IZB24" s="19"/>
      <c r="IZC24" s="19"/>
      <c r="IZD24" s="19"/>
      <c r="IZE24" s="19"/>
      <c r="IZF24" s="19"/>
      <c r="IZG24" s="19"/>
      <c r="IZH24" s="19"/>
      <c r="IZI24" s="19"/>
      <c r="IZJ24" s="19"/>
      <c r="IZK24" s="19"/>
      <c r="IZL24" s="19"/>
      <c r="IZM24" s="19"/>
      <c r="IZN24" s="19"/>
      <c r="IZO24" s="19"/>
      <c r="IZP24" s="19"/>
      <c r="IZQ24" s="19"/>
      <c r="IZR24" s="19"/>
      <c r="IZS24" s="19"/>
      <c r="IZT24" s="19"/>
      <c r="IZU24" s="19"/>
      <c r="IZV24" s="19"/>
      <c r="IZW24" s="19"/>
      <c r="IZX24" s="19"/>
      <c r="IZY24" s="19"/>
      <c r="IZZ24" s="19"/>
      <c r="JAA24" s="19"/>
      <c r="JAB24" s="19"/>
      <c r="JAC24" s="19"/>
      <c r="JAD24" s="19"/>
      <c r="JAE24" s="19"/>
      <c r="JAF24" s="19"/>
      <c r="JAG24" s="19"/>
      <c r="JAH24" s="19"/>
      <c r="JAI24" s="19"/>
      <c r="JAJ24" s="19"/>
      <c r="JAK24" s="19"/>
      <c r="JAL24" s="19"/>
      <c r="JAM24" s="19"/>
      <c r="JAN24" s="19"/>
      <c r="JAO24" s="19"/>
      <c r="JAP24" s="19"/>
      <c r="JAQ24" s="19"/>
      <c r="JAR24" s="19"/>
      <c r="JAS24" s="19"/>
      <c r="JAT24" s="19"/>
      <c r="JAU24" s="19"/>
      <c r="JAV24" s="19"/>
      <c r="JAW24" s="19"/>
      <c r="JAX24" s="19"/>
      <c r="JAY24" s="19"/>
      <c r="JAZ24" s="19"/>
      <c r="JBA24" s="19"/>
      <c r="JBB24" s="19"/>
      <c r="JBC24" s="19"/>
      <c r="JBD24" s="19"/>
      <c r="JBE24" s="19"/>
      <c r="JBF24" s="19"/>
      <c r="JBG24" s="19"/>
      <c r="JBH24" s="19"/>
      <c r="JBI24" s="19"/>
      <c r="JBJ24" s="19"/>
      <c r="JBK24" s="19"/>
      <c r="JBL24" s="19"/>
      <c r="JBM24" s="19"/>
      <c r="JBN24" s="19"/>
      <c r="JBO24" s="19"/>
      <c r="JBP24" s="19"/>
      <c r="JBQ24" s="19"/>
      <c r="JBR24" s="19"/>
      <c r="JBS24" s="19"/>
      <c r="JBT24" s="19"/>
      <c r="JBU24" s="19"/>
      <c r="JBV24" s="19"/>
      <c r="JBW24" s="19"/>
      <c r="JBX24" s="19"/>
      <c r="JBY24" s="19"/>
      <c r="JBZ24" s="19"/>
      <c r="JCA24" s="19"/>
      <c r="JCB24" s="19"/>
      <c r="JCC24" s="19"/>
      <c r="JCD24" s="19"/>
      <c r="JCE24" s="19"/>
      <c r="JCF24" s="19"/>
      <c r="JCG24" s="19"/>
      <c r="JCH24" s="19"/>
      <c r="JCI24" s="19"/>
      <c r="JCJ24" s="19"/>
      <c r="JCK24" s="19"/>
      <c r="JCL24" s="19"/>
      <c r="JCM24" s="19"/>
      <c r="JCN24" s="19"/>
      <c r="JCO24" s="19"/>
      <c r="JCP24" s="19"/>
      <c r="JCQ24" s="19"/>
      <c r="JCR24" s="19"/>
      <c r="JCS24" s="19"/>
      <c r="JCT24" s="19"/>
      <c r="JCU24" s="19"/>
      <c r="JCV24" s="19"/>
      <c r="JCW24" s="19"/>
      <c r="JCX24" s="19"/>
      <c r="JCY24" s="19"/>
      <c r="JCZ24" s="19"/>
      <c r="JDA24" s="19"/>
      <c r="JDB24" s="19"/>
      <c r="JDC24" s="19"/>
      <c r="JDD24" s="19"/>
      <c r="JDE24" s="19"/>
      <c r="JDF24" s="19"/>
      <c r="JDG24" s="19"/>
      <c r="JDH24" s="19"/>
      <c r="JDI24" s="19"/>
      <c r="JDJ24" s="19"/>
      <c r="JDK24" s="19"/>
      <c r="JDL24" s="19"/>
      <c r="JDM24" s="19"/>
      <c r="JDN24" s="19"/>
      <c r="JDO24" s="19"/>
      <c r="JDP24" s="19"/>
      <c r="JDQ24" s="19"/>
      <c r="JDR24" s="19"/>
      <c r="JDS24" s="19"/>
      <c r="JDT24" s="19"/>
      <c r="JDU24" s="19"/>
      <c r="JDV24" s="19"/>
      <c r="JDW24" s="19"/>
      <c r="JDX24" s="19"/>
      <c r="JDY24" s="19"/>
      <c r="JDZ24" s="19"/>
      <c r="JEA24" s="19"/>
      <c r="JEB24" s="19"/>
      <c r="JEC24" s="19"/>
      <c r="JED24" s="19"/>
      <c r="JEE24" s="19"/>
      <c r="JEF24" s="19"/>
      <c r="JEG24" s="19"/>
      <c r="JEH24" s="19"/>
      <c r="JEI24" s="19"/>
      <c r="JEJ24" s="19"/>
      <c r="JEK24" s="19"/>
      <c r="JEL24" s="19"/>
      <c r="JEM24" s="19"/>
      <c r="JEN24" s="19"/>
      <c r="JEO24" s="19"/>
      <c r="JEP24" s="19"/>
      <c r="JEQ24" s="19"/>
      <c r="JER24" s="19"/>
      <c r="JES24" s="19"/>
      <c r="JET24" s="19"/>
      <c r="JEU24" s="19"/>
      <c r="JEV24" s="19"/>
      <c r="JEW24" s="19"/>
      <c r="JEX24" s="19"/>
      <c r="JEY24" s="19"/>
      <c r="JEZ24" s="19"/>
      <c r="JFA24" s="19"/>
      <c r="JFB24" s="19"/>
      <c r="JFC24" s="19"/>
      <c r="JFD24" s="19"/>
      <c r="JFE24" s="19"/>
      <c r="JFF24" s="19"/>
      <c r="JFG24" s="19"/>
      <c r="JFH24" s="19"/>
      <c r="JFI24" s="19"/>
      <c r="JFJ24" s="19"/>
      <c r="JFK24" s="19"/>
      <c r="JFL24" s="19"/>
      <c r="JFM24" s="19"/>
      <c r="JFN24" s="19"/>
      <c r="JFO24" s="19"/>
      <c r="JFP24" s="19"/>
      <c r="JFQ24" s="19"/>
      <c r="JFR24" s="19"/>
      <c r="JFS24" s="19"/>
      <c r="JFT24" s="19"/>
      <c r="JFU24" s="19"/>
      <c r="JFV24" s="19"/>
      <c r="JFW24" s="19"/>
      <c r="JFX24" s="19"/>
      <c r="JFY24" s="19"/>
      <c r="JFZ24" s="19"/>
      <c r="JGA24" s="19"/>
      <c r="JGB24" s="19"/>
      <c r="JGC24" s="19"/>
      <c r="JGD24" s="19"/>
      <c r="JGE24" s="19"/>
      <c r="JGF24" s="19"/>
      <c r="JGG24" s="19"/>
      <c r="JGH24" s="19"/>
      <c r="JGI24" s="19"/>
      <c r="JGJ24" s="19"/>
      <c r="JGK24" s="19"/>
      <c r="JGL24" s="19"/>
      <c r="JGM24" s="19"/>
      <c r="JGN24" s="19"/>
      <c r="JGO24" s="19"/>
      <c r="JGP24" s="19"/>
      <c r="JGQ24" s="19"/>
      <c r="JGR24" s="19"/>
      <c r="JGS24" s="19"/>
      <c r="JGT24" s="19"/>
      <c r="JGU24" s="19"/>
      <c r="JGV24" s="19"/>
      <c r="JGW24" s="19"/>
      <c r="JGX24" s="19"/>
      <c r="JGY24" s="19"/>
      <c r="JGZ24" s="19"/>
      <c r="JHA24" s="19"/>
      <c r="JHB24" s="19"/>
      <c r="JHC24" s="19"/>
      <c r="JHD24" s="19"/>
      <c r="JHE24" s="19"/>
      <c r="JHF24" s="19"/>
      <c r="JHG24" s="19"/>
      <c r="JHH24" s="19"/>
      <c r="JHI24" s="19"/>
      <c r="JHJ24" s="19"/>
      <c r="JHK24" s="19"/>
      <c r="JHL24" s="19"/>
      <c r="JHM24" s="19"/>
      <c r="JHN24" s="19"/>
      <c r="JHO24" s="19"/>
      <c r="JHP24" s="19"/>
      <c r="JHQ24" s="19"/>
      <c r="JHR24" s="19"/>
      <c r="JHS24" s="19"/>
      <c r="JHT24" s="19"/>
      <c r="JHU24" s="19"/>
      <c r="JHV24" s="19"/>
      <c r="JHW24" s="19"/>
      <c r="JHX24" s="19"/>
      <c r="JHY24" s="19"/>
      <c r="JHZ24" s="19"/>
      <c r="JIA24" s="19"/>
      <c r="JIB24" s="19"/>
      <c r="JIC24" s="19"/>
      <c r="JID24" s="19"/>
      <c r="JIE24" s="19"/>
      <c r="JIF24" s="19"/>
      <c r="JIG24" s="19"/>
      <c r="JIH24" s="19"/>
      <c r="JII24" s="19"/>
      <c r="JIJ24" s="19"/>
      <c r="JIK24" s="19"/>
      <c r="JIL24" s="19"/>
      <c r="JIM24" s="19"/>
      <c r="JIN24" s="19"/>
      <c r="JIO24" s="19"/>
      <c r="JIP24" s="19"/>
      <c r="JIQ24" s="19"/>
      <c r="JIR24" s="19"/>
      <c r="JIS24" s="19"/>
      <c r="JIT24" s="19"/>
      <c r="JIU24" s="19"/>
      <c r="JIV24" s="19"/>
      <c r="JIW24" s="19"/>
      <c r="JIX24" s="19"/>
      <c r="JIY24" s="19"/>
      <c r="JIZ24" s="19"/>
      <c r="JJA24" s="19"/>
      <c r="JJB24" s="19"/>
      <c r="JJC24" s="19"/>
      <c r="JJD24" s="19"/>
      <c r="JJE24" s="19"/>
      <c r="JJF24" s="19"/>
      <c r="JJG24" s="19"/>
      <c r="JJH24" s="19"/>
      <c r="JJI24" s="19"/>
      <c r="JJJ24" s="19"/>
      <c r="JJK24" s="19"/>
      <c r="JJL24" s="19"/>
      <c r="JJM24" s="19"/>
      <c r="JJN24" s="19"/>
      <c r="JJO24" s="19"/>
      <c r="JJP24" s="19"/>
      <c r="JJQ24" s="19"/>
      <c r="JJR24" s="19"/>
      <c r="JJS24" s="19"/>
      <c r="JJT24" s="19"/>
      <c r="JJU24" s="19"/>
      <c r="JJV24" s="19"/>
      <c r="JJW24" s="19"/>
      <c r="JJX24" s="19"/>
      <c r="JJY24" s="19"/>
      <c r="JJZ24" s="19"/>
      <c r="JKA24" s="19"/>
      <c r="JKB24" s="19"/>
      <c r="JKC24" s="19"/>
      <c r="JKD24" s="19"/>
      <c r="JKE24" s="19"/>
      <c r="JKF24" s="19"/>
      <c r="JKG24" s="19"/>
      <c r="JKH24" s="19"/>
      <c r="JKI24" s="19"/>
      <c r="JKJ24" s="19"/>
      <c r="JKK24" s="19"/>
      <c r="JKL24" s="19"/>
      <c r="JKM24" s="19"/>
      <c r="JKN24" s="19"/>
      <c r="JKO24" s="19"/>
      <c r="JKP24" s="19"/>
      <c r="JKQ24" s="19"/>
      <c r="JKR24" s="19"/>
      <c r="JKS24" s="19"/>
      <c r="JKT24" s="19"/>
      <c r="JKU24" s="19"/>
      <c r="JKV24" s="19"/>
      <c r="JKW24" s="19"/>
      <c r="JKX24" s="19"/>
      <c r="JKY24" s="19"/>
      <c r="JKZ24" s="19"/>
      <c r="JLA24" s="19"/>
      <c r="JLB24" s="19"/>
      <c r="JLC24" s="19"/>
      <c r="JLD24" s="19"/>
      <c r="JLE24" s="19"/>
      <c r="JLF24" s="19"/>
      <c r="JLG24" s="19"/>
      <c r="JLH24" s="19"/>
      <c r="JLI24" s="19"/>
      <c r="JLJ24" s="19"/>
      <c r="JLK24" s="19"/>
      <c r="JLL24" s="19"/>
      <c r="JLM24" s="19"/>
      <c r="JLN24" s="19"/>
      <c r="JLO24" s="19"/>
      <c r="JLP24" s="19"/>
      <c r="JLQ24" s="19"/>
      <c r="JLR24" s="19"/>
      <c r="JLS24" s="19"/>
      <c r="JLT24" s="19"/>
      <c r="JLU24" s="19"/>
      <c r="JLV24" s="19"/>
      <c r="JLW24" s="19"/>
      <c r="JLX24" s="19"/>
      <c r="JLY24" s="19"/>
      <c r="JLZ24" s="19"/>
      <c r="JMA24" s="19"/>
      <c r="JMB24" s="19"/>
      <c r="JMC24" s="19"/>
      <c r="JMD24" s="19"/>
      <c r="JME24" s="19"/>
      <c r="JMF24" s="19"/>
      <c r="JMG24" s="19"/>
      <c r="JMH24" s="19"/>
      <c r="JMI24" s="19"/>
      <c r="JMJ24" s="19"/>
      <c r="JMK24" s="19"/>
      <c r="JML24" s="19"/>
      <c r="JMM24" s="19"/>
      <c r="JMN24" s="19"/>
      <c r="JMO24" s="19"/>
      <c r="JMP24" s="19"/>
      <c r="JMQ24" s="19"/>
      <c r="JMR24" s="19"/>
      <c r="JMS24" s="19"/>
      <c r="JMT24" s="19"/>
      <c r="JMU24" s="19"/>
      <c r="JMV24" s="19"/>
      <c r="JMW24" s="19"/>
      <c r="JMX24" s="19"/>
      <c r="JMY24" s="19"/>
      <c r="JMZ24" s="19"/>
      <c r="JNA24" s="19"/>
      <c r="JNB24" s="19"/>
      <c r="JNC24" s="19"/>
      <c r="JND24" s="19"/>
      <c r="JNE24" s="19"/>
      <c r="JNF24" s="19"/>
      <c r="JNG24" s="19"/>
      <c r="JNH24" s="19"/>
      <c r="JNI24" s="19"/>
      <c r="JNJ24" s="19"/>
      <c r="JNK24" s="19"/>
      <c r="JNL24" s="19"/>
      <c r="JNM24" s="19"/>
      <c r="JNN24" s="19"/>
      <c r="JNO24" s="19"/>
      <c r="JNP24" s="19"/>
      <c r="JNQ24" s="19"/>
      <c r="JNR24" s="19"/>
      <c r="JNS24" s="19"/>
      <c r="JNT24" s="19"/>
      <c r="JNU24" s="19"/>
      <c r="JNV24" s="19"/>
      <c r="JNW24" s="19"/>
      <c r="JNX24" s="19"/>
      <c r="JNY24" s="19"/>
      <c r="JNZ24" s="19"/>
      <c r="JOA24" s="19"/>
      <c r="JOB24" s="19"/>
      <c r="JOC24" s="19"/>
      <c r="JOD24" s="19"/>
      <c r="JOE24" s="19"/>
      <c r="JOF24" s="19"/>
      <c r="JOG24" s="19"/>
      <c r="JOH24" s="19"/>
      <c r="JOI24" s="19"/>
      <c r="JOJ24" s="19"/>
      <c r="JOK24" s="19"/>
      <c r="JOL24" s="19"/>
      <c r="JOM24" s="19"/>
      <c r="JON24" s="19"/>
      <c r="JOO24" s="19"/>
      <c r="JOP24" s="19"/>
      <c r="JOQ24" s="19"/>
      <c r="JOR24" s="19"/>
      <c r="JOS24" s="19"/>
      <c r="JOT24" s="19"/>
      <c r="JOU24" s="19"/>
      <c r="JOV24" s="19"/>
      <c r="JOW24" s="19"/>
      <c r="JOX24" s="19"/>
      <c r="JOY24" s="19"/>
      <c r="JOZ24" s="19"/>
      <c r="JPA24" s="19"/>
      <c r="JPB24" s="19"/>
      <c r="JPC24" s="19"/>
      <c r="JPD24" s="19"/>
      <c r="JPE24" s="19"/>
      <c r="JPF24" s="19"/>
      <c r="JPG24" s="19"/>
      <c r="JPH24" s="19"/>
      <c r="JPI24" s="19"/>
      <c r="JPJ24" s="19"/>
      <c r="JPK24" s="19"/>
      <c r="JPL24" s="19"/>
      <c r="JPM24" s="19"/>
      <c r="JPN24" s="19"/>
      <c r="JPO24" s="19"/>
      <c r="JPP24" s="19"/>
      <c r="JPQ24" s="19"/>
      <c r="JPR24" s="19"/>
      <c r="JPS24" s="19"/>
      <c r="JPT24" s="19"/>
      <c r="JPU24" s="19"/>
      <c r="JPV24" s="19"/>
      <c r="JPW24" s="19"/>
      <c r="JPX24" s="19"/>
      <c r="JPY24" s="19"/>
      <c r="JPZ24" s="19"/>
      <c r="JQA24" s="19"/>
      <c r="JQB24" s="19"/>
      <c r="JQC24" s="19"/>
      <c r="JQD24" s="19"/>
      <c r="JQE24" s="19"/>
      <c r="JQF24" s="19"/>
      <c r="JQG24" s="19"/>
      <c r="JQH24" s="19"/>
      <c r="JQI24" s="19"/>
      <c r="JQJ24" s="19"/>
      <c r="JQK24" s="19"/>
      <c r="JQL24" s="19"/>
      <c r="JQM24" s="19"/>
      <c r="JQN24" s="19"/>
      <c r="JQO24" s="19"/>
      <c r="JQP24" s="19"/>
      <c r="JQQ24" s="19"/>
      <c r="JQR24" s="19"/>
      <c r="JQS24" s="19"/>
      <c r="JQT24" s="19"/>
      <c r="JQU24" s="19"/>
      <c r="JQV24" s="19"/>
      <c r="JQW24" s="19"/>
      <c r="JQX24" s="19"/>
      <c r="JQY24" s="19"/>
      <c r="JQZ24" s="19"/>
      <c r="JRA24" s="19"/>
      <c r="JRB24" s="19"/>
      <c r="JRC24" s="19"/>
      <c r="JRD24" s="19"/>
      <c r="JRE24" s="19"/>
      <c r="JRF24" s="19"/>
      <c r="JRG24" s="19"/>
      <c r="JRH24" s="19"/>
      <c r="JRI24" s="19"/>
      <c r="JRJ24" s="19"/>
      <c r="JRK24" s="19"/>
      <c r="JRL24" s="19"/>
      <c r="JRM24" s="19"/>
      <c r="JRN24" s="19"/>
      <c r="JRO24" s="19"/>
      <c r="JRP24" s="19"/>
      <c r="JRQ24" s="19"/>
      <c r="JRR24" s="19"/>
      <c r="JRS24" s="19"/>
      <c r="JRT24" s="19"/>
      <c r="JRU24" s="19"/>
      <c r="JRV24" s="19"/>
      <c r="JRW24" s="19"/>
      <c r="JRX24" s="19"/>
      <c r="JRY24" s="19"/>
      <c r="JRZ24" s="19"/>
      <c r="JSA24" s="19"/>
      <c r="JSB24" s="19"/>
      <c r="JSC24" s="19"/>
      <c r="JSD24" s="19"/>
      <c r="JSE24" s="19"/>
      <c r="JSF24" s="19"/>
      <c r="JSG24" s="19"/>
      <c r="JSH24" s="19"/>
      <c r="JSI24" s="19"/>
      <c r="JSJ24" s="19"/>
      <c r="JSK24" s="19"/>
      <c r="JSL24" s="19"/>
      <c r="JSM24" s="19"/>
      <c r="JSN24" s="19"/>
      <c r="JSO24" s="19"/>
      <c r="JSP24" s="19"/>
      <c r="JSQ24" s="19"/>
      <c r="JSR24" s="19"/>
      <c r="JSS24" s="19"/>
      <c r="JST24" s="19"/>
      <c r="JSU24" s="19"/>
      <c r="JSV24" s="19"/>
      <c r="JSW24" s="19"/>
      <c r="JSX24" s="19"/>
      <c r="JSY24" s="19"/>
      <c r="JSZ24" s="19"/>
      <c r="JTA24" s="19"/>
      <c r="JTB24" s="19"/>
      <c r="JTC24" s="19"/>
      <c r="JTD24" s="19"/>
      <c r="JTE24" s="19"/>
      <c r="JTF24" s="19"/>
      <c r="JTG24" s="19"/>
      <c r="JTH24" s="19"/>
      <c r="JTI24" s="19"/>
      <c r="JTJ24" s="19"/>
      <c r="JTK24" s="19"/>
      <c r="JTL24" s="19"/>
      <c r="JTM24" s="19"/>
      <c r="JTN24" s="19"/>
      <c r="JTO24" s="19"/>
      <c r="JTP24" s="19"/>
      <c r="JTQ24" s="19"/>
      <c r="JTR24" s="19"/>
      <c r="JTS24" s="19"/>
      <c r="JTT24" s="19"/>
      <c r="JTU24" s="19"/>
      <c r="JTV24" s="19"/>
      <c r="JTW24" s="19"/>
      <c r="JTX24" s="19"/>
      <c r="JTY24" s="19"/>
      <c r="JTZ24" s="19"/>
      <c r="JUA24" s="19"/>
      <c r="JUB24" s="19"/>
      <c r="JUC24" s="19"/>
      <c r="JUD24" s="19"/>
      <c r="JUE24" s="19"/>
      <c r="JUF24" s="19"/>
      <c r="JUG24" s="19"/>
      <c r="JUH24" s="19"/>
      <c r="JUI24" s="19"/>
      <c r="JUJ24" s="19"/>
      <c r="JUK24" s="19"/>
      <c r="JUL24" s="19"/>
      <c r="JUM24" s="19"/>
      <c r="JUN24" s="19"/>
      <c r="JUO24" s="19"/>
      <c r="JUP24" s="19"/>
      <c r="JUQ24" s="19"/>
      <c r="JUR24" s="19"/>
      <c r="JUS24" s="19"/>
      <c r="JUT24" s="19"/>
      <c r="JUU24" s="19"/>
      <c r="JUV24" s="19"/>
      <c r="JUW24" s="19"/>
      <c r="JUX24" s="19"/>
      <c r="JUY24" s="19"/>
      <c r="JUZ24" s="19"/>
      <c r="JVA24" s="19"/>
      <c r="JVB24" s="19"/>
      <c r="JVC24" s="19"/>
      <c r="JVD24" s="19"/>
      <c r="JVE24" s="19"/>
      <c r="JVF24" s="19"/>
      <c r="JVG24" s="19"/>
      <c r="JVH24" s="19"/>
      <c r="JVI24" s="19"/>
      <c r="JVJ24" s="19"/>
      <c r="JVK24" s="19"/>
      <c r="JVL24" s="19"/>
      <c r="JVM24" s="19"/>
      <c r="JVN24" s="19"/>
      <c r="JVO24" s="19"/>
      <c r="JVP24" s="19"/>
      <c r="JVQ24" s="19"/>
      <c r="JVR24" s="19"/>
      <c r="JVS24" s="19"/>
      <c r="JVT24" s="19"/>
      <c r="JVU24" s="19"/>
      <c r="JVV24" s="19"/>
      <c r="JVW24" s="19"/>
      <c r="JVX24" s="19"/>
      <c r="JVY24" s="19"/>
      <c r="JVZ24" s="19"/>
      <c r="JWA24" s="19"/>
      <c r="JWB24" s="19"/>
      <c r="JWC24" s="19"/>
      <c r="JWD24" s="19"/>
      <c r="JWE24" s="19"/>
      <c r="JWF24" s="19"/>
      <c r="JWG24" s="19"/>
      <c r="JWH24" s="19"/>
      <c r="JWI24" s="19"/>
      <c r="JWJ24" s="19"/>
      <c r="JWK24" s="19"/>
      <c r="JWL24" s="19"/>
      <c r="JWM24" s="19"/>
      <c r="JWN24" s="19"/>
      <c r="JWO24" s="19"/>
      <c r="JWP24" s="19"/>
      <c r="JWQ24" s="19"/>
      <c r="JWR24" s="19"/>
      <c r="JWS24" s="19"/>
      <c r="JWT24" s="19"/>
      <c r="JWU24" s="19"/>
      <c r="JWV24" s="19"/>
      <c r="JWW24" s="19"/>
      <c r="JWX24" s="19"/>
      <c r="JWY24" s="19"/>
      <c r="JWZ24" s="19"/>
      <c r="JXA24" s="19"/>
      <c r="JXB24" s="19"/>
      <c r="JXC24" s="19"/>
      <c r="JXD24" s="19"/>
      <c r="JXE24" s="19"/>
      <c r="JXF24" s="19"/>
      <c r="JXG24" s="19"/>
      <c r="JXH24" s="19"/>
      <c r="JXI24" s="19"/>
      <c r="JXJ24" s="19"/>
      <c r="JXK24" s="19"/>
      <c r="JXL24" s="19"/>
      <c r="JXM24" s="19"/>
      <c r="JXN24" s="19"/>
      <c r="JXO24" s="19"/>
      <c r="JXP24" s="19"/>
      <c r="JXQ24" s="19"/>
      <c r="JXR24" s="19"/>
      <c r="JXS24" s="19"/>
      <c r="JXT24" s="19"/>
      <c r="JXU24" s="19"/>
      <c r="JXV24" s="19"/>
      <c r="JXW24" s="19"/>
      <c r="JXX24" s="19"/>
      <c r="JXY24" s="19"/>
      <c r="JXZ24" s="19"/>
      <c r="JYA24" s="19"/>
      <c r="JYB24" s="19"/>
      <c r="JYC24" s="19"/>
      <c r="JYD24" s="19"/>
      <c r="JYE24" s="19"/>
      <c r="JYF24" s="19"/>
      <c r="JYG24" s="19"/>
      <c r="JYH24" s="19"/>
      <c r="JYI24" s="19"/>
      <c r="JYJ24" s="19"/>
      <c r="JYK24" s="19"/>
      <c r="JYL24" s="19"/>
      <c r="JYM24" s="19"/>
      <c r="JYN24" s="19"/>
      <c r="JYO24" s="19"/>
      <c r="JYP24" s="19"/>
      <c r="JYQ24" s="19"/>
      <c r="JYR24" s="19"/>
      <c r="JYS24" s="19"/>
      <c r="JYT24" s="19"/>
      <c r="JYU24" s="19"/>
      <c r="JYV24" s="19"/>
      <c r="JYW24" s="19"/>
      <c r="JYX24" s="19"/>
      <c r="JYY24" s="19"/>
      <c r="JYZ24" s="19"/>
      <c r="JZA24" s="19"/>
      <c r="JZB24" s="19"/>
      <c r="JZC24" s="19"/>
      <c r="JZD24" s="19"/>
      <c r="JZE24" s="19"/>
      <c r="JZF24" s="19"/>
      <c r="JZG24" s="19"/>
      <c r="JZH24" s="19"/>
      <c r="JZI24" s="19"/>
      <c r="JZJ24" s="19"/>
      <c r="JZK24" s="19"/>
      <c r="JZL24" s="19"/>
      <c r="JZM24" s="19"/>
      <c r="JZN24" s="19"/>
      <c r="JZO24" s="19"/>
      <c r="JZP24" s="19"/>
      <c r="JZQ24" s="19"/>
      <c r="JZR24" s="19"/>
      <c r="JZS24" s="19"/>
      <c r="JZT24" s="19"/>
      <c r="JZU24" s="19"/>
      <c r="JZV24" s="19"/>
      <c r="JZW24" s="19"/>
      <c r="JZX24" s="19"/>
      <c r="JZY24" s="19"/>
      <c r="JZZ24" s="19"/>
      <c r="KAA24" s="19"/>
      <c r="KAB24" s="19"/>
      <c r="KAC24" s="19"/>
      <c r="KAD24" s="19"/>
      <c r="KAE24" s="19"/>
      <c r="KAF24" s="19"/>
      <c r="KAG24" s="19"/>
      <c r="KAH24" s="19"/>
      <c r="KAI24" s="19"/>
      <c r="KAJ24" s="19"/>
      <c r="KAK24" s="19"/>
      <c r="KAL24" s="19"/>
      <c r="KAM24" s="19"/>
      <c r="KAN24" s="19"/>
      <c r="KAO24" s="19"/>
      <c r="KAP24" s="19"/>
      <c r="KAQ24" s="19"/>
      <c r="KAR24" s="19"/>
      <c r="KAS24" s="19"/>
      <c r="KAT24" s="19"/>
      <c r="KAU24" s="19"/>
      <c r="KAV24" s="19"/>
      <c r="KAW24" s="19"/>
      <c r="KAX24" s="19"/>
      <c r="KAY24" s="19"/>
      <c r="KAZ24" s="19"/>
      <c r="KBA24" s="19"/>
      <c r="KBB24" s="19"/>
      <c r="KBC24" s="19"/>
      <c r="KBD24" s="19"/>
      <c r="KBE24" s="19"/>
      <c r="KBF24" s="19"/>
      <c r="KBG24" s="19"/>
      <c r="KBH24" s="19"/>
      <c r="KBI24" s="19"/>
      <c r="KBJ24" s="19"/>
      <c r="KBK24" s="19"/>
      <c r="KBL24" s="19"/>
      <c r="KBM24" s="19"/>
      <c r="KBN24" s="19"/>
      <c r="KBO24" s="19"/>
      <c r="KBP24" s="19"/>
      <c r="KBQ24" s="19"/>
      <c r="KBR24" s="19"/>
      <c r="KBS24" s="19"/>
      <c r="KBT24" s="19"/>
      <c r="KBU24" s="19"/>
      <c r="KBV24" s="19"/>
      <c r="KBW24" s="19"/>
      <c r="KBX24" s="19"/>
      <c r="KBY24" s="19"/>
      <c r="KBZ24" s="19"/>
      <c r="KCA24" s="19"/>
      <c r="KCB24" s="19"/>
      <c r="KCC24" s="19"/>
      <c r="KCD24" s="19"/>
      <c r="KCE24" s="19"/>
      <c r="KCF24" s="19"/>
      <c r="KCG24" s="19"/>
      <c r="KCH24" s="19"/>
      <c r="KCI24" s="19"/>
      <c r="KCJ24" s="19"/>
      <c r="KCK24" s="19"/>
      <c r="KCL24" s="19"/>
      <c r="KCM24" s="19"/>
      <c r="KCN24" s="19"/>
      <c r="KCO24" s="19"/>
      <c r="KCP24" s="19"/>
      <c r="KCQ24" s="19"/>
      <c r="KCR24" s="19"/>
      <c r="KCS24" s="19"/>
      <c r="KCT24" s="19"/>
      <c r="KCU24" s="19"/>
      <c r="KCV24" s="19"/>
      <c r="KCW24" s="19"/>
      <c r="KCX24" s="19"/>
      <c r="KCY24" s="19"/>
      <c r="KCZ24" s="19"/>
      <c r="KDA24" s="19"/>
      <c r="KDB24" s="19"/>
      <c r="KDC24" s="19"/>
      <c r="KDD24" s="19"/>
      <c r="KDE24" s="19"/>
      <c r="KDF24" s="19"/>
      <c r="KDG24" s="19"/>
      <c r="KDH24" s="19"/>
      <c r="KDI24" s="19"/>
      <c r="KDJ24" s="19"/>
      <c r="KDK24" s="19"/>
      <c r="KDL24" s="19"/>
      <c r="KDM24" s="19"/>
      <c r="KDN24" s="19"/>
      <c r="KDO24" s="19"/>
      <c r="KDP24" s="19"/>
      <c r="KDQ24" s="19"/>
      <c r="KDR24" s="19"/>
      <c r="KDS24" s="19"/>
      <c r="KDT24" s="19"/>
      <c r="KDU24" s="19"/>
      <c r="KDV24" s="19"/>
      <c r="KDW24" s="19"/>
      <c r="KDX24" s="19"/>
      <c r="KDY24" s="19"/>
      <c r="KDZ24" s="19"/>
      <c r="KEA24" s="19"/>
      <c r="KEB24" s="19"/>
      <c r="KEC24" s="19"/>
      <c r="KED24" s="19"/>
      <c r="KEE24" s="19"/>
      <c r="KEF24" s="19"/>
      <c r="KEG24" s="19"/>
      <c r="KEH24" s="19"/>
      <c r="KEI24" s="19"/>
      <c r="KEJ24" s="19"/>
      <c r="KEK24" s="19"/>
      <c r="KEL24" s="19"/>
      <c r="KEM24" s="19"/>
      <c r="KEN24" s="19"/>
      <c r="KEO24" s="19"/>
      <c r="KEP24" s="19"/>
      <c r="KEQ24" s="19"/>
      <c r="KER24" s="19"/>
      <c r="KES24" s="19"/>
      <c r="KET24" s="19"/>
      <c r="KEU24" s="19"/>
      <c r="KEV24" s="19"/>
      <c r="KEW24" s="19"/>
      <c r="KEX24" s="19"/>
      <c r="KEY24" s="19"/>
      <c r="KEZ24" s="19"/>
      <c r="KFA24" s="19"/>
      <c r="KFB24" s="19"/>
      <c r="KFC24" s="19"/>
      <c r="KFD24" s="19"/>
      <c r="KFE24" s="19"/>
      <c r="KFF24" s="19"/>
      <c r="KFG24" s="19"/>
      <c r="KFH24" s="19"/>
      <c r="KFI24" s="19"/>
      <c r="KFJ24" s="19"/>
      <c r="KFK24" s="19"/>
      <c r="KFL24" s="19"/>
      <c r="KFM24" s="19"/>
      <c r="KFN24" s="19"/>
      <c r="KFO24" s="19"/>
      <c r="KFP24" s="19"/>
      <c r="KFQ24" s="19"/>
      <c r="KFR24" s="19"/>
      <c r="KFS24" s="19"/>
      <c r="KFT24" s="19"/>
      <c r="KFU24" s="19"/>
      <c r="KFV24" s="19"/>
      <c r="KFW24" s="19"/>
      <c r="KFX24" s="19"/>
      <c r="KFY24" s="19"/>
      <c r="KFZ24" s="19"/>
      <c r="KGA24" s="19"/>
      <c r="KGB24" s="19"/>
      <c r="KGC24" s="19"/>
      <c r="KGD24" s="19"/>
      <c r="KGE24" s="19"/>
      <c r="KGF24" s="19"/>
      <c r="KGG24" s="19"/>
      <c r="KGH24" s="19"/>
      <c r="KGI24" s="19"/>
      <c r="KGJ24" s="19"/>
      <c r="KGK24" s="19"/>
      <c r="KGL24" s="19"/>
      <c r="KGM24" s="19"/>
      <c r="KGN24" s="19"/>
      <c r="KGO24" s="19"/>
      <c r="KGP24" s="19"/>
      <c r="KGQ24" s="19"/>
      <c r="KGR24" s="19"/>
      <c r="KGS24" s="19"/>
      <c r="KGT24" s="19"/>
      <c r="KGU24" s="19"/>
      <c r="KGV24" s="19"/>
      <c r="KGW24" s="19"/>
      <c r="KGX24" s="19"/>
      <c r="KGY24" s="19"/>
      <c r="KGZ24" s="19"/>
      <c r="KHA24" s="19"/>
      <c r="KHB24" s="19"/>
      <c r="KHC24" s="19"/>
      <c r="KHD24" s="19"/>
      <c r="KHE24" s="19"/>
      <c r="KHF24" s="19"/>
      <c r="KHG24" s="19"/>
      <c r="KHH24" s="19"/>
      <c r="KHI24" s="19"/>
      <c r="KHJ24" s="19"/>
      <c r="KHK24" s="19"/>
      <c r="KHL24" s="19"/>
      <c r="KHM24" s="19"/>
      <c r="KHN24" s="19"/>
      <c r="KHO24" s="19"/>
      <c r="KHP24" s="19"/>
      <c r="KHQ24" s="19"/>
      <c r="KHR24" s="19"/>
      <c r="KHS24" s="19"/>
      <c r="KHT24" s="19"/>
      <c r="KHU24" s="19"/>
      <c r="KHV24" s="19"/>
      <c r="KHW24" s="19"/>
      <c r="KHX24" s="19"/>
      <c r="KHY24" s="19"/>
      <c r="KHZ24" s="19"/>
      <c r="KIA24" s="19"/>
      <c r="KIB24" s="19"/>
      <c r="KIC24" s="19"/>
      <c r="KID24" s="19"/>
      <c r="KIE24" s="19"/>
      <c r="KIF24" s="19"/>
      <c r="KIG24" s="19"/>
      <c r="KIH24" s="19"/>
      <c r="KII24" s="19"/>
      <c r="KIJ24" s="19"/>
      <c r="KIK24" s="19"/>
      <c r="KIL24" s="19"/>
      <c r="KIM24" s="19"/>
      <c r="KIN24" s="19"/>
      <c r="KIO24" s="19"/>
      <c r="KIP24" s="19"/>
      <c r="KIQ24" s="19"/>
      <c r="KIR24" s="19"/>
      <c r="KIS24" s="19"/>
      <c r="KIT24" s="19"/>
      <c r="KIU24" s="19"/>
      <c r="KIV24" s="19"/>
      <c r="KIW24" s="19"/>
      <c r="KIX24" s="19"/>
      <c r="KIY24" s="19"/>
      <c r="KIZ24" s="19"/>
      <c r="KJA24" s="19"/>
      <c r="KJB24" s="19"/>
      <c r="KJC24" s="19"/>
      <c r="KJD24" s="19"/>
      <c r="KJE24" s="19"/>
      <c r="KJF24" s="19"/>
      <c r="KJG24" s="19"/>
      <c r="KJH24" s="19"/>
      <c r="KJI24" s="19"/>
      <c r="KJJ24" s="19"/>
      <c r="KJK24" s="19"/>
      <c r="KJL24" s="19"/>
      <c r="KJM24" s="19"/>
      <c r="KJN24" s="19"/>
      <c r="KJO24" s="19"/>
      <c r="KJP24" s="19"/>
      <c r="KJQ24" s="19"/>
      <c r="KJR24" s="19"/>
      <c r="KJS24" s="19"/>
      <c r="KJT24" s="19"/>
      <c r="KJU24" s="19"/>
      <c r="KJV24" s="19"/>
      <c r="KJW24" s="19"/>
      <c r="KJX24" s="19"/>
      <c r="KJY24" s="19"/>
      <c r="KJZ24" s="19"/>
      <c r="KKA24" s="19"/>
      <c r="KKB24" s="19"/>
      <c r="KKC24" s="19"/>
      <c r="KKD24" s="19"/>
      <c r="KKE24" s="19"/>
      <c r="KKF24" s="19"/>
      <c r="KKG24" s="19"/>
      <c r="KKH24" s="19"/>
      <c r="KKI24" s="19"/>
      <c r="KKJ24" s="19"/>
      <c r="KKK24" s="19"/>
      <c r="KKL24" s="19"/>
      <c r="KKM24" s="19"/>
      <c r="KKN24" s="19"/>
      <c r="KKO24" s="19"/>
      <c r="KKP24" s="19"/>
      <c r="KKQ24" s="19"/>
      <c r="KKR24" s="19"/>
      <c r="KKS24" s="19"/>
      <c r="KKT24" s="19"/>
      <c r="KKU24" s="19"/>
      <c r="KKV24" s="19"/>
      <c r="KKW24" s="19"/>
      <c r="KKX24" s="19"/>
      <c r="KKY24" s="19"/>
      <c r="KKZ24" s="19"/>
      <c r="KLA24" s="19"/>
      <c r="KLB24" s="19"/>
      <c r="KLC24" s="19"/>
      <c r="KLD24" s="19"/>
      <c r="KLE24" s="19"/>
      <c r="KLF24" s="19"/>
      <c r="KLG24" s="19"/>
      <c r="KLH24" s="19"/>
      <c r="KLI24" s="19"/>
      <c r="KLJ24" s="19"/>
      <c r="KLK24" s="19"/>
      <c r="KLL24" s="19"/>
      <c r="KLM24" s="19"/>
      <c r="KLN24" s="19"/>
      <c r="KLO24" s="19"/>
      <c r="KLP24" s="19"/>
      <c r="KLQ24" s="19"/>
      <c r="KLR24" s="19"/>
      <c r="KLS24" s="19"/>
      <c r="KLT24" s="19"/>
      <c r="KLU24" s="19"/>
      <c r="KLV24" s="19"/>
      <c r="KLW24" s="19"/>
      <c r="KLX24" s="19"/>
      <c r="KLY24" s="19"/>
      <c r="KLZ24" s="19"/>
      <c r="KMA24" s="19"/>
      <c r="KMB24" s="19"/>
      <c r="KMC24" s="19"/>
      <c r="KMD24" s="19"/>
      <c r="KME24" s="19"/>
      <c r="KMF24" s="19"/>
      <c r="KMG24" s="19"/>
      <c r="KMH24" s="19"/>
      <c r="KMI24" s="19"/>
      <c r="KMJ24" s="19"/>
      <c r="KMK24" s="19"/>
      <c r="KML24" s="19"/>
      <c r="KMM24" s="19"/>
      <c r="KMN24" s="19"/>
      <c r="KMO24" s="19"/>
      <c r="KMP24" s="19"/>
      <c r="KMQ24" s="19"/>
      <c r="KMR24" s="19"/>
      <c r="KMS24" s="19"/>
      <c r="KMT24" s="19"/>
      <c r="KMU24" s="19"/>
      <c r="KMV24" s="19"/>
      <c r="KMW24" s="19"/>
      <c r="KMX24" s="19"/>
      <c r="KMY24" s="19"/>
      <c r="KMZ24" s="19"/>
      <c r="KNA24" s="19"/>
      <c r="KNB24" s="19"/>
      <c r="KNC24" s="19"/>
      <c r="KND24" s="19"/>
      <c r="KNE24" s="19"/>
      <c r="KNF24" s="19"/>
      <c r="KNG24" s="19"/>
      <c r="KNH24" s="19"/>
      <c r="KNI24" s="19"/>
      <c r="KNJ24" s="19"/>
      <c r="KNK24" s="19"/>
      <c r="KNL24" s="19"/>
      <c r="KNM24" s="19"/>
      <c r="KNN24" s="19"/>
      <c r="KNO24" s="19"/>
      <c r="KNP24" s="19"/>
      <c r="KNQ24" s="19"/>
      <c r="KNR24" s="19"/>
      <c r="KNS24" s="19"/>
      <c r="KNT24" s="19"/>
      <c r="KNU24" s="19"/>
      <c r="KNV24" s="19"/>
      <c r="KNW24" s="19"/>
      <c r="KNX24" s="19"/>
      <c r="KNY24" s="19"/>
      <c r="KNZ24" s="19"/>
      <c r="KOA24" s="19"/>
      <c r="KOB24" s="19"/>
      <c r="KOC24" s="19"/>
      <c r="KOD24" s="19"/>
      <c r="KOE24" s="19"/>
      <c r="KOF24" s="19"/>
      <c r="KOG24" s="19"/>
      <c r="KOH24" s="19"/>
      <c r="KOI24" s="19"/>
      <c r="KOJ24" s="19"/>
      <c r="KOK24" s="19"/>
      <c r="KOL24" s="19"/>
      <c r="KOM24" s="19"/>
      <c r="KON24" s="19"/>
      <c r="KOO24" s="19"/>
      <c r="KOP24" s="19"/>
      <c r="KOQ24" s="19"/>
      <c r="KOR24" s="19"/>
      <c r="KOS24" s="19"/>
      <c r="KOT24" s="19"/>
      <c r="KOU24" s="19"/>
      <c r="KOV24" s="19"/>
      <c r="KOW24" s="19"/>
      <c r="KOX24" s="19"/>
      <c r="KOY24" s="19"/>
      <c r="KOZ24" s="19"/>
      <c r="KPA24" s="19"/>
      <c r="KPB24" s="19"/>
      <c r="KPC24" s="19"/>
      <c r="KPD24" s="19"/>
      <c r="KPE24" s="19"/>
      <c r="KPF24" s="19"/>
      <c r="KPG24" s="19"/>
      <c r="KPH24" s="19"/>
      <c r="KPI24" s="19"/>
      <c r="KPJ24" s="19"/>
      <c r="KPK24" s="19"/>
      <c r="KPL24" s="19"/>
      <c r="KPM24" s="19"/>
      <c r="KPN24" s="19"/>
      <c r="KPO24" s="19"/>
      <c r="KPP24" s="19"/>
      <c r="KPQ24" s="19"/>
      <c r="KPR24" s="19"/>
      <c r="KPS24" s="19"/>
      <c r="KPT24" s="19"/>
      <c r="KPU24" s="19"/>
      <c r="KPV24" s="19"/>
      <c r="KPW24" s="19"/>
      <c r="KPX24" s="19"/>
      <c r="KPY24" s="19"/>
      <c r="KPZ24" s="19"/>
      <c r="KQA24" s="19"/>
      <c r="KQB24" s="19"/>
      <c r="KQC24" s="19"/>
      <c r="KQD24" s="19"/>
      <c r="KQE24" s="19"/>
      <c r="KQF24" s="19"/>
      <c r="KQG24" s="19"/>
      <c r="KQH24" s="19"/>
      <c r="KQI24" s="19"/>
      <c r="KQJ24" s="19"/>
      <c r="KQK24" s="19"/>
      <c r="KQL24" s="19"/>
      <c r="KQM24" s="19"/>
      <c r="KQN24" s="19"/>
      <c r="KQO24" s="19"/>
      <c r="KQP24" s="19"/>
      <c r="KQQ24" s="19"/>
      <c r="KQR24" s="19"/>
      <c r="KQS24" s="19"/>
      <c r="KQT24" s="19"/>
      <c r="KQU24" s="19"/>
      <c r="KQV24" s="19"/>
      <c r="KQW24" s="19"/>
      <c r="KQX24" s="19"/>
      <c r="KQY24" s="19"/>
      <c r="KQZ24" s="19"/>
      <c r="KRA24" s="19"/>
      <c r="KRB24" s="19"/>
      <c r="KRC24" s="19"/>
      <c r="KRD24" s="19"/>
      <c r="KRE24" s="19"/>
      <c r="KRF24" s="19"/>
      <c r="KRG24" s="19"/>
      <c r="KRH24" s="19"/>
      <c r="KRI24" s="19"/>
      <c r="KRJ24" s="19"/>
      <c r="KRK24" s="19"/>
      <c r="KRL24" s="19"/>
      <c r="KRM24" s="19"/>
      <c r="KRN24" s="19"/>
      <c r="KRO24" s="19"/>
      <c r="KRP24" s="19"/>
      <c r="KRQ24" s="19"/>
      <c r="KRR24" s="19"/>
      <c r="KRS24" s="19"/>
      <c r="KRT24" s="19"/>
      <c r="KRU24" s="19"/>
      <c r="KRV24" s="19"/>
      <c r="KRW24" s="19"/>
      <c r="KRX24" s="19"/>
      <c r="KRY24" s="19"/>
      <c r="KRZ24" s="19"/>
      <c r="KSA24" s="19"/>
      <c r="KSB24" s="19"/>
      <c r="KSC24" s="19"/>
      <c r="KSD24" s="19"/>
      <c r="KSE24" s="19"/>
      <c r="KSF24" s="19"/>
      <c r="KSG24" s="19"/>
      <c r="KSH24" s="19"/>
      <c r="KSI24" s="19"/>
      <c r="KSJ24" s="19"/>
      <c r="KSK24" s="19"/>
      <c r="KSL24" s="19"/>
      <c r="KSM24" s="19"/>
      <c r="KSN24" s="19"/>
      <c r="KSO24" s="19"/>
      <c r="KSP24" s="19"/>
      <c r="KSQ24" s="19"/>
      <c r="KSR24" s="19"/>
      <c r="KSS24" s="19"/>
      <c r="KST24" s="19"/>
      <c r="KSU24" s="19"/>
      <c r="KSV24" s="19"/>
      <c r="KSW24" s="19"/>
      <c r="KSX24" s="19"/>
      <c r="KSY24" s="19"/>
      <c r="KSZ24" s="19"/>
      <c r="KTA24" s="19"/>
      <c r="KTB24" s="19"/>
      <c r="KTC24" s="19"/>
      <c r="KTD24" s="19"/>
      <c r="KTE24" s="19"/>
      <c r="KTF24" s="19"/>
      <c r="KTG24" s="19"/>
      <c r="KTH24" s="19"/>
      <c r="KTI24" s="19"/>
      <c r="KTJ24" s="19"/>
      <c r="KTK24" s="19"/>
      <c r="KTL24" s="19"/>
      <c r="KTM24" s="19"/>
      <c r="KTN24" s="19"/>
      <c r="KTO24" s="19"/>
      <c r="KTP24" s="19"/>
      <c r="KTQ24" s="19"/>
      <c r="KTR24" s="19"/>
      <c r="KTS24" s="19"/>
      <c r="KTT24" s="19"/>
      <c r="KTU24" s="19"/>
      <c r="KTV24" s="19"/>
      <c r="KTW24" s="19"/>
      <c r="KTX24" s="19"/>
      <c r="KTY24" s="19"/>
      <c r="KTZ24" s="19"/>
      <c r="KUA24" s="19"/>
      <c r="KUB24" s="19"/>
      <c r="KUC24" s="19"/>
      <c r="KUD24" s="19"/>
      <c r="KUE24" s="19"/>
      <c r="KUF24" s="19"/>
      <c r="KUG24" s="19"/>
      <c r="KUH24" s="19"/>
      <c r="KUI24" s="19"/>
      <c r="KUJ24" s="19"/>
      <c r="KUK24" s="19"/>
      <c r="KUL24" s="19"/>
      <c r="KUM24" s="19"/>
      <c r="KUN24" s="19"/>
      <c r="KUO24" s="19"/>
      <c r="KUP24" s="19"/>
      <c r="KUQ24" s="19"/>
      <c r="KUR24" s="19"/>
      <c r="KUS24" s="19"/>
      <c r="KUT24" s="19"/>
      <c r="KUU24" s="19"/>
      <c r="KUV24" s="19"/>
      <c r="KUW24" s="19"/>
      <c r="KUX24" s="19"/>
      <c r="KUY24" s="19"/>
      <c r="KUZ24" s="19"/>
      <c r="KVA24" s="19"/>
      <c r="KVB24" s="19"/>
      <c r="KVC24" s="19"/>
      <c r="KVD24" s="19"/>
      <c r="KVE24" s="19"/>
      <c r="KVF24" s="19"/>
      <c r="KVG24" s="19"/>
      <c r="KVH24" s="19"/>
      <c r="KVI24" s="19"/>
      <c r="KVJ24" s="19"/>
      <c r="KVK24" s="19"/>
      <c r="KVL24" s="19"/>
      <c r="KVM24" s="19"/>
      <c r="KVN24" s="19"/>
      <c r="KVO24" s="19"/>
      <c r="KVP24" s="19"/>
      <c r="KVQ24" s="19"/>
      <c r="KVR24" s="19"/>
      <c r="KVS24" s="19"/>
      <c r="KVT24" s="19"/>
      <c r="KVU24" s="19"/>
      <c r="KVV24" s="19"/>
      <c r="KVW24" s="19"/>
      <c r="KVX24" s="19"/>
      <c r="KVY24" s="19"/>
      <c r="KVZ24" s="19"/>
      <c r="KWA24" s="19"/>
      <c r="KWB24" s="19"/>
      <c r="KWC24" s="19"/>
      <c r="KWD24" s="19"/>
      <c r="KWE24" s="19"/>
      <c r="KWF24" s="19"/>
      <c r="KWG24" s="19"/>
      <c r="KWH24" s="19"/>
      <c r="KWI24" s="19"/>
      <c r="KWJ24" s="19"/>
      <c r="KWK24" s="19"/>
      <c r="KWL24" s="19"/>
      <c r="KWM24" s="19"/>
      <c r="KWN24" s="19"/>
      <c r="KWO24" s="19"/>
      <c r="KWP24" s="19"/>
      <c r="KWQ24" s="19"/>
      <c r="KWR24" s="19"/>
      <c r="KWS24" s="19"/>
      <c r="KWT24" s="19"/>
      <c r="KWU24" s="19"/>
      <c r="KWV24" s="19"/>
      <c r="KWW24" s="19"/>
      <c r="KWX24" s="19"/>
      <c r="KWY24" s="19"/>
      <c r="KWZ24" s="19"/>
      <c r="KXA24" s="19"/>
      <c r="KXB24" s="19"/>
      <c r="KXC24" s="19"/>
      <c r="KXD24" s="19"/>
      <c r="KXE24" s="19"/>
      <c r="KXF24" s="19"/>
      <c r="KXG24" s="19"/>
      <c r="KXH24" s="19"/>
      <c r="KXI24" s="19"/>
      <c r="KXJ24" s="19"/>
      <c r="KXK24" s="19"/>
      <c r="KXL24" s="19"/>
      <c r="KXM24" s="19"/>
      <c r="KXN24" s="19"/>
      <c r="KXO24" s="19"/>
      <c r="KXP24" s="19"/>
      <c r="KXQ24" s="19"/>
      <c r="KXR24" s="19"/>
      <c r="KXS24" s="19"/>
      <c r="KXT24" s="19"/>
      <c r="KXU24" s="19"/>
      <c r="KXV24" s="19"/>
      <c r="KXW24" s="19"/>
      <c r="KXX24" s="19"/>
      <c r="KXY24" s="19"/>
      <c r="KXZ24" s="19"/>
      <c r="KYA24" s="19"/>
      <c r="KYB24" s="19"/>
      <c r="KYC24" s="19"/>
      <c r="KYD24" s="19"/>
      <c r="KYE24" s="19"/>
      <c r="KYF24" s="19"/>
      <c r="KYG24" s="19"/>
      <c r="KYH24" s="19"/>
      <c r="KYI24" s="19"/>
      <c r="KYJ24" s="19"/>
      <c r="KYK24" s="19"/>
      <c r="KYL24" s="19"/>
      <c r="KYM24" s="19"/>
      <c r="KYN24" s="19"/>
      <c r="KYO24" s="19"/>
      <c r="KYP24" s="19"/>
      <c r="KYQ24" s="19"/>
      <c r="KYR24" s="19"/>
      <c r="KYS24" s="19"/>
      <c r="KYT24" s="19"/>
      <c r="KYU24" s="19"/>
      <c r="KYV24" s="19"/>
      <c r="KYW24" s="19"/>
      <c r="KYX24" s="19"/>
      <c r="KYY24" s="19"/>
      <c r="KYZ24" s="19"/>
      <c r="KZA24" s="19"/>
      <c r="KZB24" s="19"/>
      <c r="KZC24" s="19"/>
      <c r="KZD24" s="19"/>
      <c r="KZE24" s="19"/>
      <c r="KZF24" s="19"/>
      <c r="KZG24" s="19"/>
      <c r="KZH24" s="19"/>
      <c r="KZI24" s="19"/>
      <c r="KZJ24" s="19"/>
      <c r="KZK24" s="19"/>
      <c r="KZL24" s="19"/>
      <c r="KZM24" s="19"/>
      <c r="KZN24" s="19"/>
      <c r="KZO24" s="19"/>
      <c r="KZP24" s="19"/>
      <c r="KZQ24" s="19"/>
      <c r="KZR24" s="19"/>
      <c r="KZS24" s="19"/>
      <c r="KZT24" s="19"/>
      <c r="KZU24" s="19"/>
      <c r="KZV24" s="19"/>
      <c r="KZW24" s="19"/>
      <c r="KZX24" s="19"/>
      <c r="KZY24" s="19"/>
      <c r="KZZ24" s="19"/>
      <c r="LAA24" s="19"/>
      <c r="LAB24" s="19"/>
      <c r="LAC24" s="19"/>
      <c r="LAD24" s="19"/>
      <c r="LAE24" s="19"/>
      <c r="LAF24" s="19"/>
      <c r="LAG24" s="19"/>
      <c r="LAH24" s="19"/>
      <c r="LAI24" s="19"/>
      <c r="LAJ24" s="19"/>
      <c r="LAK24" s="19"/>
      <c r="LAL24" s="19"/>
      <c r="LAM24" s="19"/>
      <c r="LAN24" s="19"/>
      <c r="LAO24" s="19"/>
      <c r="LAP24" s="19"/>
      <c r="LAQ24" s="19"/>
      <c r="LAR24" s="19"/>
      <c r="LAS24" s="19"/>
      <c r="LAT24" s="19"/>
      <c r="LAU24" s="19"/>
      <c r="LAV24" s="19"/>
      <c r="LAW24" s="19"/>
      <c r="LAX24" s="19"/>
      <c r="LAY24" s="19"/>
      <c r="LAZ24" s="19"/>
      <c r="LBA24" s="19"/>
      <c r="LBB24" s="19"/>
      <c r="LBC24" s="19"/>
      <c r="LBD24" s="19"/>
      <c r="LBE24" s="19"/>
      <c r="LBF24" s="19"/>
      <c r="LBG24" s="19"/>
      <c r="LBH24" s="19"/>
      <c r="LBI24" s="19"/>
      <c r="LBJ24" s="19"/>
      <c r="LBK24" s="19"/>
      <c r="LBL24" s="19"/>
      <c r="LBM24" s="19"/>
      <c r="LBN24" s="19"/>
      <c r="LBO24" s="19"/>
      <c r="LBP24" s="19"/>
      <c r="LBQ24" s="19"/>
      <c r="LBR24" s="19"/>
      <c r="LBS24" s="19"/>
      <c r="LBT24" s="19"/>
      <c r="LBU24" s="19"/>
      <c r="LBV24" s="19"/>
      <c r="LBW24" s="19"/>
      <c r="LBX24" s="19"/>
      <c r="LBY24" s="19"/>
      <c r="LBZ24" s="19"/>
      <c r="LCA24" s="19"/>
      <c r="LCB24" s="19"/>
      <c r="LCC24" s="19"/>
      <c r="LCD24" s="19"/>
      <c r="LCE24" s="19"/>
      <c r="LCF24" s="19"/>
      <c r="LCG24" s="19"/>
      <c r="LCH24" s="19"/>
      <c r="LCI24" s="19"/>
      <c r="LCJ24" s="19"/>
      <c r="LCK24" s="19"/>
      <c r="LCL24" s="19"/>
      <c r="LCM24" s="19"/>
      <c r="LCN24" s="19"/>
      <c r="LCO24" s="19"/>
      <c r="LCP24" s="19"/>
      <c r="LCQ24" s="19"/>
      <c r="LCR24" s="19"/>
      <c r="LCS24" s="19"/>
      <c r="LCT24" s="19"/>
      <c r="LCU24" s="19"/>
      <c r="LCV24" s="19"/>
      <c r="LCW24" s="19"/>
      <c r="LCX24" s="19"/>
      <c r="LCY24" s="19"/>
      <c r="LCZ24" s="19"/>
      <c r="LDA24" s="19"/>
      <c r="LDB24" s="19"/>
      <c r="LDC24" s="19"/>
      <c r="LDD24" s="19"/>
      <c r="LDE24" s="19"/>
      <c r="LDF24" s="19"/>
      <c r="LDG24" s="19"/>
      <c r="LDH24" s="19"/>
      <c r="LDI24" s="19"/>
      <c r="LDJ24" s="19"/>
      <c r="LDK24" s="19"/>
      <c r="LDL24" s="19"/>
      <c r="LDM24" s="19"/>
      <c r="LDN24" s="19"/>
      <c r="LDO24" s="19"/>
      <c r="LDP24" s="19"/>
      <c r="LDQ24" s="19"/>
      <c r="LDR24" s="19"/>
      <c r="LDS24" s="19"/>
      <c r="LDT24" s="19"/>
      <c r="LDU24" s="19"/>
      <c r="LDV24" s="19"/>
      <c r="LDW24" s="19"/>
      <c r="LDX24" s="19"/>
      <c r="LDY24" s="19"/>
      <c r="LDZ24" s="19"/>
      <c r="LEA24" s="19"/>
      <c r="LEB24" s="19"/>
      <c r="LEC24" s="19"/>
      <c r="LED24" s="19"/>
      <c r="LEE24" s="19"/>
      <c r="LEF24" s="19"/>
      <c r="LEG24" s="19"/>
      <c r="LEH24" s="19"/>
      <c r="LEI24" s="19"/>
      <c r="LEJ24" s="19"/>
      <c r="LEK24" s="19"/>
      <c r="LEL24" s="19"/>
      <c r="LEM24" s="19"/>
      <c r="LEN24" s="19"/>
      <c r="LEO24" s="19"/>
      <c r="LEP24" s="19"/>
      <c r="LEQ24" s="19"/>
      <c r="LER24" s="19"/>
      <c r="LES24" s="19"/>
      <c r="LET24" s="19"/>
      <c r="LEU24" s="19"/>
      <c r="LEV24" s="19"/>
      <c r="LEW24" s="19"/>
      <c r="LEX24" s="19"/>
      <c r="LEY24" s="19"/>
      <c r="LEZ24" s="19"/>
      <c r="LFA24" s="19"/>
      <c r="LFB24" s="19"/>
      <c r="LFC24" s="19"/>
      <c r="LFD24" s="19"/>
      <c r="LFE24" s="19"/>
      <c r="LFF24" s="19"/>
      <c r="LFG24" s="19"/>
      <c r="LFH24" s="19"/>
      <c r="LFI24" s="19"/>
      <c r="LFJ24" s="19"/>
      <c r="LFK24" s="19"/>
      <c r="LFL24" s="19"/>
      <c r="LFM24" s="19"/>
      <c r="LFN24" s="19"/>
      <c r="LFO24" s="19"/>
      <c r="LFP24" s="19"/>
      <c r="LFQ24" s="19"/>
      <c r="LFR24" s="19"/>
      <c r="LFS24" s="19"/>
      <c r="LFT24" s="19"/>
      <c r="LFU24" s="19"/>
      <c r="LFV24" s="19"/>
      <c r="LFW24" s="19"/>
      <c r="LFX24" s="19"/>
      <c r="LFY24" s="19"/>
      <c r="LFZ24" s="19"/>
      <c r="LGA24" s="19"/>
      <c r="LGB24" s="19"/>
      <c r="LGC24" s="19"/>
      <c r="LGD24" s="19"/>
      <c r="LGE24" s="19"/>
      <c r="LGF24" s="19"/>
      <c r="LGG24" s="19"/>
      <c r="LGH24" s="19"/>
      <c r="LGI24" s="19"/>
      <c r="LGJ24" s="19"/>
      <c r="LGK24" s="19"/>
      <c r="LGL24" s="19"/>
      <c r="LGM24" s="19"/>
      <c r="LGN24" s="19"/>
      <c r="LGO24" s="19"/>
      <c r="LGP24" s="19"/>
      <c r="LGQ24" s="19"/>
      <c r="LGR24" s="19"/>
      <c r="LGS24" s="19"/>
      <c r="LGT24" s="19"/>
      <c r="LGU24" s="19"/>
      <c r="LGV24" s="19"/>
      <c r="LGW24" s="19"/>
      <c r="LGX24" s="19"/>
      <c r="LGY24" s="19"/>
      <c r="LGZ24" s="19"/>
      <c r="LHA24" s="19"/>
      <c r="LHB24" s="19"/>
      <c r="LHC24" s="19"/>
      <c r="LHD24" s="19"/>
      <c r="LHE24" s="19"/>
      <c r="LHF24" s="19"/>
      <c r="LHG24" s="19"/>
      <c r="LHH24" s="19"/>
      <c r="LHI24" s="19"/>
      <c r="LHJ24" s="19"/>
      <c r="LHK24" s="19"/>
      <c r="LHL24" s="19"/>
      <c r="LHM24" s="19"/>
      <c r="LHN24" s="19"/>
      <c r="LHO24" s="19"/>
      <c r="LHP24" s="19"/>
      <c r="LHQ24" s="19"/>
      <c r="LHR24" s="19"/>
      <c r="LHS24" s="19"/>
      <c r="LHT24" s="19"/>
      <c r="LHU24" s="19"/>
      <c r="LHV24" s="19"/>
      <c r="LHW24" s="19"/>
      <c r="LHX24" s="19"/>
      <c r="LHY24" s="19"/>
      <c r="LHZ24" s="19"/>
      <c r="LIA24" s="19"/>
      <c r="LIB24" s="19"/>
      <c r="LIC24" s="19"/>
      <c r="LID24" s="19"/>
      <c r="LIE24" s="19"/>
      <c r="LIF24" s="19"/>
      <c r="LIG24" s="19"/>
      <c r="LIH24" s="19"/>
      <c r="LII24" s="19"/>
      <c r="LIJ24" s="19"/>
      <c r="LIK24" s="19"/>
      <c r="LIL24" s="19"/>
      <c r="LIM24" s="19"/>
      <c r="LIN24" s="19"/>
      <c r="LIO24" s="19"/>
      <c r="LIP24" s="19"/>
      <c r="LIQ24" s="19"/>
      <c r="LIR24" s="19"/>
      <c r="LIS24" s="19"/>
      <c r="LIT24" s="19"/>
      <c r="LIU24" s="19"/>
      <c r="LIV24" s="19"/>
      <c r="LIW24" s="19"/>
      <c r="LIX24" s="19"/>
      <c r="LIY24" s="19"/>
      <c r="LIZ24" s="19"/>
      <c r="LJA24" s="19"/>
      <c r="LJB24" s="19"/>
      <c r="LJC24" s="19"/>
      <c r="LJD24" s="19"/>
      <c r="LJE24" s="19"/>
      <c r="LJF24" s="19"/>
      <c r="LJG24" s="19"/>
      <c r="LJH24" s="19"/>
      <c r="LJI24" s="19"/>
      <c r="LJJ24" s="19"/>
      <c r="LJK24" s="19"/>
      <c r="LJL24" s="19"/>
      <c r="LJM24" s="19"/>
      <c r="LJN24" s="19"/>
      <c r="LJO24" s="19"/>
      <c r="LJP24" s="19"/>
      <c r="LJQ24" s="19"/>
      <c r="LJR24" s="19"/>
      <c r="LJS24" s="19"/>
      <c r="LJT24" s="19"/>
      <c r="LJU24" s="19"/>
      <c r="LJV24" s="19"/>
      <c r="LJW24" s="19"/>
      <c r="LJX24" s="19"/>
      <c r="LJY24" s="19"/>
      <c r="LJZ24" s="19"/>
      <c r="LKA24" s="19"/>
      <c r="LKB24" s="19"/>
      <c r="LKC24" s="19"/>
      <c r="LKD24" s="19"/>
      <c r="LKE24" s="19"/>
      <c r="LKF24" s="19"/>
      <c r="LKG24" s="19"/>
      <c r="LKH24" s="19"/>
      <c r="LKI24" s="19"/>
      <c r="LKJ24" s="19"/>
      <c r="LKK24" s="19"/>
      <c r="LKL24" s="19"/>
      <c r="LKM24" s="19"/>
      <c r="LKN24" s="19"/>
      <c r="LKO24" s="19"/>
      <c r="LKP24" s="19"/>
      <c r="LKQ24" s="19"/>
      <c r="LKR24" s="19"/>
      <c r="LKS24" s="19"/>
      <c r="LKT24" s="19"/>
      <c r="LKU24" s="19"/>
      <c r="LKV24" s="19"/>
      <c r="LKW24" s="19"/>
      <c r="LKX24" s="19"/>
      <c r="LKY24" s="19"/>
      <c r="LKZ24" s="19"/>
      <c r="LLA24" s="19"/>
      <c r="LLB24" s="19"/>
      <c r="LLC24" s="19"/>
      <c r="LLD24" s="19"/>
      <c r="LLE24" s="19"/>
      <c r="LLF24" s="19"/>
      <c r="LLG24" s="19"/>
      <c r="LLH24" s="19"/>
      <c r="LLI24" s="19"/>
      <c r="LLJ24" s="19"/>
      <c r="LLK24" s="19"/>
      <c r="LLL24" s="19"/>
      <c r="LLM24" s="19"/>
      <c r="LLN24" s="19"/>
      <c r="LLO24" s="19"/>
      <c r="LLP24" s="19"/>
      <c r="LLQ24" s="19"/>
      <c r="LLR24" s="19"/>
      <c r="LLS24" s="19"/>
      <c r="LLT24" s="19"/>
      <c r="LLU24" s="19"/>
      <c r="LLV24" s="19"/>
      <c r="LLW24" s="19"/>
      <c r="LLX24" s="19"/>
      <c r="LLY24" s="19"/>
      <c r="LLZ24" s="19"/>
      <c r="LMA24" s="19"/>
      <c r="LMB24" s="19"/>
      <c r="LMC24" s="19"/>
      <c r="LMD24" s="19"/>
      <c r="LME24" s="19"/>
      <c r="LMF24" s="19"/>
      <c r="LMG24" s="19"/>
      <c r="LMH24" s="19"/>
      <c r="LMI24" s="19"/>
      <c r="LMJ24" s="19"/>
      <c r="LMK24" s="19"/>
      <c r="LML24" s="19"/>
      <c r="LMM24" s="19"/>
      <c r="LMN24" s="19"/>
      <c r="LMO24" s="19"/>
      <c r="LMP24" s="19"/>
      <c r="LMQ24" s="19"/>
      <c r="LMR24" s="19"/>
      <c r="LMS24" s="19"/>
      <c r="LMT24" s="19"/>
      <c r="LMU24" s="19"/>
      <c r="LMV24" s="19"/>
      <c r="LMW24" s="19"/>
      <c r="LMX24" s="19"/>
      <c r="LMY24" s="19"/>
      <c r="LMZ24" s="19"/>
      <c r="LNA24" s="19"/>
      <c r="LNB24" s="19"/>
      <c r="LNC24" s="19"/>
      <c r="LND24" s="19"/>
      <c r="LNE24" s="19"/>
      <c r="LNF24" s="19"/>
      <c r="LNG24" s="19"/>
      <c r="LNH24" s="19"/>
      <c r="LNI24" s="19"/>
      <c r="LNJ24" s="19"/>
      <c r="LNK24" s="19"/>
      <c r="LNL24" s="19"/>
      <c r="LNM24" s="19"/>
      <c r="LNN24" s="19"/>
      <c r="LNO24" s="19"/>
      <c r="LNP24" s="19"/>
      <c r="LNQ24" s="19"/>
      <c r="LNR24" s="19"/>
      <c r="LNS24" s="19"/>
      <c r="LNT24" s="19"/>
      <c r="LNU24" s="19"/>
      <c r="LNV24" s="19"/>
      <c r="LNW24" s="19"/>
      <c r="LNX24" s="19"/>
      <c r="LNY24" s="19"/>
      <c r="LNZ24" s="19"/>
      <c r="LOA24" s="19"/>
      <c r="LOB24" s="19"/>
      <c r="LOC24" s="19"/>
      <c r="LOD24" s="19"/>
      <c r="LOE24" s="19"/>
      <c r="LOF24" s="19"/>
      <c r="LOG24" s="19"/>
      <c r="LOH24" s="19"/>
      <c r="LOI24" s="19"/>
      <c r="LOJ24" s="19"/>
      <c r="LOK24" s="19"/>
      <c r="LOL24" s="19"/>
      <c r="LOM24" s="19"/>
      <c r="LON24" s="19"/>
      <c r="LOO24" s="19"/>
      <c r="LOP24" s="19"/>
      <c r="LOQ24" s="19"/>
      <c r="LOR24" s="19"/>
      <c r="LOS24" s="19"/>
      <c r="LOT24" s="19"/>
      <c r="LOU24" s="19"/>
      <c r="LOV24" s="19"/>
      <c r="LOW24" s="19"/>
      <c r="LOX24" s="19"/>
      <c r="LOY24" s="19"/>
      <c r="LOZ24" s="19"/>
      <c r="LPA24" s="19"/>
      <c r="LPB24" s="19"/>
      <c r="LPC24" s="19"/>
      <c r="LPD24" s="19"/>
      <c r="LPE24" s="19"/>
      <c r="LPF24" s="19"/>
      <c r="LPG24" s="19"/>
      <c r="LPH24" s="19"/>
      <c r="LPI24" s="19"/>
      <c r="LPJ24" s="19"/>
      <c r="LPK24" s="19"/>
      <c r="LPL24" s="19"/>
      <c r="LPM24" s="19"/>
      <c r="LPN24" s="19"/>
      <c r="LPO24" s="19"/>
      <c r="LPP24" s="19"/>
      <c r="LPQ24" s="19"/>
      <c r="LPR24" s="19"/>
      <c r="LPS24" s="19"/>
      <c r="LPT24" s="19"/>
      <c r="LPU24" s="19"/>
      <c r="LPV24" s="19"/>
      <c r="LPW24" s="19"/>
      <c r="LPX24" s="19"/>
      <c r="LPY24" s="19"/>
      <c r="LPZ24" s="19"/>
      <c r="LQA24" s="19"/>
      <c r="LQB24" s="19"/>
      <c r="LQC24" s="19"/>
      <c r="LQD24" s="19"/>
      <c r="LQE24" s="19"/>
      <c r="LQF24" s="19"/>
      <c r="LQG24" s="19"/>
      <c r="LQH24" s="19"/>
      <c r="LQI24" s="19"/>
      <c r="LQJ24" s="19"/>
      <c r="LQK24" s="19"/>
      <c r="LQL24" s="19"/>
      <c r="LQM24" s="19"/>
      <c r="LQN24" s="19"/>
      <c r="LQO24" s="19"/>
      <c r="LQP24" s="19"/>
      <c r="LQQ24" s="19"/>
      <c r="LQR24" s="19"/>
      <c r="LQS24" s="19"/>
      <c r="LQT24" s="19"/>
      <c r="LQU24" s="19"/>
      <c r="LQV24" s="19"/>
      <c r="LQW24" s="19"/>
      <c r="LQX24" s="19"/>
      <c r="LQY24" s="19"/>
      <c r="LQZ24" s="19"/>
      <c r="LRA24" s="19"/>
      <c r="LRB24" s="19"/>
      <c r="LRC24" s="19"/>
      <c r="LRD24" s="19"/>
      <c r="LRE24" s="19"/>
      <c r="LRF24" s="19"/>
      <c r="LRG24" s="19"/>
      <c r="LRH24" s="19"/>
      <c r="LRI24" s="19"/>
      <c r="LRJ24" s="19"/>
      <c r="LRK24" s="19"/>
      <c r="LRL24" s="19"/>
      <c r="LRM24" s="19"/>
      <c r="LRN24" s="19"/>
      <c r="LRO24" s="19"/>
      <c r="LRP24" s="19"/>
      <c r="LRQ24" s="19"/>
      <c r="LRR24" s="19"/>
      <c r="LRS24" s="19"/>
      <c r="LRT24" s="19"/>
      <c r="LRU24" s="19"/>
      <c r="LRV24" s="19"/>
      <c r="LRW24" s="19"/>
      <c r="LRX24" s="19"/>
      <c r="LRY24" s="19"/>
      <c r="LRZ24" s="19"/>
      <c r="LSA24" s="19"/>
      <c r="LSB24" s="19"/>
      <c r="LSC24" s="19"/>
      <c r="LSD24" s="19"/>
      <c r="LSE24" s="19"/>
      <c r="LSF24" s="19"/>
      <c r="LSG24" s="19"/>
      <c r="LSH24" s="19"/>
      <c r="LSI24" s="19"/>
      <c r="LSJ24" s="19"/>
      <c r="LSK24" s="19"/>
      <c r="LSL24" s="19"/>
      <c r="LSM24" s="19"/>
      <c r="LSN24" s="19"/>
      <c r="LSO24" s="19"/>
      <c r="LSP24" s="19"/>
      <c r="LSQ24" s="19"/>
      <c r="LSR24" s="19"/>
      <c r="LSS24" s="19"/>
      <c r="LST24" s="19"/>
      <c r="LSU24" s="19"/>
      <c r="LSV24" s="19"/>
      <c r="LSW24" s="19"/>
      <c r="LSX24" s="19"/>
      <c r="LSY24" s="19"/>
      <c r="LSZ24" s="19"/>
      <c r="LTA24" s="19"/>
      <c r="LTB24" s="19"/>
      <c r="LTC24" s="19"/>
      <c r="LTD24" s="19"/>
      <c r="LTE24" s="19"/>
      <c r="LTF24" s="19"/>
      <c r="LTG24" s="19"/>
      <c r="LTH24" s="19"/>
      <c r="LTI24" s="19"/>
      <c r="LTJ24" s="19"/>
      <c r="LTK24" s="19"/>
      <c r="LTL24" s="19"/>
      <c r="LTM24" s="19"/>
      <c r="LTN24" s="19"/>
      <c r="LTO24" s="19"/>
      <c r="LTP24" s="19"/>
      <c r="LTQ24" s="19"/>
      <c r="LTR24" s="19"/>
      <c r="LTS24" s="19"/>
      <c r="LTT24" s="19"/>
      <c r="LTU24" s="19"/>
      <c r="LTV24" s="19"/>
      <c r="LTW24" s="19"/>
      <c r="LTX24" s="19"/>
      <c r="LTY24" s="19"/>
      <c r="LTZ24" s="19"/>
      <c r="LUA24" s="19"/>
      <c r="LUB24" s="19"/>
      <c r="LUC24" s="19"/>
      <c r="LUD24" s="19"/>
      <c r="LUE24" s="19"/>
      <c r="LUF24" s="19"/>
      <c r="LUG24" s="19"/>
      <c r="LUH24" s="19"/>
      <c r="LUI24" s="19"/>
      <c r="LUJ24" s="19"/>
      <c r="LUK24" s="19"/>
      <c r="LUL24" s="19"/>
      <c r="LUM24" s="19"/>
      <c r="LUN24" s="19"/>
      <c r="LUO24" s="19"/>
      <c r="LUP24" s="19"/>
      <c r="LUQ24" s="19"/>
      <c r="LUR24" s="19"/>
      <c r="LUS24" s="19"/>
      <c r="LUT24" s="19"/>
      <c r="LUU24" s="19"/>
      <c r="LUV24" s="19"/>
      <c r="LUW24" s="19"/>
      <c r="LUX24" s="19"/>
      <c r="LUY24" s="19"/>
      <c r="LUZ24" s="19"/>
      <c r="LVA24" s="19"/>
      <c r="LVB24" s="19"/>
      <c r="LVC24" s="19"/>
      <c r="LVD24" s="19"/>
      <c r="LVE24" s="19"/>
      <c r="LVF24" s="19"/>
      <c r="LVG24" s="19"/>
      <c r="LVH24" s="19"/>
      <c r="LVI24" s="19"/>
      <c r="LVJ24" s="19"/>
      <c r="LVK24" s="19"/>
      <c r="LVL24" s="19"/>
      <c r="LVM24" s="19"/>
      <c r="LVN24" s="19"/>
      <c r="LVO24" s="19"/>
      <c r="LVP24" s="19"/>
      <c r="LVQ24" s="19"/>
      <c r="LVR24" s="19"/>
      <c r="LVS24" s="19"/>
      <c r="LVT24" s="19"/>
      <c r="LVU24" s="19"/>
      <c r="LVV24" s="19"/>
      <c r="LVW24" s="19"/>
      <c r="LVX24" s="19"/>
      <c r="LVY24" s="19"/>
      <c r="LVZ24" s="19"/>
      <c r="LWA24" s="19"/>
      <c r="LWB24" s="19"/>
      <c r="LWC24" s="19"/>
      <c r="LWD24" s="19"/>
      <c r="LWE24" s="19"/>
      <c r="LWF24" s="19"/>
      <c r="LWG24" s="19"/>
      <c r="LWH24" s="19"/>
      <c r="LWI24" s="19"/>
      <c r="LWJ24" s="19"/>
      <c r="LWK24" s="19"/>
      <c r="LWL24" s="19"/>
      <c r="LWM24" s="19"/>
      <c r="LWN24" s="19"/>
      <c r="LWO24" s="19"/>
      <c r="LWP24" s="19"/>
      <c r="LWQ24" s="19"/>
      <c r="LWR24" s="19"/>
      <c r="LWS24" s="19"/>
      <c r="LWT24" s="19"/>
      <c r="LWU24" s="19"/>
      <c r="LWV24" s="19"/>
      <c r="LWW24" s="19"/>
      <c r="LWX24" s="19"/>
      <c r="LWY24" s="19"/>
      <c r="LWZ24" s="19"/>
      <c r="LXA24" s="19"/>
      <c r="LXB24" s="19"/>
      <c r="LXC24" s="19"/>
      <c r="LXD24" s="19"/>
      <c r="LXE24" s="19"/>
      <c r="LXF24" s="19"/>
      <c r="LXG24" s="19"/>
      <c r="LXH24" s="19"/>
      <c r="LXI24" s="19"/>
      <c r="LXJ24" s="19"/>
      <c r="LXK24" s="19"/>
      <c r="LXL24" s="19"/>
      <c r="LXM24" s="19"/>
      <c r="LXN24" s="19"/>
      <c r="LXO24" s="19"/>
      <c r="LXP24" s="19"/>
      <c r="LXQ24" s="19"/>
      <c r="LXR24" s="19"/>
      <c r="LXS24" s="19"/>
      <c r="LXT24" s="19"/>
      <c r="LXU24" s="19"/>
      <c r="LXV24" s="19"/>
      <c r="LXW24" s="19"/>
      <c r="LXX24" s="19"/>
      <c r="LXY24" s="19"/>
      <c r="LXZ24" s="19"/>
      <c r="LYA24" s="19"/>
      <c r="LYB24" s="19"/>
      <c r="LYC24" s="19"/>
      <c r="LYD24" s="19"/>
      <c r="LYE24" s="19"/>
      <c r="LYF24" s="19"/>
      <c r="LYG24" s="19"/>
      <c r="LYH24" s="19"/>
      <c r="LYI24" s="19"/>
      <c r="LYJ24" s="19"/>
      <c r="LYK24" s="19"/>
      <c r="LYL24" s="19"/>
      <c r="LYM24" s="19"/>
      <c r="LYN24" s="19"/>
      <c r="LYO24" s="19"/>
      <c r="LYP24" s="19"/>
      <c r="LYQ24" s="19"/>
      <c r="LYR24" s="19"/>
      <c r="LYS24" s="19"/>
      <c r="LYT24" s="19"/>
      <c r="LYU24" s="19"/>
      <c r="LYV24" s="19"/>
      <c r="LYW24" s="19"/>
      <c r="LYX24" s="19"/>
      <c r="LYY24" s="19"/>
      <c r="LYZ24" s="19"/>
      <c r="LZA24" s="19"/>
      <c r="LZB24" s="19"/>
      <c r="LZC24" s="19"/>
      <c r="LZD24" s="19"/>
      <c r="LZE24" s="19"/>
      <c r="LZF24" s="19"/>
      <c r="LZG24" s="19"/>
      <c r="LZH24" s="19"/>
      <c r="LZI24" s="19"/>
      <c r="LZJ24" s="19"/>
      <c r="LZK24" s="19"/>
      <c r="LZL24" s="19"/>
      <c r="LZM24" s="19"/>
      <c r="LZN24" s="19"/>
      <c r="LZO24" s="19"/>
      <c r="LZP24" s="19"/>
      <c r="LZQ24" s="19"/>
      <c r="LZR24" s="19"/>
      <c r="LZS24" s="19"/>
      <c r="LZT24" s="19"/>
      <c r="LZU24" s="19"/>
      <c r="LZV24" s="19"/>
      <c r="LZW24" s="19"/>
      <c r="LZX24" s="19"/>
      <c r="LZY24" s="19"/>
      <c r="LZZ24" s="19"/>
      <c r="MAA24" s="19"/>
      <c r="MAB24" s="19"/>
      <c r="MAC24" s="19"/>
      <c r="MAD24" s="19"/>
      <c r="MAE24" s="19"/>
      <c r="MAF24" s="19"/>
      <c r="MAG24" s="19"/>
      <c r="MAH24" s="19"/>
      <c r="MAI24" s="19"/>
      <c r="MAJ24" s="19"/>
      <c r="MAK24" s="19"/>
      <c r="MAL24" s="19"/>
      <c r="MAM24" s="19"/>
      <c r="MAN24" s="19"/>
      <c r="MAO24" s="19"/>
      <c r="MAP24" s="19"/>
      <c r="MAQ24" s="19"/>
      <c r="MAR24" s="19"/>
      <c r="MAS24" s="19"/>
      <c r="MAT24" s="19"/>
      <c r="MAU24" s="19"/>
      <c r="MAV24" s="19"/>
      <c r="MAW24" s="19"/>
      <c r="MAX24" s="19"/>
      <c r="MAY24" s="19"/>
      <c r="MAZ24" s="19"/>
      <c r="MBA24" s="19"/>
      <c r="MBB24" s="19"/>
      <c r="MBC24" s="19"/>
      <c r="MBD24" s="19"/>
      <c r="MBE24" s="19"/>
      <c r="MBF24" s="19"/>
      <c r="MBG24" s="19"/>
      <c r="MBH24" s="19"/>
      <c r="MBI24" s="19"/>
      <c r="MBJ24" s="19"/>
      <c r="MBK24" s="19"/>
      <c r="MBL24" s="19"/>
      <c r="MBM24" s="19"/>
      <c r="MBN24" s="19"/>
      <c r="MBO24" s="19"/>
      <c r="MBP24" s="19"/>
      <c r="MBQ24" s="19"/>
      <c r="MBR24" s="19"/>
      <c r="MBS24" s="19"/>
      <c r="MBT24" s="19"/>
      <c r="MBU24" s="19"/>
      <c r="MBV24" s="19"/>
      <c r="MBW24" s="19"/>
      <c r="MBX24" s="19"/>
      <c r="MBY24" s="19"/>
      <c r="MBZ24" s="19"/>
      <c r="MCA24" s="19"/>
      <c r="MCB24" s="19"/>
      <c r="MCC24" s="19"/>
      <c r="MCD24" s="19"/>
      <c r="MCE24" s="19"/>
      <c r="MCF24" s="19"/>
      <c r="MCG24" s="19"/>
      <c r="MCH24" s="19"/>
      <c r="MCI24" s="19"/>
      <c r="MCJ24" s="19"/>
      <c r="MCK24" s="19"/>
      <c r="MCL24" s="19"/>
      <c r="MCM24" s="19"/>
      <c r="MCN24" s="19"/>
      <c r="MCO24" s="19"/>
      <c r="MCP24" s="19"/>
      <c r="MCQ24" s="19"/>
      <c r="MCR24" s="19"/>
      <c r="MCS24" s="19"/>
      <c r="MCT24" s="19"/>
      <c r="MCU24" s="19"/>
      <c r="MCV24" s="19"/>
      <c r="MCW24" s="19"/>
      <c r="MCX24" s="19"/>
      <c r="MCY24" s="19"/>
      <c r="MCZ24" s="19"/>
      <c r="MDA24" s="19"/>
      <c r="MDB24" s="19"/>
      <c r="MDC24" s="19"/>
      <c r="MDD24" s="19"/>
      <c r="MDE24" s="19"/>
      <c r="MDF24" s="19"/>
      <c r="MDG24" s="19"/>
      <c r="MDH24" s="19"/>
      <c r="MDI24" s="19"/>
      <c r="MDJ24" s="19"/>
      <c r="MDK24" s="19"/>
      <c r="MDL24" s="19"/>
      <c r="MDM24" s="19"/>
      <c r="MDN24" s="19"/>
      <c r="MDO24" s="19"/>
      <c r="MDP24" s="19"/>
      <c r="MDQ24" s="19"/>
      <c r="MDR24" s="19"/>
      <c r="MDS24" s="19"/>
      <c r="MDT24" s="19"/>
      <c r="MDU24" s="19"/>
      <c r="MDV24" s="19"/>
      <c r="MDW24" s="19"/>
      <c r="MDX24" s="19"/>
      <c r="MDY24" s="19"/>
      <c r="MDZ24" s="19"/>
      <c r="MEA24" s="19"/>
      <c r="MEB24" s="19"/>
      <c r="MEC24" s="19"/>
      <c r="MED24" s="19"/>
      <c r="MEE24" s="19"/>
      <c r="MEF24" s="19"/>
      <c r="MEG24" s="19"/>
      <c r="MEH24" s="19"/>
      <c r="MEI24" s="19"/>
      <c r="MEJ24" s="19"/>
      <c r="MEK24" s="19"/>
      <c r="MEL24" s="19"/>
      <c r="MEM24" s="19"/>
      <c r="MEN24" s="19"/>
      <c r="MEO24" s="19"/>
      <c r="MEP24" s="19"/>
      <c r="MEQ24" s="19"/>
      <c r="MER24" s="19"/>
      <c r="MES24" s="19"/>
      <c r="MET24" s="19"/>
      <c r="MEU24" s="19"/>
      <c r="MEV24" s="19"/>
      <c r="MEW24" s="19"/>
      <c r="MEX24" s="19"/>
      <c r="MEY24" s="19"/>
      <c r="MEZ24" s="19"/>
      <c r="MFA24" s="19"/>
      <c r="MFB24" s="19"/>
      <c r="MFC24" s="19"/>
      <c r="MFD24" s="19"/>
      <c r="MFE24" s="19"/>
      <c r="MFF24" s="19"/>
      <c r="MFG24" s="19"/>
      <c r="MFH24" s="19"/>
      <c r="MFI24" s="19"/>
      <c r="MFJ24" s="19"/>
      <c r="MFK24" s="19"/>
      <c r="MFL24" s="19"/>
      <c r="MFM24" s="19"/>
      <c r="MFN24" s="19"/>
      <c r="MFO24" s="19"/>
      <c r="MFP24" s="19"/>
      <c r="MFQ24" s="19"/>
      <c r="MFR24" s="19"/>
      <c r="MFS24" s="19"/>
      <c r="MFT24" s="19"/>
      <c r="MFU24" s="19"/>
      <c r="MFV24" s="19"/>
      <c r="MFW24" s="19"/>
      <c r="MFX24" s="19"/>
      <c r="MFY24" s="19"/>
      <c r="MFZ24" s="19"/>
      <c r="MGA24" s="19"/>
      <c r="MGB24" s="19"/>
      <c r="MGC24" s="19"/>
      <c r="MGD24" s="19"/>
      <c r="MGE24" s="19"/>
      <c r="MGF24" s="19"/>
      <c r="MGG24" s="19"/>
      <c r="MGH24" s="19"/>
      <c r="MGI24" s="19"/>
      <c r="MGJ24" s="19"/>
      <c r="MGK24" s="19"/>
      <c r="MGL24" s="19"/>
      <c r="MGM24" s="19"/>
      <c r="MGN24" s="19"/>
      <c r="MGO24" s="19"/>
      <c r="MGP24" s="19"/>
      <c r="MGQ24" s="19"/>
      <c r="MGR24" s="19"/>
      <c r="MGS24" s="19"/>
      <c r="MGT24" s="19"/>
      <c r="MGU24" s="19"/>
      <c r="MGV24" s="19"/>
      <c r="MGW24" s="19"/>
      <c r="MGX24" s="19"/>
      <c r="MGY24" s="19"/>
      <c r="MGZ24" s="19"/>
      <c r="MHA24" s="19"/>
      <c r="MHB24" s="19"/>
      <c r="MHC24" s="19"/>
      <c r="MHD24" s="19"/>
      <c r="MHE24" s="19"/>
      <c r="MHF24" s="19"/>
      <c r="MHG24" s="19"/>
      <c r="MHH24" s="19"/>
      <c r="MHI24" s="19"/>
      <c r="MHJ24" s="19"/>
      <c r="MHK24" s="19"/>
      <c r="MHL24" s="19"/>
      <c r="MHM24" s="19"/>
      <c r="MHN24" s="19"/>
      <c r="MHO24" s="19"/>
      <c r="MHP24" s="19"/>
      <c r="MHQ24" s="19"/>
      <c r="MHR24" s="19"/>
      <c r="MHS24" s="19"/>
      <c r="MHT24" s="19"/>
      <c r="MHU24" s="19"/>
      <c r="MHV24" s="19"/>
      <c r="MHW24" s="19"/>
      <c r="MHX24" s="19"/>
      <c r="MHY24" s="19"/>
      <c r="MHZ24" s="19"/>
      <c r="MIA24" s="19"/>
      <c r="MIB24" s="19"/>
      <c r="MIC24" s="19"/>
      <c r="MID24" s="19"/>
      <c r="MIE24" s="19"/>
      <c r="MIF24" s="19"/>
      <c r="MIG24" s="19"/>
      <c r="MIH24" s="19"/>
      <c r="MII24" s="19"/>
      <c r="MIJ24" s="19"/>
      <c r="MIK24" s="19"/>
      <c r="MIL24" s="19"/>
      <c r="MIM24" s="19"/>
      <c r="MIN24" s="19"/>
      <c r="MIO24" s="19"/>
      <c r="MIP24" s="19"/>
      <c r="MIQ24" s="19"/>
      <c r="MIR24" s="19"/>
      <c r="MIS24" s="19"/>
      <c r="MIT24" s="19"/>
      <c r="MIU24" s="19"/>
      <c r="MIV24" s="19"/>
      <c r="MIW24" s="19"/>
      <c r="MIX24" s="19"/>
      <c r="MIY24" s="19"/>
      <c r="MIZ24" s="19"/>
      <c r="MJA24" s="19"/>
      <c r="MJB24" s="19"/>
      <c r="MJC24" s="19"/>
      <c r="MJD24" s="19"/>
      <c r="MJE24" s="19"/>
      <c r="MJF24" s="19"/>
      <c r="MJG24" s="19"/>
      <c r="MJH24" s="19"/>
      <c r="MJI24" s="19"/>
      <c r="MJJ24" s="19"/>
      <c r="MJK24" s="19"/>
      <c r="MJL24" s="19"/>
      <c r="MJM24" s="19"/>
      <c r="MJN24" s="19"/>
      <c r="MJO24" s="19"/>
      <c r="MJP24" s="19"/>
      <c r="MJQ24" s="19"/>
      <c r="MJR24" s="19"/>
      <c r="MJS24" s="19"/>
      <c r="MJT24" s="19"/>
      <c r="MJU24" s="19"/>
      <c r="MJV24" s="19"/>
      <c r="MJW24" s="19"/>
      <c r="MJX24" s="19"/>
      <c r="MJY24" s="19"/>
      <c r="MJZ24" s="19"/>
      <c r="MKA24" s="19"/>
      <c r="MKB24" s="19"/>
      <c r="MKC24" s="19"/>
      <c r="MKD24" s="19"/>
      <c r="MKE24" s="19"/>
      <c r="MKF24" s="19"/>
      <c r="MKG24" s="19"/>
      <c r="MKH24" s="19"/>
      <c r="MKI24" s="19"/>
      <c r="MKJ24" s="19"/>
      <c r="MKK24" s="19"/>
      <c r="MKL24" s="19"/>
      <c r="MKM24" s="19"/>
      <c r="MKN24" s="19"/>
      <c r="MKO24" s="19"/>
      <c r="MKP24" s="19"/>
      <c r="MKQ24" s="19"/>
      <c r="MKR24" s="19"/>
      <c r="MKS24" s="19"/>
      <c r="MKT24" s="19"/>
      <c r="MKU24" s="19"/>
      <c r="MKV24" s="19"/>
      <c r="MKW24" s="19"/>
      <c r="MKX24" s="19"/>
      <c r="MKY24" s="19"/>
      <c r="MKZ24" s="19"/>
      <c r="MLA24" s="19"/>
      <c r="MLB24" s="19"/>
      <c r="MLC24" s="19"/>
      <c r="MLD24" s="19"/>
      <c r="MLE24" s="19"/>
      <c r="MLF24" s="19"/>
      <c r="MLG24" s="19"/>
      <c r="MLH24" s="19"/>
      <c r="MLI24" s="19"/>
      <c r="MLJ24" s="19"/>
      <c r="MLK24" s="19"/>
      <c r="MLL24" s="19"/>
      <c r="MLM24" s="19"/>
      <c r="MLN24" s="19"/>
      <c r="MLO24" s="19"/>
      <c r="MLP24" s="19"/>
      <c r="MLQ24" s="19"/>
      <c r="MLR24" s="19"/>
      <c r="MLS24" s="19"/>
      <c r="MLT24" s="19"/>
      <c r="MLU24" s="19"/>
      <c r="MLV24" s="19"/>
      <c r="MLW24" s="19"/>
      <c r="MLX24" s="19"/>
      <c r="MLY24" s="19"/>
      <c r="MLZ24" s="19"/>
      <c r="MMA24" s="19"/>
      <c r="MMB24" s="19"/>
      <c r="MMC24" s="19"/>
      <c r="MMD24" s="19"/>
      <c r="MME24" s="19"/>
      <c r="MMF24" s="19"/>
      <c r="MMG24" s="19"/>
      <c r="MMH24" s="19"/>
      <c r="MMI24" s="19"/>
      <c r="MMJ24" s="19"/>
      <c r="MMK24" s="19"/>
      <c r="MML24" s="19"/>
      <c r="MMM24" s="19"/>
      <c r="MMN24" s="19"/>
      <c r="MMO24" s="19"/>
      <c r="MMP24" s="19"/>
      <c r="MMQ24" s="19"/>
      <c r="MMR24" s="19"/>
      <c r="MMS24" s="19"/>
      <c r="MMT24" s="19"/>
      <c r="MMU24" s="19"/>
      <c r="MMV24" s="19"/>
      <c r="MMW24" s="19"/>
      <c r="MMX24" s="19"/>
      <c r="MMY24" s="19"/>
      <c r="MMZ24" s="19"/>
      <c r="MNA24" s="19"/>
      <c r="MNB24" s="19"/>
      <c r="MNC24" s="19"/>
      <c r="MND24" s="19"/>
      <c r="MNE24" s="19"/>
      <c r="MNF24" s="19"/>
      <c r="MNG24" s="19"/>
      <c r="MNH24" s="19"/>
      <c r="MNI24" s="19"/>
      <c r="MNJ24" s="19"/>
      <c r="MNK24" s="19"/>
      <c r="MNL24" s="19"/>
      <c r="MNM24" s="19"/>
      <c r="MNN24" s="19"/>
      <c r="MNO24" s="19"/>
      <c r="MNP24" s="19"/>
      <c r="MNQ24" s="19"/>
      <c r="MNR24" s="19"/>
      <c r="MNS24" s="19"/>
      <c r="MNT24" s="19"/>
      <c r="MNU24" s="19"/>
      <c r="MNV24" s="19"/>
      <c r="MNW24" s="19"/>
      <c r="MNX24" s="19"/>
      <c r="MNY24" s="19"/>
      <c r="MNZ24" s="19"/>
      <c r="MOA24" s="19"/>
      <c r="MOB24" s="19"/>
      <c r="MOC24" s="19"/>
      <c r="MOD24" s="19"/>
      <c r="MOE24" s="19"/>
      <c r="MOF24" s="19"/>
      <c r="MOG24" s="19"/>
      <c r="MOH24" s="19"/>
      <c r="MOI24" s="19"/>
      <c r="MOJ24" s="19"/>
      <c r="MOK24" s="19"/>
      <c r="MOL24" s="19"/>
      <c r="MOM24" s="19"/>
      <c r="MON24" s="19"/>
      <c r="MOO24" s="19"/>
      <c r="MOP24" s="19"/>
      <c r="MOQ24" s="19"/>
      <c r="MOR24" s="19"/>
      <c r="MOS24" s="19"/>
      <c r="MOT24" s="19"/>
      <c r="MOU24" s="19"/>
      <c r="MOV24" s="19"/>
      <c r="MOW24" s="19"/>
      <c r="MOX24" s="19"/>
      <c r="MOY24" s="19"/>
      <c r="MOZ24" s="19"/>
      <c r="MPA24" s="19"/>
      <c r="MPB24" s="19"/>
      <c r="MPC24" s="19"/>
      <c r="MPD24" s="19"/>
      <c r="MPE24" s="19"/>
      <c r="MPF24" s="19"/>
      <c r="MPG24" s="19"/>
      <c r="MPH24" s="19"/>
      <c r="MPI24" s="19"/>
      <c r="MPJ24" s="19"/>
      <c r="MPK24" s="19"/>
      <c r="MPL24" s="19"/>
      <c r="MPM24" s="19"/>
      <c r="MPN24" s="19"/>
      <c r="MPO24" s="19"/>
      <c r="MPP24" s="19"/>
      <c r="MPQ24" s="19"/>
      <c r="MPR24" s="19"/>
      <c r="MPS24" s="19"/>
      <c r="MPT24" s="19"/>
      <c r="MPU24" s="19"/>
      <c r="MPV24" s="19"/>
      <c r="MPW24" s="19"/>
      <c r="MPX24" s="19"/>
      <c r="MPY24" s="19"/>
      <c r="MPZ24" s="19"/>
      <c r="MQA24" s="19"/>
      <c r="MQB24" s="19"/>
      <c r="MQC24" s="19"/>
      <c r="MQD24" s="19"/>
      <c r="MQE24" s="19"/>
      <c r="MQF24" s="19"/>
      <c r="MQG24" s="19"/>
      <c r="MQH24" s="19"/>
      <c r="MQI24" s="19"/>
      <c r="MQJ24" s="19"/>
      <c r="MQK24" s="19"/>
      <c r="MQL24" s="19"/>
      <c r="MQM24" s="19"/>
      <c r="MQN24" s="19"/>
      <c r="MQO24" s="19"/>
      <c r="MQP24" s="19"/>
      <c r="MQQ24" s="19"/>
      <c r="MQR24" s="19"/>
      <c r="MQS24" s="19"/>
      <c r="MQT24" s="19"/>
      <c r="MQU24" s="19"/>
      <c r="MQV24" s="19"/>
      <c r="MQW24" s="19"/>
      <c r="MQX24" s="19"/>
      <c r="MQY24" s="19"/>
      <c r="MQZ24" s="19"/>
      <c r="MRA24" s="19"/>
      <c r="MRB24" s="19"/>
      <c r="MRC24" s="19"/>
      <c r="MRD24" s="19"/>
      <c r="MRE24" s="19"/>
      <c r="MRF24" s="19"/>
      <c r="MRG24" s="19"/>
      <c r="MRH24" s="19"/>
      <c r="MRI24" s="19"/>
      <c r="MRJ24" s="19"/>
      <c r="MRK24" s="19"/>
      <c r="MRL24" s="19"/>
      <c r="MRM24" s="19"/>
      <c r="MRN24" s="19"/>
      <c r="MRO24" s="19"/>
      <c r="MRP24" s="19"/>
      <c r="MRQ24" s="19"/>
      <c r="MRR24" s="19"/>
      <c r="MRS24" s="19"/>
      <c r="MRT24" s="19"/>
      <c r="MRU24" s="19"/>
      <c r="MRV24" s="19"/>
      <c r="MRW24" s="19"/>
      <c r="MRX24" s="19"/>
      <c r="MRY24" s="19"/>
      <c r="MRZ24" s="19"/>
      <c r="MSA24" s="19"/>
      <c r="MSB24" s="19"/>
      <c r="MSC24" s="19"/>
      <c r="MSD24" s="19"/>
      <c r="MSE24" s="19"/>
      <c r="MSF24" s="19"/>
      <c r="MSG24" s="19"/>
      <c r="MSH24" s="19"/>
      <c r="MSI24" s="19"/>
      <c r="MSJ24" s="19"/>
      <c r="MSK24" s="19"/>
      <c r="MSL24" s="19"/>
      <c r="MSM24" s="19"/>
      <c r="MSN24" s="19"/>
      <c r="MSO24" s="19"/>
      <c r="MSP24" s="19"/>
      <c r="MSQ24" s="19"/>
      <c r="MSR24" s="19"/>
      <c r="MSS24" s="19"/>
      <c r="MST24" s="19"/>
      <c r="MSU24" s="19"/>
      <c r="MSV24" s="19"/>
      <c r="MSW24" s="19"/>
      <c r="MSX24" s="19"/>
      <c r="MSY24" s="19"/>
      <c r="MSZ24" s="19"/>
      <c r="MTA24" s="19"/>
      <c r="MTB24" s="19"/>
      <c r="MTC24" s="19"/>
      <c r="MTD24" s="19"/>
      <c r="MTE24" s="19"/>
      <c r="MTF24" s="19"/>
      <c r="MTG24" s="19"/>
      <c r="MTH24" s="19"/>
      <c r="MTI24" s="19"/>
      <c r="MTJ24" s="19"/>
      <c r="MTK24" s="19"/>
      <c r="MTL24" s="19"/>
      <c r="MTM24" s="19"/>
      <c r="MTN24" s="19"/>
      <c r="MTO24" s="19"/>
      <c r="MTP24" s="19"/>
      <c r="MTQ24" s="19"/>
      <c r="MTR24" s="19"/>
      <c r="MTS24" s="19"/>
      <c r="MTT24" s="19"/>
      <c r="MTU24" s="19"/>
      <c r="MTV24" s="19"/>
      <c r="MTW24" s="19"/>
      <c r="MTX24" s="19"/>
      <c r="MTY24" s="19"/>
      <c r="MTZ24" s="19"/>
      <c r="MUA24" s="19"/>
      <c r="MUB24" s="19"/>
      <c r="MUC24" s="19"/>
      <c r="MUD24" s="19"/>
      <c r="MUE24" s="19"/>
      <c r="MUF24" s="19"/>
      <c r="MUG24" s="19"/>
      <c r="MUH24" s="19"/>
      <c r="MUI24" s="19"/>
      <c r="MUJ24" s="19"/>
      <c r="MUK24" s="19"/>
      <c r="MUL24" s="19"/>
      <c r="MUM24" s="19"/>
      <c r="MUN24" s="19"/>
      <c r="MUO24" s="19"/>
      <c r="MUP24" s="19"/>
      <c r="MUQ24" s="19"/>
      <c r="MUR24" s="19"/>
      <c r="MUS24" s="19"/>
      <c r="MUT24" s="19"/>
      <c r="MUU24" s="19"/>
      <c r="MUV24" s="19"/>
      <c r="MUW24" s="19"/>
      <c r="MUX24" s="19"/>
      <c r="MUY24" s="19"/>
      <c r="MUZ24" s="19"/>
      <c r="MVA24" s="19"/>
      <c r="MVB24" s="19"/>
      <c r="MVC24" s="19"/>
      <c r="MVD24" s="19"/>
      <c r="MVE24" s="19"/>
      <c r="MVF24" s="19"/>
      <c r="MVG24" s="19"/>
      <c r="MVH24" s="19"/>
      <c r="MVI24" s="19"/>
      <c r="MVJ24" s="19"/>
      <c r="MVK24" s="19"/>
      <c r="MVL24" s="19"/>
      <c r="MVM24" s="19"/>
      <c r="MVN24" s="19"/>
      <c r="MVO24" s="19"/>
      <c r="MVP24" s="19"/>
      <c r="MVQ24" s="19"/>
      <c r="MVR24" s="19"/>
      <c r="MVS24" s="19"/>
      <c r="MVT24" s="19"/>
      <c r="MVU24" s="19"/>
      <c r="MVV24" s="19"/>
      <c r="MVW24" s="19"/>
      <c r="MVX24" s="19"/>
      <c r="MVY24" s="19"/>
      <c r="MVZ24" s="19"/>
      <c r="MWA24" s="19"/>
      <c r="MWB24" s="19"/>
      <c r="MWC24" s="19"/>
      <c r="MWD24" s="19"/>
      <c r="MWE24" s="19"/>
      <c r="MWF24" s="19"/>
      <c r="MWG24" s="19"/>
      <c r="MWH24" s="19"/>
      <c r="MWI24" s="19"/>
      <c r="MWJ24" s="19"/>
      <c r="MWK24" s="19"/>
      <c r="MWL24" s="19"/>
      <c r="MWM24" s="19"/>
      <c r="MWN24" s="19"/>
      <c r="MWO24" s="19"/>
      <c r="MWP24" s="19"/>
      <c r="MWQ24" s="19"/>
      <c r="MWR24" s="19"/>
      <c r="MWS24" s="19"/>
      <c r="MWT24" s="19"/>
      <c r="MWU24" s="19"/>
      <c r="MWV24" s="19"/>
      <c r="MWW24" s="19"/>
      <c r="MWX24" s="19"/>
      <c r="MWY24" s="19"/>
      <c r="MWZ24" s="19"/>
      <c r="MXA24" s="19"/>
      <c r="MXB24" s="19"/>
      <c r="MXC24" s="19"/>
      <c r="MXD24" s="19"/>
      <c r="MXE24" s="19"/>
      <c r="MXF24" s="19"/>
      <c r="MXG24" s="19"/>
      <c r="MXH24" s="19"/>
      <c r="MXI24" s="19"/>
      <c r="MXJ24" s="19"/>
      <c r="MXK24" s="19"/>
      <c r="MXL24" s="19"/>
      <c r="MXM24" s="19"/>
      <c r="MXN24" s="19"/>
      <c r="MXO24" s="19"/>
      <c r="MXP24" s="19"/>
      <c r="MXQ24" s="19"/>
      <c r="MXR24" s="19"/>
      <c r="MXS24" s="19"/>
      <c r="MXT24" s="19"/>
      <c r="MXU24" s="19"/>
      <c r="MXV24" s="19"/>
      <c r="MXW24" s="19"/>
      <c r="MXX24" s="19"/>
      <c r="MXY24" s="19"/>
      <c r="MXZ24" s="19"/>
      <c r="MYA24" s="19"/>
      <c r="MYB24" s="19"/>
      <c r="MYC24" s="19"/>
      <c r="MYD24" s="19"/>
      <c r="MYE24" s="19"/>
      <c r="MYF24" s="19"/>
      <c r="MYG24" s="19"/>
      <c r="MYH24" s="19"/>
      <c r="MYI24" s="19"/>
      <c r="MYJ24" s="19"/>
      <c r="MYK24" s="19"/>
      <c r="MYL24" s="19"/>
      <c r="MYM24" s="19"/>
      <c r="MYN24" s="19"/>
      <c r="MYO24" s="19"/>
      <c r="MYP24" s="19"/>
      <c r="MYQ24" s="19"/>
      <c r="MYR24" s="19"/>
      <c r="MYS24" s="19"/>
      <c r="MYT24" s="19"/>
      <c r="MYU24" s="19"/>
      <c r="MYV24" s="19"/>
      <c r="MYW24" s="19"/>
      <c r="MYX24" s="19"/>
      <c r="MYY24" s="19"/>
      <c r="MYZ24" s="19"/>
      <c r="MZA24" s="19"/>
      <c r="MZB24" s="19"/>
      <c r="MZC24" s="19"/>
      <c r="MZD24" s="19"/>
      <c r="MZE24" s="19"/>
      <c r="MZF24" s="19"/>
      <c r="MZG24" s="19"/>
      <c r="MZH24" s="19"/>
      <c r="MZI24" s="19"/>
      <c r="MZJ24" s="19"/>
      <c r="MZK24" s="19"/>
      <c r="MZL24" s="19"/>
      <c r="MZM24" s="19"/>
      <c r="MZN24" s="19"/>
      <c r="MZO24" s="19"/>
      <c r="MZP24" s="19"/>
      <c r="MZQ24" s="19"/>
      <c r="MZR24" s="19"/>
      <c r="MZS24" s="19"/>
      <c r="MZT24" s="19"/>
      <c r="MZU24" s="19"/>
      <c r="MZV24" s="19"/>
      <c r="MZW24" s="19"/>
      <c r="MZX24" s="19"/>
      <c r="MZY24" s="19"/>
      <c r="MZZ24" s="19"/>
      <c r="NAA24" s="19"/>
      <c r="NAB24" s="19"/>
      <c r="NAC24" s="19"/>
      <c r="NAD24" s="19"/>
      <c r="NAE24" s="19"/>
      <c r="NAF24" s="19"/>
      <c r="NAG24" s="19"/>
      <c r="NAH24" s="19"/>
      <c r="NAI24" s="19"/>
      <c r="NAJ24" s="19"/>
      <c r="NAK24" s="19"/>
      <c r="NAL24" s="19"/>
      <c r="NAM24" s="19"/>
      <c r="NAN24" s="19"/>
      <c r="NAO24" s="19"/>
      <c r="NAP24" s="19"/>
      <c r="NAQ24" s="19"/>
      <c r="NAR24" s="19"/>
      <c r="NAS24" s="19"/>
      <c r="NAT24" s="19"/>
      <c r="NAU24" s="19"/>
      <c r="NAV24" s="19"/>
      <c r="NAW24" s="19"/>
      <c r="NAX24" s="19"/>
      <c r="NAY24" s="19"/>
      <c r="NAZ24" s="19"/>
      <c r="NBA24" s="19"/>
      <c r="NBB24" s="19"/>
      <c r="NBC24" s="19"/>
      <c r="NBD24" s="19"/>
      <c r="NBE24" s="19"/>
      <c r="NBF24" s="19"/>
      <c r="NBG24" s="19"/>
      <c r="NBH24" s="19"/>
      <c r="NBI24" s="19"/>
      <c r="NBJ24" s="19"/>
      <c r="NBK24" s="19"/>
      <c r="NBL24" s="19"/>
      <c r="NBM24" s="19"/>
      <c r="NBN24" s="19"/>
      <c r="NBO24" s="19"/>
      <c r="NBP24" s="19"/>
      <c r="NBQ24" s="19"/>
      <c r="NBR24" s="19"/>
      <c r="NBS24" s="19"/>
      <c r="NBT24" s="19"/>
      <c r="NBU24" s="19"/>
      <c r="NBV24" s="19"/>
      <c r="NBW24" s="19"/>
      <c r="NBX24" s="19"/>
      <c r="NBY24" s="19"/>
      <c r="NBZ24" s="19"/>
      <c r="NCA24" s="19"/>
      <c r="NCB24" s="19"/>
      <c r="NCC24" s="19"/>
      <c r="NCD24" s="19"/>
      <c r="NCE24" s="19"/>
      <c r="NCF24" s="19"/>
      <c r="NCG24" s="19"/>
      <c r="NCH24" s="19"/>
      <c r="NCI24" s="19"/>
      <c r="NCJ24" s="19"/>
      <c r="NCK24" s="19"/>
      <c r="NCL24" s="19"/>
      <c r="NCM24" s="19"/>
      <c r="NCN24" s="19"/>
      <c r="NCO24" s="19"/>
      <c r="NCP24" s="19"/>
      <c r="NCQ24" s="19"/>
      <c r="NCR24" s="19"/>
      <c r="NCS24" s="19"/>
      <c r="NCT24" s="19"/>
      <c r="NCU24" s="19"/>
      <c r="NCV24" s="19"/>
      <c r="NCW24" s="19"/>
      <c r="NCX24" s="19"/>
      <c r="NCY24" s="19"/>
      <c r="NCZ24" s="19"/>
      <c r="NDA24" s="19"/>
      <c r="NDB24" s="19"/>
      <c r="NDC24" s="19"/>
      <c r="NDD24" s="19"/>
      <c r="NDE24" s="19"/>
      <c r="NDF24" s="19"/>
      <c r="NDG24" s="19"/>
      <c r="NDH24" s="19"/>
      <c r="NDI24" s="19"/>
      <c r="NDJ24" s="19"/>
      <c r="NDK24" s="19"/>
      <c r="NDL24" s="19"/>
      <c r="NDM24" s="19"/>
      <c r="NDN24" s="19"/>
      <c r="NDO24" s="19"/>
      <c r="NDP24" s="19"/>
      <c r="NDQ24" s="19"/>
      <c r="NDR24" s="19"/>
      <c r="NDS24" s="19"/>
      <c r="NDT24" s="19"/>
      <c r="NDU24" s="19"/>
      <c r="NDV24" s="19"/>
      <c r="NDW24" s="19"/>
      <c r="NDX24" s="19"/>
      <c r="NDY24" s="19"/>
      <c r="NDZ24" s="19"/>
      <c r="NEA24" s="19"/>
      <c r="NEB24" s="19"/>
      <c r="NEC24" s="19"/>
      <c r="NED24" s="19"/>
      <c r="NEE24" s="19"/>
      <c r="NEF24" s="19"/>
      <c r="NEG24" s="19"/>
      <c r="NEH24" s="19"/>
      <c r="NEI24" s="19"/>
      <c r="NEJ24" s="19"/>
      <c r="NEK24" s="19"/>
      <c r="NEL24" s="19"/>
      <c r="NEM24" s="19"/>
      <c r="NEN24" s="19"/>
      <c r="NEO24" s="19"/>
      <c r="NEP24" s="19"/>
      <c r="NEQ24" s="19"/>
      <c r="NER24" s="19"/>
      <c r="NES24" s="19"/>
      <c r="NET24" s="19"/>
      <c r="NEU24" s="19"/>
      <c r="NEV24" s="19"/>
      <c r="NEW24" s="19"/>
      <c r="NEX24" s="19"/>
      <c r="NEY24" s="19"/>
      <c r="NEZ24" s="19"/>
      <c r="NFA24" s="19"/>
      <c r="NFB24" s="19"/>
      <c r="NFC24" s="19"/>
      <c r="NFD24" s="19"/>
      <c r="NFE24" s="19"/>
      <c r="NFF24" s="19"/>
      <c r="NFG24" s="19"/>
      <c r="NFH24" s="19"/>
      <c r="NFI24" s="19"/>
      <c r="NFJ24" s="19"/>
      <c r="NFK24" s="19"/>
      <c r="NFL24" s="19"/>
      <c r="NFM24" s="19"/>
      <c r="NFN24" s="19"/>
      <c r="NFO24" s="19"/>
      <c r="NFP24" s="19"/>
      <c r="NFQ24" s="19"/>
      <c r="NFR24" s="19"/>
      <c r="NFS24" s="19"/>
      <c r="NFT24" s="19"/>
      <c r="NFU24" s="19"/>
      <c r="NFV24" s="19"/>
      <c r="NFW24" s="19"/>
      <c r="NFX24" s="19"/>
      <c r="NFY24" s="19"/>
      <c r="NFZ24" s="19"/>
      <c r="NGA24" s="19"/>
      <c r="NGB24" s="19"/>
      <c r="NGC24" s="19"/>
      <c r="NGD24" s="19"/>
      <c r="NGE24" s="19"/>
      <c r="NGF24" s="19"/>
      <c r="NGG24" s="19"/>
      <c r="NGH24" s="19"/>
      <c r="NGI24" s="19"/>
      <c r="NGJ24" s="19"/>
      <c r="NGK24" s="19"/>
      <c r="NGL24" s="19"/>
      <c r="NGM24" s="19"/>
      <c r="NGN24" s="19"/>
      <c r="NGO24" s="19"/>
      <c r="NGP24" s="19"/>
      <c r="NGQ24" s="19"/>
      <c r="NGR24" s="19"/>
      <c r="NGS24" s="19"/>
      <c r="NGT24" s="19"/>
      <c r="NGU24" s="19"/>
      <c r="NGV24" s="19"/>
      <c r="NGW24" s="19"/>
      <c r="NGX24" s="19"/>
      <c r="NGY24" s="19"/>
      <c r="NGZ24" s="19"/>
      <c r="NHA24" s="19"/>
      <c r="NHB24" s="19"/>
      <c r="NHC24" s="19"/>
      <c r="NHD24" s="19"/>
      <c r="NHE24" s="19"/>
      <c r="NHF24" s="19"/>
      <c r="NHG24" s="19"/>
      <c r="NHH24" s="19"/>
      <c r="NHI24" s="19"/>
      <c r="NHJ24" s="19"/>
      <c r="NHK24" s="19"/>
      <c r="NHL24" s="19"/>
      <c r="NHM24" s="19"/>
      <c r="NHN24" s="19"/>
      <c r="NHO24" s="19"/>
      <c r="NHP24" s="19"/>
      <c r="NHQ24" s="19"/>
      <c r="NHR24" s="19"/>
      <c r="NHS24" s="19"/>
      <c r="NHT24" s="19"/>
      <c r="NHU24" s="19"/>
      <c r="NHV24" s="19"/>
      <c r="NHW24" s="19"/>
      <c r="NHX24" s="19"/>
      <c r="NHY24" s="19"/>
      <c r="NHZ24" s="19"/>
      <c r="NIA24" s="19"/>
      <c r="NIB24" s="19"/>
      <c r="NIC24" s="19"/>
      <c r="NID24" s="19"/>
      <c r="NIE24" s="19"/>
      <c r="NIF24" s="19"/>
      <c r="NIG24" s="19"/>
      <c r="NIH24" s="19"/>
      <c r="NII24" s="19"/>
      <c r="NIJ24" s="19"/>
      <c r="NIK24" s="19"/>
      <c r="NIL24" s="19"/>
      <c r="NIM24" s="19"/>
      <c r="NIN24" s="19"/>
      <c r="NIO24" s="19"/>
      <c r="NIP24" s="19"/>
      <c r="NIQ24" s="19"/>
      <c r="NIR24" s="19"/>
      <c r="NIS24" s="19"/>
      <c r="NIT24" s="19"/>
      <c r="NIU24" s="19"/>
      <c r="NIV24" s="19"/>
      <c r="NIW24" s="19"/>
      <c r="NIX24" s="19"/>
      <c r="NIY24" s="19"/>
      <c r="NIZ24" s="19"/>
      <c r="NJA24" s="19"/>
      <c r="NJB24" s="19"/>
      <c r="NJC24" s="19"/>
      <c r="NJD24" s="19"/>
      <c r="NJE24" s="19"/>
      <c r="NJF24" s="19"/>
      <c r="NJG24" s="19"/>
      <c r="NJH24" s="19"/>
      <c r="NJI24" s="19"/>
      <c r="NJJ24" s="19"/>
      <c r="NJK24" s="19"/>
      <c r="NJL24" s="19"/>
      <c r="NJM24" s="19"/>
      <c r="NJN24" s="19"/>
      <c r="NJO24" s="19"/>
      <c r="NJP24" s="19"/>
      <c r="NJQ24" s="19"/>
      <c r="NJR24" s="19"/>
      <c r="NJS24" s="19"/>
      <c r="NJT24" s="19"/>
      <c r="NJU24" s="19"/>
      <c r="NJV24" s="19"/>
      <c r="NJW24" s="19"/>
      <c r="NJX24" s="19"/>
      <c r="NJY24" s="19"/>
      <c r="NJZ24" s="19"/>
      <c r="NKA24" s="19"/>
      <c r="NKB24" s="19"/>
      <c r="NKC24" s="19"/>
      <c r="NKD24" s="19"/>
      <c r="NKE24" s="19"/>
      <c r="NKF24" s="19"/>
      <c r="NKG24" s="19"/>
      <c r="NKH24" s="19"/>
      <c r="NKI24" s="19"/>
      <c r="NKJ24" s="19"/>
      <c r="NKK24" s="19"/>
      <c r="NKL24" s="19"/>
      <c r="NKM24" s="19"/>
      <c r="NKN24" s="19"/>
      <c r="NKO24" s="19"/>
      <c r="NKP24" s="19"/>
      <c r="NKQ24" s="19"/>
      <c r="NKR24" s="19"/>
      <c r="NKS24" s="19"/>
      <c r="NKT24" s="19"/>
      <c r="NKU24" s="19"/>
      <c r="NKV24" s="19"/>
      <c r="NKW24" s="19"/>
      <c r="NKX24" s="19"/>
      <c r="NKY24" s="19"/>
      <c r="NKZ24" s="19"/>
      <c r="NLA24" s="19"/>
      <c r="NLB24" s="19"/>
      <c r="NLC24" s="19"/>
      <c r="NLD24" s="19"/>
      <c r="NLE24" s="19"/>
      <c r="NLF24" s="19"/>
      <c r="NLG24" s="19"/>
      <c r="NLH24" s="19"/>
      <c r="NLI24" s="19"/>
      <c r="NLJ24" s="19"/>
      <c r="NLK24" s="19"/>
      <c r="NLL24" s="19"/>
      <c r="NLM24" s="19"/>
      <c r="NLN24" s="19"/>
      <c r="NLO24" s="19"/>
      <c r="NLP24" s="19"/>
      <c r="NLQ24" s="19"/>
      <c r="NLR24" s="19"/>
      <c r="NLS24" s="19"/>
      <c r="NLT24" s="19"/>
      <c r="NLU24" s="19"/>
      <c r="NLV24" s="19"/>
      <c r="NLW24" s="19"/>
      <c r="NLX24" s="19"/>
      <c r="NLY24" s="19"/>
      <c r="NLZ24" s="19"/>
      <c r="NMA24" s="19"/>
      <c r="NMB24" s="19"/>
      <c r="NMC24" s="19"/>
      <c r="NMD24" s="19"/>
      <c r="NME24" s="19"/>
      <c r="NMF24" s="19"/>
      <c r="NMG24" s="19"/>
      <c r="NMH24" s="19"/>
      <c r="NMI24" s="19"/>
      <c r="NMJ24" s="19"/>
      <c r="NMK24" s="19"/>
      <c r="NML24" s="19"/>
      <c r="NMM24" s="19"/>
      <c r="NMN24" s="19"/>
      <c r="NMO24" s="19"/>
      <c r="NMP24" s="19"/>
      <c r="NMQ24" s="19"/>
      <c r="NMR24" s="19"/>
      <c r="NMS24" s="19"/>
      <c r="NMT24" s="19"/>
      <c r="NMU24" s="19"/>
      <c r="NMV24" s="19"/>
      <c r="NMW24" s="19"/>
      <c r="NMX24" s="19"/>
      <c r="NMY24" s="19"/>
      <c r="NMZ24" s="19"/>
      <c r="NNA24" s="19"/>
      <c r="NNB24" s="19"/>
      <c r="NNC24" s="19"/>
      <c r="NND24" s="19"/>
      <c r="NNE24" s="19"/>
      <c r="NNF24" s="19"/>
      <c r="NNG24" s="19"/>
      <c r="NNH24" s="19"/>
      <c r="NNI24" s="19"/>
      <c r="NNJ24" s="19"/>
      <c r="NNK24" s="19"/>
      <c r="NNL24" s="19"/>
      <c r="NNM24" s="19"/>
      <c r="NNN24" s="19"/>
      <c r="NNO24" s="19"/>
      <c r="NNP24" s="19"/>
      <c r="NNQ24" s="19"/>
      <c r="NNR24" s="19"/>
      <c r="NNS24" s="19"/>
      <c r="NNT24" s="19"/>
      <c r="NNU24" s="19"/>
      <c r="NNV24" s="19"/>
      <c r="NNW24" s="19"/>
      <c r="NNX24" s="19"/>
      <c r="NNY24" s="19"/>
      <c r="NNZ24" s="19"/>
      <c r="NOA24" s="19"/>
      <c r="NOB24" s="19"/>
      <c r="NOC24" s="19"/>
      <c r="NOD24" s="19"/>
      <c r="NOE24" s="19"/>
      <c r="NOF24" s="19"/>
      <c r="NOG24" s="19"/>
      <c r="NOH24" s="19"/>
      <c r="NOI24" s="19"/>
      <c r="NOJ24" s="19"/>
      <c r="NOK24" s="19"/>
      <c r="NOL24" s="19"/>
      <c r="NOM24" s="19"/>
      <c r="NON24" s="19"/>
      <c r="NOO24" s="19"/>
      <c r="NOP24" s="19"/>
      <c r="NOQ24" s="19"/>
      <c r="NOR24" s="19"/>
      <c r="NOS24" s="19"/>
      <c r="NOT24" s="19"/>
      <c r="NOU24" s="19"/>
      <c r="NOV24" s="19"/>
      <c r="NOW24" s="19"/>
      <c r="NOX24" s="19"/>
      <c r="NOY24" s="19"/>
      <c r="NOZ24" s="19"/>
      <c r="NPA24" s="19"/>
      <c r="NPB24" s="19"/>
      <c r="NPC24" s="19"/>
      <c r="NPD24" s="19"/>
      <c r="NPE24" s="19"/>
      <c r="NPF24" s="19"/>
      <c r="NPG24" s="19"/>
      <c r="NPH24" s="19"/>
      <c r="NPI24" s="19"/>
      <c r="NPJ24" s="19"/>
      <c r="NPK24" s="19"/>
      <c r="NPL24" s="19"/>
      <c r="NPM24" s="19"/>
      <c r="NPN24" s="19"/>
      <c r="NPO24" s="19"/>
      <c r="NPP24" s="19"/>
      <c r="NPQ24" s="19"/>
      <c r="NPR24" s="19"/>
      <c r="NPS24" s="19"/>
      <c r="NPT24" s="19"/>
      <c r="NPU24" s="19"/>
      <c r="NPV24" s="19"/>
      <c r="NPW24" s="19"/>
      <c r="NPX24" s="19"/>
      <c r="NPY24" s="19"/>
      <c r="NPZ24" s="19"/>
      <c r="NQA24" s="19"/>
      <c r="NQB24" s="19"/>
      <c r="NQC24" s="19"/>
      <c r="NQD24" s="19"/>
      <c r="NQE24" s="19"/>
      <c r="NQF24" s="19"/>
      <c r="NQG24" s="19"/>
      <c r="NQH24" s="19"/>
      <c r="NQI24" s="19"/>
      <c r="NQJ24" s="19"/>
      <c r="NQK24" s="19"/>
      <c r="NQL24" s="19"/>
      <c r="NQM24" s="19"/>
      <c r="NQN24" s="19"/>
      <c r="NQO24" s="19"/>
      <c r="NQP24" s="19"/>
      <c r="NQQ24" s="19"/>
      <c r="NQR24" s="19"/>
      <c r="NQS24" s="19"/>
      <c r="NQT24" s="19"/>
      <c r="NQU24" s="19"/>
      <c r="NQV24" s="19"/>
      <c r="NQW24" s="19"/>
      <c r="NQX24" s="19"/>
      <c r="NQY24" s="19"/>
      <c r="NQZ24" s="19"/>
      <c r="NRA24" s="19"/>
      <c r="NRB24" s="19"/>
      <c r="NRC24" s="19"/>
      <c r="NRD24" s="19"/>
      <c r="NRE24" s="19"/>
      <c r="NRF24" s="19"/>
      <c r="NRG24" s="19"/>
      <c r="NRH24" s="19"/>
      <c r="NRI24" s="19"/>
      <c r="NRJ24" s="19"/>
      <c r="NRK24" s="19"/>
      <c r="NRL24" s="19"/>
      <c r="NRM24" s="19"/>
      <c r="NRN24" s="19"/>
      <c r="NRO24" s="19"/>
      <c r="NRP24" s="19"/>
      <c r="NRQ24" s="19"/>
      <c r="NRR24" s="19"/>
      <c r="NRS24" s="19"/>
      <c r="NRT24" s="19"/>
      <c r="NRU24" s="19"/>
      <c r="NRV24" s="19"/>
      <c r="NRW24" s="19"/>
      <c r="NRX24" s="19"/>
      <c r="NRY24" s="19"/>
      <c r="NRZ24" s="19"/>
      <c r="NSA24" s="19"/>
      <c r="NSB24" s="19"/>
      <c r="NSC24" s="19"/>
      <c r="NSD24" s="19"/>
      <c r="NSE24" s="19"/>
      <c r="NSF24" s="19"/>
      <c r="NSG24" s="19"/>
      <c r="NSH24" s="19"/>
      <c r="NSI24" s="19"/>
      <c r="NSJ24" s="19"/>
      <c r="NSK24" s="19"/>
      <c r="NSL24" s="19"/>
      <c r="NSM24" s="19"/>
      <c r="NSN24" s="19"/>
      <c r="NSO24" s="19"/>
      <c r="NSP24" s="19"/>
      <c r="NSQ24" s="19"/>
      <c r="NSR24" s="19"/>
      <c r="NSS24" s="19"/>
      <c r="NST24" s="19"/>
      <c r="NSU24" s="19"/>
      <c r="NSV24" s="19"/>
      <c r="NSW24" s="19"/>
      <c r="NSX24" s="19"/>
      <c r="NSY24" s="19"/>
      <c r="NSZ24" s="19"/>
      <c r="NTA24" s="19"/>
      <c r="NTB24" s="19"/>
      <c r="NTC24" s="19"/>
      <c r="NTD24" s="19"/>
      <c r="NTE24" s="19"/>
      <c r="NTF24" s="19"/>
      <c r="NTG24" s="19"/>
      <c r="NTH24" s="19"/>
      <c r="NTI24" s="19"/>
      <c r="NTJ24" s="19"/>
      <c r="NTK24" s="19"/>
      <c r="NTL24" s="19"/>
      <c r="NTM24" s="19"/>
      <c r="NTN24" s="19"/>
      <c r="NTO24" s="19"/>
      <c r="NTP24" s="19"/>
      <c r="NTQ24" s="19"/>
      <c r="NTR24" s="19"/>
      <c r="NTS24" s="19"/>
      <c r="NTT24" s="19"/>
      <c r="NTU24" s="19"/>
      <c r="NTV24" s="19"/>
      <c r="NTW24" s="19"/>
      <c r="NTX24" s="19"/>
      <c r="NTY24" s="19"/>
      <c r="NTZ24" s="19"/>
      <c r="NUA24" s="19"/>
      <c r="NUB24" s="19"/>
      <c r="NUC24" s="19"/>
      <c r="NUD24" s="19"/>
      <c r="NUE24" s="19"/>
      <c r="NUF24" s="19"/>
      <c r="NUG24" s="19"/>
      <c r="NUH24" s="19"/>
      <c r="NUI24" s="19"/>
      <c r="NUJ24" s="19"/>
      <c r="NUK24" s="19"/>
      <c r="NUL24" s="19"/>
      <c r="NUM24" s="19"/>
      <c r="NUN24" s="19"/>
      <c r="NUO24" s="19"/>
      <c r="NUP24" s="19"/>
      <c r="NUQ24" s="19"/>
      <c r="NUR24" s="19"/>
      <c r="NUS24" s="19"/>
      <c r="NUT24" s="19"/>
      <c r="NUU24" s="19"/>
      <c r="NUV24" s="19"/>
      <c r="NUW24" s="19"/>
      <c r="NUX24" s="19"/>
      <c r="NUY24" s="19"/>
      <c r="NUZ24" s="19"/>
      <c r="NVA24" s="19"/>
      <c r="NVB24" s="19"/>
      <c r="NVC24" s="19"/>
      <c r="NVD24" s="19"/>
      <c r="NVE24" s="19"/>
      <c r="NVF24" s="19"/>
      <c r="NVG24" s="19"/>
      <c r="NVH24" s="19"/>
      <c r="NVI24" s="19"/>
      <c r="NVJ24" s="19"/>
      <c r="NVK24" s="19"/>
      <c r="NVL24" s="19"/>
      <c r="NVM24" s="19"/>
      <c r="NVN24" s="19"/>
      <c r="NVO24" s="19"/>
      <c r="NVP24" s="19"/>
      <c r="NVQ24" s="19"/>
      <c r="NVR24" s="19"/>
      <c r="NVS24" s="19"/>
      <c r="NVT24" s="19"/>
      <c r="NVU24" s="19"/>
      <c r="NVV24" s="19"/>
      <c r="NVW24" s="19"/>
      <c r="NVX24" s="19"/>
      <c r="NVY24" s="19"/>
      <c r="NVZ24" s="19"/>
      <c r="NWA24" s="19"/>
      <c r="NWB24" s="19"/>
      <c r="NWC24" s="19"/>
      <c r="NWD24" s="19"/>
      <c r="NWE24" s="19"/>
      <c r="NWF24" s="19"/>
      <c r="NWG24" s="19"/>
      <c r="NWH24" s="19"/>
      <c r="NWI24" s="19"/>
      <c r="NWJ24" s="19"/>
      <c r="NWK24" s="19"/>
      <c r="NWL24" s="19"/>
      <c r="NWM24" s="19"/>
      <c r="NWN24" s="19"/>
      <c r="NWO24" s="19"/>
      <c r="NWP24" s="19"/>
      <c r="NWQ24" s="19"/>
      <c r="NWR24" s="19"/>
      <c r="NWS24" s="19"/>
      <c r="NWT24" s="19"/>
      <c r="NWU24" s="19"/>
      <c r="NWV24" s="19"/>
      <c r="NWW24" s="19"/>
      <c r="NWX24" s="19"/>
      <c r="NWY24" s="19"/>
      <c r="NWZ24" s="19"/>
      <c r="NXA24" s="19"/>
      <c r="NXB24" s="19"/>
      <c r="NXC24" s="19"/>
      <c r="NXD24" s="19"/>
      <c r="NXE24" s="19"/>
      <c r="NXF24" s="19"/>
      <c r="NXG24" s="19"/>
      <c r="NXH24" s="19"/>
      <c r="NXI24" s="19"/>
      <c r="NXJ24" s="19"/>
      <c r="NXK24" s="19"/>
      <c r="NXL24" s="19"/>
      <c r="NXM24" s="19"/>
      <c r="NXN24" s="19"/>
      <c r="NXO24" s="19"/>
      <c r="NXP24" s="19"/>
      <c r="NXQ24" s="19"/>
      <c r="NXR24" s="19"/>
      <c r="NXS24" s="19"/>
      <c r="NXT24" s="19"/>
      <c r="NXU24" s="19"/>
      <c r="NXV24" s="19"/>
      <c r="NXW24" s="19"/>
      <c r="NXX24" s="19"/>
      <c r="NXY24" s="19"/>
      <c r="NXZ24" s="19"/>
      <c r="NYA24" s="19"/>
      <c r="NYB24" s="19"/>
      <c r="NYC24" s="19"/>
      <c r="NYD24" s="19"/>
      <c r="NYE24" s="19"/>
      <c r="NYF24" s="19"/>
      <c r="NYG24" s="19"/>
      <c r="NYH24" s="19"/>
      <c r="NYI24" s="19"/>
      <c r="NYJ24" s="19"/>
      <c r="NYK24" s="19"/>
      <c r="NYL24" s="19"/>
      <c r="NYM24" s="19"/>
      <c r="NYN24" s="19"/>
      <c r="NYO24" s="19"/>
      <c r="NYP24" s="19"/>
      <c r="NYQ24" s="19"/>
      <c r="NYR24" s="19"/>
      <c r="NYS24" s="19"/>
      <c r="NYT24" s="19"/>
      <c r="NYU24" s="19"/>
      <c r="NYV24" s="19"/>
      <c r="NYW24" s="19"/>
      <c r="NYX24" s="19"/>
      <c r="NYY24" s="19"/>
      <c r="NYZ24" s="19"/>
      <c r="NZA24" s="19"/>
      <c r="NZB24" s="19"/>
      <c r="NZC24" s="19"/>
      <c r="NZD24" s="19"/>
      <c r="NZE24" s="19"/>
      <c r="NZF24" s="19"/>
      <c r="NZG24" s="19"/>
      <c r="NZH24" s="19"/>
      <c r="NZI24" s="19"/>
      <c r="NZJ24" s="19"/>
      <c r="NZK24" s="19"/>
      <c r="NZL24" s="19"/>
      <c r="NZM24" s="19"/>
      <c r="NZN24" s="19"/>
      <c r="NZO24" s="19"/>
      <c r="NZP24" s="19"/>
      <c r="NZQ24" s="19"/>
      <c r="NZR24" s="19"/>
      <c r="NZS24" s="19"/>
      <c r="NZT24" s="19"/>
      <c r="NZU24" s="19"/>
      <c r="NZV24" s="19"/>
      <c r="NZW24" s="19"/>
      <c r="NZX24" s="19"/>
      <c r="NZY24" s="19"/>
      <c r="NZZ24" s="19"/>
      <c r="OAA24" s="19"/>
      <c r="OAB24" s="19"/>
      <c r="OAC24" s="19"/>
      <c r="OAD24" s="19"/>
      <c r="OAE24" s="19"/>
      <c r="OAF24" s="19"/>
      <c r="OAG24" s="19"/>
      <c r="OAH24" s="19"/>
      <c r="OAI24" s="19"/>
      <c r="OAJ24" s="19"/>
      <c r="OAK24" s="19"/>
      <c r="OAL24" s="19"/>
      <c r="OAM24" s="19"/>
      <c r="OAN24" s="19"/>
      <c r="OAO24" s="19"/>
      <c r="OAP24" s="19"/>
      <c r="OAQ24" s="19"/>
      <c r="OAR24" s="19"/>
      <c r="OAS24" s="19"/>
      <c r="OAT24" s="19"/>
      <c r="OAU24" s="19"/>
      <c r="OAV24" s="19"/>
      <c r="OAW24" s="19"/>
      <c r="OAX24" s="19"/>
      <c r="OAY24" s="19"/>
      <c r="OAZ24" s="19"/>
      <c r="OBA24" s="19"/>
      <c r="OBB24" s="19"/>
      <c r="OBC24" s="19"/>
      <c r="OBD24" s="19"/>
      <c r="OBE24" s="19"/>
      <c r="OBF24" s="19"/>
      <c r="OBG24" s="19"/>
      <c r="OBH24" s="19"/>
      <c r="OBI24" s="19"/>
      <c r="OBJ24" s="19"/>
      <c r="OBK24" s="19"/>
      <c r="OBL24" s="19"/>
      <c r="OBM24" s="19"/>
      <c r="OBN24" s="19"/>
      <c r="OBO24" s="19"/>
      <c r="OBP24" s="19"/>
      <c r="OBQ24" s="19"/>
      <c r="OBR24" s="19"/>
      <c r="OBS24" s="19"/>
      <c r="OBT24" s="19"/>
      <c r="OBU24" s="19"/>
      <c r="OBV24" s="19"/>
      <c r="OBW24" s="19"/>
      <c r="OBX24" s="19"/>
      <c r="OBY24" s="19"/>
      <c r="OBZ24" s="19"/>
      <c r="OCA24" s="19"/>
      <c r="OCB24" s="19"/>
      <c r="OCC24" s="19"/>
      <c r="OCD24" s="19"/>
      <c r="OCE24" s="19"/>
      <c r="OCF24" s="19"/>
      <c r="OCG24" s="19"/>
      <c r="OCH24" s="19"/>
      <c r="OCI24" s="19"/>
      <c r="OCJ24" s="19"/>
      <c r="OCK24" s="19"/>
      <c r="OCL24" s="19"/>
      <c r="OCM24" s="19"/>
      <c r="OCN24" s="19"/>
      <c r="OCO24" s="19"/>
      <c r="OCP24" s="19"/>
      <c r="OCQ24" s="19"/>
      <c r="OCR24" s="19"/>
      <c r="OCS24" s="19"/>
      <c r="OCT24" s="19"/>
      <c r="OCU24" s="19"/>
      <c r="OCV24" s="19"/>
      <c r="OCW24" s="19"/>
      <c r="OCX24" s="19"/>
      <c r="OCY24" s="19"/>
      <c r="OCZ24" s="19"/>
      <c r="ODA24" s="19"/>
      <c r="ODB24" s="19"/>
      <c r="ODC24" s="19"/>
      <c r="ODD24" s="19"/>
      <c r="ODE24" s="19"/>
      <c r="ODF24" s="19"/>
      <c r="ODG24" s="19"/>
      <c r="ODH24" s="19"/>
      <c r="ODI24" s="19"/>
      <c r="ODJ24" s="19"/>
      <c r="ODK24" s="19"/>
      <c r="ODL24" s="19"/>
      <c r="ODM24" s="19"/>
      <c r="ODN24" s="19"/>
      <c r="ODO24" s="19"/>
      <c r="ODP24" s="19"/>
      <c r="ODQ24" s="19"/>
      <c r="ODR24" s="19"/>
      <c r="ODS24" s="19"/>
      <c r="ODT24" s="19"/>
      <c r="ODU24" s="19"/>
      <c r="ODV24" s="19"/>
      <c r="ODW24" s="19"/>
      <c r="ODX24" s="19"/>
      <c r="ODY24" s="19"/>
      <c r="ODZ24" s="19"/>
      <c r="OEA24" s="19"/>
      <c r="OEB24" s="19"/>
      <c r="OEC24" s="19"/>
      <c r="OED24" s="19"/>
      <c r="OEE24" s="19"/>
      <c r="OEF24" s="19"/>
      <c r="OEG24" s="19"/>
      <c r="OEH24" s="19"/>
      <c r="OEI24" s="19"/>
      <c r="OEJ24" s="19"/>
      <c r="OEK24" s="19"/>
      <c r="OEL24" s="19"/>
      <c r="OEM24" s="19"/>
      <c r="OEN24" s="19"/>
      <c r="OEO24" s="19"/>
      <c r="OEP24" s="19"/>
      <c r="OEQ24" s="19"/>
      <c r="OER24" s="19"/>
      <c r="OES24" s="19"/>
      <c r="OET24" s="19"/>
      <c r="OEU24" s="19"/>
      <c r="OEV24" s="19"/>
      <c r="OEW24" s="19"/>
      <c r="OEX24" s="19"/>
      <c r="OEY24" s="19"/>
      <c r="OEZ24" s="19"/>
      <c r="OFA24" s="19"/>
      <c r="OFB24" s="19"/>
      <c r="OFC24" s="19"/>
      <c r="OFD24" s="19"/>
      <c r="OFE24" s="19"/>
      <c r="OFF24" s="19"/>
      <c r="OFG24" s="19"/>
      <c r="OFH24" s="19"/>
      <c r="OFI24" s="19"/>
      <c r="OFJ24" s="19"/>
      <c r="OFK24" s="19"/>
      <c r="OFL24" s="19"/>
      <c r="OFM24" s="19"/>
      <c r="OFN24" s="19"/>
      <c r="OFO24" s="19"/>
      <c r="OFP24" s="19"/>
      <c r="OFQ24" s="19"/>
      <c r="OFR24" s="19"/>
      <c r="OFS24" s="19"/>
      <c r="OFT24" s="19"/>
      <c r="OFU24" s="19"/>
      <c r="OFV24" s="19"/>
      <c r="OFW24" s="19"/>
      <c r="OFX24" s="19"/>
      <c r="OFY24" s="19"/>
      <c r="OFZ24" s="19"/>
      <c r="OGA24" s="19"/>
      <c r="OGB24" s="19"/>
      <c r="OGC24" s="19"/>
      <c r="OGD24" s="19"/>
      <c r="OGE24" s="19"/>
      <c r="OGF24" s="19"/>
      <c r="OGG24" s="19"/>
      <c r="OGH24" s="19"/>
      <c r="OGI24" s="19"/>
      <c r="OGJ24" s="19"/>
      <c r="OGK24" s="19"/>
      <c r="OGL24" s="19"/>
      <c r="OGM24" s="19"/>
      <c r="OGN24" s="19"/>
      <c r="OGO24" s="19"/>
      <c r="OGP24" s="19"/>
      <c r="OGQ24" s="19"/>
      <c r="OGR24" s="19"/>
      <c r="OGS24" s="19"/>
      <c r="OGT24" s="19"/>
      <c r="OGU24" s="19"/>
      <c r="OGV24" s="19"/>
      <c r="OGW24" s="19"/>
      <c r="OGX24" s="19"/>
      <c r="OGY24" s="19"/>
      <c r="OGZ24" s="19"/>
      <c r="OHA24" s="19"/>
      <c r="OHB24" s="19"/>
      <c r="OHC24" s="19"/>
      <c r="OHD24" s="19"/>
      <c r="OHE24" s="19"/>
      <c r="OHF24" s="19"/>
      <c r="OHG24" s="19"/>
      <c r="OHH24" s="19"/>
      <c r="OHI24" s="19"/>
      <c r="OHJ24" s="19"/>
      <c r="OHK24" s="19"/>
      <c r="OHL24" s="19"/>
      <c r="OHM24" s="19"/>
      <c r="OHN24" s="19"/>
      <c r="OHO24" s="19"/>
      <c r="OHP24" s="19"/>
      <c r="OHQ24" s="19"/>
      <c r="OHR24" s="19"/>
      <c r="OHS24" s="19"/>
      <c r="OHT24" s="19"/>
      <c r="OHU24" s="19"/>
      <c r="OHV24" s="19"/>
      <c r="OHW24" s="19"/>
      <c r="OHX24" s="19"/>
      <c r="OHY24" s="19"/>
      <c r="OHZ24" s="19"/>
      <c r="OIA24" s="19"/>
      <c r="OIB24" s="19"/>
      <c r="OIC24" s="19"/>
      <c r="OID24" s="19"/>
      <c r="OIE24" s="19"/>
      <c r="OIF24" s="19"/>
      <c r="OIG24" s="19"/>
      <c r="OIH24" s="19"/>
      <c r="OII24" s="19"/>
      <c r="OIJ24" s="19"/>
      <c r="OIK24" s="19"/>
      <c r="OIL24" s="19"/>
      <c r="OIM24" s="19"/>
      <c r="OIN24" s="19"/>
      <c r="OIO24" s="19"/>
      <c r="OIP24" s="19"/>
      <c r="OIQ24" s="19"/>
      <c r="OIR24" s="19"/>
      <c r="OIS24" s="19"/>
      <c r="OIT24" s="19"/>
      <c r="OIU24" s="19"/>
      <c r="OIV24" s="19"/>
      <c r="OIW24" s="19"/>
      <c r="OIX24" s="19"/>
      <c r="OIY24" s="19"/>
      <c r="OIZ24" s="19"/>
      <c r="OJA24" s="19"/>
      <c r="OJB24" s="19"/>
      <c r="OJC24" s="19"/>
      <c r="OJD24" s="19"/>
      <c r="OJE24" s="19"/>
      <c r="OJF24" s="19"/>
      <c r="OJG24" s="19"/>
      <c r="OJH24" s="19"/>
      <c r="OJI24" s="19"/>
      <c r="OJJ24" s="19"/>
      <c r="OJK24" s="19"/>
      <c r="OJL24" s="19"/>
      <c r="OJM24" s="19"/>
      <c r="OJN24" s="19"/>
      <c r="OJO24" s="19"/>
      <c r="OJP24" s="19"/>
      <c r="OJQ24" s="19"/>
      <c r="OJR24" s="19"/>
      <c r="OJS24" s="19"/>
      <c r="OJT24" s="19"/>
      <c r="OJU24" s="19"/>
      <c r="OJV24" s="19"/>
      <c r="OJW24" s="19"/>
      <c r="OJX24" s="19"/>
      <c r="OJY24" s="19"/>
      <c r="OJZ24" s="19"/>
      <c r="OKA24" s="19"/>
      <c r="OKB24" s="19"/>
      <c r="OKC24" s="19"/>
      <c r="OKD24" s="19"/>
      <c r="OKE24" s="19"/>
      <c r="OKF24" s="19"/>
      <c r="OKG24" s="19"/>
      <c r="OKH24" s="19"/>
      <c r="OKI24" s="19"/>
      <c r="OKJ24" s="19"/>
      <c r="OKK24" s="19"/>
      <c r="OKL24" s="19"/>
      <c r="OKM24" s="19"/>
      <c r="OKN24" s="19"/>
      <c r="OKO24" s="19"/>
      <c r="OKP24" s="19"/>
      <c r="OKQ24" s="19"/>
      <c r="OKR24" s="19"/>
      <c r="OKS24" s="19"/>
      <c r="OKT24" s="19"/>
      <c r="OKU24" s="19"/>
      <c r="OKV24" s="19"/>
      <c r="OKW24" s="19"/>
      <c r="OKX24" s="19"/>
      <c r="OKY24" s="19"/>
      <c r="OKZ24" s="19"/>
      <c r="OLA24" s="19"/>
      <c r="OLB24" s="19"/>
      <c r="OLC24" s="19"/>
      <c r="OLD24" s="19"/>
      <c r="OLE24" s="19"/>
      <c r="OLF24" s="19"/>
      <c r="OLG24" s="19"/>
      <c r="OLH24" s="19"/>
      <c r="OLI24" s="19"/>
      <c r="OLJ24" s="19"/>
      <c r="OLK24" s="19"/>
      <c r="OLL24" s="19"/>
      <c r="OLM24" s="19"/>
      <c r="OLN24" s="19"/>
      <c r="OLO24" s="19"/>
      <c r="OLP24" s="19"/>
      <c r="OLQ24" s="19"/>
      <c r="OLR24" s="19"/>
      <c r="OLS24" s="19"/>
      <c r="OLT24" s="19"/>
      <c r="OLU24" s="19"/>
      <c r="OLV24" s="19"/>
      <c r="OLW24" s="19"/>
      <c r="OLX24" s="19"/>
      <c r="OLY24" s="19"/>
      <c r="OLZ24" s="19"/>
      <c r="OMA24" s="19"/>
      <c r="OMB24" s="19"/>
      <c r="OMC24" s="19"/>
      <c r="OMD24" s="19"/>
      <c r="OME24" s="19"/>
      <c r="OMF24" s="19"/>
      <c r="OMG24" s="19"/>
      <c r="OMH24" s="19"/>
      <c r="OMI24" s="19"/>
      <c r="OMJ24" s="19"/>
      <c r="OMK24" s="19"/>
      <c r="OML24" s="19"/>
      <c r="OMM24" s="19"/>
      <c r="OMN24" s="19"/>
      <c r="OMO24" s="19"/>
      <c r="OMP24" s="19"/>
      <c r="OMQ24" s="19"/>
      <c r="OMR24" s="19"/>
      <c r="OMS24" s="19"/>
      <c r="OMT24" s="19"/>
      <c r="OMU24" s="19"/>
      <c r="OMV24" s="19"/>
      <c r="OMW24" s="19"/>
      <c r="OMX24" s="19"/>
      <c r="OMY24" s="19"/>
      <c r="OMZ24" s="19"/>
      <c r="ONA24" s="19"/>
      <c r="ONB24" s="19"/>
      <c r="ONC24" s="19"/>
      <c r="OND24" s="19"/>
      <c r="ONE24" s="19"/>
      <c r="ONF24" s="19"/>
      <c r="ONG24" s="19"/>
      <c r="ONH24" s="19"/>
      <c r="ONI24" s="19"/>
      <c r="ONJ24" s="19"/>
      <c r="ONK24" s="19"/>
      <c r="ONL24" s="19"/>
      <c r="ONM24" s="19"/>
      <c r="ONN24" s="19"/>
      <c r="ONO24" s="19"/>
      <c r="ONP24" s="19"/>
      <c r="ONQ24" s="19"/>
      <c r="ONR24" s="19"/>
      <c r="ONS24" s="19"/>
      <c r="ONT24" s="19"/>
      <c r="ONU24" s="19"/>
      <c r="ONV24" s="19"/>
      <c r="ONW24" s="19"/>
      <c r="ONX24" s="19"/>
      <c r="ONY24" s="19"/>
      <c r="ONZ24" s="19"/>
      <c r="OOA24" s="19"/>
      <c r="OOB24" s="19"/>
      <c r="OOC24" s="19"/>
      <c r="OOD24" s="19"/>
      <c r="OOE24" s="19"/>
      <c r="OOF24" s="19"/>
      <c r="OOG24" s="19"/>
      <c r="OOH24" s="19"/>
      <c r="OOI24" s="19"/>
      <c r="OOJ24" s="19"/>
      <c r="OOK24" s="19"/>
      <c r="OOL24" s="19"/>
      <c r="OOM24" s="19"/>
      <c r="OON24" s="19"/>
      <c r="OOO24" s="19"/>
      <c r="OOP24" s="19"/>
      <c r="OOQ24" s="19"/>
      <c r="OOR24" s="19"/>
      <c r="OOS24" s="19"/>
      <c r="OOT24" s="19"/>
      <c r="OOU24" s="19"/>
      <c r="OOV24" s="19"/>
      <c r="OOW24" s="19"/>
      <c r="OOX24" s="19"/>
      <c r="OOY24" s="19"/>
      <c r="OOZ24" s="19"/>
      <c r="OPA24" s="19"/>
      <c r="OPB24" s="19"/>
      <c r="OPC24" s="19"/>
      <c r="OPD24" s="19"/>
      <c r="OPE24" s="19"/>
      <c r="OPF24" s="19"/>
      <c r="OPG24" s="19"/>
      <c r="OPH24" s="19"/>
      <c r="OPI24" s="19"/>
      <c r="OPJ24" s="19"/>
      <c r="OPK24" s="19"/>
      <c r="OPL24" s="19"/>
      <c r="OPM24" s="19"/>
      <c r="OPN24" s="19"/>
      <c r="OPO24" s="19"/>
      <c r="OPP24" s="19"/>
      <c r="OPQ24" s="19"/>
      <c r="OPR24" s="19"/>
      <c r="OPS24" s="19"/>
      <c r="OPT24" s="19"/>
      <c r="OPU24" s="19"/>
      <c r="OPV24" s="19"/>
      <c r="OPW24" s="19"/>
      <c r="OPX24" s="19"/>
      <c r="OPY24" s="19"/>
      <c r="OPZ24" s="19"/>
      <c r="OQA24" s="19"/>
      <c r="OQB24" s="19"/>
      <c r="OQC24" s="19"/>
      <c r="OQD24" s="19"/>
      <c r="OQE24" s="19"/>
      <c r="OQF24" s="19"/>
      <c r="OQG24" s="19"/>
      <c r="OQH24" s="19"/>
      <c r="OQI24" s="19"/>
      <c r="OQJ24" s="19"/>
      <c r="OQK24" s="19"/>
      <c r="OQL24" s="19"/>
      <c r="OQM24" s="19"/>
      <c r="OQN24" s="19"/>
      <c r="OQO24" s="19"/>
      <c r="OQP24" s="19"/>
      <c r="OQQ24" s="19"/>
      <c r="OQR24" s="19"/>
      <c r="OQS24" s="19"/>
      <c r="OQT24" s="19"/>
      <c r="OQU24" s="19"/>
      <c r="OQV24" s="19"/>
      <c r="OQW24" s="19"/>
      <c r="OQX24" s="19"/>
      <c r="OQY24" s="19"/>
      <c r="OQZ24" s="19"/>
      <c r="ORA24" s="19"/>
      <c r="ORB24" s="19"/>
      <c r="ORC24" s="19"/>
      <c r="ORD24" s="19"/>
      <c r="ORE24" s="19"/>
      <c r="ORF24" s="19"/>
      <c r="ORG24" s="19"/>
      <c r="ORH24" s="19"/>
      <c r="ORI24" s="19"/>
      <c r="ORJ24" s="19"/>
      <c r="ORK24" s="19"/>
      <c r="ORL24" s="19"/>
      <c r="ORM24" s="19"/>
      <c r="ORN24" s="19"/>
      <c r="ORO24" s="19"/>
      <c r="ORP24" s="19"/>
      <c r="ORQ24" s="19"/>
      <c r="ORR24" s="19"/>
      <c r="ORS24" s="19"/>
      <c r="ORT24" s="19"/>
      <c r="ORU24" s="19"/>
      <c r="ORV24" s="19"/>
      <c r="ORW24" s="19"/>
      <c r="ORX24" s="19"/>
      <c r="ORY24" s="19"/>
      <c r="ORZ24" s="19"/>
      <c r="OSA24" s="19"/>
      <c r="OSB24" s="19"/>
      <c r="OSC24" s="19"/>
      <c r="OSD24" s="19"/>
      <c r="OSE24" s="19"/>
      <c r="OSF24" s="19"/>
      <c r="OSG24" s="19"/>
      <c r="OSH24" s="19"/>
      <c r="OSI24" s="19"/>
      <c r="OSJ24" s="19"/>
      <c r="OSK24" s="19"/>
      <c r="OSL24" s="19"/>
      <c r="OSM24" s="19"/>
      <c r="OSN24" s="19"/>
      <c r="OSO24" s="19"/>
      <c r="OSP24" s="19"/>
      <c r="OSQ24" s="19"/>
      <c r="OSR24" s="19"/>
      <c r="OSS24" s="19"/>
      <c r="OST24" s="19"/>
      <c r="OSU24" s="19"/>
      <c r="OSV24" s="19"/>
      <c r="OSW24" s="19"/>
      <c r="OSX24" s="19"/>
      <c r="OSY24" s="19"/>
      <c r="OSZ24" s="19"/>
      <c r="OTA24" s="19"/>
      <c r="OTB24" s="19"/>
      <c r="OTC24" s="19"/>
      <c r="OTD24" s="19"/>
      <c r="OTE24" s="19"/>
      <c r="OTF24" s="19"/>
      <c r="OTG24" s="19"/>
      <c r="OTH24" s="19"/>
      <c r="OTI24" s="19"/>
      <c r="OTJ24" s="19"/>
      <c r="OTK24" s="19"/>
      <c r="OTL24" s="19"/>
      <c r="OTM24" s="19"/>
      <c r="OTN24" s="19"/>
      <c r="OTO24" s="19"/>
      <c r="OTP24" s="19"/>
      <c r="OTQ24" s="19"/>
      <c r="OTR24" s="19"/>
      <c r="OTS24" s="19"/>
      <c r="OTT24" s="19"/>
      <c r="OTU24" s="19"/>
      <c r="OTV24" s="19"/>
      <c r="OTW24" s="19"/>
      <c r="OTX24" s="19"/>
      <c r="OTY24" s="19"/>
      <c r="OTZ24" s="19"/>
      <c r="OUA24" s="19"/>
      <c r="OUB24" s="19"/>
      <c r="OUC24" s="19"/>
      <c r="OUD24" s="19"/>
      <c r="OUE24" s="19"/>
      <c r="OUF24" s="19"/>
      <c r="OUG24" s="19"/>
      <c r="OUH24" s="19"/>
      <c r="OUI24" s="19"/>
      <c r="OUJ24" s="19"/>
      <c r="OUK24" s="19"/>
      <c r="OUL24" s="19"/>
      <c r="OUM24" s="19"/>
      <c r="OUN24" s="19"/>
      <c r="OUO24" s="19"/>
      <c r="OUP24" s="19"/>
      <c r="OUQ24" s="19"/>
      <c r="OUR24" s="19"/>
      <c r="OUS24" s="19"/>
      <c r="OUT24" s="19"/>
      <c r="OUU24" s="19"/>
      <c r="OUV24" s="19"/>
      <c r="OUW24" s="19"/>
      <c r="OUX24" s="19"/>
      <c r="OUY24" s="19"/>
      <c r="OUZ24" s="19"/>
      <c r="OVA24" s="19"/>
      <c r="OVB24" s="19"/>
      <c r="OVC24" s="19"/>
      <c r="OVD24" s="19"/>
      <c r="OVE24" s="19"/>
      <c r="OVF24" s="19"/>
      <c r="OVG24" s="19"/>
      <c r="OVH24" s="19"/>
      <c r="OVI24" s="19"/>
      <c r="OVJ24" s="19"/>
      <c r="OVK24" s="19"/>
      <c r="OVL24" s="19"/>
      <c r="OVM24" s="19"/>
      <c r="OVN24" s="19"/>
      <c r="OVO24" s="19"/>
      <c r="OVP24" s="19"/>
      <c r="OVQ24" s="19"/>
      <c r="OVR24" s="19"/>
      <c r="OVS24" s="19"/>
      <c r="OVT24" s="19"/>
      <c r="OVU24" s="19"/>
      <c r="OVV24" s="19"/>
      <c r="OVW24" s="19"/>
      <c r="OVX24" s="19"/>
      <c r="OVY24" s="19"/>
      <c r="OVZ24" s="19"/>
      <c r="OWA24" s="19"/>
      <c r="OWB24" s="19"/>
      <c r="OWC24" s="19"/>
      <c r="OWD24" s="19"/>
      <c r="OWE24" s="19"/>
      <c r="OWF24" s="19"/>
      <c r="OWG24" s="19"/>
      <c r="OWH24" s="19"/>
      <c r="OWI24" s="19"/>
      <c r="OWJ24" s="19"/>
      <c r="OWK24" s="19"/>
      <c r="OWL24" s="19"/>
      <c r="OWM24" s="19"/>
      <c r="OWN24" s="19"/>
      <c r="OWO24" s="19"/>
      <c r="OWP24" s="19"/>
      <c r="OWQ24" s="19"/>
      <c r="OWR24" s="19"/>
      <c r="OWS24" s="19"/>
      <c r="OWT24" s="19"/>
      <c r="OWU24" s="19"/>
      <c r="OWV24" s="19"/>
      <c r="OWW24" s="19"/>
      <c r="OWX24" s="19"/>
      <c r="OWY24" s="19"/>
      <c r="OWZ24" s="19"/>
      <c r="OXA24" s="19"/>
      <c r="OXB24" s="19"/>
      <c r="OXC24" s="19"/>
      <c r="OXD24" s="19"/>
      <c r="OXE24" s="19"/>
      <c r="OXF24" s="19"/>
      <c r="OXG24" s="19"/>
      <c r="OXH24" s="19"/>
      <c r="OXI24" s="19"/>
      <c r="OXJ24" s="19"/>
      <c r="OXK24" s="19"/>
      <c r="OXL24" s="19"/>
      <c r="OXM24" s="19"/>
      <c r="OXN24" s="19"/>
      <c r="OXO24" s="19"/>
      <c r="OXP24" s="19"/>
      <c r="OXQ24" s="19"/>
      <c r="OXR24" s="19"/>
      <c r="OXS24" s="19"/>
      <c r="OXT24" s="19"/>
      <c r="OXU24" s="19"/>
      <c r="OXV24" s="19"/>
      <c r="OXW24" s="19"/>
      <c r="OXX24" s="19"/>
      <c r="OXY24" s="19"/>
      <c r="OXZ24" s="19"/>
      <c r="OYA24" s="19"/>
      <c r="OYB24" s="19"/>
      <c r="OYC24" s="19"/>
      <c r="OYD24" s="19"/>
      <c r="OYE24" s="19"/>
      <c r="OYF24" s="19"/>
      <c r="OYG24" s="19"/>
      <c r="OYH24" s="19"/>
      <c r="OYI24" s="19"/>
      <c r="OYJ24" s="19"/>
      <c r="OYK24" s="19"/>
      <c r="OYL24" s="19"/>
      <c r="OYM24" s="19"/>
      <c r="OYN24" s="19"/>
      <c r="OYO24" s="19"/>
      <c r="OYP24" s="19"/>
      <c r="OYQ24" s="19"/>
      <c r="OYR24" s="19"/>
      <c r="OYS24" s="19"/>
      <c r="OYT24" s="19"/>
      <c r="OYU24" s="19"/>
      <c r="OYV24" s="19"/>
      <c r="OYW24" s="19"/>
      <c r="OYX24" s="19"/>
      <c r="OYY24" s="19"/>
      <c r="OYZ24" s="19"/>
      <c r="OZA24" s="19"/>
      <c r="OZB24" s="19"/>
      <c r="OZC24" s="19"/>
      <c r="OZD24" s="19"/>
      <c r="OZE24" s="19"/>
      <c r="OZF24" s="19"/>
      <c r="OZG24" s="19"/>
      <c r="OZH24" s="19"/>
      <c r="OZI24" s="19"/>
      <c r="OZJ24" s="19"/>
      <c r="OZK24" s="19"/>
      <c r="OZL24" s="19"/>
      <c r="OZM24" s="19"/>
      <c r="OZN24" s="19"/>
      <c r="OZO24" s="19"/>
      <c r="OZP24" s="19"/>
      <c r="OZQ24" s="19"/>
      <c r="OZR24" s="19"/>
      <c r="OZS24" s="19"/>
      <c r="OZT24" s="19"/>
      <c r="OZU24" s="19"/>
      <c r="OZV24" s="19"/>
      <c r="OZW24" s="19"/>
      <c r="OZX24" s="19"/>
      <c r="OZY24" s="19"/>
      <c r="OZZ24" s="19"/>
      <c r="PAA24" s="19"/>
      <c r="PAB24" s="19"/>
      <c r="PAC24" s="19"/>
      <c r="PAD24" s="19"/>
      <c r="PAE24" s="19"/>
      <c r="PAF24" s="19"/>
      <c r="PAG24" s="19"/>
      <c r="PAH24" s="19"/>
      <c r="PAI24" s="19"/>
      <c r="PAJ24" s="19"/>
      <c r="PAK24" s="19"/>
      <c r="PAL24" s="19"/>
      <c r="PAM24" s="19"/>
      <c r="PAN24" s="19"/>
      <c r="PAO24" s="19"/>
      <c r="PAP24" s="19"/>
      <c r="PAQ24" s="19"/>
      <c r="PAR24" s="19"/>
      <c r="PAS24" s="19"/>
      <c r="PAT24" s="19"/>
      <c r="PAU24" s="19"/>
      <c r="PAV24" s="19"/>
      <c r="PAW24" s="19"/>
      <c r="PAX24" s="19"/>
      <c r="PAY24" s="19"/>
      <c r="PAZ24" s="19"/>
      <c r="PBA24" s="19"/>
      <c r="PBB24" s="19"/>
      <c r="PBC24" s="19"/>
      <c r="PBD24" s="19"/>
      <c r="PBE24" s="19"/>
      <c r="PBF24" s="19"/>
      <c r="PBG24" s="19"/>
      <c r="PBH24" s="19"/>
      <c r="PBI24" s="19"/>
      <c r="PBJ24" s="19"/>
      <c r="PBK24" s="19"/>
      <c r="PBL24" s="19"/>
      <c r="PBM24" s="19"/>
      <c r="PBN24" s="19"/>
      <c r="PBO24" s="19"/>
      <c r="PBP24" s="19"/>
      <c r="PBQ24" s="19"/>
      <c r="PBR24" s="19"/>
      <c r="PBS24" s="19"/>
      <c r="PBT24" s="19"/>
      <c r="PBU24" s="19"/>
      <c r="PBV24" s="19"/>
      <c r="PBW24" s="19"/>
      <c r="PBX24" s="19"/>
      <c r="PBY24" s="19"/>
      <c r="PBZ24" s="19"/>
      <c r="PCA24" s="19"/>
      <c r="PCB24" s="19"/>
      <c r="PCC24" s="19"/>
      <c r="PCD24" s="19"/>
      <c r="PCE24" s="19"/>
      <c r="PCF24" s="19"/>
      <c r="PCG24" s="19"/>
      <c r="PCH24" s="19"/>
      <c r="PCI24" s="19"/>
      <c r="PCJ24" s="19"/>
      <c r="PCK24" s="19"/>
      <c r="PCL24" s="19"/>
      <c r="PCM24" s="19"/>
      <c r="PCN24" s="19"/>
      <c r="PCO24" s="19"/>
      <c r="PCP24" s="19"/>
      <c r="PCQ24" s="19"/>
      <c r="PCR24" s="19"/>
      <c r="PCS24" s="19"/>
      <c r="PCT24" s="19"/>
      <c r="PCU24" s="19"/>
      <c r="PCV24" s="19"/>
      <c r="PCW24" s="19"/>
      <c r="PCX24" s="19"/>
      <c r="PCY24" s="19"/>
      <c r="PCZ24" s="19"/>
      <c r="PDA24" s="19"/>
      <c r="PDB24" s="19"/>
      <c r="PDC24" s="19"/>
      <c r="PDD24" s="19"/>
      <c r="PDE24" s="19"/>
      <c r="PDF24" s="19"/>
      <c r="PDG24" s="19"/>
      <c r="PDH24" s="19"/>
      <c r="PDI24" s="19"/>
      <c r="PDJ24" s="19"/>
      <c r="PDK24" s="19"/>
      <c r="PDL24" s="19"/>
      <c r="PDM24" s="19"/>
      <c r="PDN24" s="19"/>
      <c r="PDO24" s="19"/>
      <c r="PDP24" s="19"/>
      <c r="PDQ24" s="19"/>
      <c r="PDR24" s="19"/>
      <c r="PDS24" s="19"/>
      <c r="PDT24" s="19"/>
      <c r="PDU24" s="19"/>
      <c r="PDV24" s="19"/>
      <c r="PDW24" s="19"/>
      <c r="PDX24" s="19"/>
      <c r="PDY24" s="19"/>
      <c r="PDZ24" s="19"/>
      <c r="PEA24" s="19"/>
      <c r="PEB24" s="19"/>
      <c r="PEC24" s="19"/>
      <c r="PED24" s="19"/>
      <c r="PEE24" s="19"/>
      <c r="PEF24" s="19"/>
      <c r="PEG24" s="19"/>
      <c r="PEH24" s="19"/>
      <c r="PEI24" s="19"/>
      <c r="PEJ24" s="19"/>
      <c r="PEK24" s="19"/>
      <c r="PEL24" s="19"/>
      <c r="PEM24" s="19"/>
      <c r="PEN24" s="19"/>
      <c r="PEO24" s="19"/>
      <c r="PEP24" s="19"/>
      <c r="PEQ24" s="19"/>
      <c r="PER24" s="19"/>
      <c r="PES24" s="19"/>
      <c r="PET24" s="19"/>
      <c r="PEU24" s="19"/>
      <c r="PEV24" s="19"/>
      <c r="PEW24" s="19"/>
      <c r="PEX24" s="19"/>
      <c r="PEY24" s="19"/>
      <c r="PEZ24" s="19"/>
      <c r="PFA24" s="19"/>
      <c r="PFB24" s="19"/>
      <c r="PFC24" s="19"/>
      <c r="PFD24" s="19"/>
      <c r="PFE24" s="19"/>
      <c r="PFF24" s="19"/>
      <c r="PFG24" s="19"/>
      <c r="PFH24" s="19"/>
      <c r="PFI24" s="19"/>
      <c r="PFJ24" s="19"/>
      <c r="PFK24" s="19"/>
      <c r="PFL24" s="19"/>
      <c r="PFM24" s="19"/>
      <c r="PFN24" s="19"/>
      <c r="PFO24" s="19"/>
      <c r="PFP24" s="19"/>
      <c r="PFQ24" s="19"/>
      <c r="PFR24" s="19"/>
      <c r="PFS24" s="19"/>
      <c r="PFT24" s="19"/>
      <c r="PFU24" s="19"/>
      <c r="PFV24" s="19"/>
      <c r="PFW24" s="19"/>
      <c r="PFX24" s="19"/>
      <c r="PFY24" s="19"/>
      <c r="PFZ24" s="19"/>
      <c r="PGA24" s="19"/>
      <c r="PGB24" s="19"/>
      <c r="PGC24" s="19"/>
      <c r="PGD24" s="19"/>
      <c r="PGE24" s="19"/>
      <c r="PGF24" s="19"/>
      <c r="PGG24" s="19"/>
      <c r="PGH24" s="19"/>
      <c r="PGI24" s="19"/>
      <c r="PGJ24" s="19"/>
      <c r="PGK24" s="19"/>
      <c r="PGL24" s="19"/>
      <c r="PGM24" s="19"/>
      <c r="PGN24" s="19"/>
      <c r="PGO24" s="19"/>
      <c r="PGP24" s="19"/>
      <c r="PGQ24" s="19"/>
      <c r="PGR24" s="19"/>
      <c r="PGS24" s="19"/>
      <c r="PGT24" s="19"/>
      <c r="PGU24" s="19"/>
      <c r="PGV24" s="19"/>
      <c r="PGW24" s="19"/>
      <c r="PGX24" s="19"/>
      <c r="PGY24" s="19"/>
      <c r="PGZ24" s="19"/>
      <c r="PHA24" s="19"/>
      <c r="PHB24" s="19"/>
      <c r="PHC24" s="19"/>
      <c r="PHD24" s="19"/>
      <c r="PHE24" s="19"/>
      <c r="PHF24" s="19"/>
      <c r="PHG24" s="19"/>
      <c r="PHH24" s="19"/>
      <c r="PHI24" s="19"/>
      <c r="PHJ24" s="19"/>
      <c r="PHK24" s="19"/>
      <c r="PHL24" s="19"/>
      <c r="PHM24" s="19"/>
      <c r="PHN24" s="19"/>
      <c r="PHO24" s="19"/>
      <c r="PHP24" s="19"/>
      <c r="PHQ24" s="19"/>
      <c r="PHR24" s="19"/>
      <c r="PHS24" s="19"/>
      <c r="PHT24" s="19"/>
      <c r="PHU24" s="19"/>
      <c r="PHV24" s="19"/>
      <c r="PHW24" s="19"/>
      <c r="PHX24" s="19"/>
      <c r="PHY24" s="19"/>
      <c r="PHZ24" s="19"/>
      <c r="PIA24" s="19"/>
      <c r="PIB24" s="19"/>
      <c r="PIC24" s="19"/>
      <c r="PID24" s="19"/>
      <c r="PIE24" s="19"/>
      <c r="PIF24" s="19"/>
      <c r="PIG24" s="19"/>
      <c r="PIH24" s="19"/>
      <c r="PII24" s="19"/>
      <c r="PIJ24" s="19"/>
      <c r="PIK24" s="19"/>
      <c r="PIL24" s="19"/>
      <c r="PIM24" s="19"/>
      <c r="PIN24" s="19"/>
      <c r="PIO24" s="19"/>
      <c r="PIP24" s="19"/>
      <c r="PIQ24" s="19"/>
      <c r="PIR24" s="19"/>
      <c r="PIS24" s="19"/>
      <c r="PIT24" s="19"/>
      <c r="PIU24" s="19"/>
      <c r="PIV24" s="19"/>
      <c r="PIW24" s="19"/>
      <c r="PIX24" s="19"/>
      <c r="PIY24" s="19"/>
      <c r="PIZ24" s="19"/>
      <c r="PJA24" s="19"/>
      <c r="PJB24" s="19"/>
      <c r="PJC24" s="19"/>
      <c r="PJD24" s="19"/>
      <c r="PJE24" s="19"/>
      <c r="PJF24" s="19"/>
      <c r="PJG24" s="19"/>
      <c r="PJH24" s="19"/>
      <c r="PJI24" s="19"/>
      <c r="PJJ24" s="19"/>
      <c r="PJK24" s="19"/>
      <c r="PJL24" s="19"/>
      <c r="PJM24" s="19"/>
      <c r="PJN24" s="19"/>
      <c r="PJO24" s="19"/>
      <c r="PJP24" s="19"/>
      <c r="PJQ24" s="19"/>
      <c r="PJR24" s="19"/>
      <c r="PJS24" s="19"/>
      <c r="PJT24" s="19"/>
      <c r="PJU24" s="19"/>
      <c r="PJV24" s="19"/>
      <c r="PJW24" s="19"/>
      <c r="PJX24" s="19"/>
      <c r="PJY24" s="19"/>
      <c r="PJZ24" s="19"/>
      <c r="PKA24" s="19"/>
      <c r="PKB24" s="19"/>
      <c r="PKC24" s="19"/>
      <c r="PKD24" s="19"/>
      <c r="PKE24" s="19"/>
      <c r="PKF24" s="19"/>
      <c r="PKG24" s="19"/>
      <c r="PKH24" s="19"/>
      <c r="PKI24" s="19"/>
      <c r="PKJ24" s="19"/>
      <c r="PKK24" s="19"/>
      <c r="PKL24" s="19"/>
      <c r="PKM24" s="19"/>
      <c r="PKN24" s="19"/>
      <c r="PKO24" s="19"/>
      <c r="PKP24" s="19"/>
      <c r="PKQ24" s="19"/>
      <c r="PKR24" s="19"/>
      <c r="PKS24" s="19"/>
      <c r="PKT24" s="19"/>
      <c r="PKU24" s="19"/>
      <c r="PKV24" s="19"/>
      <c r="PKW24" s="19"/>
      <c r="PKX24" s="19"/>
      <c r="PKY24" s="19"/>
      <c r="PKZ24" s="19"/>
      <c r="PLA24" s="19"/>
      <c r="PLB24" s="19"/>
      <c r="PLC24" s="19"/>
      <c r="PLD24" s="19"/>
      <c r="PLE24" s="19"/>
      <c r="PLF24" s="19"/>
      <c r="PLG24" s="19"/>
      <c r="PLH24" s="19"/>
      <c r="PLI24" s="19"/>
      <c r="PLJ24" s="19"/>
      <c r="PLK24" s="19"/>
      <c r="PLL24" s="19"/>
      <c r="PLM24" s="19"/>
      <c r="PLN24" s="19"/>
      <c r="PLO24" s="19"/>
      <c r="PLP24" s="19"/>
      <c r="PLQ24" s="19"/>
      <c r="PLR24" s="19"/>
      <c r="PLS24" s="19"/>
      <c r="PLT24" s="19"/>
      <c r="PLU24" s="19"/>
      <c r="PLV24" s="19"/>
      <c r="PLW24" s="19"/>
      <c r="PLX24" s="19"/>
      <c r="PLY24" s="19"/>
      <c r="PLZ24" s="19"/>
      <c r="PMA24" s="19"/>
      <c r="PMB24" s="19"/>
      <c r="PMC24" s="19"/>
      <c r="PMD24" s="19"/>
      <c r="PME24" s="19"/>
      <c r="PMF24" s="19"/>
      <c r="PMG24" s="19"/>
      <c r="PMH24" s="19"/>
      <c r="PMI24" s="19"/>
      <c r="PMJ24" s="19"/>
      <c r="PMK24" s="19"/>
      <c r="PML24" s="19"/>
      <c r="PMM24" s="19"/>
      <c r="PMN24" s="19"/>
      <c r="PMO24" s="19"/>
      <c r="PMP24" s="19"/>
      <c r="PMQ24" s="19"/>
      <c r="PMR24" s="19"/>
      <c r="PMS24" s="19"/>
      <c r="PMT24" s="19"/>
      <c r="PMU24" s="19"/>
      <c r="PMV24" s="19"/>
      <c r="PMW24" s="19"/>
      <c r="PMX24" s="19"/>
      <c r="PMY24" s="19"/>
      <c r="PMZ24" s="19"/>
      <c r="PNA24" s="19"/>
      <c r="PNB24" s="19"/>
      <c r="PNC24" s="19"/>
      <c r="PND24" s="19"/>
      <c r="PNE24" s="19"/>
      <c r="PNF24" s="19"/>
      <c r="PNG24" s="19"/>
      <c r="PNH24" s="19"/>
      <c r="PNI24" s="19"/>
      <c r="PNJ24" s="19"/>
      <c r="PNK24" s="19"/>
      <c r="PNL24" s="19"/>
      <c r="PNM24" s="19"/>
      <c r="PNN24" s="19"/>
      <c r="PNO24" s="19"/>
      <c r="PNP24" s="19"/>
      <c r="PNQ24" s="19"/>
      <c r="PNR24" s="19"/>
      <c r="PNS24" s="19"/>
      <c r="PNT24" s="19"/>
      <c r="PNU24" s="19"/>
      <c r="PNV24" s="19"/>
      <c r="PNW24" s="19"/>
      <c r="PNX24" s="19"/>
      <c r="PNY24" s="19"/>
      <c r="PNZ24" s="19"/>
      <c r="POA24" s="19"/>
      <c r="POB24" s="19"/>
      <c r="POC24" s="19"/>
      <c r="POD24" s="19"/>
      <c r="POE24" s="19"/>
      <c r="POF24" s="19"/>
      <c r="POG24" s="19"/>
      <c r="POH24" s="19"/>
      <c r="POI24" s="19"/>
      <c r="POJ24" s="19"/>
      <c r="POK24" s="19"/>
      <c r="POL24" s="19"/>
      <c r="POM24" s="19"/>
      <c r="PON24" s="19"/>
      <c r="POO24" s="19"/>
      <c r="POP24" s="19"/>
      <c r="POQ24" s="19"/>
      <c r="POR24" s="19"/>
      <c r="POS24" s="19"/>
      <c r="POT24" s="19"/>
      <c r="POU24" s="19"/>
      <c r="POV24" s="19"/>
      <c r="POW24" s="19"/>
      <c r="POX24" s="19"/>
      <c r="POY24" s="19"/>
      <c r="POZ24" s="19"/>
      <c r="PPA24" s="19"/>
      <c r="PPB24" s="19"/>
      <c r="PPC24" s="19"/>
      <c r="PPD24" s="19"/>
      <c r="PPE24" s="19"/>
      <c r="PPF24" s="19"/>
      <c r="PPG24" s="19"/>
      <c r="PPH24" s="19"/>
      <c r="PPI24" s="19"/>
      <c r="PPJ24" s="19"/>
      <c r="PPK24" s="19"/>
      <c r="PPL24" s="19"/>
      <c r="PPM24" s="19"/>
      <c r="PPN24" s="19"/>
      <c r="PPO24" s="19"/>
      <c r="PPP24" s="19"/>
      <c r="PPQ24" s="19"/>
      <c r="PPR24" s="19"/>
      <c r="PPS24" s="19"/>
      <c r="PPT24" s="19"/>
      <c r="PPU24" s="19"/>
      <c r="PPV24" s="19"/>
      <c r="PPW24" s="19"/>
      <c r="PPX24" s="19"/>
      <c r="PPY24" s="19"/>
      <c r="PPZ24" s="19"/>
      <c r="PQA24" s="19"/>
      <c r="PQB24" s="19"/>
      <c r="PQC24" s="19"/>
      <c r="PQD24" s="19"/>
      <c r="PQE24" s="19"/>
      <c r="PQF24" s="19"/>
      <c r="PQG24" s="19"/>
      <c r="PQH24" s="19"/>
      <c r="PQI24" s="19"/>
      <c r="PQJ24" s="19"/>
      <c r="PQK24" s="19"/>
      <c r="PQL24" s="19"/>
      <c r="PQM24" s="19"/>
      <c r="PQN24" s="19"/>
      <c r="PQO24" s="19"/>
      <c r="PQP24" s="19"/>
      <c r="PQQ24" s="19"/>
      <c r="PQR24" s="19"/>
      <c r="PQS24" s="19"/>
      <c r="PQT24" s="19"/>
      <c r="PQU24" s="19"/>
      <c r="PQV24" s="19"/>
      <c r="PQW24" s="19"/>
      <c r="PQX24" s="19"/>
      <c r="PQY24" s="19"/>
      <c r="PQZ24" s="19"/>
      <c r="PRA24" s="19"/>
      <c r="PRB24" s="19"/>
      <c r="PRC24" s="19"/>
      <c r="PRD24" s="19"/>
      <c r="PRE24" s="19"/>
      <c r="PRF24" s="19"/>
      <c r="PRG24" s="19"/>
      <c r="PRH24" s="19"/>
      <c r="PRI24" s="19"/>
      <c r="PRJ24" s="19"/>
      <c r="PRK24" s="19"/>
      <c r="PRL24" s="19"/>
      <c r="PRM24" s="19"/>
      <c r="PRN24" s="19"/>
      <c r="PRO24" s="19"/>
      <c r="PRP24" s="19"/>
      <c r="PRQ24" s="19"/>
      <c r="PRR24" s="19"/>
      <c r="PRS24" s="19"/>
      <c r="PRT24" s="19"/>
      <c r="PRU24" s="19"/>
      <c r="PRV24" s="19"/>
      <c r="PRW24" s="19"/>
      <c r="PRX24" s="19"/>
      <c r="PRY24" s="19"/>
      <c r="PRZ24" s="19"/>
      <c r="PSA24" s="19"/>
      <c r="PSB24" s="19"/>
      <c r="PSC24" s="19"/>
      <c r="PSD24" s="19"/>
      <c r="PSE24" s="19"/>
      <c r="PSF24" s="19"/>
      <c r="PSG24" s="19"/>
      <c r="PSH24" s="19"/>
      <c r="PSI24" s="19"/>
      <c r="PSJ24" s="19"/>
      <c r="PSK24" s="19"/>
      <c r="PSL24" s="19"/>
      <c r="PSM24" s="19"/>
      <c r="PSN24" s="19"/>
      <c r="PSO24" s="19"/>
      <c r="PSP24" s="19"/>
      <c r="PSQ24" s="19"/>
      <c r="PSR24" s="19"/>
      <c r="PSS24" s="19"/>
      <c r="PST24" s="19"/>
      <c r="PSU24" s="19"/>
      <c r="PSV24" s="19"/>
      <c r="PSW24" s="19"/>
      <c r="PSX24" s="19"/>
      <c r="PSY24" s="19"/>
      <c r="PSZ24" s="19"/>
      <c r="PTA24" s="19"/>
      <c r="PTB24" s="19"/>
      <c r="PTC24" s="19"/>
      <c r="PTD24" s="19"/>
      <c r="PTE24" s="19"/>
      <c r="PTF24" s="19"/>
      <c r="PTG24" s="19"/>
      <c r="PTH24" s="19"/>
      <c r="PTI24" s="19"/>
      <c r="PTJ24" s="19"/>
      <c r="PTK24" s="19"/>
      <c r="PTL24" s="19"/>
      <c r="PTM24" s="19"/>
      <c r="PTN24" s="19"/>
      <c r="PTO24" s="19"/>
      <c r="PTP24" s="19"/>
      <c r="PTQ24" s="19"/>
      <c r="PTR24" s="19"/>
      <c r="PTS24" s="19"/>
      <c r="PTT24" s="19"/>
      <c r="PTU24" s="19"/>
      <c r="PTV24" s="19"/>
      <c r="PTW24" s="19"/>
      <c r="PTX24" s="19"/>
      <c r="PTY24" s="19"/>
      <c r="PTZ24" s="19"/>
      <c r="PUA24" s="19"/>
      <c r="PUB24" s="19"/>
      <c r="PUC24" s="19"/>
      <c r="PUD24" s="19"/>
      <c r="PUE24" s="19"/>
      <c r="PUF24" s="19"/>
      <c r="PUG24" s="19"/>
      <c r="PUH24" s="19"/>
      <c r="PUI24" s="19"/>
      <c r="PUJ24" s="19"/>
      <c r="PUK24" s="19"/>
      <c r="PUL24" s="19"/>
      <c r="PUM24" s="19"/>
      <c r="PUN24" s="19"/>
      <c r="PUO24" s="19"/>
      <c r="PUP24" s="19"/>
      <c r="PUQ24" s="19"/>
      <c r="PUR24" s="19"/>
      <c r="PUS24" s="19"/>
      <c r="PUT24" s="19"/>
      <c r="PUU24" s="19"/>
      <c r="PUV24" s="19"/>
      <c r="PUW24" s="19"/>
      <c r="PUX24" s="19"/>
      <c r="PUY24" s="19"/>
      <c r="PUZ24" s="19"/>
      <c r="PVA24" s="19"/>
      <c r="PVB24" s="19"/>
      <c r="PVC24" s="19"/>
      <c r="PVD24" s="19"/>
      <c r="PVE24" s="19"/>
      <c r="PVF24" s="19"/>
      <c r="PVG24" s="19"/>
      <c r="PVH24" s="19"/>
      <c r="PVI24" s="19"/>
      <c r="PVJ24" s="19"/>
      <c r="PVK24" s="19"/>
      <c r="PVL24" s="19"/>
      <c r="PVM24" s="19"/>
      <c r="PVN24" s="19"/>
      <c r="PVO24" s="19"/>
      <c r="PVP24" s="19"/>
      <c r="PVQ24" s="19"/>
      <c r="PVR24" s="19"/>
      <c r="PVS24" s="19"/>
      <c r="PVT24" s="19"/>
      <c r="PVU24" s="19"/>
      <c r="PVV24" s="19"/>
      <c r="PVW24" s="19"/>
      <c r="PVX24" s="19"/>
      <c r="PVY24" s="19"/>
      <c r="PVZ24" s="19"/>
      <c r="PWA24" s="19"/>
      <c r="PWB24" s="19"/>
      <c r="PWC24" s="19"/>
      <c r="PWD24" s="19"/>
      <c r="PWE24" s="19"/>
      <c r="PWF24" s="19"/>
      <c r="PWG24" s="19"/>
      <c r="PWH24" s="19"/>
      <c r="PWI24" s="19"/>
      <c r="PWJ24" s="19"/>
      <c r="PWK24" s="19"/>
      <c r="PWL24" s="19"/>
      <c r="PWM24" s="19"/>
      <c r="PWN24" s="19"/>
      <c r="PWO24" s="19"/>
      <c r="PWP24" s="19"/>
      <c r="PWQ24" s="19"/>
      <c r="PWR24" s="19"/>
      <c r="PWS24" s="19"/>
      <c r="PWT24" s="19"/>
      <c r="PWU24" s="19"/>
      <c r="PWV24" s="19"/>
      <c r="PWW24" s="19"/>
      <c r="PWX24" s="19"/>
      <c r="PWY24" s="19"/>
      <c r="PWZ24" s="19"/>
      <c r="PXA24" s="19"/>
      <c r="PXB24" s="19"/>
      <c r="PXC24" s="19"/>
      <c r="PXD24" s="19"/>
      <c r="PXE24" s="19"/>
      <c r="PXF24" s="19"/>
      <c r="PXG24" s="19"/>
      <c r="PXH24" s="19"/>
      <c r="PXI24" s="19"/>
      <c r="PXJ24" s="19"/>
      <c r="PXK24" s="19"/>
      <c r="PXL24" s="19"/>
      <c r="PXM24" s="19"/>
      <c r="PXN24" s="19"/>
      <c r="PXO24" s="19"/>
      <c r="PXP24" s="19"/>
      <c r="PXQ24" s="19"/>
      <c r="PXR24" s="19"/>
      <c r="PXS24" s="19"/>
      <c r="PXT24" s="19"/>
      <c r="PXU24" s="19"/>
      <c r="PXV24" s="19"/>
      <c r="PXW24" s="19"/>
      <c r="PXX24" s="19"/>
      <c r="PXY24" s="19"/>
      <c r="PXZ24" s="19"/>
      <c r="PYA24" s="19"/>
      <c r="PYB24" s="19"/>
      <c r="PYC24" s="19"/>
      <c r="PYD24" s="19"/>
      <c r="PYE24" s="19"/>
      <c r="PYF24" s="19"/>
      <c r="PYG24" s="19"/>
      <c r="PYH24" s="19"/>
      <c r="PYI24" s="19"/>
      <c r="PYJ24" s="19"/>
      <c r="PYK24" s="19"/>
      <c r="PYL24" s="19"/>
      <c r="PYM24" s="19"/>
      <c r="PYN24" s="19"/>
      <c r="PYO24" s="19"/>
      <c r="PYP24" s="19"/>
      <c r="PYQ24" s="19"/>
      <c r="PYR24" s="19"/>
      <c r="PYS24" s="19"/>
      <c r="PYT24" s="19"/>
      <c r="PYU24" s="19"/>
      <c r="PYV24" s="19"/>
      <c r="PYW24" s="19"/>
      <c r="PYX24" s="19"/>
      <c r="PYY24" s="19"/>
      <c r="PYZ24" s="19"/>
      <c r="PZA24" s="19"/>
      <c r="PZB24" s="19"/>
      <c r="PZC24" s="19"/>
      <c r="PZD24" s="19"/>
      <c r="PZE24" s="19"/>
      <c r="PZF24" s="19"/>
      <c r="PZG24" s="19"/>
      <c r="PZH24" s="19"/>
      <c r="PZI24" s="19"/>
      <c r="PZJ24" s="19"/>
      <c r="PZK24" s="19"/>
      <c r="PZL24" s="19"/>
      <c r="PZM24" s="19"/>
      <c r="PZN24" s="19"/>
      <c r="PZO24" s="19"/>
      <c r="PZP24" s="19"/>
      <c r="PZQ24" s="19"/>
      <c r="PZR24" s="19"/>
      <c r="PZS24" s="19"/>
      <c r="PZT24" s="19"/>
      <c r="PZU24" s="19"/>
      <c r="PZV24" s="19"/>
      <c r="PZW24" s="19"/>
      <c r="PZX24" s="19"/>
      <c r="PZY24" s="19"/>
      <c r="PZZ24" s="19"/>
      <c r="QAA24" s="19"/>
      <c r="QAB24" s="19"/>
      <c r="QAC24" s="19"/>
      <c r="QAD24" s="19"/>
      <c r="QAE24" s="19"/>
      <c r="QAF24" s="19"/>
      <c r="QAG24" s="19"/>
      <c r="QAH24" s="19"/>
      <c r="QAI24" s="19"/>
      <c r="QAJ24" s="19"/>
      <c r="QAK24" s="19"/>
      <c r="QAL24" s="19"/>
      <c r="QAM24" s="19"/>
      <c r="QAN24" s="19"/>
      <c r="QAO24" s="19"/>
      <c r="QAP24" s="19"/>
      <c r="QAQ24" s="19"/>
      <c r="QAR24" s="19"/>
      <c r="QAS24" s="19"/>
      <c r="QAT24" s="19"/>
      <c r="QAU24" s="19"/>
      <c r="QAV24" s="19"/>
      <c r="QAW24" s="19"/>
      <c r="QAX24" s="19"/>
      <c r="QAY24" s="19"/>
      <c r="QAZ24" s="19"/>
      <c r="QBA24" s="19"/>
      <c r="QBB24" s="19"/>
      <c r="QBC24" s="19"/>
      <c r="QBD24" s="19"/>
      <c r="QBE24" s="19"/>
      <c r="QBF24" s="19"/>
      <c r="QBG24" s="19"/>
      <c r="QBH24" s="19"/>
      <c r="QBI24" s="19"/>
      <c r="QBJ24" s="19"/>
      <c r="QBK24" s="19"/>
      <c r="QBL24" s="19"/>
      <c r="QBM24" s="19"/>
      <c r="QBN24" s="19"/>
      <c r="QBO24" s="19"/>
      <c r="QBP24" s="19"/>
      <c r="QBQ24" s="19"/>
      <c r="QBR24" s="19"/>
      <c r="QBS24" s="19"/>
      <c r="QBT24" s="19"/>
      <c r="QBU24" s="19"/>
      <c r="QBV24" s="19"/>
      <c r="QBW24" s="19"/>
      <c r="QBX24" s="19"/>
      <c r="QBY24" s="19"/>
      <c r="QBZ24" s="19"/>
      <c r="QCA24" s="19"/>
      <c r="QCB24" s="19"/>
      <c r="QCC24" s="19"/>
      <c r="QCD24" s="19"/>
      <c r="QCE24" s="19"/>
      <c r="QCF24" s="19"/>
      <c r="QCG24" s="19"/>
      <c r="QCH24" s="19"/>
      <c r="QCI24" s="19"/>
      <c r="QCJ24" s="19"/>
      <c r="QCK24" s="19"/>
      <c r="QCL24" s="19"/>
      <c r="QCM24" s="19"/>
      <c r="QCN24" s="19"/>
      <c r="QCO24" s="19"/>
      <c r="QCP24" s="19"/>
      <c r="QCQ24" s="19"/>
      <c r="QCR24" s="19"/>
      <c r="QCS24" s="19"/>
      <c r="QCT24" s="19"/>
      <c r="QCU24" s="19"/>
      <c r="QCV24" s="19"/>
      <c r="QCW24" s="19"/>
      <c r="QCX24" s="19"/>
      <c r="QCY24" s="19"/>
      <c r="QCZ24" s="19"/>
      <c r="QDA24" s="19"/>
      <c r="QDB24" s="19"/>
      <c r="QDC24" s="19"/>
      <c r="QDD24" s="19"/>
      <c r="QDE24" s="19"/>
      <c r="QDF24" s="19"/>
      <c r="QDG24" s="19"/>
      <c r="QDH24" s="19"/>
      <c r="QDI24" s="19"/>
      <c r="QDJ24" s="19"/>
      <c r="QDK24" s="19"/>
      <c r="QDL24" s="19"/>
      <c r="QDM24" s="19"/>
      <c r="QDN24" s="19"/>
      <c r="QDO24" s="19"/>
      <c r="QDP24" s="19"/>
      <c r="QDQ24" s="19"/>
      <c r="QDR24" s="19"/>
      <c r="QDS24" s="19"/>
      <c r="QDT24" s="19"/>
      <c r="QDU24" s="19"/>
      <c r="QDV24" s="19"/>
      <c r="QDW24" s="19"/>
      <c r="QDX24" s="19"/>
      <c r="QDY24" s="19"/>
      <c r="QDZ24" s="19"/>
      <c r="QEA24" s="19"/>
      <c r="QEB24" s="19"/>
      <c r="QEC24" s="19"/>
      <c r="QED24" s="19"/>
      <c r="QEE24" s="19"/>
      <c r="QEF24" s="19"/>
      <c r="QEG24" s="19"/>
      <c r="QEH24" s="19"/>
      <c r="QEI24" s="19"/>
      <c r="QEJ24" s="19"/>
      <c r="QEK24" s="19"/>
      <c r="QEL24" s="19"/>
      <c r="QEM24" s="19"/>
      <c r="QEN24" s="19"/>
      <c r="QEO24" s="19"/>
      <c r="QEP24" s="19"/>
      <c r="QEQ24" s="19"/>
      <c r="QER24" s="19"/>
      <c r="QES24" s="19"/>
      <c r="QET24" s="19"/>
      <c r="QEU24" s="19"/>
      <c r="QEV24" s="19"/>
      <c r="QEW24" s="19"/>
      <c r="QEX24" s="19"/>
      <c r="QEY24" s="19"/>
      <c r="QEZ24" s="19"/>
      <c r="QFA24" s="19"/>
      <c r="QFB24" s="19"/>
      <c r="QFC24" s="19"/>
      <c r="QFD24" s="19"/>
      <c r="QFE24" s="19"/>
      <c r="QFF24" s="19"/>
      <c r="QFG24" s="19"/>
      <c r="QFH24" s="19"/>
      <c r="QFI24" s="19"/>
      <c r="QFJ24" s="19"/>
      <c r="QFK24" s="19"/>
      <c r="QFL24" s="19"/>
      <c r="QFM24" s="19"/>
      <c r="QFN24" s="19"/>
      <c r="QFO24" s="19"/>
      <c r="QFP24" s="19"/>
      <c r="QFQ24" s="19"/>
      <c r="QFR24" s="19"/>
      <c r="QFS24" s="19"/>
      <c r="QFT24" s="19"/>
      <c r="QFU24" s="19"/>
      <c r="QFV24" s="19"/>
      <c r="QFW24" s="19"/>
      <c r="QFX24" s="19"/>
      <c r="QFY24" s="19"/>
      <c r="QFZ24" s="19"/>
      <c r="QGA24" s="19"/>
      <c r="QGB24" s="19"/>
      <c r="QGC24" s="19"/>
      <c r="QGD24" s="19"/>
      <c r="QGE24" s="19"/>
      <c r="QGF24" s="19"/>
      <c r="QGG24" s="19"/>
      <c r="QGH24" s="19"/>
      <c r="QGI24" s="19"/>
      <c r="QGJ24" s="19"/>
      <c r="QGK24" s="19"/>
      <c r="QGL24" s="19"/>
      <c r="QGM24" s="19"/>
      <c r="QGN24" s="19"/>
      <c r="QGO24" s="19"/>
      <c r="QGP24" s="19"/>
      <c r="QGQ24" s="19"/>
      <c r="QGR24" s="19"/>
      <c r="QGS24" s="19"/>
      <c r="QGT24" s="19"/>
      <c r="QGU24" s="19"/>
      <c r="QGV24" s="19"/>
      <c r="QGW24" s="19"/>
      <c r="QGX24" s="19"/>
      <c r="QGY24" s="19"/>
      <c r="QGZ24" s="19"/>
      <c r="QHA24" s="19"/>
      <c r="QHB24" s="19"/>
      <c r="QHC24" s="19"/>
      <c r="QHD24" s="19"/>
      <c r="QHE24" s="19"/>
      <c r="QHF24" s="19"/>
      <c r="QHG24" s="19"/>
      <c r="QHH24" s="19"/>
      <c r="QHI24" s="19"/>
      <c r="QHJ24" s="19"/>
      <c r="QHK24" s="19"/>
      <c r="QHL24" s="19"/>
      <c r="QHM24" s="19"/>
      <c r="QHN24" s="19"/>
      <c r="QHO24" s="19"/>
      <c r="QHP24" s="19"/>
      <c r="QHQ24" s="19"/>
      <c r="QHR24" s="19"/>
      <c r="QHS24" s="19"/>
      <c r="QHT24" s="19"/>
      <c r="QHU24" s="19"/>
      <c r="QHV24" s="19"/>
      <c r="QHW24" s="19"/>
      <c r="QHX24" s="19"/>
      <c r="QHY24" s="19"/>
      <c r="QHZ24" s="19"/>
      <c r="QIA24" s="19"/>
      <c r="QIB24" s="19"/>
      <c r="QIC24" s="19"/>
      <c r="QID24" s="19"/>
      <c r="QIE24" s="19"/>
      <c r="QIF24" s="19"/>
      <c r="QIG24" s="19"/>
      <c r="QIH24" s="19"/>
      <c r="QII24" s="19"/>
      <c r="QIJ24" s="19"/>
      <c r="QIK24" s="19"/>
      <c r="QIL24" s="19"/>
      <c r="QIM24" s="19"/>
      <c r="QIN24" s="19"/>
      <c r="QIO24" s="19"/>
      <c r="QIP24" s="19"/>
      <c r="QIQ24" s="19"/>
      <c r="QIR24" s="19"/>
      <c r="QIS24" s="19"/>
      <c r="QIT24" s="19"/>
      <c r="QIU24" s="19"/>
      <c r="QIV24" s="19"/>
      <c r="QIW24" s="19"/>
      <c r="QIX24" s="19"/>
      <c r="QIY24" s="19"/>
      <c r="QIZ24" s="19"/>
      <c r="QJA24" s="19"/>
      <c r="QJB24" s="19"/>
      <c r="QJC24" s="19"/>
      <c r="QJD24" s="19"/>
      <c r="QJE24" s="19"/>
      <c r="QJF24" s="19"/>
      <c r="QJG24" s="19"/>
      <c r="QJH24" s="19"/>
      <c r="QJI24" s="19"/>
      <c r="QJJ24" s="19"/>
      <c r="QJK24" s="19"/>
      <c r="QJL24" s="19"/>
      <c r="QJM24" s="19"/>
      <c r="QJN24" s="19"/>
      <c r="QJO24" s="19"/>
      <c r="QJP24" s="19"/>
      <c r="QJQ24" s="19"/>
      <c r="QJR24" s="19"/>
      <c r="QJS24" s="19"/>
      <c r="QJT24" s="19"/>
      <c r="QJU24" s="19"/>
      <c r="QJV24" s="19"/>
      <c r="QJW24" s="19"/>
      <c r="QJX24" s="19"/>
      <c r="QJY24" s="19"/>
      <c r="QJZ24" s="19"/>
      <c r="QKA24" s="19"/>
      <c r="QKB24" s="19"/>
      <c r="QKC24" s="19"/>
      <c r="QKD24" s="19"/>
      <c r="QKE24" s="19"/>
      <c r="QKF24" s="19"/>
      <c r="QKG24" s="19"/>
      <c r="QKH24" s="19"/>
      <c r="QKI24" s="19"/>
      <c r="QKJ24" s="19"/>
      <c r="QKK24" s="19"/>
      <c r="QKL24" s="19"/>
      <c r="QKM24" s="19"/>
      <c r="QKN24" s="19"/>
      <c r="QKO24" s="19"/>
      <c r="QKP24" s="19"/>
      <c r="QKQ24" s="19"/>
      <c r="QKR24" s="19"/>
      <c r="QKS24" s="19"/>
      <c r="QKT24" s="19"/>
      <c r="QKU24" s="19"/>
      <c r="QKV24" s="19"/>
      <c r="QKW24" s="19"/>
      <c r="QKX24" s="19"/>
      <c r="QKY24" s="19"/>
      <c r="QKZ24" s="19"/>
      <c r="QLA24" s="19"/>
      <c r="QLB24" s="19"/>
      <c r="QLC24" s="19"/>
      <c r="QLD24" s="19"/>
      <c r="QLE24" s="19"/>
      <c r="QLF24" s="19"/>
      <c r="QLG24" s="19"/>
      <c r="QLH24" s="19"/>
      <c r="QLI24" s="19"/>
      <c r="QLJ24" s="19"/>
      <c r="QLK24" s="19"/>
      <c r="QLL24" s="19"/>
      <c r="QLM24" s="19"/>
      <c r="QLN24" s="19"/>
      <c r="QLO24" s="19"/>
      <c r="QLP24" s="19"/>
      <c r="QLQ24" s="19"/>
      <c r="QLR24" s="19"/>
      <c r="QLS24" s="19"/>
      <c r="QLT24" s="19"/>
      <c r="QLU24" s="19"/>
      <c r="QLV24" s="19"/>
      <c r="QLW24" s="19"/>
      <c r="QLX24" s="19"/>
      <c r="QLY24" s="19"/>
      <c r="QLZ24" s="19"/>
      <c r="QMA24" s="19"/>
      <c r="QMB24" s="19"/>
      <c r="QMC24" s="19"/>
      <c r="QMD24" s="19"/>
      <c r="QME24" s="19"/>
      <c r="QMF24" s="19"/>
      <c r="QMG24" s="19"/>
      <c r="QMH24" s="19"/>
      <c r="QMI24" s="19"/>
      <c r="QMJ24" s="19"/>
      <c r="QMK24" s="19"/>
      <c r="QML24" s="19"/>
      <c r="QMM24" s="19"/>
      <c r="QMN24" s="19"/>
      <c r="QMO24" s="19"/>
      <c r="QMP24" s="19"/>
      <c r="QMQ24" s="19"/>
      <c r="QMR24" s="19"/>
      <c r="QMS24" s="19"/>
      <c r="QMT24" s="19"/>
      <c r="QMU24" s="19"/>
      <c r="QMV24" s="19"/>
      <c r="QMW24" s="19"/>
      <c r="QMX24" s="19"/>
      <c r="QMY24" s="19"/>
      <c r="QMZ24" s="19"/>
      <c r="QNA24" s="19"/>
      <c r="QNB24" s="19"/>
      <c r="QNC24" s="19"/>
      <c r="QND24" s="19"/>
      <c r="QNE24" s="19"/>
      <c r="QNF24" s="19"/>
      <c r="QNG24" s="19"/>
      <c r="QNH24" s="19"/>
      <c r="QNI24" s="19"/>
      <c r="QNJ24" s="19"/>
      <c r="QNK24" s="19"/>
      <c r="QNL24" s="19"/>
      <c r="QNM24" s="19"/>
      <c r="QNN24" s="19"/>
      <c r="QNO24" s="19"/>
      <c r="QNP24" s="19"/>
      <c r="QNQ24" s="19"/>
      <c r="QNR24" s="19"/>
      <c r="QNS24" s="19"/>
      <c r="QNT24" s="19"/>
      <c r="QNU24" s="19"/>
      <c r="QNV24" s="19"/>
      <c r="QNW24" s="19"/>
      <c r="QNX24" s="19"/>
      <c r="QNY24" s="19"/>
      <c r="QNZ24" s="19"/>
      <c r="QOA24" s="19"/>
      <c r="QOB24" s="19"/>
      <c r="QOC24" s="19"/>
      <c r="QOD24" s="19"/>
      <c r="QOE24" s="19"/>
      <c r="QOF24" s="19"/>
      <c r="QOG24" s="19"/>
      <c r="QOH24" s="19"/>
      <c r="QOI24" s="19"/>
      <c r="QOJ24" s="19"/>
      <c r="QOK24" s="19"/>
      <c r="QOL24" s="19"/>
      <c r="QOM24" s="19"/>
      <c r="QON24" s="19"/>
      <c r="QOO24" s="19"/>
      <c r="QOP24" s="19"/>
      <c r="QOQ24" s="19"/>
      <c r="QOR24" s="19"/>
      <c r="QOS24" s="19"/>
      <c r="QOT24" s="19"/>
      <c r="QOU24" s="19"/>
      <c r="QOV24" s="19"/>
      <c r="QOW24" s="19"/>
      <c r="QOX24" s="19"/>
      <c r="QOY24" s="19"/>
      <c r="QOZ24" s="19"/>
      <c r="QPA24" s="19"/>
      <c r="QPB24" s="19"/>
      <c r="QPC24" s="19"/>
      <c r="QPD24" s="19"/>
      <c r="QPE24" s="19"/>
      <c r="QPF24" s="19"/>
      <c r="QPG24" s="19"/>
      <c r="QPH24" s="19"/>
      <c r="QPI24" s="19"/>
      <c r="QPJ24" s="19"/>
      <c r="QPK24" s="19"/>
      <c r="QPL24" s="19"/>
      <c r="QPM24" s="19"/>
      <c r="QPN24" s="19"/>
      <c r="QPO24" s="19"/>
      <c r="QPP24" s="19"/>
      <c r="QPQ24" s="19"/>
      <c r="QPR24" s="19"/>
      <c r="QPS24" s="19"/>
      <c r="QPT24" s="19"/>
      <c r="QPU24" s="19"/>
      <c r="QPV24" s="19"/>
      <c r="QPW24" s="19"/>
      <c r="QPX24" s="19"/>
      <c r="QPY24" s="19"/>
      <c r="QPZ24" s="19"/>
      <c r="QQA24" s="19"/>
      <c r="QQB24" s="19"/>
      <c r="QQC24" s="19"/>
      <c r="QQD24" s="19"/>
      <c r="QQE24" s="19"/>
      <c r="QQF24" s="19"/>
      <c r="QQG24" s="19"/>
      <c r="QQH24" s="19"/>
      <c r="QQI24" s="19"/>
      <c r="QQJ24" s="19"/>
      <c r="QQK24" s="19"/>
      <c r="QQL24" s="19"/>
      <c r="QQM24" s="19"/>
      <c r="QQN24" s="19"/>
      <c r="QQO24" s="19"/>
      <c r="QQP24" s="19"/>
      <c r="QQQ24" s="19"/>
      <c r="QQR24" s="19"/>
      <c r="QQS24" s="19"/>
      <c r="QQT24" s="19"/>
      <c r="QQU24" s="19"/>
      <c r="QQV24" s="19"/>
      <c r="QQW24" s="19"/>
      <c r="QQX24" s="19"/>
      <c r="QQY24" s="19"/>
      <c r="QQZ24" s="19"/>
      <c r="QRA24" s="19"/>
      <c r="QRB24" s="19"/>
      <c r="QRC24" s="19"/>
      <c r="QRD24" s="19"/>
      <c r="QRE24" s="19"/>
      <c r="QRF24" s="19"/>
      <c r="QRG24" s="19"/>
      <c r="QRH24" s="19"/>
      <c r="QRI24" s="19"/>
      <c r="QRJ24" s="19"/>
      <c r="QRK24" s="19"/>
      <c r="QRL24" s="19"/>
      <c r="QRM24" s="19"/>
      <c r="QRN24" s="19"/>
      <c r="QRO24" s="19"/>
      <c r="QRP24" s="19"/>
      <c r="QRQ24" s="19"/>
      <c r="QRR24" s="19"/>
      <c r="QRS24" s="19"/>
      <c r="QRT24" s="19"/>
      <c r="QRU24" s="19"/>
      <c r="QRV24" s="19"/>
      <c r="QRW24" s="19"/>
      <c r="QRX24" s="19"/>
      <c r="QRY24" s="19"/>
      <c r="QRZ24" s="19"/>
      <c r="QSA24" s="19"/>
      <c r="QSB24" s="19"/>
      <c r="QSC24" s="19"/>
      <c r="QSD24" s="19"/>
      <c r="QSE24" s="19"/>
      <c r="QSF24" s="19"/>
      <c r="QSG24" s="19"/>
      <c r="QSH24" s="19"/>
      <c r="QSI24" s="19"/>
      <c r="QSJ24" s="19"/>
      <c r="QSK24" s="19"/>
      <c r="QSL24" s="19"/>
      <c r="QSM24" s="19"/>
      <c r="QSN24" s="19"/>
      <c r="QSO24" s="19"/>
      <c r="QSP24" s="19"/>
      <c r="QSQ24" s="19"/>
      <c r="QSR24" s="19"/>
      <c r="QSS24" s="19"/>
      <c r="QST24" s="19"/>
      <c r="QSU24" s="19"/>
      <c r="QSV24" s="19"/>
      <c r="QSW24" s="19"/>
      <c r="QSX24" s="19"/>
      <c r="QSY24" s="19"/>
      <c r="QSZ24" s="19"/>
      <c r="QTA24" s="19"/>
      <c r="QTB24" s="19"/>
      <c r="QTC24" s="19"/>
      <c r="QTD24" s="19"/>
      <c r="QTE24" s="19"/>
      <c r="QTF24" s="19"/>
      <c r="QTG24" s="19"/>
      <c r="QTH24" s="19"/>
      <c r="QTI24" s="19"/>
      <c r="QTJ24" s="19"/>
      <c r="QTK24" s="19"/>
      <c r="QTL24" s="19"/>
      <c r="QTM24" s="19"/>
      <c r="QTN24" s="19"/>
      <c r="QTO24" s="19"/>
      <c r="QTP24" s="19"/>
      <c r="QTQ24" s="19"/>
      <c r="QTR24" s="19"/>
      <c r="QTS24" s="19"/>
      <c r="QTT24" s="19"/>
      <c r="QTU24" s="19"/>
      <c r="QTV24" s="19"/>
      <c r="QTW24" s="19"/>
      <c r="QTX24" s="19"/>
      <c r="QTY24" s="19"/>
      <c r="QTZ24" s="19"/>
      <c r="QUA24" s="19"/>
      <c r="QUB24" s="19"/>
      <c r="QUC24" s="19"/>
      <c r="QUD24" s="19"/>
      <c r="QUE24" s="19"/>
      <c r="QUF24" s="19"/>
      <c r="QUG24" s="19"/>
      <c r="QUH24" s="19"/>
      <c r="QUI24" s="19"/>
      <c r="QUJ24" s="19"/>
      <c r="QUK24" s="19"/>
      <c r="QUL24" s="19"/>
      <c r="QUM24" s="19"/>
      <c r="QUN24" s="19"/>
      <c r="QUO24" s="19"/>
      <c r="QUP24" s="19"/>
      <c r="QUQ24" s="19"/>
      <c r="QUR24" s="19"/>
      <c r="QUS24" s="19"/>
      <c r="QUT24" s="19"/>
      <c r="QUU24" s="19"/>
      <c r="QUV24" s="19"/>
      <c r="QUW24" s="19"/>
      <c r="QUX24" s="19"/>
      <c r="QUY24" s="19"/>
      <c r="QUZ24" s="19"/>
      <c r="QVA24" s="19"/>
      <c r="QVB24" s="19"/>
      <c r="QVC24" s="19"/>
      <c r="QVD24" s="19"/>
      <c r="QVE24" s="19"/>
      <c r="QVF24" s="19"/>
      <c r="QVG24" s="19"/>
      <c r="QVH24" s="19"/>
      <c r="QVI24" s="19"/>
      <c r="QVJ24" s="19"/>
      <c r="QVK24" s="19"/>
      <c r="QVL24" s="19"/>
      <c r="QVM24" s="19"/>
      <c r="QVN24" s="19"/>
      <c r="QVO24" s="19"/>
      <c r="QVP24" s="19"/>
      <c r="QVQ24" s="19"/>
      <c r="QVR24" s="19"/>
      <c r="QVS24" s="19"/>
      <c r="QVT24" s="19"/>
      <c r="QVU24" s="19"/>
      <c r="QVV24" s="19"/>
      <c r="QVW24" s="19"/>
      <c r="QVX24" s="19"/>
      <c r="QVY24" s="19"/>
      <c r="QVZ24" s="19"/>
      <c r="QWA24" s="19"/>
      <c r="QWB24" s="19"/>
      <c r="QWC24" s="19"/>
      <c r="QWD24" s="19"/>
      <c r="QWE24" s="19"/>
      <c r="QWF24" s="19"/>
      <c r="QWG24" s="19"/>
      <c r="QWH24" s="19"/>
      <c r="QWI24" s="19"/>
      <c r="QWJ24" s="19"/>
      <c r="QWK24" s="19"/>
      <c r="QWL24" s="19"/>
      <c r="QWM24" s="19"/>
      <c r="QWN24" s="19"/>
      <c r="QWO24" s="19"/>
      <c r="QWP24" s="19"/>
      <c r="QWQ24" s="19"/>
      <c r="QWR24" s="19"/>
      <c r="QWS24" s="19"/>
      <c r="QWT24" s="19"/>
      <c r="QWU24" s="19"/>
      <c r="QWV24" s="19"/>
      <c r="QWW24" s="19"/>
      <c r="QWX24" s="19"/>
      <c r="QWY24" s="19"/>
      <c r="QWZ24" s="19"/>
      <c r="QXA24" s="19"/>
      <c r="QXB24" s="19"/>
      <c r="QXC24" s="19"/>
      <c r="QXD24" s="19"/>
      <c r="QXE24" s="19"/>
      <c r="QXF24" s="19"/>
      <c r="QXG24" s="19"/>
      <c r="QXH24" s="19"/>
      <c r="QXI24" s="19"/>
      <c r="QXJ24" s="19"/>
      <c r="QXK24" s="19"/>
      <c r="QXL24" s="19"/>
      <c r="QXM24" s="19"/>
      <c r="QXN24" s="19"/>
      <c r="QXO24" s="19"/>
      <c r="QXP24" s="19"/>
      <c r="QXQ24" s="19"/>
      <c r="QXR24" s="19"/>
      <c r="QXS24" s="19"/>
      <c r="QXT24" s="19"/>
      <c r="QXU24" s="19"/>
      <c r="QXV24" s="19"/>
      <c r="QXW24" s="19"/>
      <c r="QXX24" s="19"/>
      <c r="QXY24" s="19"/>
      <c r="QXZ24" s="19"/>
      <c r="QYA24" s="19"/>
      <c r="QYB24" s="19"/>
      <c r="QYC24" s="19"/>
      <c r="QYD24" s="19"/>
      <c r="QYE24" s="19"/>
      <c r="QYF24" s="19"/>
      <c r="QYG24" s="19"/>
      <c r="QYH24" s="19"/>
      <c r="QYI24" s="19"/>
      <c r="QYJ24" s="19"/>
      <c r="QYK24" s="19"/>
      <c r="QYL24" s="19"/>
      <c r="QYM24" s="19"/>
      <c r="QYN24" s="19"/>
      <c r="QYO24" s="19"/>
      <c r="QYP24" s="19"/>
      <c r="QYQ24" s="19"/>
      <c r="QYR24" s="19"/>
      <c r="QYS24" s="19"/>
      <c r="QYT24" s="19"/>
      <c r="QYU24" s="19"/>
      <c r="QYV24" s="19"/>
      <c r="QYW24" s="19"/>
      <c r="QYX24" s="19"/>
      <c r="QYY24" s="19"/>
      <c r="QYZ24" s="19"/>
      <c r="QZA24" s="19"/>
      <c r="QZB24" s="19"/>
      <c r="QZC24" s="19"/>
      <c r="QZD24" s="19"/>
      <c r="QZE24" s="19"/>
      <c r="QZF24" s="19"/>
      <c r="QZG24" s="19"/>
      <c r="QZH24" s="19"/>
      <c r="QZI24" s="19"/>
      <c r="QZJ24" s="19"/>
      <c r="QZK24" s="19"/>
      <c r="QZL24" s="19"/>
      <c r="QZM24" s="19"/>
      <c r="QZN24" s="19"/>
      <c r="QZO24" s="19"/>
      <c r="QZP24" s="19"/>
      <c r="QZQ24" s="19"/>
      <c r="QZR24" s="19"/>
      <c r="QZS24" s="19"/>
      <c r="QZT24" s="19"/>
      <c r="QZU24" s="19"/>
      <c r="QZV24" s="19"/>
      <c r="QZW24" s="19"/>
      <c r="QZX24" s="19"/>
      <c r="QZY24" s="19"/>
      <c r="QZZ24" s="19"/>
      <c r="RAA24" s="19"/>
      <c r="RAB24" s="19"/>
      <c r="RAC24" s="19"/>
      <c r="RAD24" s="19"/>
      <c r="RAE24" s="19"/>
      <c r="RAF24" s="19"/>
      <c r="RAG24" s="19"/>
      <c r="RAH24" s="19"/>
      <c r="RAI24" s="19"/>
      <c r="RAJ24" s="19"/>
      <c r="RAK24" s="19"/>
      <c r="RAL24" s="19"/>
      <c r="RAM24" s="19"/>
      <c r="RAN24" s="19"/>
      <c r="RAO24" s="19"/>
      <c r="RAP24" s="19"/>
      <c r="RAQ24" s="19"/>
      <c r="RAR24" s="19"/>
      <c r="RAS24" s="19"/>
      <c r="RAT24" s="19"/>
      <c r="RAU24" s="19"/>
      <c r="RAV24" s="19"/>
      <c r="RAW24" s="19"/>
      <c r="RAX24" s="19"/>
      <c r="RAY24" s="19"/>
      <c r="RAZ24" s="19"/>
      <c r="RBA24" s="19"/>
      <c r="RBB24" s="19"/>
      <c r="RBC24" s="19"/>
      <c r="RBD24" s="19"/>
      <c r="RBE24" s="19"/>
      <c r="RBF24" s="19"/>
      <c r="RBG24" s="19"/>
      <c r="RBH24" s="19"/>
      <c r="RBI24" s="19"/>
      <c r="RBJ24" s="19"/>
      <c r="RBK24" s="19"/>
      <c r="RBL24" s="19"/>
      <c r="RBM24" s="19"/>
      <c r="RBN24" s="19"/>
      <c r="RBO24" s="19"/>
      <c r="RBP24" s="19"/>
      <c r="RBQ24" s="19"/>
      <c r="RBR24" s="19"/>
      <c r="RBS24" s="19"/>
      <c r="RBT24" s="19"/>
      <c r="RBU24" s="19"/>
      <c r="RBV24" s="19"/>
      <c r="RBW24" s="19"/>
      <c r="RBX24" s="19"/>
      <c r="RBY24" s="19"/>
      <c r="RBZ24" s="19"/>
      <c r="RCA24" s="19"/>
      <c r="RCB24" s="19"/>
      <c r="RCC24" s="19"/>
      <c r="RCD24" s="19"/>
      <c r="RCE24" s="19"/>
      <c r="RCF24" s="19"/>
      <c r="RCG24" s="19"/>
      <c r="RCH24" s="19"/>
      <c r="RCI24" s="19"/>
      <c r="RCJ24" s="19"/>
      <c r="RCK24" s="19"/>
      <c r="RCL24" s="19"/>
      <c r="RCM24" s="19"/>
      <c r="RCN24" s="19"/>
      <c r="RCO24" s="19"/>
      <c r="RCP24" s="19"/>
      <c r="RCQ24" s="19"/>
      <c r="RCR24" s="19"/>
      <c r="RCS24" s="19"/>
      <c r="RCT24" s="19"/>
      <c r="RCU24" s="19"/>
      <c r="RCV24" s="19"/>
      <c r="RCW24" s="19"/>
      <c r="RCX24" s="19"/>
      <c r="RCY24" s="19"/>
      <c r="RCZ24" s="19"/>
      <c r="RDA24" s="19"/>
      <c r="RDB24" s="19"/>
      <c r="RDC24" s="19"/>
      <c r="RDD24" s="19"/>
      <c r="RDE24" s="19"/>
      <c r="RDF24" s="19"/>
      <c r="RDG24" s="19"/>
      <c r="RDH24" s="19"/>
      <c r="RDI24" s="19"/>
      <c r="RDJ24" s="19"/>
      <c r="RDK24" s="19"/>
      <c r="RDL24" s="19"/>
      <c r="RDM24" s="19"/>
      <c r="RDN24" s="19"/>
      <c r="RDO24" s="19"/>
      <c r="RDP24" s="19"/>
      <c r="RDQ24" s="19"/>
      <c r="RDR24" s="19"/>
      <c r="RDS24" s="19"/>
      <c r="RDT24" s="19"/>
      <c r="RDU24" s="19"/>
      <c r="RDV24" s="19"/>
      <c r="RDW24" s="19"/>
      <c r="RDX24" s="19"/>
      <c r="RDY24" s="19"/>
      <c r="RDZ24" s="19"/>
      <c r="REA24" s="19"/>
      <c r="REB24" s="19"/>
      <c r="REC24" s="19"/>
      <c r="RED24" s="19"/>
      <c r="REE24" s="19"/>
      <c r="REF24" s="19"/>
      <c r="REG24" s="19"/>
      <c r="REH24" s="19"/>
      <c r="REI24" s="19"/>
      <c r="REJ24" s="19"/>
      <c r="REK24" s="19"/>
      <c r="REL24" s="19"/>
      <c r="REM24" s="19"/>
      <c r="REN24" s="19"/>
      <c r="REO24" s="19"/>
      <c r="REP24" s="19"/>
      <c r="REQ24" s="19"/>
      <c r="RER24" s="19"/>
      <c r="RES24" s="19"/>
      <c r="RET24" s="19"/>
      <c r="REU24" s="19"/>
      <c r="REV24" s="19"/>
      <c r="REW24" s="19"/>
      <c r="REX24" s="19"/>
      <c r="REY24" s="19"/>
      <c r="REZ24" s="19"/>
      <c r="RFA24" s="19"/>
      <c r="RFB24" s="19"/>
      <c r="RFC24" s="19"/>
      <c r="RFD24" s="19"/>
      <c r="RFE24" s="19"/>
      <c r="RFF24" s="19"/>
      <c r="RFG24" s="19"/>
      <c r="RFH24" s="19"/>
      <c r="RFI24" s="19"/>
      <c r="RFJ24" s="19"/>
      <c r="RFK24" s="19"/>
      <c r="RFL24" s="19"/>
      <c r="RFM24" s="19"/>
      <c r="RFN24" s="19"/>
      <c r="RFO24" s="19"/>
      <c r="RFP24" s="19"/>
      <c r="RFQ24" s="19"/>
      <c r="RFR24" s="19"/>
      <c r="RFS24" s="19"/>
      <c r="RFT24" s="19"/>
      <c r="RFU24" s="19"/>
      <c r="RFV24" s="19"/>
      <c r="RFW24" s="19"/>
      <c r="RFX24" s="19"/>
      <c r="RFY24" s="19"/>
      <c r="RFZ24" s="19"/>
      <c r="RGA24" s="19"/>
      <c r="RGB24" s="19"/>
      <c r="RGC24" s="19"/>
      <c r="RGD24" s="19"/>
      <c r="RGE24" s="19"/>
      <c r="RGF24" s="19"/>
      <c r="RGG24" s="19"/>
      <c r="RGH24" s="19"/>
      <c r="RGI24" s="19"/>
      <c r="RGJ24" s="19"/>
      <c r="RGK24" s="19"/>
      <c r="RGL24" s="19"/>
      <c r="RGM24" s="19"/>
      <c r="RGN24" s="19"/>
      <c r="RGO24" s="19"/>
      <c r="RGP24" s="19"/>
      <c r="RGQ24" s="19"/>
      <c r="RGR24" s="19"/>
      <c r="RGS24" s="19"/>
      <c r="RGT24" s="19"/>
      <c r="RGU24" s="19"/>
      <c r="RGV24" s="19"/>
      <c r="RGW24" s="19"/>
      <c r="RGX24" s="19"/>
      <c r="RGY24" s="19"/>
      <c r="RGZ24" s="19"/>
      <c r="RHA24" s="19"/>
      <c r="RHB24" s="19"/>
      <c r="RHC24" s="19"/>
      <c r="RHD24" s="19"/>
      <c r="RHE24" s="19"/>
      <c r="RHF24" s="19"/>
      <c r="RHG24" s="19"/>
      <c r="RHH24" s="19"/>
      <c r="RHI24" s="19"/>
      <c r="RHJ24" s="19"/>
      <c r="RHK24" s="19"/>
      <c r="RHL24" s="19"/>
      <c r="RHM24" s="19"/>
      <c r="RHN24" s="19"/>
      <c r="RHO24" s="19"/>
      <c r="RHP24" s="19"/>
      <c r="RHQ24" s="19"/>
      <c r="RHR24" s="19"/>
      <c r="RHS24" s="19"/>
      <c r="RHT24" s="19"/>
      <c r="RHU24" s="19"/>
      <c r="RHV24" s="19"/>
      <c r="RHW24" s="19"/>
      <c r="RHX24" s="19"/>
      <c r="RHY24" s="19"/>
      <c r="RHZ24" s="19"/>
      <c r="RIA24" s="19"/>
      <c r="RIB24" s="19"/>
      <c r="RIC24" s="19"/>
      <c r="RID24" s="19"/>
      <c r="RIE24" s="19"/>
      <c r="RIF24" s="19"/>
      <c r="RIG24" s="19"/>
      <c r="RIH24" s="19"/>
      <c r="RII24" s="19"/>
      <c r="RIJ24" s="19"/>
      <c r="RIK24" s="19"/>
      <c r="RIL24" s="19"/>
      <c r="RIM24" s="19"/>
      <c r="RIN24" s="19"/>
      <c r="RIO24" s="19"/>
      <c r="RIP24" s="19"/>
      <c r="RIQ24" s="19"/>
      <c r="RIR24" s="19"/>
      <c r="RIS24" s="19"/>
      <c r="RIT24" s="19"/>
      <c r="RIU24" s="19"/>
      <c r="RIV24" s="19"/>
      <c r="RIW24" s="19"/>
      <c r="RIX24" s="19"/>
      <c r="RIY24" s="19"/>
      <c r="RIZ24" s="19"/>
      <c r="RJA24" s="19"/>
      <c r="RJB24" s="19"/>
      <c r="RJC24" s="19"/>
      <c r="RJD24" s="19"/>
      <c r="RJE24" s="19"/>
      <c r="RJF24" s="19"/>
      <c r="RJG24" s="19"/>
      <c r="RJH24" s="19"/>
      <c r="RJI24" s="19"/>
      <c r="RJJ24" s="19"/>
      <c r="RJK24" s="19"/>
      <c r="RJL24" s="19"/>
      <c r="RJM24" s="19"/>
      <c r="RJN24" s="19"/>
      <c r="RJO24" s="19"/>
      <c r="RJP24" s="19"/>
      <c r="RJQ24" s="19"/>
      <c r="RJR24" s="19"/>
      <c r="RJS24" s="19"/>
      <c r="RJT24" s="19"/>
      <c r="RJU24" s="19"/>
      <c r="RJV24" s="19"/>
      <c r="RJW24" s="19"/>
      <c r="RJX24" s="19"/>
      <c r="RJY24" s="19"/>
      <c r="RJZ24" s="19"/>
      <c r="RKA24" s="19"/>
      <c r="RKB24" s="19"/>
      <c r="RKC24" s="19"/>
      <c r="RKD24" s="19"/>
      <c r="RKE24" s="19"/>
      <c r="RKF24" s="19"/>
      <c r="RKG24" s="19"/>
      <c r="RKH24" s="19"/>
      <c r="RKI24" s="19"/>
      <c r="RKJ24" s="19"/>
      <c r="RKK24" s="19"/>
      <c r="RKL24" s="19"/>
      <c r="RKM24" s="19"/>
      <c r="RKN24" s="19"/>
      <c r="RKO24" s="19"/>
      <c r="RKP24" s="19"/>
      <c r="RKQ24" s="19"/>
      <c r="RKR24" s="19"/>
      <c r="RKS24" s="19"/>
      <c r="RKT24" s="19"/>
      <c r="RKU24" s="19"/>
      <c r="RKV24" s="19"/>
      <c r="RKW24" s="19"/>
      <c r="RKX24" s="19"/>
      <c r="RKY24" s="19"/>
      <c r="RKZ24" s="19"/>
      <c r="RLA24" s="19"/>
      <c r="RLB24" s="19"/>
      <c r="RLC24" s="19"/>
      <c r="RLD24" s="19"/>
      <c r="RLE24" s="19"/>
      <c r="RLF24" s="19"/>
      <c r="RLG24" s="19"/>
      <c r="RLH24" s="19"/>
      <c r="RLI24" s="19"/>
      <c r="RLJ24" s="19"/>
      <c r="RLK24" s="19"/>
      <c r="RLL24" s="19"/>
      <c r="RLM24" s="19"/>
      <c r="RLN24" s="19"/>
      <c r="RLO24" s="19"/>
      <c r="RLP24" s="19"/>
      <c r="RLQ24" s="19"/>
      <c r="RLR24" s="19"/>
      <c r="RLS24" s="19"/>
      <c r="RLT24" s="19"/>
      <c r="RLU24" s="19"/>
      <c r="RLV24" s="19"/>
      <c r="RLW24" s="19"/>
      <c r="RLX24" s="19"/>
      <c r="RLY24" s="19"/>
      <c r="RLZ24" s="19"/>
      <c r="RMA24" s="19"/>
      <c r="RMB24" s="19"/>
      <c r="RMC24" s="19"/>
      <c r="RMD24" s="19"/>
      <c r="RME24" s="19"/>
      <c r="RMF24" s="19"/>
      <c r="RMG24" s="19"/>
      <c r="RMH24" s="19"/>
      <c r="RMI24" s="19"/>
      <c r="RMJ24" s="19"/>
      <c r="RMK24" s="19"/>
      <c r="RML24" s="19"/>
      <c r="RMM24" s="19"/>
      <c r="RMN24" s="19"/>
      <c r="RMO24" s="19"/>
      <c r="RMP24" s="19"/>
      <c r="RMQ24" s="19"/>
      <c r="RMR24" s="19"/>
      <c r="RMS24" s="19"/>
      <c r="RMT24" s="19"/>
      <c r="RMU24" s="19"/>
      <c r="RMV24" s="19"/>
      <c r="RMW24" s="19"/>
      <c r="RMX24" s="19"/>
      <c r="RMY24" s="19"/>
      <c r="RMZ24" s="19"/>
      <c r="RNA24" s="19"/>
      <c r="RNB24" s="19"/>
      <c r="RNC24" s="19"/>
      <c r="RND24" s="19"/>
      <c r="RNE24" s="19"/>
      <c r="RNF24" s="19"/>
      <c r="RNG24" s="19"/>
      <c r="RNH24" s="19"/>
      <c r="RNI24" s="19"/>
      <c r="RNJ24" s="19"/>
      <c r="RNK24" s="19"/>
      <c r="RNL24" s="19"/>
      <c r="RNM24" s="19"/>
      <c r="RNN24" s="19"/>
      <c r="RNO24" s="19"/>
      <c r="RNP24" s="19"/>
      <c r="RNQ24" s="19"/>
      <c r="RNR24" s="19"/>
      <c r="RNS24" s="19"/>
      <c r="RNT24" s="19"/>
      <c r="RNU24" s="19"/>
      <c r="RNV24" s="19"/>
      <c r="RNW24" s="19"/>
      <c r="RNX24" s="19"/>
      <c r="RNY24" s="19"/>
      <c r="RNZ24" s="19"/>
      <c r="ROA24" s="19"/>
      <c r="ROB24" s="19"/>
      <c r="ROC24" s="19"/>
      <c r="ROD24" s="19"/>
      <c r="ROE24" s="19"/>
      <c r="ROF24" s="19"/>
      <c r="ROG24" s="19"/>
      <c r="ROH24" s="19"/>
      <c r="ROI24" s="19"/>
      <c r="ROJ24" s="19"/>
      <c r="ROK24" s="19"/>
      <c r="ROL24" s="19"/>
      <c r="ROM24" s="19"/>
      <c r="RON24" s="19"/>
      <c r="ROO24" s="19"/>
      <c r="ROP24" s="19"/>
      <c r="ROQ24" s="19"/>
      <c r="ROR24" s="19"/>
      <c r="ROS24" s="19"/>
      <c r="ROT24" s="19"/>
      <c r="ROU24" s="19"/>
      <c r="ROV24" s="19"/>
      <c r="ROW24" s="19"/>
      <c r="ROX24" s="19"/>
      <c r="ROY24" s="19"/>
      <c r="ROZ24" s="19"/>
      <c r="RPA24" s="19"/>
      <c r="RPB24" s="19"/>
      <c r="RPC24" s="19"/>
      <c r="RPD24" s="19"/>
      <c r="RPE24" s="19"/>
      <c r="RPF24" s="19"/>
      <c r="RPG24" s="19"/>
      <c r="RPH24" s="19"/>
      <c r="RPI24" s="19"/>
      <c r="RPJ24" s="19"/>
      <c r="RPK24" s="19"/>
      <c r="RPL24" s="19"/>
      <c r="RPM24" s="19"/>
      <c r="RPN24" s="19"/>
      <c r="RPO24" s="19"/>
      <c r="RPP24" s="19"/>
      <c r="RPQ24" s="19"/>
      <c r="RPR24" s="19"/>
      <c r="RPS24" s="19"/>
      <c r="RPT24" s="19"/>
      <c r="RPU24" s="19"/>
      <c r="RPV24" s="19"/>
      <c r="RPW24" s="19"/>
      <c r="RPX24" s="19"/>
      <c r="RPY24" s="19"/>
      <c r="RPZ24" s="19"/>
      <c r="RQA24" s="19"/>
      <c r="RQB24" s="19"/>
      <c r="RQC24" s="19"/>
      <c r="RQD24" s="19"/>
      <c r="RQE24" s="19"/>
      <c r="RQF24" s="19"/>
      <c r="RQG24" s="19"/>
      <c r="RQH24" s="19"/>
      <c r="RQI24" s="19"/>
      <c r="RQJ24" s="19"/>
      <c r="RQK24" s="19"/>
      <c r="RQL24" s="19"/>
      <c r="RQM24" s="19"/>
      <c r="RQN24" s="19"/>
      <c r="RQO24" s="19"/>
      <c r="RQP24" s="19"/>
      <c r="RQQ24" s="19"/>
      <c r="RQR24" s="19"/>
      <c r="RQS24" s="19"/>
      <c r="RQT24" s="19"/>
      <c r="RQU24" s="19"/>
      <c r="RQV24" s="19"/>
      <c r="RQW24" s="19"/>
      <c r="RQX24" s="19"/>
      <c r="RQY24" s="19"/>
      <c r="RQZ24" s="19"/>
      <c r="RRA24" s="19"/>
      <c r="RRB24" s="19"/>
      <c r="RRC24" s="19"/>
      <c r="RRD24" s="19"/>
      <c r="RRE24" s="19"/>
      <c r="RRF24" s="19"/>
      <c r="RRG24" s="19"/>
      <c r="RRH24" s="19"/>
      <c r="RRI24" s="19"/>
      <c r="RRJ24" s="19"/>
      <c r="RRK24" s="19"/>
      <c r="RRL24" s="19"/>
      <c r="RRM24" s="19"/>
      <c r="RRN24" s="19"/>
      <c r="RRO24" s="19"/>
      <c r="RRP24" s="19"/>
      <c r="RRQ24" s="19"/>
      <c r="RRR24" s="19"/>
      <c r="RRS24" s="19"/>
      <c r="RRT24" s="19"/>
      <c r="RRU24" s="19"/>
      <c r="RRV24" s="19"/>
      <c r="RRW24" s="19"/>
      <c r="RRX24" s="19"/>
      <c r="RRY24" s="19"/>
      <c r="RRZ24" s="19"/>
      <c r="RSA24" s="19"/>
      <c r="RSB24" s="19"/>
      <c r="RSC24" s="19"/>
      <c r="RSD24" s="19"/>
      <c r="RSE24" s="19"/>
      <c r="RSF24" s="19"/>
      <c r="RSG24" s="19"/>
      <c r="RSH24" s="19"/>
      <c r="RSI24" s="19"/>
      <c r="RSJ24" s="19"/>
      <c r="RSK24" s="19"/>
      <c r="RSL24" s="19"/>
      <c r="RSM24" s="19"/>
      <c r="RSN24" s="19"/>
      <c r="RSO24" s="19"/>
      <c r="RSP24" s="19"/>
      <c r="RSQ24" s="19"/>
      <c r="RSR24" s="19"/>
      <c r="RSS24" s="19"/>
      <c r="RST24" s="19"/>
      <c r="RSU24" s="19"/>
      <c r="RSV24" s="19"/>
      <c r="RSW24" s="19"/>
      <c r="RSX24" s="19"/>
      <c r="RSY24" s="19"/>
      <c r="RSZ24" s="19"/>
      <c r="RTA24" s="19"/>
      <c r="RTB24" s="19"/>
      <c r="RTC24" s="19"/>
      <c r="RTD24" s="19"/>
      <c r="RTE24" s="19"/>
      <c r="RTF24" s="19"/>
      <c r="RTG24" s="19"/>
      <c r="RTH24" s="19"/>
      <c r="RTI24" s="19"/>
      <c r="RTJ24" s="19"/>
      <c r="RTK24" s="19"/>
      <c r="RTL24" s="19"/>
      <c r="RTM24" s="19"/>
      <c r="RTN24" s="19"/>
      <c r="RTO24" s="19"/>
      <c r="RTP24" s="19"/>
      <c r="RTQ24" s="19"/>
      <c r="RTR24" s="19"/>
      <c r="RTS24" s="19"/>
      <c r="RTT24" s="19"/>
      <c r="RTU24" s="19"/>
      <c r="RTV24" s="19"/>
      <c r="RTW24" s="19"/>
      <c r="RTX24" s="19"/>
      <c r="RTY24" s="19"/>
      <c r="RTZ24" s="19"/>
      <c r="RUA24" s="19"/>
      <c r="RUB24" s="19"/>
      <c r="RUC24" s="19"/>
      <c r="RUD24" s="19"/>
      <c r="RUE24" s="19"/>
      <c r="RUF24" s="19"/>
      <c r="RUG24" s="19"/>
      <c r="RUH24" s="19"/>
      <c r="RUI24" s="19"/>
      <c r="RUJ24" s="19"/>
      <c r="RUK24" s="19"/>
      <c r="RUL24" s="19"/>
      <c r="RUM24" s="19"/>
      <c r="RUN24" s="19"/>
      <c r="RUO24" s="19"/>
      <c r="RUP24" s="19"/>
      <c r="RUQ24" s="19"/>
      <c r="RUR24" s="19"/>
      <c r="RUS24" s="19"/>
      <c r="RUT24" s="19"/>
      <c r="RUU24" s="19"/>
      <c r="RUV24" s="19"/>
      <c r="RUW24" s="19"/>
      <c r="RUX24" s="19"/>
      <c r="RUY24" s="19"/>
      <c r="RUZ24" s="19"/>
      <c r="RVA24" s="19"/>
      <c r="RVB24" s="19"/>
      <c r="RVC24" s="19"/>
      <c r="RVD24" s="19"/>
      <c r="RVE24" s="19"/>
      <c r="RVF24" s="19"/>
      <c r="RVG24" s="19"/>
      <c r="RVH24" s="19"/>
      <c r="RVI24" s="19"/>
      <c r="RVJ24" s="19"/>
      <c r="RVK24" s="19"/>
      <c r="RVL24" s="19"/>
      <c r="RVM24" s="19"/>
      <c r="RVN24" s="19"/>
      <c r="RVO24" s="19"/>
      <c r="RVP24" s="19"/>
      <c r="RVQ24" s="19"/>
      <c r="RVR24" s="19"/>
      <c r="RVS24" s="19"/>
      <c r="RVT24" s="19"/>
      <c r="RVU24" s="19"/>
      <c r="RVV24" s="19"/>
      <c r="RVW24" s="19"/>
      <c r="RVX24" s="19"/>
      <c r="RVY24" s="19"/>
      <c r="RVZ24" s="19"/>
      <c r="RWA24" s="19"/>
      <c r="RWB24" s="19"/>
      <c r="RWC24" s="19"/>
      <c r="RWD24" s="19"/>
      <c r="RWE24" s="19"/>
      <c r="RWF24" s="19"/>
      <c r="RWG24" s="19"/>
      <c r="RWH24" s="19"/>
      <c r="RWI24" s="19"/>
      <c r="RWJ24" s="19"/>
      <c r="RWK24" s="19"/>
      <c r="RWL24" s="19"/>
      <c r="RWM24" s="19"/>
      <c r="RWN24" s="19"/>
      <c r="RWO24" s="19"/>
      <c r="RWP24" s="19"/>
      <c r="RWQ24" s="19"/>
      <c r="RWR24" s="19"/>
      <c r="RWS24" s="19"/>
      <c r="RWT24" s="19"/>
      <c r="RWU24" s="19"/>
      <c r="RWV24" s="19"/>
      <c r="RWW24" s="19"/>
      <c r="RWX24" s="19"/>
      <c r="RWY24" s="19"/>
      <c r="RWZ24" s="19"/>
      <c r="RXA24" s="19"/>
      <c r="RXB24" s="19"/>
      <c r="RXC24" s="19"/>
      <c r="RXD24" s="19"/>
      <c r="RXE24" s="19"/>
      <c r="RXF24" s="19"/>
      <c r="RXG24" s="19"/>
      <c r="RXH24" s="19"/>
      <c r="RXI24" s="19"/>
      <c r="RXJ24" s="19"/>
      <c r="RXK24" s="19"/>
      <c r="RXL24" s="19"/>
      <c r="RXM24" s="19"/>
      <c r="RXN24" s="19"/>
      <c r="RXO24" s="19"/>
      <c r="RXP24" s="19"/>
      <c r="RXQ24" s="19"/>
      <c r="RXR24" s="19"/>
      <c r="RXS24" s="19"/>
      <c r="RXT24" s="19"/>
      <c r="RXU24" s="19"/>
      <c r="RXV24" s="19"/>
      <c r="RXW24" s="19"/>
      <c r="RXX24" s="19"/>
      <c r="RXY24" s="19"/>
      <c r="RXZ24" s="19"/>
      <c r="RYA24" s="19"/>
      <c r="RYB24" s="19"/>
      <c r="RYC24" s="19"/>
      <c r="RYD24" s="19"/>
      <c r="RYE24" s="19"/>
      <c r="RYF24" s="19"/>
      <c r="RYG24" s="19"/>
      <c r="RYH24" s="19"/>
      <c r="RYI24" s="19"/>
      <c r="RYJ24" s="19"/>
      <c r="RYK24" s="19"/>
      <c r="RYL24" s="19"/>
      <c r="RYM24" s="19"/>
      <c r="RYN24" s="19"/>
      <c r="RYO24" s="19"/>
      <c r="RYP24" s="19"/>
      <c r="RYQ24" s="19"/>
      <c r="RYR24" s="19"/>
      <c r="RYS24" s="19"/>
      <c r="RYT24" s="19"/>
      <c r="RYU24" s="19"/>
      <c r="RYV24" s="19"/>
      <c r="RYW24" s="19"/>
      <c r="RYX24" s="19"/>
      <c r="RYY24" s="19"/>
      <c r="RYZ24" s="19"/>
      <c r="RZA24" s="19"/>
      <c r="RZB24" s="19"/>
      <c r="RZC24" s="19"/>
      <c r="RZD24" s="19"/>
      <c r="RZE24" s="19"/>
      <c r="RZF24" s="19"/>
      <c r="RZG24" s="19"/>
      <c r="RZH24" s="19"/>
      <c r="RZI24" s="19"/>
      <c r="RZJ24" s="19"/>
      <c r="RZK24" s="19"/>
      <c r="RZL24" s="19"/>
      <c r="RZM24" s="19"/>
      <c r="RZN24" s="19"/>
      <c r="RZO24" s="19"/>
      <c r="RZP24" s="19"/>
      <c r="RZQ24" s="19"/>
      <c r="RZR24" s="19"/>
      <c r="RZS24" s="19"/>
      <c r="RZT24" s="19"/>
      <c r="RZU24" s="19"/>
      <c r="RZV24" s="19"/>
      <c r="RZW24" s="19"/>
      <c r="RZX24" s="19"/>
      <c r="RZY24" s="19"/>
      <c r="RZZ24" s="19"/>
      <c r="SAA24" s="19"/>
      <c r="SAB24" s="19"/>
      <c r="SAC24" s="19"/>
      <c r="SAD24" s="19"/>
      <c r="SAE24" s="19"/>
      <c r="SAF24" s="19"/>
      <c r="SAG24" s="19"/>
      <c r="SAH24" s="19"/>
      <c r="SAI24" s="19"/>
      <c r="SAJ24" s="19"/>
      <c r="SAK24" s="19"/>
      <c r="SAL24" s="19"/>
      <c r="SAM24" s="19"/>
      <c r="SAN24" s="19"/>
      <c r="SAO24" s="19"/>
      <c r="SAP24" s="19"/>
      <c r="SAQ24" s="19"/>
      <c r="SAR24" s="19"/>
      <c r="SAS24" s="19"/>
      <c r="SAT24" s="19"/>
      <c r="SAU24" s="19"/>
      <c r="SAV24" s="19"/>
      <c r="SAW24" s="19"/>
      <c r="SAX24" s="19"/>
      <c r="SAY24" s="19"/>
      <c r="SAZ24" s="19"/>
      <c r="SBA24" s="19"/>
      <c r="SBB24" s="19"/>
      <c r="SBC24" s="19"/>
      <c r="SBD24" s="19"/>
      <c r="SBE24" s="19"/>
      <c r="SBF24" s="19"/>
      <c r="SBG24" s="19"/>
      <c r="SBH24" s="19"/>
      <c r="SBI24" s="19"/>
      <c r="SBJ24" s="19"/>
      <c r="SBK24" s="19"/>
      <c r="SBL24" s="19"/>
      <c r="SBM24" s="19"/>
      <c r="SBN24" s="19"/>
      <c r="SBO24" s="19"/>
      <c r="SBP24" s="19"/>
      <c r="SBQ24" s="19"/>
      <c r="SBR24" s="19"/>
      <c r="SBS24" s="19"/>
      <c r="SBT24" s="19"/>
      <c r="SBU24" s="19"/>
      <c r="SBV24" s="19"/>
      <c r="SBW24" s="19"/>
      <c r="SBX24" s="19"/>
      <c r="SBY24" s="19"/>
      <c r="SBZ24" s="19"/>
      <c r="SCA24" s="19"/>
      <c r="SCB24" s="19"/>
      <c r="SCC24" s="19"/>
      <c r="SCD24" s="19"/>
      <c r="SCE24" s="19"/>
      <c r="SCF24" s="19"/>
      <c r="SCG24" s="19"/>
      <c r="SCH24" s="19"/>
      <c r="SCI24" s="19"/>
      <c r="SCJ24" s="19"/>
      <c r="SCK24" s="19"/>
      <c r="SCL24" s="19"/>
      <c r="SCM24" s="19"/>
      <c r="SCN24" s="19"/>
      <c r="SCO24" s="19"/>
      <c r="SCP24" s="19"/>
      <c r="SCQ24" s="19"/>
      <c r="SCR24" s="19"/>
      <c r="SCS24" s="19"/>
      <c r="SCT24" s="19"/>
      <c r="SCU24" s="19"/>
      <c r="SCV24" s="19"/>
      <c r="SCW24" s="19"/>
      <c r="SCX24" s="19"/>
      <c r="SCY24" s="19"/>
      <c r="SCZ24" s="19"/>
      <c r="SDA24" s="19"/>
      <c r="SDB24" s="19"/>
      <c r="SDC24" s="19"/>
      <c r="SDD24" s="19"/>
      <c r="SDE24" s="19"/>
      <c r="SDF24" s="19"/>
      <c r="SDG24" s="19"/>
      <c r="SDH24" s="19"/>
      <c r="SDI24" s="19"/>
      <c r="SDJ24" s="19"/>
      <c r="SDK24" s="19"/>
      <c r="SDL24" s="19"/>
      <c r="SDM24" s="19"/>
      <c r="SDN24" s="19"/>
      <c r="SDO24" s="19"/>
      <c r="SDP24" s="19"/>
      <c r="SDQ24" s="19"/>
      <c r="SDR24" s="19"/>
      <c r="SDS24" s="19"/>
      <c r="SDT24" s="19"/>
      <c r="SDU24" s="19"/>
      <c r="SDV24" s="19"/>
      <c r="SDW24" s="19"/>
      <c r="SDX24" s="19"/>
      <c r="SDY24" s="19"/>
      <c r="SDZ24" s="19"/>
      <c r="SEA24" s="19"/>
      <c r="SEB24" s="19"/>
      <c r="SEC24" s="19"/>
      <c r="SED24" s="19"/>
      <c r="SEE24" s="19"/>
      <c r="SEF24" s="19"/>
      <c r="SEG24" s="19"/>
      <c r="SEH24" s="19"/>
      <c r="SEI24" s="19"/>
      <c r="SEJ24" s="19"/>
      <c r="SEK24" s="19"/>
      <c r="SEL24" s="19"/>
      <c r="SEM24" s="19"/>
      <c r="SEN24" s="19"/>
      <c r="SEO24" s="19"/>
      <c r="SEP24" s="19"/>
      <c r="SEQ24" s="19"/>
      <c r="SER24" s="19"/>
      <c r="SES24" s="19"/>
      <c r="SET24" s="19"/>
      <c r="SEU24" s="19"/>
      <c r="SEV24" s="19"/>
      <c r="SEW24" s="19"/>
      <c r="SEX24" s="19"/>
      <c r="SEY24" s="19"/>
      <c r="SEZ24" s="19"/>
      <c r="SFA24" s="19"/>
      <c r="SFB24" s="19"/>
      <c r="SFC24" s="19"/>
      <c r="SFD24" s="19"/>
      <c r="SFE24" s="19"/>
      <c r="SFF24" s="19"/>
      <c r="SFG24" s="19"/>
      <c r="SFH24" s="19"/>
      <c r="SFI24" s="19"/>
      <c r="SFJ24" s="19"/>
      <c r="SFK24" s="19"/>
      <c r="SFL24" s="19"/>
      <c r="SFM24" s="19"/>
      <c r="SFN24" s="19"/>
      <c r="SFO24" s="19"/>
      <c r="SFP24" s="19"/>
      <c r="SFQ24" s="19"/>
      <c r="SFR24" s="19"/>
      <c r="SFS24" s="19"/>
      <c r="SFT24" s="19"/>
      <c r="SFU24" s="19"/>
      <c r="SFV24" s="19"/>
      <c r="SFW24" s="19"/>
      <c r="SFX24" s="19"/>
      <c r="SFY24" s="19"/>
      <c r="SFZ24" s="19"/>
      <c r="SGA24" s="19"/>
      <c r="SGB24" s="19"/>
      <c r="SGC24" s="19"/>
      <c r="SGD24" s="19"/>
      <c r="SGE24" s="19"/>
      <c r="SGF24" s="19"/>
      <c r="SGG24" s="19"/>
      <c r="SGH24" s="19"/>
      <c r="SGI24" s="19"/>
      <c r="SGJ24" s="19"/>
      <c r="SGK24" s="19"/>
      <c r="SGL24" s="19"/>
      <c r="SGM24" s="19"/>
      <c r="SGN24" s="19"/>
      <c r="SGO24" s="19"/>
      <c r="SGP24" s="19"/>
      <c r="SGQ24" s="19"/>
      <c r="SGR24" s="19"/>
      <c r="SGS24" s="19"/>
      <c r="SGT24" s="19"/>
      <c r="SGU24" s="19"/>
      <c r="SGV24" s="19"/>
      <c r="SGW24" s="19"/>
      <c r="SGX24" s="19"/>
      <c r="SGY24" s="19"/>
      <c r="SGZ24" s="19"/>
      <c r="SHA24" s="19"/>
      <c r="SHB24" s="19"/>
      <c r="SHC24" s="19"/>
      <c r="SHD24" s="19"/>
      <c r="SHE24" s="19"/>
      <c r="SHF24" s="19"/>
      <c r="SHG24" s="19"/>
      <c r="SHH24" s="19"/>
      <c r="SHI24" s="19"/>
      <c r="SHJ24" s="19"/>
      <c r="SHK24" s="19"/>
      <c r="SHL24" s="19"/>
      <c r="SHM24" s="19"/>
      <c r="SHN24" s="19"/>
      <c r="SHO24" s="19"/>
      <c r="SHP24" s="19"/>
      <c r="SHQ24" s="19"/>
      <c r="SHR24" s="19"/>
      <c r="SHS24" s="19"/>
      <c r="SHT24" s="19"/>
      <c r="SHU24" s="19"/>
      <c r="SHV24" s="19"/>
      <c r="SHW24" s="19"/>
      <c r="SHX24" s="19"/>
      <c r="SHY24" s="19"/>
      <c r="SHZ24" s="19"/>
      <c r="SIA24" s="19"/>
      <c r="SIB24" s="19"/>
      <c r="SIC24" s="19"/>
      <c r="SID24" s="19"/>
      <c r="SIE24" s="19"/>
      <c r="SIF24" s="19"/>
      <c r="SIG24" s="19"/>
      <c r="SIH24" s="19"/>
      <c r="SII24" s="19"/>
      <c r="SIJ24" s="19"/>
      <c r="SIK24" s="19"/>
      <c r="SIL24" s="19"/>
      <c r="SIM24" s="19"/>
      <c r="SIN24" s="19"/>
      <c r="SIO24" s="19"/>
      <c r="SIP24" s="19"/>
      <c r="SIQ24" s="19"/>
      <c r="SIR24" s="19"/>
      <c r="SIS24" s="19"/>
      <c r="SIT24" s="19"/>
      <c r="SIU24" s="19"/>
      <c r="SIV24" s="19"/>
      <c r="SIW24" s="19"/>
      <c r="SIX24" s="19"/>
      <c r="SIY24" s="19"/>
      <c r="SIZ24" s="19"/>
      <c r="SJA24" s="19"/>
      <c r="SJB24" s="19"/>
      <c r="SJC24" s="19"/>
      <c r="SJD24" s="19"/>
      <c r="SJE24" s="19"/>
      <c r="SJF24" s="19"/>
      <c r="SJG24" s="19"/>
      <c r="SJH24" s="19"/>
      <c r="SJI24" s="19"/>
      <c r="SJJ24" s="19"/>
      <c r="SJK24" s="19"/>
      <c r="SJL24" s="19"/>
      <c r="SJM24" s="19"/>
      <c r="SJN24" s="19"/>
      <c r="SJO24" s="19"/>
      <c r="SJP24" s="19"/>
      <c r="SJQ24" s="19"/>
      <c r="SJR24" s="19"/>
      <c r="SJS24" s="19"/>
      <c r="SJT24" s="19"/>
      <c r="SJU24" s="19"/>
      <c r="SJV24" s="19"/>
      <c r="SJW24" s="19"/>
      <c r="SJX24" s="19"/>
      <c r="SJY24" s="19"/>
      <c r="SJZ24" s="19"/>
      <c r="SKA24" s="19"/>
      <c r="SKB24" s="19"/>
      <c r="SKC24" s="19"/>
      <c r="SKD24" s="19"/>
      <c r="SKE24" s="19"/>
      <c r="SKF24" s="19"/>
      <c r="SKG24" s="19"/>
      <c r="SKH24" s="19"/>
      <c r="SKI24" s="19"/>
      <c r="SKJ24" s="19"/>
      <c r="SKK24" s="19"/>
      <c r="SKL24" s="19"/>
      <c r="SKM24" s="19"/>
      <c r="SKN24" s="19"/>
      <c r="SKO24" s="19"/>
      <c r="SKP24" s="19"/>
      <c r="SKQ24" s="19"/>
      <c r="SKR24" s="19"/>
      <c r="SKS24" s="19"/>
      <c r="SKT24" s="19"/>
      <c r="SKU24" s="19"/>
      <c r="SKV24" s="19"/>
      <c r="SKW24" s="19"/>
      <c r="SKX24" s="19"/>
      <c r="SKY24" s="19"/>
      <c r="SKZ24" s="19"/>
      <c r="SLA24" s="19"/>
      <c r="SLB24" s="19"/>
      <c r="SLC24" s="19"/>
      <c r="SLD24" s="19"/>
      <c r="SLE24" s="19"/>
      <c r="SLF24" s="19"/>
      <c r="SLG24" s="19"/>
      <c r="SLH24" s="19"/>
      <c r="SLI24" s="19"/>
      <c r="SLJ24" s="19"/>
      <c r="SLK24" s="19"/>
      <c r="SLL24" s="19"/>
      <c r="SLM24" s="19"/>
      <c r="SLN24" s="19"/>
      <c r="SLO24" s="19"/>
      <c r="SLP24" s="19"/>
      <c r="SLQ24" s="19"/>
      <c r="SLR24" s="19"/>
      <c r="SLS24" s="19"/>
      <c r="SLT24" s="19"/>
      <c r="SLU24" s="19"/>
      <c r="SLV24" s="19"/>
      <c r="SLW24" s="19"/>
      <c r="SLX24" s="19"/>
      <c r="SLY24" s="19"/>
      <c r="SLZ24" s="19"/>
      <c r="SMA24" s="19"/>
      <c r="SMB24" s="19"/>
      <c r="SMC24" s="19"/>
      <c r="SMD24" s="19"/>
      <c r="SME24" s="19"/>
      <c r="SMF24" s="19"/>
      <c r="SMG24" s="19"/>
      <c r="SMH24" s="19"/>
      <c r="SMI24" s="19"/>
      <c r="SMJ24" s="19"/>
      <c r="SMK24" s="19"/>
      <c r="SML24" s="19"/>
      <c r="SMM24" s="19"/>
      <c r="SMN24" s="19"/>
      <c r="SMO24" s="19"/>
      <c r="SMP24" s="19"/>
      <c r="SMQ24" s="19"/>
      <c r="SMR24" s="19"/>
      <c r="SMS24" s="19"/>
      <c r="SMT24" s="19"/>
      <c r="SMU24" s="19"/>
      <c r="SMV24" s="19"/>
      <c r="SMW24" s="19"/>
      <c r="SMX24" s="19"/>
      <c r="SMY24" s="19"/>
      <c r="SMZ24" s="19"/>
      <c r="SNA24" s="19"/>
      <c r="SNB24" s="19"/>
      <c r="SNC24" s="19"/>
      <c r="SND24" s="19"/>
      <c r="SNE24" s="19"/>
      <c r="SNF24" s="19"/>
      <c r="SNG24" s="19"/>
      <c r="SNH24" s="19"/>
      <c r="SNI24" s="19"/>
      <c r="SNJ24" s="19"/>
      <c r="SNK24" s="19"/>
      <c r="SNL24" s="19"/>
      <c r="SNM24" s="19"/>
      <c r="SNN24" s="19"/>
      <c r="SNO24" s="19"/>
      <c r="SNP24" s="19"/>
      <c r="SNQ24" s="19"/>
      <c r="SNR24" s="19"/>
      <c r="SNS24" s="19"/>
      <c r="SNT24" s="19"/>
      <c r="SNU24" s="19"/>
      <c r="SNV24" s="19"/>
      <c r="SNW24" s="19"/>
      <c r="SNX24" s="19"/>
      <c r="SNY24" s="19"/>
      <c r="SNZ24" s="19"/>
      <c r="SOA24" s="19"/>
      <c r="SOB24" s="19"/>
      <c r="SOC24" s="19"/>
      <c r="SOD24" s="19"/>
      <c r="SOE24" s="19"/>
      <c r="SOF24" s="19"/>
      <c r="SOG24" s="19"/>
      <c r="SOH24" s="19"/>
      <c r="SOI24" s="19"/>
      <c r="SOJ24" s="19"/>
      <c r="SOK24" s="19"/>
      <c r="SOL24" s="19"/>
      <c r="SOM24" s="19"/>
      <c r="SON24" s="19"/>
      <c r="SOO24" s="19"/>
      <c r="SOP24" s="19"/>
      <c r="SOQ24" s="19"/>
      <c r="SOR24" s="19"/>
      <c r="SOS24" s="19"/>
      <c r="SOT24" s="19"/>
      <c r="SOU24" s="19"/>
      <c r="SOV24" s="19"/>
      <c r="SOW24" s="19"/>
      <c r="SOX24" s="19"/>
      <c r="SOY24" s="19"/>
      <c r="SOZ24" s="19"/>
      <c r="SPA24" s="19"/>
      <c r="SPB24" s="19"/>
      <c r="SPC24" s="19"/>
      <c r="SPD24" s="19"/>
      <c r="SPE24" s="19"/>
      <c r="SPF24" s="19"/>
      <c r="SPG24" s="19"/>
      <c r="SPH24" s="19"/>
      <c r="SPI24" s="19"/>
      <c r="SPJ24" s="19"/>
      <c r="SPK24" s="19"/>
      <c r="SPL24" s="19"/>
      <c r="SPM24" s="19"/>
      <c r="SPN24" s="19"/>
      <c r="SPO24" s="19"/>
      <c r="SPP24" s="19"/>
      <c r="SPQ24" s="19"/>
      <c r="SPR24" s="19"/>
      <c r="SPS24" s="19"/>
      <c r="SPT24" s="19"/>
      <c r="SPU24" s="19"/>
      <c r="SPV24" s="19"/>
      <c r="SPW24" s="19"/>
      <c r="SPX24" s="19"/>
      <c r="SPY24" s="19"/>
      <c r="SPZ24" s="19"/>
      <c r="SQA24" s="19"/>
      <c r="SQB24" s="19"/>
      <c r="SQC24" s="19"/>
      <c r="SQD24" s="19"/>
      <c r="SQE24" s="19"/>
      <c r="SQF24" s="19"/>
      <c r="SQG24" s="19"/>
      <c r="SQH24" s="19"/>
      <c r="SQI24" s="19"/>
      <c r="SQJ24" s="19"/>
      <c r="SQK24" s="19"/>
      <c r="SQL24" s="19"/>
      <c r="SQM24" s="19"/>
      <c r="SQN24" s="19"/>
      <c r="SQO24" s="19"/>
      <c r="SQP24" s="19"/>
      <c r="SQQ24" s="19"/>
      <c r="SQR24" s="19"/>
      <c r="SQS24" s="19"/>
      <c r="SQT24" s="19"/>
      <c r="SQU24" s="19"/>
      <c r="SQV24" s="19"/>
      <c r="SQW24" s="19"/>
      <c r="SQX24" s="19"/>
      <c r="SQY24" s="19"/>
      <c r="SQZ24" s="19"/>
      <c r="SRA24" s="19"/>
      <c r="SRB24" s="19"/>
      <c r="SRC24" s="19"/>
      <c r="SRD24" s="19"/>
      <c r="SRE24" s="19"/>
      <c r="SRF24" s="19"/>
      <c r="SRG24" s="19"/>
      <c r="SRH24" s="19"/>
      <c r="SRI24" s="19"/>
      <c r="SRJ24" s="19"/>
      <c r="SRK24" s="19"/>
      <c r="SRL24" s="19"/>
      <c r="SRM24" s="19"/>
      <c r="SRN24" s="19"/>
      <c r="SRO24" s="19"/>
      <c r="SRP24" s="19"/>
      <c r="SRQ24" s="19"/>
      <c r="SRR24" s="19"/>
      <c r="SRS24" s="19"/>
      <c r="SRT24" s="19"/>
      <c r="SRU24" s="19"/>
      <c r="SRV24" s="19"/>
      <c r="SRW24" s="19"/>
      <c r="SRX24" s="19"/>
      <c r="SRY24" s="19"/>
      <c r="SRZ24" s="19"/>
      <c r="SSA24" s="19"/>
      <c r="SSB24" s="19"/>
      <c r="SSC24" s="19"/>
      <c r="SSD24" s="19"/>
      <c r="SSE24" s="19"/>
      <c r="SSF24" s="19"/>
      <c r="SSG24" s="19"/>
      <c r="SSH24" s="19"/>
      <c r="SSI24" s="19"/>
      <c r="SSJ24" s="19"/>
      <c r="SSK24" s="19"/>
      <c r="SSL24" s="19"/>
      <c r="SSM24" s="19"/>
      <c r="SSN24" s="19"/>
      <c r="SSO24" s="19"/>
      <c r="SSP24" s="19"/>
      <c r="SSQ24" s="19"/>
      <c r="SSR24" s="19"/>
      <c r="SSS24" s="19"/>
      <c r="SST24" s="19"/>
      <c r="SSU24" s="19"/>
      <c r="SSV24" s="19"/>
      <c r="SSW24" s="19"/>
      <c r="SSX24" s="19"/>
      <c r="SSY24" s="19"/>
      <c r="SSZ24" s="19"/>
      <c r="STA24" s="19"/>
      <c r="STB24" s="19"/>
      <c r="STC24" s="19"/>
      <c r="STD24" s="19"/>
      <c r="STE24" s="19"/>
      <c r="STF24" s="19"/>
      <c r="STG24" s="19"/>
      <c r="STH24" s="19"/>
      <c r="STI24" s="19"/>
      <c r="STJ24" s="19"/>
      <c r="STK24" s="19"/>
      <c r="STL24" s="19"/>
      <c r="STM24" s="19"/>
      <c r="STN24" s="19"/>
      <c r="STO24" s="19"/>
      <c r="STP24" s="19"/>
      <c r="STQ24" s="19"/>
      <c r="STR24" s="19"/>
      <c r="STS24" s="19"/>
      <c r="STT24" s="19"/>
      <c r="STU24" s="19"/>
      <c r="STV24" s="19"/>
      <c r="STW24" s="19"/>
      <c r="STX24" s="19"/>
      <c r="STY24" s="19"/>
      <c r="STZ24" s="19"/>
      <c r="SUA24" s="19"/>
      <c r="SUB24" s="19"/>
      <c r="SUC24" s="19"/>
      <c r="SUD24" s="19"/>
      <c r="SUE24" s="19"/>
      <c r="SUF24" s="19"/>
      <c r="SUG24" s="19"/>
      <c r="SUH24" s="19"/>
      <c r="SUI24" s="19"/>
      <c r="SUJ24" s="19"/>
      <c r="SUK24" s="19"/>
      <c r="SUL24" s="19"/>
      <c r="SUM24" s="19"/>
      <c r="SUN24" s="19"/>
      <c r="SUO24" s="19"/>
      <c r="SUP24" s="19"/>
      <c r="SUQ24" s="19"/>
      <c r="SUR24" s="19"/>
      <c r="SUS24" s="19"/>
      <c r="SUT24" s="19"/>
      <c r="SUU24" s="19"/>
      <c r="SUV24" s="19"/>
      <c r="SUW24" s="19"/>
      <c r="SUX24" s="19"/>
      <c r="SUY24" s="19"/>
      <c r="SUZ24" s="19"/>
      <c r="SVA24" s="19"/>
      <c r="SVB24" s="19"/>
      <c r="SVC24" s="19"/>
      <c r="SVD24" s="19"/>
      <c r="SVE24" s="19"/>
      <c r="SVF24" s="19"/>
      <c r="SVG24" s="19"/>
      <c r="SVH24" s="19"/>
      <c r="SVI24" s="19"/>
      <c r="SVJ24" s="19"/>
      <c r="SVK24" s="19"/>
      <c r="SVL24" s="19"/>
      <c r="SVM24" s="19"/>
      <c r="SVN24" s="19"/>
      <c r="SVO24" s="19"/>
      <c r="SVP24" s="19"/>
      <c r="SVQ24" s="19"/>
      <c r="SVR24" s="19"/>
      <c r="SVS24" s="19"/>
      <c r="SVT24" s="19"/>
      <c r="SVU24" s="19"/>
      <c r="SVV24" s="19"/>
      <c r="SVW24" s="19"/>
      <c r="SVX24" s="19"/>
      <c r="SVY24" s="19"/>
      <c r="SVZ24" s="19"/>
      <c r="SWA24" s="19"/>
      <c r="SWB24" s="19"/>
      <c r="SWC24" s="19"/>
      <c r="SWD24" s="19"/>
      <c r="SWE24" s="19"/>
      <c r="SWF24" s="19"/>
      <c r="SWG24" s="19"/>
      <c r="SWH24" s="19"/>
      <c r="SWI24" s="19"/>
      <c r="SWJ24" s="19"/>
      <c r="SWK24" s="19"/>
      <c r="SWL24" s="19"/>
      <c r="SWM24" s="19"/>
      <c r="SWN24" s="19"/>
      <c r="SWO24" s="19"/>
      <c r="SWP24" s="19"/>
      <c r="SWQ24" s="19"/>
      <c r="SWR24" s="19"/>
      <c r="SWS24" s="19"/>
      <c r="SWT24" s="19"/>
      <c r="SWU24" s="19"/>
      <c r="SWV24" s="19"/>
      <c r="SWW24" s="19"/>
      <c r="SWX24" s="19"/>
      <c r="SWY24" s="19"/>
      <c r="SWZ24" s="19"/>
      <c r="SXA24" s="19"/>
      <c r="SXB24" s="19"/>
      <c r="SXC24" s="19"/>
      <c r="SXD24" s="19"/>
      <c r="SXE24" s="19"/>
      <c r="SXF24" s="19"/>
      <c r="SXG24" s="19"/>
      <c r="SXH24" s="19"/>
      <c r="SXI24" s="19"/>
      <c r="SXJ24" s="19"/>
      <c r="SXK24" s="19"/>
      <c r="SXL24" s="19"/>
      <c r="SXM24" s="19"/>
      <c r="SXN24" s="19"/>
      <c r="SXO24" s="19"/>
      <c r="SXP24" s="19"/>
      <c r="SXQ24" s="19"/>
      <c r="SXR24" s="19"/>
      <c r="SXS24" s="19"/>
      <c r="SXT24" s="19"/>
      <c r="SXU24" s="19"/>
      <c r="SXV24" s="19"/>
      <c r="SXW24" s="19"/>
      <c r="SXX24" s="19"/>
      <c r="SXY24" s="19"/>
      <c r="SXZ24" s="19"/>
      <c r="SYA24" s="19"/>
      <c r="SYB24" s="19"/>
      <c r="SYC24" s="19"/>
      <c r="SYD24" s="19"/>
      <c r="SYE24" s="19"/>
      <c r="SYF24" s="19"/>
      <c r="SYG24" s="19"/>
      <c r="SYH24" s="19"/>
      <c r="SYI24" s="19"/>
      <c r="SYJ24" s="19"/>
      <c r="SYK24" s="19"/>
      <c r="SYL24" s="19"/>
      <c r="SYM24" s="19"/>
      <c r="SYN24" s="19"/>
      <c r="SYO24" s="19"/>
      <c r="SYP24" s="19"/>
      <c r="SYQ24" s="19"/>
      <c r="SYR24" s="19"/>
      <c r="SYS24" s="19"/>
      <c r="SYT24" s="19"/>
      <c r="SYU24" s="19"/>
      <c r="SYV24" s="19"/>
      <c r="SYW24" s="19"/>
      <c r="SYX24" s="19"/>
      <c r="SYY24" s="19"/>
      <c r="SYZ24" s="19"/>
      <c r="SZA24" s="19"/>
      <c r="SZB24" s="19"/>
      <c r="SZC24" s="19"/>
      <c r="SZD24" s="19"/>
      <c r="SZE24" s="19"/>
      <c r="SZF24" s="19"/>
      <c r="SZG24" s="19"/>
      <c r="SZH24" s="19"/>
      <c r="SZI24" s="19"/>
      <c r="SZJ24" s="19"/>
      <c r="SZK24" s="19"/>
      <c r="SZL24" s="19"/>
      <c r="SZM24" s="19"/>
      <c r="SZN24" s="19"/>
      <c r="SZO24" s="19"/>
      <c r="SZP24" s="19"/>
      <c r="SZQ24" s="19"/>
      <c r="SZR24" s="19"/>
      <c r="SZS24" s="19"/>
      <c r="SZT24" s="19"/>
      <c r="SZU24" s="19"/>
      <c r="SZV24" s="19"/>
      <c r="SZW24" s="19"/>
      <c r="SZX24" s="19"/>
      <c r="SZY24" s="19"/>
      <c r="SZZ24" s="19"/>
      <c r="TAA24" s="19"/>
      <c r="TAB24" s="19"/>
      <c r="TAC24" s="19"/>
      <c r="TAD24" s="19"/>
      <c r="TAE24" s="19"/>
      <c r="TAF24" s="19"/>
      <c r="TAG24" s="19"/>
      <c r="TAH24" s="19"/>
      <c r="TAI24" s="19"/>
      <c r="TAJ24" s="19"/>
      <c r="TAK24" s="19"/>
      <c r="TAL24" s="19"/>
      <c r="TAM24" s="19"/>
      <c r="TAN24" s="19"/>
      <c r="TAO24" s="19"/>
      <c r="TAP24" s="19"/>
      <c r="TAQ24" s="19"/>
      <c r="TAR24" s="19"/>
      <c r="TAS24" s="19"/>
      <c r="TAT24" s="19"/>
      <c r="TAU24" s="19"/>
      <c r="TAV24" s="19"/>
      <c r="TAW24" s="19"/>
      <c r="TAX24" s="19"/>
      <c r="TAY24" s="19"/>
      <c r="TAZ24" s="19"/>
      <c r="TBA24" s="19"/>
      <c r="TBB24" s="19"/>
      <c r="TBC24" s="19"/>
      <c r="TBD24" s="19"/>
      <c r="TBE24" s="19"/>
      <c r="TBF24" s="19"/>
      <c r="TBG24" s="19"/>
      <c r="TBH24" s="19"/>
      <c r="TBI24" s="19"/>
      <c r="TBJ24" s="19"/>
      <c r="TBK24" s="19"/>
      <c r="TBL24" s="19"/>
      <c r="TBM24" s="19"/>
      <c r="TBN24" s="19"/>
      <c r="TBO24" s="19"/>
      <c r="TBP24" s="19"/>
      <c r="TBQ24" s="19"/>
      <c r="TBR24" s="19"/>
      <c r="TBS24" s="19"/>
      <c r="TBT24" s="19"/>
      <c r="TBU24" s="19"/>
      <c r="TBV24" s="19"/>
      <c r="TBW24" s="19"/>
      <c r="TBX24" s="19"/>
      <c r="TBY24" s="19"/>
      <c r="TBZ24" s="19"/>
      <c r="TCA24" s="19"/>
      <c r="TCB24" s="19"/>
      <c r="TCC24" s="19"/>
      <c r="TCD24" s="19"/>
      <c r="TCE24" s="19"/>
      <c r="TCF24" s="19"/>
      <c r="TCG24" s="19"/>
      <c r="TCH24" s="19"/>
      <c r="TCI24" s="19"/>
      <c r="TCJ24" s="19"/>
      <c r="TCK24" s="19"/>
      <c r="TCL24" s="19"/>
      <c r="TCM24" s="19"/>
      <c r="TCN24" s="19"/>
      <c r="TCO24" s="19"/>
      <c r="TCP24" s="19"/>
      <c r="TCQ24" s="19"/>
      <c r="TCR24" s="19"/>
      <c r="TCS24" s="19"/>
      <c r="TCT24" s="19"/>
      <c r="TCU24" s="19"/>
      <c r="TCV24" s="19"/>
      <c r="TCW24" s="19"/>
      <c r="TCX24" s="19"/>
      <c r="TCY24" s="19"/>
      <c r="TCZ24" s="19"/>
      <c r="TDA24" s="19"/>
      <c r="TDB24" s="19"/>
      <c r="TDC24" s="19"/>
      <c r="TDD24" s="19"/>
      <c r="TDE24" s="19"/>
      <c r="TDF24" s="19"/>
      <c r="TDG24" s="19"/>
      <c r="TDH24" s="19"/>
      <c r="TDI24" s="19"/>
      <c r="TDJ24" s="19"/>
      <c r="TDK24" s="19"/>
      <c r="TDL24" s="19"/>
      <c r="TDM24" s="19"/>
      <c r="TDN24" s="19"/>
      <c r="TDO24" s="19"/>
      <c r="TDP24" s="19"/>
      <c r="TDQ24" s="19"/>
      <c r="TDR24" s="19"/>
      <c r="TDS24" s="19"/>
      <c r="TDT24" s="19"/>
      <c r="TDU24" s="19"/>
      <c r="TDV24" s="19"/>
      <c r="TDW24" s="19"/>
      <c r="TDX24" s="19"/>
      <c r="TDY24" s="19"/>
      <c r="TDZ24" s="19"/>
      <c r="TEA24" s="19"/>
      <c r="TEB24" s="19"/>
      <c r="TEC24" s="19"/>
      <c r="TED24" s="19"/>
      <c r="TEE24" s="19"/>
      <c r="TEF24" s="19"/>
      <c r="TEG24" s="19"/>
      <c r="TEH24" s="19"/>
      <c r="TEI24" s="19"/>
      <c r="TEJ24" s="19"/>
      <c r="TEK24" s="19"/>
      <c r="TEL24" s="19"/>
      <c r="TEM24" s="19"/>
      <c r="TEN24" s="19"/>
      <c r="TEO24" s="19"/>
      <c r="TEP24" s="19"/>
      <c r="TEQ24" s="19"/>
      <c r="TER24" s="19"/>
      <c r="TES24" s="19"/>
      <c r="TET24" s="19"/>
      <c r="TEU24" s="19"/>
      <c r="TEV24" s="19"/>
      <c r="TEW24" s="19"/>
      <c r="TEX24" s="19"/>
      <c r="TEY24" s="19"/>
      <c r="TEZ24" s="19"/>
      <c r="TFA24" s="19"/>
      <c r="TFB24" s="19"/>
      <c r="TFC24" s="19"/>
      <c r="TFD24" s="19"/>
      <c r="TFE24" s="19"/>
      <c r="TFF24" s="19"/>
      <c r="TFG24" s="19"/>
      <c r="TFH24" s="19"/>
      <c r="TFI24" s="19"/>
      <c r="TFJ24" s="19"/>
      <c r="TFK24" s="19"/>
      <c r="TFL24" s="19"/>
      <c r="TFM24" s="19"/>
      <c r="TFN24" s="19"/>
      <c r="TFO24" s="19"/>
      <c r="TFP24" s="19"/>
      <c r="TFQ24" s="19"/>
      <c r="TFR24" s="19"/>
      <c r="TFS24" s="19"/>
      <c r="TFT24" s="19"/>
      <c r="TFU24" s="19"/>
      <c r="TFV24" s="19"/>
      <c r="TFW24" s="19"/>
      <c r="TFX24" s="19"/>
      <c r="TFY24" s="19"/>
      <c r="TFZ24" s="19"/>
      <c r="TGA24" s="19"/>
      <c r="TGB24" s="19"/>
      <c r="TGC24" s="19"/>
      <c r="TGD24" s="19"/>
      <c r="TGE24" s="19"/>
      <c r="TGF24" s="19"/>
      <c r="TGG24" s="19"/>
      <c r="TGH24" s="19"/>
      <c r="TGI24" s="19"/>
      <c r="TGJ24" s="19"/>
      <c r="TGK24" s="19"/>
      <c r="TGL24" s="19"/>
      <c r="TGM24" s="19"/>
      <c r="TGN24" s="19"/>
      <c r="TGO24" s="19"/>
      <c r="TGP24" s="19"/>
      <c r="TGQ24" s="19"/>
      <c r="TGR24" s="19"/>
      <c r="TGS24" s="19"/>
      <c r="TGT24" s="19"/>
      <c r="TGU24" s="19"/>
      <c r="TGV24" s="19"/>
      <c r="TGW24" s="19"/>
      <c r="TGX24" s="19"/>
      <c r="TGY24" s="19"/>
      <c r="TGZ24" s="19"/>
      <c r="THA24" s="19"/>
      <c r="THB24" s="19"/>
      <c r="THC24" s="19"/>
      <c r="THD24" s="19"/>
      <c r="THE24" s="19"/>
      <c r="THF24" s="19"/>
      <c r="THG24" s="19"/>
      <c r="THH24" s="19"/>
      <c r="THI24" s="19"/>
      <c r="THJ24" s="19"/>
      <c r="THK24" s="19"/>
      <c r="THL24" s="19"/>
      <c r="THM24" s="19"/>
      <c r="THN24" s="19"/>
      <c r="THO24" s="19"/>
      <c r="THP24" s="19"/>
      <c r="THQ24" s="19"/>
      <c r="THR24" s="19"/>
      <c r="THS24" s="19"/>
      <c r="THT24" s="19"/>
      <c r="THU24" s="19"/>
      <c r="THV24" s="19"/>
      <c r="THW24" s="19"/>
      <c r="THX24" s="19"/>
      <c r="THY24" s="19"/>
      <c r="THZ24" s="19"/>
      <c r="TIA24" s="19"/>
      <c r="TIB24" s="19"/>
      <c r="TIC24" s="19"/>
      <c r="TID24" s="19"/>
      <c r="TIE24" s="19"/>
      <c r="TIF24" s="19"/>
      <c r="TIG24" s="19"/>
      <c r="TIH24" s="19"/>
      <c r="TII24" s="19"/>
      <c r="TIJ24" s="19"/>
      <c r="TIK24" s="19"/>
      <c r="TIL24" s="19"/>
      <c r="TIM24" s="19"/>
      <c r="TIN24" s="19"/>
      <c r="TIO24" s="19"/>
      <c r="TIP24" s="19"/>
      <c r="TIQ24" s="19"/>
      <c r="TIR24" s="19"/>
      <c r="TIS24" s="19"/>
      <c r="TIT24" s="19"/>
      <c r="TIU24" s="19"/>
      <c r="TIV24" s="19"/>
      <c r="TIW24" s="19"/>
      <c r="TIX24" s="19"/>
      <c r="TIY24" s="19"/>
      <c r="TIZ24" s="19"/>
      <c r="TJA24" s="19"/>
      <c r="TJB24" s="19"/>
      <c r="TJC24" s="19"/>
      <c r="TJD24" s="19"/>
      <c r="TJE24" s="19"/>
      <c r="TJF24" s="19"/>
      <c r="TJG24" s="19"/>
      <c r="TJH24" s="19"/>
      <c r="TJI24" s="19"/>
      <c r="TJJ24" s="19"/>
      <c r="TJK24" s="19"/>
      <c r="TJL24" s="19"/>
      <c r="TJM24" s="19"/>
      <c r="TJN24" s="19"/>
      <c r="TJO24" s="19"/>
      <c r="TJP24" s="19"/>
      <c r="TJQ24" s="19"/>
      <c r="TJR24" s="19"/>
      <c r="TJS24" s="19"/>
      <c r="TJT24" s="19"/>
      <c r="TJU24" s="19"/>
      <c r="TJV24" s="19"/>
      <c r="TJW24" s="19"/>
      <c r="TJX24" s="19"/>
      <c r="TJY24" s="19"/>
      <c r="TJZ24" s="19"/>
      <c r="TKA24" s="19"/>
      <c r="TKB24" s="19"/>
      <c r="TKC24" s="19"/>
      <c r="TKD24" s="19"/>
      <c r="TKE24" s="19"/>
      <c r="TKF24" s="19"/>
      <c r="TKG24" s="19"/>
      <c r="TKH24" s="19"/>
      <c r="TKI24" s="19"/>
      <c r="TKJ24" s="19"/>
      <c r="TKK24" s="19"/>
      <c r="TKL24" s="19"/>
      <c r="TKM24" s="19"/>
      <c r="TKN24" s="19"/>
      <c r="TKO24" s="19"/>
      <c r="TKP24" s="19"/>
      <c r="TKQ24" s="19"/>
      <c r="TKR24" s="19"/>
      <c r="TKS24" s="19"/>
      <c r="TKT24" s="19"/>
      <c r="TKU24" s="19"/>
      <c r="TKV24" s="19"/>
      <c r="TKW24" s="19"/>
      <c r="TKX24" s="19"/>
      <c r="TKY24" s="19"/>
      <c r="TKZ24" s="19"/>
      <c r="TLA24" s="19"/>
      <c r="TLB24" s="19"/>
      <c r="TLC24" s="19"/>
      <c r="TLD24" s="19"/>
      <c r="TLE24" s="19"/>
      <c r="TLF24" s="19"/>
      <c r="TLG24" s="19"/>
      <c r="TLH24" s="19"/>
      <c r="TLI24" s="19"/>
      <c r="TLJ24" s="19"/>
      <c r="TLK24" s="19"/>
      <c r="TLL24" s="19"/>
      <c r="TLM24" s="19"/>
      <c r="TLN24" s="19"/>
      <c r="TLO24" s="19"/>
      <c r="TLP24" s="19"/>
      <c r="TLQ24" s="19"/>
      <c r="TLR24" s="19"/>
      <c r="TLS24" s="19"/>
      <c r="TLT24" s="19"/>
      <c r="TLU24" s="19"/>
      <c r="TLV24" s="19"/>
      <c r="TLW24" s="19"/>
      <c r="TLX24" s="19"/>
      <c r="TLY24" s="19"/>
      <c r="TLZ24" s="19"/>
      <c r="TMA24" s="19"/>
      <c r="TMB24" s="19"/>
      <c r="TMC24" s="19"/>
      <c r="TMD24" s="19"/>
      <c r="TME24" s="19"/>
      <c r="TMF24" s="19"/>
      <c r="TMG24" s="19"/>
      <c r="TMH24" s="19"/>
      <c r="TMI24" s="19"/>
      <c r="TMJ24" s="19"/>
      <c r="TMK24" s="19"/>
      <c r="TML24" s="19"/>
      <c r="TMM24" s="19"/>
      <c r="TMN24" s="19"/>
      <c r="TMO24" s="19"/>
      <c r="TMP24" s="19"/>
      <c r="TMQ24" s="19"/>
      <c r="TMR24" s="19"/>
      <c r="TMS24" s="19"/>
      <c r="TMT24" s="19"/>
      <c r="TMU24" s="19"/>
      <c r="TMV24" s="19"/>
      <c r="TMW24" s="19"/>
      <c r="TMX24" s="19"/>
      <c r="TMY24" s="19"/>
      <c r="TMZ24" s="19"/>
      <c r="TNA24" s="19"/>
      <c r="TNB24" s="19"/>
      <c r="TNC24" s="19"/>
      <c r="TND24" s="19"/>
      <c r="TNE24" s="19"/>
      <c r="TNF24" s="19"/>
      <c r="TNG24" s="19"/>
      <c r="TNH24" s="19"/>
      <c r="TNI24" s="19"/>
      <c r="TNJ24" s="19"/>
      <c r="TNK24" s="19"/>
      <c r="TNL24" s="19"/>
      <c r="TNM24" s="19"/>
      <c r="TNN24" s="19"/>
      <c r="TNO24" s="19"/>
      <c r="TNP24" s="19"/>
      <c r="TNQ24" s="19"/>
      <c r="TNR24" s="19"/>
      <c r="TNS24" s="19"/>
      <c r="TNT24" s="19"/>
      <c r="TNU24" s="19"/>
      <c r="TNV24" s="19"/>
      <c r="TNW24" s="19"/>
      <c r="TNX24" s="19"/>
      <c r="TNY24" s="19"/>
      <c r="TNZ24" s="19"/>
      <c r="TOA24" s="19"/>
      <c r="TOB24" s="19"/>
      <c r="TOC24" s="19"/>
      <c r="TOD24" s="19"/>
      <c r="TOE24" s="19"/>
      <c r="TOF24" s="19"/>
      <c r="TOG24" s="19"/>
      <c r="TOH24" s="19"/>
      <c r="TOI24" s="19"/>
      <c r="TOJ24" s="19"/>
      <c r="TOK24" s="19"/>
      <c r="TOL24" s="19"/>
      <c r="TOM24" s="19"/>
      <c r="TON24" s="19"/>
      <c r="TOO24" s="19"/>
      <c r="TOP24" s="19"/>
      <c r="TOQ24" s="19"/>
      <c r="TOR24" s="19"/>
      <c r="TOS24" s="19"/>
      <c r="TOT24" s="19"/>
      <c r="TOU24" s="19"/>
      <c r="TOV24" s="19"/>
      <c r="TOW24" s="19"/>
      <c r="TOX24" s="19"/>
      <c r="TOY24" s="19"/>
      <c r="TOZ24" s="19"/>
      <c r="TPA24" s="19"/>
      <c r="TPB24" s="19"/>
      <c r="TPC24" s="19"/>
      <c r="TPD24" s="19"/>
      <c r="TPE24" s="19"/>
      <c r="TPF24" s="19"/>
      <c r="TPG24" s="19"/>
      <c r="TPH24" s="19"/>
      <c r="TPI24" s="19"/>
      <c r="TPJ24" s="19"/>
      <c r="TPK24" s="19"/>
      <c r="TPL24" s="19"/>
      <c r="TPM24" s="19"/>
      <c r="TPN24" s="19"/>
      <c r="TPO24" s="19"/>
      <c r="TPP24" s="19"/>
      <c r="TPQ24" s="19"/>
      <c r="TPR24" s="19"/>
      <c r="TPS24" s="19"/>
      <c r="TPT24" s="19"/>
      <c r="TPU24" s="19"/>
      <c r="TPV24" s="19"/>
      <c r="TPW24" s="19"/>
      <c r="TPX24" s="19"/>
      <c r="TPY24" s="19"/>
      <c r="TPZ24" s="19"/>
      <c r="TQA24" s="19"/>
      <c r="TQB24" s="19"/>
      <c r="TQC24" s="19"/>
      <c r="TQD24" s="19"/>
      <c r="TQE24" s="19"/>
      <c r="TQF24" s="19"/>
      <c r="TQG24" s="19"/>
      <c r="TQH24" s="19"/>
      <c r="TQI24" s="19"/>
      <c r="TQJ24" s="19"/>
      <c r="TQK24" s="19"/>
      <c r="TQL24" s="19"/>
      <c r="TQM24" s="19"/>
      <c r="TQN24" s="19"/>
      <c r="TQO24" s="19"/>
      <c r="TQP24" s="19"/>
      <c r="TQQ24" s="19"/>
      <c r="TQR24" s="19"/>
      <c r="TQS24" s="19"/>
      <c r="TQT24" s="19"/>
      <c r="TQU24" s="19"/>
      <c r="TQV24" s="19"/>
      <c r="TQW24" s="19"/>
      <c r="TQX24" s="19"/>
      <c r="TQY24" s="19"/>
      <c r="TQZ24" s="19"/>
      <c r="TRA24" s="19"/>
      <c r="TRB24" s="19"/>
      <c r="TRC24" s="19"/>
      <c r="TRD24" s="19"/>
      <c r="TRE24" s="19"/>
      <c r="TRF24" s="19"/>
      <c r="TRG24" s="19"/>
      <c r="TRH24" s="19"/>
      <c r="TRI24" s="19"/>
      <c r="TRJ24" s="19"/>
      <c r="TRK24" s="19"/>
      <c r="TRL24" s="19"/>
      <c r="TRM24" s="19"/>
      <c r="TRN24" s="19"/>
      <c r="TRO24" s="19"/>
      <c r="TRP24" s="19"/>
      <c r="TRQ24" s="19"/>
      <c r="TRR24" s="19"/>
      <c r="TRS24" s="19"/>
      <c r="TRT24" s="19"/>
      <c r="TRU24" s="19"/>
      <c r="TRV24" s="19"/>
      <c r="TRW24" s="19"/>
      <c r="TRX24" s="19"/>
      <c r="TRY24" s="19"/>
      <c r="TRZ24" s="19"/>
      <c r="TSA24" s="19"/>
      <c r="TSB24" s="19"/>
      <c r="TSC24" s="19"/>
      <c r="TSD24" s="19"/>
      <c r="TSE24" s="19"/>
      <c r="TSF24" s="19"/>
      <c r="TSG24" s="19"/>
      <c r="TSH24" s="19"/>
      <c r="TSI24" s="19"/>
      <c r="TSJ24" s="19"/>
      <c r="TSK24" s="19"/>
      <c r="TSL24" s="19"/>
      <c r="TSM24" s="19"/>
      <c r="TSN24" s="19"/>
      <c r="TSO24" s="19"/>
      <c r="TSP24" s="19"/>
      <c r="TSQ24" s="19"/>
      <c r="TSR24" s="19"/>
      <c r="TSS24" s="19"/>
      <c r="TST24" s="19"/>
      <c r="TSU24" s="19"/>
      <c r="TSV24" s="19"/>
      <c r="TSW24" s="19"/>
      <c r="TSX24" s="19"/>
      <c r="TSY24" s="19"/>
      <c r="TSZ24" s="19"/>
      <c r="TTA24" s="19"/>
      <c r="TTB24" s="19"/>
      <c r="TTC24" s="19"/>
      <c r="TTD24" s="19"/>
      <c r="TTE24" s="19"/>
      <c r="TTF24" s="19"/>
      <c r="TTG24" s="19"/>
      <c r="TTH24" s="19"/>
      <c r="TTI24" s="19"/>
      <c r="TTJ24" s="19"/>
      <c r="TTK24" s="19"/>
      <c r="TTL24" s="19"/>
      <c r="TTM24" s="19"/>
      <c r="TTN24" s="19"/>
      <c r="TTO24" s="19"/>
      <c r="TTP24" s="19"/>
      <c r="TTQ24" s="19"/>
      <c r="TTR24" s="19"/>
      <c r="TTS24" s="19"/>
      <c r="TTT24" s="19"/>
      <c r="TTU24" s="19"/>
      <c r="TTV24" s="19"/>
      <c r="TTW24" s="19"/>
      <c r="TTX24" s="19"/>
      <c r="TTY24" s="19"/>
      <c r="TTZ24" s="19"/>
      <c r="TUA24" s="19"/>
      <c r="TUB24" s="19"/>
      <c r="TUC24" s="19"/>
      <c r="TUD24" s="19"/>
      <c r="TUE24" s="19"/>
      <c r="TUF24" s="19"/>
      <c r="TUG24" s="19"/>
      <c r="TUH24" s="19"/>
      <c r="TUI24" s="19"/>
      <c r="TUJ24" s="19"/>
      <c r="TUK24" s="19"/>
      <c r="TUL24" s="19"/>
      <c r="TUM24" s="19"/>
      <c r="TUN24" s="19"/>
      <c r="TUO24" s="19"/>
      <c r="TUP24" s="19"/>
      <c r="TUQ24" s="19"/>
      <c r="TUR24" s="19"/>
      <c r="TUS24" s="19"/>
      <c r="TUT24" s="19"/>
      <c r="TUU24" s="19"/>
      <c r="TUV24" s="19"/>
      <c r="TUW24" s="19"/>
      <c r="TUX24" s="19"/>
      <c r="TUY24" s="19"/>
      <c r="TUZ24" s="19"/>
      <c r="TVA24" s="19"/>
      <c r="TVB24" s="19"/>
      <c r="TVC24" s="19"/>
      <c r="TVD24" s="19"/>
      <c r="TVE24" s="19"/>
      <c r="TVF24" s="19"/>
      <c r="TVG24" s="19"/>
      <c r="TVH24" s="19"/>
      <c r="TVI24" s="19"/>
      <c r="TVJ24" s="19"/>
      <c r="TVK24" s="19"/>
      <c r="TVL24" s="19"/>
      <c r="TVM24" s="19"/>
      <c r="TVN24" s="19"/>
      <c r="TVO24" s="19"/>
      <c r="TVP24" s="19"/>
      <c r="TVQ24" s="19"/>
      <c r="TVR24" s="19"/>
      <c r="TVS24" s="19"/>
      <c r="TVT24" s="19"/>
      <c r="TVU24" s="19"/>
      <c r="TVV24" s="19"/>
      <c r="TVW24" s="19"/>
      <c r="TVX24" s="19"/>
      <c r="TVY24" s="19"/>
      <c r="TVZ24" s="19"/>
      <c r="TWA24" s="19"/>
      <c r="TWB24" s="19"/>
      <c r="TWC24" s="19"/>
      <c r="TWD24" s="19"/>
      <c r="TWE24" s="19"/>
      <c r="TWF24" s="19"/>
      <c r="TWG24" s="19"/>
      <c r="TWH24" s="19"/>
      <c r="TWI24" s="19"/>
      <c r="TWJ24" s="19"/>
      <c r="TWK24" s="19"/>
      <c r="TWL24" s="19"/>
      <c r="TWM24" s="19"/>
      <c r="TWN24" s="19"/>
      <c r="TWO24" s="19"/>
      <c r="TWP24" s="19"/>
      <c r="TWQ24" s="19"/>
      <c r="TWR24" s="19"/>
      <c r="TWS24" s="19"/>
      <c r="TWT24" s="19"/>
      <c r="TWU24" s="19"/>
      <c r="TWV24" s="19"/>
      <c r="TWW24" s="19"/>
      <c r="TWX24" s="19"/>
      <c r="TWY24" s="19"/>
      <c r="TWZ24" s="19"/>
      <c r="TXA24" s="19"/>
      <c r="TXB24" s="19"/>
      <c r="TXC24" s="19"/>
      <c r="TXD24" s="19"/>
      <c r="TXE24" s="19"/>
      <c r="TXF24" s="19"/>
      <c r="TXG24" s="19"/>
      <c r="TXH24" s="19"/>
      <c r="TXI24" s="19"/>
      <c r="TXJ24" s="19"/>
      <c r="TXK24" s="19"/>
      <c r="TXL24" s="19"/>
      <c r="TXM24" s="19"/>
      <c r="TXN24" s="19"/>
      <c r="TXO24" s="19"/>
      <c r="TXP24" s="19"/>
      <c r="TXQ24" s="19"/>
      <c r="TXR24" s="19"/>
      <c r="TXS24" s="19"/>
      <c r="TXT24" s="19"/>
      <c r="TXU24" s="19"/>
      <c r="TXV24" s="19"/>
      <c r="TXW24" s="19"/>
      <c r="TXX24" s="19"/>
      <c r="TXY24" s="19"/>
      <c r="TXZ24" s="19"/>
      <c r="TYA24" s="19"/>
      <c r="TYB24" s="19"/>
      <c r="TYC24" s="19"/>
      <c r="TYD24" s="19"/>
      <c r="TYE24" s="19"/>
      <c r="TYF24" s="19"/>
      <c r="TYG24" s="19"/>
      <c r="TYH24" s="19"/>
      <c r="TYI24" s="19"/>
      <c r="TYJ24" s="19"/>
      <c r="TYK24" s="19"/>
      <c r="TYL24" s="19"/>
      <c r="TYM24" s="19"/>
      <c r="TYN24" s="19"/>
      <c r="TYO24" s="19"/>
      <c r="TYP24" s="19"/>
      <c r="TYQ24" s="19"/>
      <c r="TYR24" s="19"/>
      <c r="TYS24" s="19"/>
      <c r="TYT24" s="19"/>
      <c r="TYU24" s="19"/>
      <c r="TYV24" s="19"/>
      <c r="TYW24" s="19"/>
      <c r="TYX24" s="19"/>
      <c r="TYY24" s="19"/>
      <c r="TYZ24" s="19"/>
      <c r="TZA24" s="19"/>
      <c r="TZB24" s="19"/>
      <c r="TZC24" s="19"/>
      <c r="TZD24" s="19"/>
      <c r="TZE24" s="19"/>
      <c r="TZF24" s="19"/>
      <c r="TZG24" s="19"/>
      <c r="TZH24" s="19"/>
      <c r="TZI24" s="19"/>
      <c r="TZJ24" s="19"/>
      <c r="TZK24" s="19"/>
      <c r="TZL24" s="19"/>
      <c r="TZM24" s="19"/>
      <c r="TZN24" s="19"/>
      <c r="TZO24" s="19"/>
      <c r="TZP24" s="19"/>
      <c r="TZQ24" s="19"/>
      <c r="TZR24" s="19"/>
      <c r="TZS24" s="19"/>
      <c r="TZT24" s="19"/>
      <c r="TZU24" s="19"/>
      <c r="TZV24" s="19"/>
      <c r="TZW24" s="19"/>
      <c r="TZX24" s="19"/>
      <c r="TZY24" s="19"/>
      <c r="TZZ24" s="19"/>
      <c r="UAA24" s="19"/>
      <c r="UAB24" s="19"/>
      <c r="UAC24" s="19"/>
      <c r="UAD24" s="19"/>
      <c r="UAE24" s="19"/>
      <c r="UAF24" s="19"/>
      <c r="UAG24" s="19"/>
      <c r="UAH24" s="19"/>
      <c r="UAI24" s="19"/>
      <c r="UAJ24" s="19"/>
      <c r="UAK24" s="19"/>
      <c r="UAL24" s="19"/>
      <c r="UAM24" s="19"/>
      <c r="UAN24" s="19"/>
      <c r="UAO24" s="19"/>
      <c r="UAP24" s="19"/>
      <c r="UAQ24" s="19"/>
      <c r="UAR24" s="19"/>
      <c r="UAS24" s="19"/>
      <c r="UAT24" s="19"/>
      <c r="UAU24" s="19"/>
      <c r="UAV24" s="19"/>
      <c r="UAW24" s="19"/>
      <c r="UAX24" s="19"/>
      <c r="UAY24" s="19"/>
      <c r="UAZ24" s="19"/>
      <c r="UBA24" s="19"/>
      <c r="UBB24" s="19"/>
      <c r="UBC24" s="19"/>
      <c r="UBD24" s="19"/>
      <c r="UBE24" s="19"/>
      <c r="UBF24" s="19"/>
      <c r="UBG24" s="19"/>
      <c r="UBH24" s="19"/>
      <c r="UBI24" s="19"/>
      <c r="UBJ24" s="19"/>
      <c r="UBK24" s="19"/>
      <c r="UBL24" s="19"/>
      <c r="UBM24" s="19"/>
      <c r="UBN24" s="19"/>
      <c r="UBO24" s="19"/>
      <c r="UBP24" s="19"/>
      <c r="UBQ24" s="19"/>
      <c r="UBR24" s="19"/>
      <c r="UBS24" s="19"/>
      <c r="UBT24" s="19"/>
      <c r="UBU24" s="19"/>
      <c r="UBV24" s="19"/>
      <c r="UBW24" s="19"/>
      <c r="UBX24" s="19"/>
      <c r="UBY24" s="19"/>
      <c r="UBZ24" s="19"/>
      <c r="UCA24" s="19"/>
      <c r="UCB24" s="19"/>
      <c r="UCC24" s="19"/>
      <c r="UCD24" s="19"/>
      <c r="UCE24" s="19"/>
      <c r="UCF24" s="19"/>
      <c r="UCG24" s="19"/>
      <c r="UCH24" s="19"/>
      <c r="UCI24" s="19"/>
      <c r="UCJ24" s="19"/>
      <c r="UCK24" s="19"/>
      <c r="UCL24" s="19"/>
      <c r="UCM24" s="19"/>
      <c r="UCN24" s="19"/>
      <c r="UCO24" s="19"/>
      <c r="UCP24" s="19"/>
      <c r="UCQ24" s="19"/>
      <c r="UCR24" s="19"/>
      <c r="UCS24" s="19"/>
      <c r="UCT24" s="19"/>
      <c r="UCU24" s="19"/>
      <c r="UCV24" s="19"/>
      <c r="UCW24" s="19"/>
      <c r="UCX24" s="19"/>
      <c r="UCY24" s="19"/>
      <c r="UCZ24" s="19"/>
      <c r="UDA24" s="19"/>
      <c r="UDB24" s="19"/>
      <c r="UDC24" s="19"/>
      <c r="UDD24" s="19"/>
      <c r="UDE24" s="19"/>
      <c r="UDF24" s="19"/>
      <c r="UDG24" s="19"/>
      <c r="UDH24" s="19"/>
      <c r="UDI24" s="19"/>
      <c r="UDJ24" s="19"/>
      <c r="UDK24" s="19"/>
      <c r="UDL24" s="19"/>
      <c r="UDM24" s="19"/>
      <c r="UDN24" s="19"/>
      <c r="UDO24" s="19"/>
      <c r="UDP24" s="19"/>
      <c r="UDQ24" s="19"/>
      <c r="UDR24" s="19"/>
      <c r="UDS24" s="19"/>
      <c r="UDT24" s="19"/>
      <c r="UDU24" s="19"/>
      <c r="UDV24" s="19"/>
      <c r="UDW24" s="19"/>
      <c r="UDX24" s="19"/>
      <c r="UDY24" s="19"/>
      <c r="UDZ24" s="19"/>
      <c r="UEA24" s="19"/>
      <c r="UEB24" s="19"/>
      <c r="UEC24" s="19"/>
      <c r="UED24" s="19"/>
      <c r="UEE24" s="19"/>
      <c r="UEF24" s="19"/>
      <c r="UEG24" s="19"/>
      <c r="UEH24" s="19"/>
      <c r="UEI24" s="19"/>
      <c r="UEJ24" s="19"/>
      <c r="UEK24" s="19"/>
      <c r="UEL24" s="19"/>
      <c r="UEM24" s="19"/>
      <c r="UEN24" s="19"/>
      <c r="UEO24" s="19"/>
      <c r="UEP24" s="19"/>
      <c r="UEQ24" s="19"/>
      <c r="UER24" s="19"/>
      <c r="UES24" s="19"/>
      <c r="UET24" s="19"/>
      <c r="UEU24" s="19"/>
      <c r="UEV24" s="19"/>
      <c r="UEW24" s="19"/>
      <c r="UEX24" s="19"/>
      <c r="UEY24" s="19"/>
      <c r="UEZ24" s="19"/>
      <c r="UFA24" s="19"/>
      <c r="UFB24" s="19"/>
      <c r="UFC24" s="19"/>
      <c r="UFD24" s="19"/>
      <c r="UFE24" s="19"/>
      <c r="UFF24" s="19"/>
      <c r="UFG24" s="19"/>
      <c r="UFH24" s="19"/>
      <c r="UFI24" s="19"/>
      <c r="UFJ24" s="19"/>
      <c r="UFK24" s="19"/>
      <c r="UFL24" s="19"/>
      <c r="UFM24" s="19"/>
      <c r="UFN24" s="19"/>
      <c r="UFO24" s="19"/>
      <c r="UFP24" s="19"/>
      <c r="UFQ24" s="19"/>
      <c r="UFR24" s="19"/>
      <c r="UFS24" s="19"/>
      <c r="UFT24" s="19"/>
      <c r="UFU24" s="19"/>
      <c r="UFV24" s="19"/>
      <c r="UFW24" s="19"/>
      <c r="UFX24" s="19"/>
      <c r="UFY24" s="19"/>
      <c r="UFZ24" s="19"/>
      <c r="UGA24" s="19"/>
      <c r="UGB24" s="19"/>
      <c r="UGC24" s="19"/>
      <c r="UGD24" s="19"/>
      <c r="UGE24" s="19"/>
      <c r="UGF24" s="19"/>
      <c r="UGG24" s="19"/>
      <c r="UGH24" s="19"/>
      <c r="UGI24" s="19"/>
      <c r="UGJ24" s="19"/>
      <c r="UGK24" s="19"/>
      <c r="UGL24" s="19"/>
      <c r="UGM24" s="19"/>
      <c r="UGN24" s="19"/>
      <c r="UGO24" s="19"/>
      <c r="UGP24" s="19"/>
      <c r="UGQ24" s="19"/>
      <c r="UGR24" s="19"/>
      <c r="UGS24" s="19"/>
      <c r="UGT24" s="19"/>
      <c r="UGU24" s="19"/>
      <c r="UGV24" s="19"/>
      <c r="UGW24" s="19"/>
      <c r="UGX24" s="19"/>
      <c r="UGY24" s="19"/>
      <c r="UGZ24" s="19"/>
      <c r="UHA24" s="19"/>
      <c r="UHB24" s="19"/>
      <c r="UHC24" s="19"/>
      <c r="UHD24" s="19"/>
      <c r="UHE24" s="19"/>
      <c r="UHF24" s="19"/>
      <c r="UHG24" s="19"/>
      <c r="UHH24" s="19"/>
      <c r="UHI24" s="19"/>
      <c r="UHJ24" s="19"/>
      <c r="UHK24" s="19"/>
      <c r="UHL24" s="19"/>
      <c r="UHM24" s="19"/>
      <c r="UHN24" s="19"/>
      <c r="UHO24" s="19"/>
      <c r="UHP24" s="19"/>
      <c r="UHQ24" s="19"/>
      <c r="UHR24" s="19"/>
      <c r="UHS24" s="19"/>
      <c r="UHT24" s="19"/>
      <c r="UHU24" s="19"/>
      <c r="UHV24" s="19"/>
      <c r="UHW24" s="19"/>
      <c r="UHX24" s="19"/>
      <c r="UHY24" s="19"/>
      <c r="UHZ24" s="19"/>
      <c r="UIA24" s="19"/>
      <c r="UIB24" s="19"/>
      <c r="UIC24" s="19"/>
      <c r="UID24" s="19"/>
      <c r="UIE24" s="19"/>
      <c r="UIF24" s="19"/>
      <c r="UIG24" s="19"/>
      <c r="UIH24" s="19"/>
      <c r="UII24" s="19"/>
      <c r="UIJ24" s="19"/>
      <c r="UIK24" s="19"/>
      <c r="UIL24" s="19"/>
      <c r="UIM24" s="19"/>
      <c r="UIN24" s="19"/>
      <c r="UIO24" s="19"/>
      <c r="UIP24" s="19"/>
      <c r="UIQ24" s="19"/>
      <c r="UIR24" s="19"/>
      <c r="UIS24" s="19"/>
      <c r="UIT24" s="19"/>
      <c r="UIU24" s="19"/>
      <c r="UIV24" s="19"/>
      <c r="UIW24" s="19"/>
      <c r="UIX24" s="19"/>
      <c r="UIY24" s="19"/>
      <c r="UIZ24" s="19"/>
      <c r="UJA24" s="19"/>
      <c r="UJB24" s="19"/>
      <c r="UJC24" s="19"/>
      <c r="UJD24" s="19"/>
      <c r="UJE24" s="19"/>
      <c r="UJF24" s="19"/>
      <c r="UJG24" s="19"/>
      <c r="UJH24" s="19"/>
      <c r="UJI24" s="19"/>
      <c r="UJJ24" s="19"/>
      <c r="UJK24" s="19"/>
      <c r="UJL24" s="19"/>
      <c r="UJM24" s="19"/>
      <c r="UJN24" s="19"/>
      <c r="UJO24" s="19"/>
      <c r="UJP24" s="19"/>
      <c r="UJQ24" s="19"/>
      <c r="UJR24" s="19"/>
      <c r="UJS24" s="19"/>
      <c r="UJT24" s="19"/>
      <c r="UJU24" s="19"/>
      <c r="UJV24" s="19"/>
      <c r="UJW24" s="19"/>
      <c r="UJX24" s="19"/>
      <c r="UJY24" s="19"/>
      <c r="UJZ24" s="19"/>
      <c r="UKA24" s="19"/>
      <c r="UKB24" s="19"/>
      <c r="UKC24" s="19"/>
      <c r="UKD24" s="19"/>
      <c r="UKE24" s="19"/>
      <c r="UKF24" s="19"/>
      <c r="UKG24" s="19"/>
      <c r="UKH24" s="19"/>
      <c r="UKI24" s="19"/>
      <c r="UKJ24" s="19"/>
      <c r="UKK24" s="19"/>
      <c r="UKL24" s="19"/>
      <c r="UKM24" s="19"/>
      <c r="UKN24" s="19"/>
      <c r="UKO24" s="19"/>
      <c r="UKP24" s="19"/>
      <c r="UKQ24" s="19"/>
      <c r="UKR24" s="19"/>
      <c r="UKS24" s="19"/>
      <c r="UKT24" s="19"/>
      <c r="UKU24" s="19"/>
      <c r="UKV24" s="19"/>
      <c r="UKW24" s="19"/>
      <c r="UKX24" s="19"/>
      <c r="UKY24" s="19"/>
      <c r="UKZ24" s="19"/>
      <c r="ULA24" s="19"/>
      <c r="ULB24" s="19"/>
      <c r="ULC24" s="19"/>
      <c r="ULD24" s="19"/>
      <c r="ULE24" s="19"/>
      <c r="ULF24" s="19"/>
      <c r="ULG24" s="19"/>
      <c r="ULH24" s="19"/>
      <c r="ULI24" s="19"/>
      <c r="ULJ24" s="19"/>
      <c r="ULK24" s="19"/>
      <c r="ULL24" s="19"/>
      <c r="ULM24" s="19"/>
      <c r="ULN24" s="19"/>
      <c r="ULO24" s="19"/>
      <c r="ULP24" s="19"/>
      <c r="ULQ24" s="19"/>
      <c r="ULR24" s="19"/>
      <c r="ULS24" s="19"/>
      <c r="ULT24" s="19"/>
      <c r="ULU24" s="19"/>
      <c r="ULV24" s="19"/>
      <c r="ULW24" s="19"/>
      <c r="ULX24" s="19"/>
      <c r="ULY24" s="19"/>
      <c r="ULZ24" s="19"/>
      <c r="UMA24" s="19"/>
      <c r="UMB24" s="19"/>
      <c r="UMC24" s="19"/>
      <c r="UMD24" s="19"/>
      <c r="UME24" s="19"/>
      <c r="UMF24" s="19"/>
      <c r="UMG24" s="19"/>
      <c r="UMH24" s="19"/>
      <c r="UMI24" s="19"/>
      <c r="UMJ24" s="19"/>
      <c r="UMK24" s="19"/>
      <c r="UML24" s="19"/>
      <c r="UMM24" s="19"/>
      <c r="UMN24" s="19"/>
      <c r="UMO24" s="19"/>
      <c r="UMP24" s="19"/>
      <c r="UMQ24" s="19"/>
      <c r="UMR24" s="19"/>
      <c r="UMS24" s="19"/>
      <c r="UMT24" s="19"/>
      <c r="UMU24" s="19"/>
      <c r="UMV24" s="19"/>
      <c r="UMW24" s="19"/>
      <c r="UMX24" s="19"/>
      <c r="UMY24" s="19"/>
      <c r="UMZ24" s="19"/>
      <c r="UNA24" s="19"/>
      <c r="UNB24" s="19"/>
      <c r="UNC24" s="19"/>
      <c r="UND24" s="19"/>
      <c r="UNE24" s="19"/>
      <c r="UNF24" s="19"/>
      <c r="UNG24" s="19"/>
      <c r="UNH24" s="19"/>
      <c r="UNI24" s="19"/>
      <c r="UNJ24" s="19"/>
      <c r="UNK24" s="19"/>
      <c r="UNL24" s="19"/>
      <c r="UNM24" s="19"/>
      <c r="UNN24" s="19"/>
      <c r="UNO24" s="19"/>
      <c r="UNP24" s="19"/>
      <c r="UNQ24" s="19"/>
      <c r="UNR24" s="19"/>
      <c r="UNS24" s="19"/>
      <c r="UNT24" s="19"/>
      <c r="UNU24" s="19"/>
      <c r="UNV24" s="19"/>
      <c r="UNW24" s="19"/>
      <c r="UNX24" s="19"/>
      <c r="UNY24" s="19"/>
      <c r="UNZ24" s="19"/>
      <c r="UOA24" s="19"/>
      <c r="UOB24" s="19"/>
      <c r="UOC24" s="19"/>
      <c r="UOD24" s="19"/>
      <c r="UOE24" s="19"/>
      <c r="UOF24" s="19"/>
      <c r="UOG24" s="19"/>
      <c r="UOH24" s="19"/>
      <c r="UOI24" s="19"/>
      <c r="UOJ24" s="19"/>
      <c r="UOK24" s="19"/>
      <c r="UOL24" s="19"/>
      <c r="UOM24" s="19"/>
      <c r="UON24" s="19"/>
      <c r="UOO24" s="19"/>
      <c r="UOP24" s="19"/>
      <c r="UOQ24" s="19"/>
      <c r="UOR24" s="19"/>
      <c r="UOS24" s="19"/>
      <c r="UOT24" s="19"/>
      <c r="UOU24" s="19"/>
      <c r="UOV24" s="19"/>
      <c r="UOW24" s="19"/>
      <c r="UOX24" s="19"/>
      <c r="UOY24" s="19"/>
      <c r="UOZ24" s="19"/>
      <c r="UPA24" s="19"/>
      <c r="UPB24" s="19"/>
      <c r="UPC24" s="19"/>
      <c r="UPD24" s="19"/>
      <c r="UPE24" s="19"/>
      <c r="UPF24" s="19"/>
      <c r="UPG24" s="19"/>
      <c r="UPH24" s="19"/>
      <c r="UPI24" s="19"/>
      <c r="UPJ24" s="19"/>
      <c r="UPK24" s="19"/>
      <c r="UPL24" s="19"/>
      <c r="UPM24" s="19"/>
      <c r="UPN24" s="19"/>
      <c r="UPO24" s="19"/>
      <c r="UPP24" s="19"/>
      <c r="UPQ24" s="19"/>
      <c r="UPR24" s="19"/>
      <c r="UPS24" s="19"/>
      <c r="UPT24" s="19"/>
      <c r="UPU24" s="19"/>
      <c r="UPV24" s="19"/>
      <c r="UPW24" s="19"/>
      <c r="UPX24" s="19"/>
      <c r="UPY24" s="19"/>
      <c r="UPZ24" s="19"/>
      <c r="UQA24" s="19"/>
      <c r="UQB24" s="19"/>
      <c r="UQC24" s="19"/>
      <c r="UQD24" s="19"/>
      <c r="UQE24" s="19"/>
      <c r="UQF24" s="19"/>
      <c r="UQG24" s="19"/>
      <c r="UQH24" s="19"/>
      <c r="UQI24" s="19"/>
      <c r="UQJ24" s="19"/>
      <c r="UQK24" s="19"/>
      <c r="UQL24" s="19"/>
      <c r="UQM24" s="19"/>
      <c r="UQN24" s="19"/>
      <c r="UQO24" s="19"/>
      <c r="UQP24" s="19"/>
      <c r="UQQ24" s="19"/>
      <c r="UQR24" s="19"/>
      <c r="UQS24" s="19"/>
      <c r="UQT24" s="19"/>
      <c r="UQU24" s="19"/>
      <c r="UQV24" s="19"/>
      <c r="UQW24" s="19"/>
      <c r="UQX24" s="19"/>
      <c r="UQY24" s="19"/>
      <c r="UQZ24" s="19"/>
      <c r="URA24" s="19"/>
      <c r="URB24" s="19"/>
      <c r="URC24" s="19"/>
      <c r="URD24" s="19"/>
      <c r="URE24" s="19"/>
      <c r="URF24" s="19"/>
      <c r="URG24" s="19"/>
      <c r="URH24" s="19"/>
      <c r="URI24" s="19"/>
      <c r="URJ24" s="19"/>
      <c r="URK24" s="19"/>
      <c r="URL24" s="19"/>
      <c r="URM24" s="19"/>
      <c r="URN24" s="19"/>
      <c r="URO24" s="19"/>
      <c r="URP24" s="19"/>
      <c r="URQ24" s="19"/>
      <c r="URR24" s="19"/>
      <c r="URS24" s="19"/>
      <c r="URT24" s="19"/>
      <c r="URU24" s="19"/>
      <c r="URV24" s="19"/>
      <c r="URW24" s="19"/>
      <c r="URX24" s="19"/>
      <c r="URY24" s="19"/>
      <c r="URZ24" s="19"/>
      <c r="USA24" s="19"/>
      <c r="USB24" s="19"/>
      <c r="USC24" s="19"/>
      <c r="USD24" s="19"/>
      <c r="USE24" s="19"/>
      <c r="USF24" s="19"/>
      <c r="USG24" s="19"/>
      <c r="USH24" s="19"/>
      <c r="USI24" s="19"/>
      <c r="USJ24" s="19"/>
      <c r="USK24" s="19"/>
      <c r="USL24" s="19"/>
      <c r="USM24" s="19"/>
      <c r="USN24" s="19"/>
      <c r="USO24" s="19"/>
      <c r="USP24" s="19"/>
      <c r="USQ24" s="19"/>
      <c r="USR24" s="19"/>
      <c r="USS24" s="19"/>
      <c r="UST24" s="19"/>
      <c r="USU24" s="19"/>
      <c r="USV24" s="19"/>
      <c r="USW24" s="19"/>
      <c r="USX24" s="19"/>
      <c r="USY24" s="19"/>
      <c r="USZ24" s="19"/>
      <c r="UTA24" s="19"/>
      <c r="UTB24" s="19"/>
      <c r="UTC24" s="19"/>
      <c r="UTD24" s="19"/>
      <c r="UTE24" s="19"/>
      <c r="UTF24" s="19"/>
      <c r="UTG24" s="19"/>
      <c r="UTH24" s="19"/>
      <c r="UTI24" s="19"/>
      <c r="UTJ24" s="19"/>
      <c r="UTK24" s="19"/>
      <c r="UTL24" s="19"/>
      <c r="UTM24" s="19"/>
      <c r="UTN24" s="19"/>
      <c r="UTO24" s="19"/>
      <c r="UTP24" s="19"/>
      <c r="UTQ24" s="19"/>
      <c r="UTR24" s="19"/>
      <c r="UTS24" s="19"/>
      <c r="UTT24" s="19"/>
      <c r="UTU24" s="19"/>
      <c r="UTV24" s="19"/>
      <c r="UTW24" s="19"/>
      <c r="UTX24" s="19"/>
      <c r="UTY24" s="19"/>
      <c r="UTZ24" s="19"/>
      <c r="UUA24" s="19"/>
      <c r="UUB24" s="19"/>
      <c r="UUC24" s="19"/>
      <c r="UUD24" s="19"/>
      <c r="UUE24" s="19"/>
      <c r="UUF24" s="19"/>
      <c r="UUG24" s="19"/>
      <c r="UUH24" s="19"/>
      <c r="UUI24" s="19"/>
      <c r="UUJ24" s="19"/>
      <c r="UUK24" s="19"/>
      <c r="UUL24" s="19"/>
      <c r="UUM24" s="19"/>
      <c r="UUN24" s="19"/>
      <c r="UUO24" s="19"/>
      <c r="UUP24" s="19"/>
      <c r="UUQ24" s="19"/>
      <c r="UUR24" s="19"/>
      <c r="UUS24" s="19"/>
      <c r="UUT24" s="19"/>
      <c r="UUU24" s="19"/>
      <c r="UUV24" s="19"/>
      <c r="UUW24" s="19"/>
      <c r="UUX24" s="19"/>
      <c r="UUY24" s="19"/>
      <c r="UUZ24" s="19"/>
      <c r="UVA24" s="19"/>
      <c r="UVB24" s="19"/>
      <c r="UVC24" s="19"/>
      <c r="UVD24" s="19"/>
      <c r="UVE24" s="19"/>
      <c r="UVF24" s="19"/>
      <c r="UVG24" s="19"/>
      <c r="UVH24" s="19"/>
      <c r="UVI24" s="19"/>
      <c r="UVJ24" s="19"/>
      <c r="UVK24" s="19"/>
      <c r="UVL24" s="19"/>
      <c r="UVM24" s="19"/>
      <c r="UVN24" s="19"/>
      <c r="UVO24" s="19"/>
      <c r="UVP24" s="19"/>
      <c r="UVQ24" s="19"/>
      <c r="UVR24" s="19"/>
      <c r="UVS24" s="19"/>
      <c r="UVT24" s="19"/>
      <c r="UVU24" s="19"/>
      <c r="UVV24" s="19"/>
      <c r="UVW24" s="19"/>
      <c r="UVX24" s="19"/>
      <c r="UVY24" s="19"/>
      <c r="UVZ24" s="19"/>
      <c r="UWA24" s="19"/>
      <c r="UWB24" s="19"/>
      <c r="UWC24" s="19"/>
      <c r="UWD24" s="19"/>
      <c r="UWE24" s="19"/>
      <c r="UWF24" s="19"/>
      <c r="UWG24" s="19"/>
      <c r="UWH24" s="19"/>
      <c r="UWI24" s="19"/>
      <c r="UWJ24" s="19"/>
      <c r="UWK24" s="19"/>
      <c r="UWL24" s="19"/>
      <c r="UWM24" s="19"/>
      <c r="UWN24" s="19"/>
      <c r="UWO24" s="19"/>
      <c r="UWP24" s="19"/>
      <c r="UWQ24" s="19"/>
      <c r="UWR24" s="19"/>
      <c r="UWS24" s="19"/>
      <c r="UWT24" s="19"/>
      <c r="UWU24" s="19"/>
      <c r="UWV24" s="19"/>
      <c r="UWW24" s="19"/>
      <c r="UWX24" s="19"/>
      <c r="UWY24" s="19"/>
      <c r="UWZ24" s="19"/>
      <c r="UXA24" s="19"/>
      <c r="UXB24" s="19"/>
      <c r="UXC24" s="19"/>
      <c r="UXD24" s="19"/>
      <c r="UXE24" s="19"/>
      <c r="UXF24" s="19"/>
      <c r="UXG24" s="19"/>
      <c r="UXH24" s="19"/>
      <c r="UXI24" s="19"/>
      <c r="UXJ24" s="19"/>
      <c r="UXK24" s="19"/>
      <c r="UXL24" s="19"/>
      <c r="UXM24" s="19"/>
      <c r="UXN24" s="19"/>
      <c r="UXO24" s="19"/>
      <c r="UXP24" s="19"/>
      <c r="UXQ24" s="19"/>
      <c r="UXR24" s="19"/>
      <c r="UXS24" s="19"/>
      <c r="UXT24" s="19"/>
      <c r="UXU24" s="19"/>
      <c r="UXV24" s="19"/>
      <c r="UXW24" s="19"/>
      <c r="UXX24" s="19"/>
      <c r="UXY24" s="19"/>
      <c r="UXZ24" s="19"/>
      <c r="UYA24" s="19"/>
      <c r="UYB24" s="19"/>
      <c r="UYC24" s="19"/>
      <c r="UYD24" s="19"/>
      <c r="UYE24" s="19"/>
      <c r="UYF24" s="19"/>
      <c r="UYG24" s="19"/>
      <c r="UYH24" s="19"/>
      <c r="UYI24" s="19"/>
      <c r="UYJ24" s="19"/>
      <c r="UYK24" s="19"/>
      <c r="UYL24" s="19"/>
      <c r="UYM24" s="19"/>
      <c r="UYN24" s="19"/>
      <c r="UYO24" s="19"/>
      <c r="UYP24" s="19"/>
      <c r="UYQ24" s="19"/>
      <c r="UYR24" s="19"/>
      <c r="UYS24" s="19"/>
      <c r="UYT24" s="19"/>
      <c r="UYU24" s="19"/>
      <c r="UYV24" s="19"/>
      <c r="UYW24" s="19"/>
      <c r="UYX24" s="19"/>
      <c r="UYY24" s="19"/>
      <c r="UYZ24" s="19"/>
      <c r="UZA24" s="19"/>
      <c r="UZB24" s="19"/>
      <c r="UZC24" s="19"/>
      <c r="UZD24" s="19"/>
      <c r="UZE24" s="19"/>
      <c r="UZF24" s="19"/>
      <c r="UZG24" s="19"/>
      <c r="UZH24" s="19"/>
      <c r="UZI24" s="19"/>
      <c r="UZJ24" s="19"/>
      <c r="UZK24" s="19"/>
      <c r="UZL24" s="19"/>
      <c r="UZM24" s="19"/>
      <c r="UZN24" s="19"/>
      <c r="UZO24" s="19"/>
      <c r="UZP24" s="19"/>
      <c r="UZQ24" s="19"/>
      <c r="UZR24" s="19"/>
      <c r="UZS24" s="19"/>
      <c r="UZT24" s="19"/>
      <c r="UZU24" s="19"/>
      <c r="UZV24" s="19"/>
      <c r="UZW24" s="19"/>
      <c r="UZX24" s="19"/>
      <c r="UZY24" s="19"/>
      <c r="UZZ24" s="19"/>
      <c r="VAA24" s="19"/>
      <c r="VAB24" s="19"/>
      <c r="VAC24" s="19"/>
      <c r="VAD24" s="19"/>
      <c r="VAE24" s="19"/>
      <c r="VAF24" s="19"/>
      <c r="VAG24" s="19"/>
      <c r="VAH24" s="19"/>
      <c r="VAI24" s="19"/>
      <c r="VAJ24" s="19"/>
      <c r="VAK24" s="19"/>
      <c r="VAL24" s="19"/>
      <c r="VAM24" s="19"/>
      <c r="VAN24" s="19"/>
      <c r="VAO24" s="19"/>
      <c r="VAP24" s="19"/>
      <c r="VAQ24" s="19"/>
      <c r="VAR24" s="19"/>
      <c r="VAS24" s="19"/>
      <c r="VAT24" s="19"/>
      <c r="VAU24" s="19"/>
      <c r="VAV24" s="19"/>
      <c r="VAW24" s="19"/>
      <c r="VAX24" s="19"/>
      <c r="VAY24" s="19"/>
      <c r="VAZ24" s="19"/>
      <c r="VBA24" s="19"/>
      <c r="VBB24" s="19"/>
      <c r="VBC24" s="19"/>
      <c r="VBD24" s="19"/>
      <c r="VBE24" s="19"/>
      <c r="VBF24" s="19"/>
      <c r="VBG24" s="19"/>
      <c r="VBH24" s="19"/>
      <c r="VBI24" s="19"/>
      <c r="VBJ24" s="19"/>
      <c r="VBK24" s="19"/>
      <c r="VBL24" s="19"/>
      <c r="VBM24" s="19"/>
      <c r="VBN24" s="19"/>
      <c r="VBO24" s="19"/>
      <c r="VBP24" s="19"/>
      <c r="VBQ24" s="19"/>
      <c r="VBR24" s="19"/>
      <c r="VBS24" s="19"/>
      <c r="VBT24" s="19"/>
      <c r="VBU24" s="19"/>
      <c r="VBV24" s="19"/>
      <c r="VBW24" s="19"/>
      <c r="VBX24" s="19"/>
      <c r="VBY24" s="19"/>
      <c r="VBZ24" s="19"/>
      <c r="VCA24" s="19"/>
      <c r="VCB24" s="19"/>
      <c r="VCC24" s="19"/>
      <c r="VCD24" s="19"/>
      <c r="VCE24" s="19"/>
      <c r="VCF24" s="19"/>
      <c r="VCG24" s="19"/>
      <c r="VCH24" s="19"/>
      <c r="VCI24" s="19"/>
      <c r="VCJ24" s="19"/>
      <c r="VCK24" s="19"/>
      <c r="VCL24" s="19"/>
      <c r="VCM24" s="19"/>
      <c r="VCN24" s="19"/>
      <c r="VCO24" s="19"/>
      <c r="VCP24" s="19"/>
      <c r="VCQ24" s="19"/>
      <c r="VCR24" s="19"/>
      <c r="VCS24" s="19"/>
      <c r="VCT24" s="19"/>
      <c r="VCU24" s="19"/>
      <c r="VCV24" s="19"/>
      <c r="VCW24" s="19"/>
      <c r="VCX24" s="19"/>
      <c r="VCY24" s="19"/>
      <c r="VCZ24" s="19"/>
      <c r="VDA24" s="19"/>
      <c r="VDB24" s="19"/>
      <c r="VDC24" s="19"/>
      <c r="VDD24" s="19"/>
      <c r="VDE24" s="19"/>
      <c r="VDF24" s="19"/>
      <c r="VDG24" s="19"/>
      <c r="VDH24" s="19"/>
      <c r="VDI24" s="19"/>
      <c r="VDJ24" s="19"/>
      <c r="VDK24" s="19"/>
      <c r="VDL24" s="19"/>
      <c r="VDM24" s="19"/>
      <c r="VDN24" s="19"/>
      <c r="VDO24" s="19"/>
      <c r="VDP24" s="19"/>
      <c r="VDQ24" s="19"/>
      <c r="VDR24" s="19"/>
      <c r="VDS24" s="19"/>
      <c r="VDT24" s="19"/>
      <c r="VDU24" s="19"/>
      <c r="VDV24" s="19"/>
      <c r="VDW24" s="19"/>
      <c r="VDX24" s="19"/>
      <c r="VDY24" s="19"/>
      <c r="VDZ24" s="19"/>
      <c r="VEA24" s="19"/>
      <c r="VEB24" s="19"/>
      <c r="VEC24" s="19"/>
      <c r="VED24" s="19"/>
      <c r="VEE24" s="19"/>
      <c r="VEF24" s="19"/>
      <c r="VEG24" s="19"/>
      <c r="VEH24" s="19"/>
      <c r="VEI24" s="19"/>
      <c r="VEJ24" s="19"/>
      <c r="VEK24" s="19"/>
      <c r="VEL24" s="19"/>
      <c r="VEM24" s="19"/>
      <c r="VEN24" s="19"/>
      <c r="VEO24" s="19"/>
      <c r="VEP24" s="19"/>
      <c r="VEQ24" s="19"/>
      <c r="VER24" s="19"/>
      <c r="VES24" s="19"/>
      <c r="VET24" s="19"/>
      <c r="VEU24" s="19"/>
      <c r="VEV24" s="19"/>
      <c r="VEW24" s="19"/>
      <c r="VEX24" s="19"/>
      <c r="VEY24" s="19"/>
      <c r="VEZ24" s="19"/>
      <c r="VFA24" s="19"/>
      <c r="VFB24" s="19"/>
      <c r="VFC24" s="19"/>
      <c r="VFD24" s="19"/>
      <c r="VFE24" s="19"/>
      <c r="VFF24" s="19"/>
      <c r="VFG24" s="19"/>
      <c r="VFH24" s="19"/>
      <c r="VFI24" s="19"/>
      <c r="VFJ24" s="19"/>
      <c r="VFK24" s="19"/>
      <c r="VFL24" s="19"/>
      <c r="VFM24" s="19"/>
      <c r="VFN24" s="19"/>
      <c r="VFO24" s="19"/>
      <c r="VFP24" s="19"/>
      <c r="VFQ24" s="19"/>
      <c r="VFR24" s="19"/>
      <c r="VFS24" s="19"/>
      <c r="VFT24" s="19"/>
      <c r="VFU24" s="19"/>
      <c r="VFV24" s="19"/>
      <c r="VFW24" s="19"/>
      <c r="VFX24" s="19"/>
      <c r="VFY24" s="19"/>
      <c r="VFZ24" s="19"/>
      <c r="VGA24" s="19"/>
      <c r="VGB24" s="19"/>
      <c r="VGC24" s="19"/>
      <c r="VGD24" s="19"/>
      <c r="VGE24" s="19"/>
      <c r="VGF24" s="19"/>
      <c r="VGG24" s="19"/>
      <c r="VGH24" s="19"/>
      <c r="VGI24" s="19"/>
      <c r="VGJ24" s="19"/>
      <c r="VGK24" s="19"/>
      <c r="VGL24" s="19"/>
      <c r="VGM24" s="19"/>
      <c r="VGN24" s="19"/>
      <c r="VGO24" s="19"/>
      <c r="VGP24" s="19"/>
      <c r="VGQ24" s="19"/>
      <c r="VGR24" s="19"/>
      <c r="VGS24" s="19"/>
      <c r="VGT24" s="19"/>
      <c r="VGU24" s="19"/>
      <c r="VGV24" s="19"/>
      <c r="VGW24" s="19"/>
      <c r="VGX24" s="19"/>
      <c r="VGY24" s="19"/>
      <c r="VGZ24" s="19"/>
      <c r="VHA24" s="19"/>
      <c r="VHB24" s="19"/>
      <c r="VHC24" s="19"/>
      <c r="VHD24" s="19"/>
      <c r="VHE24" s="19"/>
      <c r="VHF24" s="19"/>
      <c r="VHG24" s="19"/>
      <c r="VHH24" s="19"/>
      <c r="VHI24" s="19"/>
      <c r="VHJ24" s="19"/>
      <c r="VHK24" s="19"/>
      <c r="VHL24" s="19"/>
      <c r="VHM24" s="19"/>
      <c r="VHN24" s="19"/>
      <c r="VHO24" s="19"/>
      <c r="VHP24" s="19"/>
      <c r="VHQ24" s="19"/>
      <c r="VHR24" s="19"/>
      <c r="VHS24" s="19"/>
      <c r="VHT24" s="19"/>
      <c r="VHU24" s="19"/>
      <c r="VHV24" s="19"/>
      <c r="VHW24" s="19"/>
      <c r="VHX24" s="19"/>
      <c r="VHY24" s="19"/>
      <c r="VHZ24" s="19"/>
      <c r="VIA24" s="19"/>
      <c r="VIB24" s="19"/>
      <c r="VIC24" s="19"/>
      <c r="VID24" s="19"/>
      <c r="VIE24" s="19"/>
      <c r="VIF24" s="19"/>
      <c r="VIG24" s="19"/>
      <c r="VIH24" s="19"/>
      <c r="VII24" s="19"/>
      <c r="VIJ24" s="19"/>
      <c r="VIK24" s="19"/>
      <c r="VIL24" s="19"/>
      <c r="VIM24" s="19"/>
      <c r="VIN24" s="19"/>
      <c r="VIO24" s="19"/>
      <c r="VIP24" s="19"/>
      <c r="VIQ24" s="19"/>
      <c r="VIR24" s="19"/>
      <c r="VIS24" s="19"/>
      <c r="VIT24" s="19"/>
      <c r="VIU24" s="19"/>
      <c r="VIV24" s="19"/>
      <c r="VIW24" s="19"/>
      <c r="VIX24" s="19"/>
      <c r="VIY24" s="19"/>
      <c r="VIZ24" s="19"/>
      <c r="VJA24" s="19"/>
      <c r="VJB24" s="19"/>
      <c r="VJC24" s="19"/>
      <c r="VJD24" s="19"/>
      <c r="VJE24" s="19"/>
      <c r="VJF24" s="19"/>
      <c r="VJG24" s="19"/>
      <c r="VJH24" s="19"/>
      <c r="VJI24" s="19"/>
      <c r="VJJ24" s="19"/>
      <c r="VJK24" s="19"/>
      <c r="VJL24" s="19"/>
      <c r="VJM24" s="19"/>
      <c r="VJN24" s="19"/>
      <c r="VJO24" s="19"/>
      <c r="VJP24" s="19"/>
      <c r="VJQ24" s="19"/>
      <c r="VJR24" s="19"/>
      <c r="VJS24" s="19"/>
      <c r="VJT24" s="19"/>
      <c r="VJU24" s="19"/>
      <c r="VJV24" s="19"/>
      <c r="VJW24" s="19"/>
      <c r="VJX24" s="19"/>
      <c r="VJY24" s="19"/>
      <c r="VJZ24" s="19"/>
      <c r="VKA24" s="19"/>
      <c r="VKB24" s="19"/>
      <c r="VKC24" s="19"/>
      <c r="VKD24" s="19"/>
      <c r="VKE24" s="19"/>
      <c r="VKF24" s="19"/>
      <c r="VKG24" s="19"/>
      <c r="VKH24" s="19"/>
      <c r="VKI24" s="19"/>
      <c r="VKJ24" s="19"/>
      <c r="VKK24" s="19"/>
      <c r="VKL24" s="19"/>
      <c r="VKM24" s="19"/>
      <c r="VKN24" s="19"/>
      <c r="VKO24" s="19"/>
      <c r="VKP24" s="19"/>
      <c r="VKQ24" s="19"/>
      <c r="VKR24" s="19"/>
      <c r="VKS24" s="19"/>
      <c r="VKT24" s="19"/>
      <c r="VKU24" s="19"/>
      <c r="VKV24" s="19"/>
      <c r="VKW24" s="19"/>
      <c r="VKX24" s="19"/>
      <c r="VKY24" s="19"/>
      <c r="VKZ24" s="19"/>
      <c r="VLA24" s="19"/>
      <c r="VLB24" s="19"/>
      <c r="VLC24" s="19"/>
      <c r="VLD24" s="19"/>
      <c r="VLE24" s="19"/>
      <c r="VLF24" s="19"/>
      <c r="VLG24" s="19"/>
      <c r="VLH24" s="19"/>
      <c r="VLI24" s="19"/>
      <c r="VLJ24" s="19"/>
      <c r="VLK24" s="19"/>
      <c r="VLL24" s="19"/>
      <c r="VLM24" s="19"/>
      <c r="VLN24" s="19"/>
      <c r="VLO24" s="19"/>
      <c r="VLP24" s="19"/>
      <c r="VLQ24" s="19"/>
      <c r="VLR24" s="19"/>
      <c r="VLS24" s="19"/>
      <c r="VLT24" s="19"/>
      <c r="VLU24" s="19"/>
      <c r="VLV24" s="19"/>
      <c r="VLW24" s="19"/>
      <c r="VLX24" s="19"/>
      <c r="VLY24" s="19"/>
      <c r="VLZ24" s="19"/>
      <c r="VMA24" s="19"/>
      <c r="VMB24" s="19"/>
      <c r="VMC24" s="19"/>
      <c r="VMD24" s="19"/>
      <c r="VME24" s="19"/>
      <c r="VMF24" s="19"/>
      <c r="VMG24" s="19"/>
      <c r="VMH24" s="19"/>
      <c r="VMI24" s="19"/>
      <c r="VMJ24" s="19"/>
      <c r="VMK24" s="19"/>
      <c r="VML24" s="19"/>
      <c r="VMM24" s="19"/>
      <c r="VMN24" s="19"/>
      <c r="VMO24" s="19"/>
      <c r="VMP24" s="19"/>
      <c r="VMQ24" s="19"/>
      <c r="VMR24" s="19"/>
      <c r="VMS24" s="19"/>
      <c r="VMT24" s="19"/>
      <c r="VMU24" s="19"/>
      <c r="VMV24" s="19"/>
      <c r="VMW24" s="19"/>
      <c r="VMX24" s="19"/>
      <c r="VMY24" s="19"/>
      <c r="VMZ24" s="19"/>
      <c r="VNA24" s="19"/>
      <c r="VNB24" s="19"/>
      <c r="VNC24" s="19"/>
      <c r="VND24" s="19"/>
      <c r="VNE24" s="19"/>
      <c r="VNF24" s="19"/>
      <c r="VNG24" s="19"/>
      <c r="VNH24" s="19"/>
      <c r="VNI24" s="19"/>
      <c r="VNJ24" s="19"/>
      <c r="VNK24" s="19"/>
      <c r="VNL24" s="19"/>
      <c r="VNM24" s="19"/>
      <c r="VNN24" s="19"/>
      <c r="VNO24" s="19"/>
      <c r="VNP24" s="19"/>
      <c r="VNQ24" s="19"/>
      <c r="VNR24" s="19"/>
      <c r="VNS24" s="19"/>
      <c r="VNT24" s="19"/>
      <c r="VNU24" s="19"/>
      <c r="VNV24" s="19"/>
      <c r="VNW24" s="19"/>
      <c r="VNX24" s="19"/>
      <c r="VNY24" s="19"/>
      <c r="VNZ24" s="19"/>
      <c r="VOA24" s="19"/>
      <c r="VOB24" s="19"/>
      <c r="VOC24" s="19"/>
      <c r="VOD24" s="19"/>
      <c r="VOE24" s="19"/>
      <c r="VOF24" s="19"/>
      <c r="VOG24" s="19"/>
      <c r="VOH24" s="19"/>
      <c r="VOI24" s="19"/>
      <c r="VOJ24" s="19"/>
      <c r="VOK24" s="19"/>
      <c r="VOL24" s="19"/>
      <c r="VOM24" s="19"/>
      <c r="VON24" s="19"/>
      <c r="VOO24" s="19"/>
      <c r="VOP24" s="19"/>
      <c r="VOQ24" s="19"/>
      <c r="VOR24" s="19"/>
      <c r="VOS24" s="19"/>
      <c r="VOT24" s="19"/>
      <c r="VOU24" s="19"/>
      <c r="VOV24" s="19"/>
      <c r="VOW24" s="19"/>
      <c r="VOX24" s="19"/>
      <c r="VOY24" s="19"/>
      <c r="VOZ24" s="19"/>
      <c r="VPA24" s="19"/>
      <c r="VPB24" s="19"/>
      <c r="VPC24" s="19"/>
      <c r="VPD24" s="19"/>
      <c r="VPE24" s="19"/>
      <c r="VPF24" s="19"/>
      <c r="VPG24" s="19"/>
      <c r="VPH24" s="19"/>
      <c r="VPI24" s="19"/>
      <c r="VPJ24" s="19"/>
      <c r="VPK24" s="19"/>
      <c r="VPL24" s="19"/>
      <c r="VPM24" s="19"/>
      <c r="VPN24" s="19"/>
      <c r="VPO24" s="19"/>
      <c r="VPP24" s="19"/>
      <c r="VPQ24" s="19"/>
      <c r="VPR24" s="19"/>
      <c r="VPS24" s="19"/>
      <c r="VPT24" s="19"/>
      <c r="VPU24" s="19"/>
      <c r="VPV24" s="19"/>
      <c r="VPW24" s="19"/>
      <c r="VPX24" s="19"/>
      <c r="VPY24" s="19"/>
      <c r="VPZ24" s="19"/>
      <c r="VQA24" s="19"/>
      <c r="VQB24" s="19"/>
      <c r="VQC24" s="19"/>
      <c r="VQD24" s="19"/>
      <c r="VQE24" s="19"/>
      <c r="VQF24" s="19"/>
      <c r="VQG24" s="19"/>
      <c r="VQH24" s="19"/>
      <c r="VQI24" s="19"/>
      <c r="VQJ24" s="19"/>
      <c r="VQK24" s="19"/>
      <c r="VQL24" s="19"/>
      <c r="VQM24" s="19"/>
      <c r="VQN24" s="19"/>
      <c r="VQO24" s="19"/>
      <c r="VQP24" s="19"/>
      <c r="VQQ24" s="19"/>
      <c r="VQR24" s="19"/>
      <c r="VQS24" s="19"/>
      <c r="VQT24" s="19"/>
      <c r="VQU24" s="19"/>
      <c r="VQV24" s="19"/>
      <c r="VQW24" s="19"/>
      <c r="VQX24" s="19"/>
      <c r="VQY24" s="19"/>
      <c r="VQZ24" s="19"/>
      <c r="VRA24" s="19"/>
      <c r="VRB24" s="19"/>
      <c r="VRC24" s="19"/>
      <c r="VRD24" s="19"/>
      <c r="VRE24" s="19"/>
      <c r="VRF24" s="19"/>
      <c r="VRG24" s="19"/>
      <c r="VRH24" s="19"/>
      <c r="VRI24" s="19"/>
      <c r="VRJ24" s="19"/>
      <c r="VRK24" s="19"/>
      <c r="VRL24" s="19"/>
      <c r="VRM24" s="19"/>
      <c r="VRN24" s="19"/>
      <c r="VRO24" s="19"/>
      <c r="VRP24" s="19"/>
      <c r="VRQ24" s="19"/>
      <c r="VRR24" s="19"/>
      <c r="VRS24" s="19"/>
      <c r="VRT24" s="19"/>
      <c r="VRU24" s="19"/>
      <c r="VRV24" s="19"/>
      <c r="VRW24" s="19"/>
      <c r="VRX24" s="19"/>
      <c r="VRY24" s="19"/>
      <c r="VRZ24" s="19"/>
      <c r="VSA24" s="19"/>
      <c r="VSB24" s="19"/>
      <c r="VSC24" s="19"/>
      <c r="VSD24" s="19"/>
      <c r="VSE24" s="19"/>
      <c r="VSF24" s="19"/>
      <c r="VSG24" s="19"/>
      <c r="VSH24" s="19"/>
      <c r="VSI24" s="19"/>
      <c r="VSJ24" s="19"/>
      <c r="VSK24" s="19"/>
      <c r="VSL24" s="19"/>
      <c r="VSM24" s="19"/>
      <c r="VSN24" s="19"/>
      <c r="VSO24" s="19"/>
      <c r="VSP24" s="19"/>
      <c r="VSQ24" s="19"/>
      <c r="VSR24" s="19"/>
      <c r="VSS24" s="19"/>
      <c r="VST24" s="19"/>
      <c r="VSU24" s="19"/>
      <c r="VSV24" s="19"/>
      <c r="VSW24" s="19"/>
      <c r="VSX24" s="19"/>
      <c r="VSY24" s="19"/>
      <c r="VSZ24" s="19"/>
      <c r="VTA24" s="19"/>
      <c r="VTB24" s="19"/>
      <c r="VTC24" s="19"/>
      <c r="VTD24" s="19"/>
      <c r="VTE24" s="19"/>
      <c r="VTF24" s="19"/>
      <c r="VTG24" s="19"/>
      <c r="VTH24" s="19"/>
      <c r="VTI24" s="19"/>
      <c r="VTJ24" s="19"/>
      <c r="VTK24" s="19"/>
      <c r="VTL24" s="19"/>
      <c r="VTM24" s="19"/>
      <c r="VTN24" s="19"/>
      <c r="VTO24" s="19"/>
      <c r="VTP24" s="19"/>
      <c r="VTQ24" s="19"/>
      <c r="VTR24" s="19"/>
      <c r="VTS24" s="19"/>
      <c r="VTT24" s="19"/>
      <c r="VTU24" s="19"/>
      <c r="VTV24" s="19"/>
      <c r="VTW24" s="19"/>
      <c r="VTX24" s="19"/>
      <c r="VTY24" s="19"/>
      <c r="VTZ24" s="19"/>
      <c r="VUA24" s="19"/>
      <c r="VUB24" s="19"/>
      <c r="VUC24" s="19"/>
      <c r="VUD24" s="19"/>
      <c r="VUE24" s="19"/>
      <c r="VUF24" s="19"/>
      <c r="VUG24" s="19"/>
      <c r="VUH24" s="19"/>
      <c r="VUI24" s="19"/>
      <c r="VUJ24" s="19"/>
      <c r="VUK24" s="19"/>
      <c r="VUL24" s="19"/>
      <c r="VUM24" s="19"/>
      <c r="VUN24" s="19"/>
      <c r="VUO24" s="19"/>
      <c r="VUP24" s="19"/>
      <c r="VUQ24" s="19"/>
      <c r="VUR24" s="19"/>
      <c r="VUS24" s="19"/>
      <c r="VUT24" s="19"/>
      <c r="VUU24" s="19"/>
      <c r="VUV24" s="19"/>
      <c r="VUW24" s="19"/>
      <c r="VUX24" s="19"/>
      <c r="VUY24" s="19"/>
      <c r="VUZ24" s="19"/>
      <c r="VVA24" s="19"/>
      <c r="VVB24" s="19"/>
      <c r="VVC24" s="19"/>
      <c r="VVD24" s="19"/>
      <c r="VVE24" s="19"/>
      <c r="VVF24" s="19"/>
      <c r="VVG24" s="19"/>
      <c r="VVH24" s="19"/>
      <c r="VVI24" s="19"/>
      <c r="VVJ24" s="19"/>
      <c r="VVK24" s="19"/>
      <c r="VVL24" s="19"/>
      <c r="VVM24" s="19"/>
      <c r="VVN24" s="19"/>
      <c r="VVO24" s="19"/>
      <c r="VVP24" s="19"/>
      <c r="VVQ24" s="19"/>
      <c r="VVR24" s="19"/>
      <c r="VVS24" s="19"/>
      <c r="VVT24" s="19"/>
      <c r="VVU24" s="19"/>
      <c r="VVV24" s="19"/>
      <c r="VVW24" s="19"/>
      <c r="VVX24" s="19"/>
      <c r="VVY24" s="19"/>
      <c r="VVZ24" s="19"/>
      <c r="VWA24" s="19"/>
      <c r="VWB24" s="19"/>
      <c r="VWC24" s="19"/>
      <c r="VWD24" s="19"/>
      <c r="VWE24" s="19"/>
      <c r="VWF24" s="19"/>
      <c r="VWG24" s="19"/>
      <c r="VWH24" s="19"/>
      <c r="VWI24" s="19"/>
      <c r="VWJ24" s="19"/>
      <c r="VWK24" s="19"/>
      <c r="VWL24" s="19"/>
      <c r="VWM24" s="19"/>
      <c r="VWN24" s="19"/>
      <c r="VWO24" s="19"/>
      <c r="VWP24" s="19"/>
      <c r="VWQ24" s="19"/>
      <c r="VWR24" s="19"/>
      <c r="VWS24" s="19"/>
      <c r="VWT24" s="19"/>
      <c r="VWU24" s="19"/>
      <c r="VWV24" s="19"/>
      <c r="VWW24" s="19"/>
      <c r="VWX24" s="19"/>
      <c r="VWY24" s="19"/>
      <c r="VWZ24" s="19"/>
      <c r="VXA24" s="19"/>
      <c r="VXB24" s="19"/>
      <c r="VXC24" s="19"/>
      <c r="VXD24" s="19"/>
      <c r="VXE24" s="19"/>
      <c r="VXF24" s="19"/>
      <c r="VXG24" s="19"/>
      <c r="VXH24" s="19"/>
      <c r="VXI24" s="19"/>
      <c r="VXJ24" s="19"/>
      <c r="VXK24" s="19"/>
      <c r="VXL24" s="19"/>
      <c r="VXM24" s="19"/>
      <c r="VXN24" s="19"/>
      <c r="VXO24" s="19"/>
      <c r="VXP24" s="19"/>
      <c r="VXQ24" s="19"/>
      <c r="VXR24" s="19"/>
      <c r="VXS24" s="19"/>
      <c r="VXT24" s="19"/>
      <c r="VXU24" s="19"/>
      <c r="VXV24" s="19"/>
      <c r="VXW24" s="19"/>
      <c r="VXX24" s="19"/>
      <c r="VXY24" s="19"/>
      <c r="VXZ24" s="19"/>
      <c r="VYA24" s="19"/>
      <c r="VYB24" s="19"/>
      <c r="VYC24" s="19"/>
      <c r="VYD24" s="19"/>
      <c r="VYE24" s="19"/>
      <c r="VYF24" s="19"/>
      <c r="VYG24" s="19"/>
      <c r="VYH24" s="19"/>
      <c r="VYI24" s="19"/>
      <c r="VYJ24" s="19"/>
      <c r="VYK24" s="19"/>
      <c r="VYL24" s="19"/>
      <c r="VYM24" s="19"/>
      <c r="VYN24" s="19"/>
      <c r="VYO24" s="19"/>
      <c r="VYP24" s="19"/>
      <c r="VYQ24" s="19"/>
      <c r="VYR24" s="19"/>
      <c r="VYS24" s="19"/>
      <c r="VYT24" s="19"/>
      <c r="VYU24" s="19"/>
      <c r="VYV24" s="19"/>
      <c r="VYW24" s="19"/>
      <c r="VYX24" s="19"/>
      <c r="VYY24" s="19"/>
      <c r="VYZ24" s="19"/>
      <c r="VZA24" s="19"/>
      <c r="VZB24" s="19"/>
      <c r="VZC24" s="19"/>
      <c r="VZD24" s="19"/>
      <c r="VZE24" s="19"/>
      <c r="VZF24" s="19"/>
      <c r="VZG24" s="19"/>
      <c r="VZH24" s="19"/>
      <c r="VZI24" s="19"/>
      <c r="VZJ24" s="19"/>
      <c r="VZK24" s="19"/>
      <c r="VZL24" s="19"/>
      <c r="VZM24" s="19"/>
      <c r="VZN24" s="19"/>
      <c r="VZO24" s="19"/>
      <c r="VZP24" s="19"/>
      <c r="VZQ24" s="19"/>
      <c r="VZR24" s="19"/>
      <c r="VZS24" s="19"/>
      <c r="VZT24" s="19"/>
      <c r="VZU24" s="19"/>
      <c r="VZV24" s="19"/>
      <c r="VZW24" s="19"/>
      <c r="VZX24" s="19"/>
      <c r="VZY24" s="19"/>
      <c r="VZZ24" s="19"/>
      <c r="WAA24" s="19"/>
      <c r="WAB24" s="19"/>
      <c r="WAC24" s="19"/>
      <c r="WAD24" s="19"/>
      <c r="WAE24" s="19"/>
      <c r="WAF24" s="19"/>
      <c r="WAG24" s="19"/>
      <c r="WAH24" s="19"/>
      <c r="WAI24" s="19"/>
      <c r="WAJ24" s="19"/>
      <c r="WAK24" s="19"/>
      <c r="WAL24" s="19"/>
      <c r="WAM24" s="19"/>
      <c r="WAN24" s="19"/>
      <c r="WAO24" s="19"/>
      <c r="WAP24" s="19"/>
      <c r="WAQ24" s="19"/>
      <c r="WAR24" s="19"/>
      <c r="WAS24" s="19"/>
      <c r="WAT24" s="19"/>
      <c r="WAU24" s="19"/>
      <c r="WAV24" s="19"/>
      <c r="WAW24" s="19"/>
      <c r="WAX24" s="19"/>
      <c r="WAY24" s="19"/>
      <c r="WAZ24" s="19"/>
      <c r="WBA24" s="19"/>
      <c r="WBB24" s="19"/>
      <c r="WBC24" s="19"/>
      <c r="WBD24" s="19"/>
      <c r="WBE24" s="19"/>
      <c r="WBF24" s="19"/>
      <c r="WBG24" s="19"/>
      <c r="WBH24" s="19"/>
      <c r="WBI24" s="19"/>
      <c r="WBJ24" s="19"/>
      <c r="WBK24" s="19"/>
      <c r="WBL24" s="19"/>
      <c r="WBM24" s="19"/>
      <c r="WBN24" s="19"/>
      <c r="WBO24" s="19"/>
      <c r="WBP24" s="19"/>
      <c r="WBQ24" s="19"/>
      <c r="WBR24" s="19"/>
      <c r="WBS24" s="19"/>
      <c r="WBT24" s="19"/>
      <c r="WBU24" s="19"/>
      <c r="WBV24" s="19"/>
      <c r="WBW24" s="19"/>
      <c r="WBX24" s="19"/>
      <c r="WBY24" s="19"/>
      <c r="WBZ24" s="19"/>
      <c r="WCA24" s="19"/>
      <c r="WCB24" s="19"/>
      <c r="WCC24" s="19"/>
      <c r="WCD24" s="19"/>
      <c r="WCE24" s="19"/>
      <c r="WCF24" s="19"/>
      <c r="WCG24" s="19"/>
      <c r="WCH24" s="19"/>
      <c r="WCI24" s="19"/>
      <c r="WCJ24" s="19"/>
      <c r="WCK24" s="19"/>
      <c r="WCL24" s="19"/>
      <c r="WCM24" s="19"/>
      <c r="WCN24" s="19"/>
      <c r="WCO24" s="19"/>
      <c r="WCP24" s="19"/>
      <c r="WCQ24" s="19"/>
      <c r="WCR24" s="19"/>
      <c r="WCS24" s="19"/>
      <c r="WCT24" s="19"/>
      <c r="WCU24" s="19"/>
      <c r="WCV24" s="19"/>
      <c r="WCW24" s="19"/>
      <c r="WCX24" s="19"/>
      <c r="WCY24" s="19"/>
      <c r="WCZ24" s="19"/>
      <c r="WDA24" s="19"/>
      <c r="WDB24" s="19"/>
      <c r="WDC24" s="19"/>
      <c r="WDD24" s="19"/>
      <c r="WDE24" s="19"/>
      <c r="WDF24" s="19"/>
      <c r="WDG24" s="19"/>
      <c r="WDH24" s="19"/>
      <c r="WDI24" s="19"/>
      <c r="WDJ24" s="19"/>
      <c r="WDK24" s="19"/>
      <c r="WDL24" s="19"/>
      <c r="WDM24" s="19"/>
      <c r="WDN24" s="19"/>
      <c r="WDO24" s="19"/>
      <c r="WDP24" s="19"/>
      <c r="WDQ24" s="19"/>
      <c r="WDR24" s="19"/>
      <c r="WDS24" s="19"/>
      <c r="WDT24" s="19"/>
      <c r="WDU24" s="19"/>
      <c r="WDV24" s="19"/>
      <c r="WDW24" s="19"/>
      <c r="WDX24" s="19"/>
      <c r="WDY24" s="19"/>
      <c r="WDZ24" s="19"/>
      <c r="WEA24" s="19"/>
      <c r="WEB24" s="19"/>
      <c r="WEC24" s="19"/>
      <c r="WED24" s="19"/>
      <c r="WEE24" s="19"/>
      <c r="WEF24" s="19"/>
      <c r="WEG24" s="19"/>
      <c r="WEH24" s="19"/>
      <c r="WEI24" s="19"/>
      <c r="WEJ24" s="19"/>
      <c r="WEK24" s="19"/>
      <c r="WEL24" s="19"/>
      <c r="WEM24" s="19"/>
      <c r="WEN24" s="19"/>
      <c r="WEO24" s="19"/>
      <c r="WEP24" s="19"/>
      <c r="WEQ24" s="19"/>
      <c r="WER24" s="19"/>
      <c r="WES24" s="19"/>
      <c r="WET24" s="19"/>
      <c r="WEU24" s="19"/>
      <c r="WEV24" s="19"/>
      <c r="WEW24" s="19"/>
      <c r="WEX24" s="19"/>
      <c r="WEY24" s="19"/>
      <c r="WEZ24" s="19"/>
      <c r="WFA24" s="19"/>
      <c r="WFB24" s="19"/>
      <c r="WFC24" s="19"/>
      <c r="WFD24" s="19"/>
      <c r="WFE24" s="19"/>
      <c r="WFF24" s="19"/>
      <c r="WFG24" s="19"/>
      <c r="WFH24" s="19"/>
      <c r="WFI24" s="19"/>
      <c r="WFJ24" s="19"/>
      <c r="WFK24" s="19"/>
      <c r="WFL24" s="19"/>
      <c r="WFM24" s="19"/>
      <c r="WFN24" s="19"/>
      <c r="WFO24" s="19"/>
      <c r="WFP24" s="19"/>
      <c r="WFQ24" s="19"/>
      <c r="WFR24" s="19"/>
      <c r="WFS24" s="19"/>
      <c r="WFT24" s="19"/>
      <c r="WFU24" s="19"/>
      <c r="WFV24" s="19"/>
      <c r="WFW24" s="19"/>
      <c r="WFX24" s="19"/>
      <c r="WFY24" s="19"/>
      <c r="WFZ24" s="19"/>
      <c r="WGA24" s="19"/>
      <c r="WGB24" s="19"/>
      <c r="WGC24" s="19"/>
      <c r="WGD24" s="19"/>
      <c r="WGE24" s="19"/>
      <c r="WGF24" s="19"/>
      <c r="WGG24" s="19"/>
      <c r="WGH24" s="19"/>
      <c r="WGI24" s="19"/>
      <c r="WGJ24" s="19"/>
      <c r="WGK24" s="19"/>
      <c r="WGL24" s="19"/>
      <c r="WGM24" s="19"/>
      <c r="WGN24" s="19"/>
      <c r="WGO24" s="19"/>
      <c r="WGP24" s="19"/>
      <c r="WGQ24" s="19"/>
      <c r="WGR24" s="19"/>
      <c r="WGS24" s="19"/>
      <c r="WGT24" s="19"/>
      <c r="WGU24" s="19"/>
      <c r="WGV24" s="19"/>
      <c r="WGW24" s="19"/>
      <c r="WGX24" s="19"/>
      <c r="WGY24" s="19"/>
      <c r="WGZ24" s="19"/>
      <c r="WHA24" s="19"/>
      <c r="WHB24" s="19"/>
      <c r="WHC24" s="19"/>
      <c r="WHD24" s="19"/>
      <c r="WHE24" s="19"/>
      <c r="WHF24" s="19"/>
      <c r="WHG24" s="19"/>
      <c r="WHH24" s="19"/>
      <c r="WHI24" s="19"/>
      <c r="WHJ24" s="19"/>
      <c r="WHK24" s="19"/>
      <c r="WHL24" s="19"/>
      <c r="WHM24" s="19"/>
      <c r="WHN24" s="19"/>
      <c r="WHO24" s="19"/>
      <c r="WHP24" s="19"/>
      <c r="WHQ24" s="19"/>
      <c r="WHR24" s="19"/>
      <c r="WHS24" s="19"/>
      <c r="WHT24" s="19"/>
      <c r="WHU24" s="19"/>
      <c r="WHV24" s="19"/>
      <c r="WHW24" s="19"/>
      <c r="WHX24" s="19"/>
      <c r="WHY24" s="19"/>
      <c r="WHZ24" s="19"/>
      <c r="WIA24" s="19"/>
      <c r="WIB24" s="19"/>
      <c r="WIC24" s="19"/>
      <c r="WID24" s="19"/>
      <c r="WIE24" s="19"/>
      <c r="WIF24" s="19"/>
      <c r="WIG24" s="19"/>
      <c r="WIH24" s="19"/>
      <c r="WII24" s="19"/>
      <c r="WIJ24" s="19"/>
      <c r="WIK24" s="19"/>
      <c r="WIL24" s="19"/>
      <c r="WIM24" s="19"/>
      <c r="WIN24" s="19"/>
      <c r="WIO24" s="19"/>
      <c r="WIP24" s="19"/>
      <c r="WIQ24" s="19"/>
      <c r="WIR24" s="19"/>
      <c r="WIS24" s="19"/>
      <c r="WIT24" s="19"/>
      <c r="WIU24" s="19"/>
      <c r="WIV24" s="19"/>
      <c r="WIW24" s="19"/>
      <c r="WIX24" s="19"/>
      <c r="WIY24" s="19"/>
      <c r="WIZ24" s="19"/>
      <c r="WJA24" s="19"/>
      <c r="WJB24" s="19"/>
      <c r="WJC24" s="19"/>
      <c r="WJD24" s="19"/>
      <c r="WJE24" s="19"/>
      <c r="WJF24" s="19"/>
      <c r="WJG24" s="19"/>
      <c r="WJH24" s="19"/>
      <c r="WJI24" s="19"/>
      <c r="WJJ24" s="19"/>
      <c r="WJK24" s="19"/>
      <c r="WJL24" s="19"/>
      <c r="WJM24" s="19"/>
      <c r="WJN24" s="19"/>
      <c r="WJO24" s="19"/>
      <c r="WJP24" s="19"/>
      <c r="WJQ24" s="19"/>
      <c r="WJR24" s="19"/>
      <c r="WJS24" s="19"/>
      <c r="WJT24" s="19"/>
      <c r="WJU24" s="19"/>
      <c r="WJV24" s="19"/>
      <c r="WJW24" s="19"/>
      <c r="WJX24" s="19"/>
      <c r="WJY24" s="19"/>
      <c r="WJZ24" s="19"/>
      <c r="WKA24" s="19"/>
      <c r="WKB24" s="19"/>
      <c r="WKC24" s="19"/>
      <c r="WKD24" s="19"/>
      <c r="WKE24" s="19"/>
      <c r="WKF24" s="19"/>
      <c r="WKG24" s="19"/>
      <c r="WKH24" s="19"/>
      <c r="WKI24" s="19"/>
      <c r="WKJ24" s="19"/>
      <c r="WKK24" s="19"/>
      <c r="WKL24" s="19"/>
      <c r="WKM24" s="19"/>
      <c r="WKN24" s="19"/>
      <c r="WKO24" s="19"/>
      <c r="WKP24" s="19"/>
      <c r="WKQ24" s="19"/>
      <c r="WKR24" s="19"/>
      <c r="WKS24" s="19"/>
      <c r="WKT24" s="19"/>
      <c r="WKU24" s="19"/>
      <c r="WKV24" s="19"/>
      <c r="WKW24" s="19"/>
      <c r="WKX24" s="19"/>
      <c r="WKY24" s="19"/>
      <c r="WKZ24" s="19"/>
      <c r="WLA24" s="19"/>
      <c r="WLB24" s="19"/>
      <c r="WLC24" s="19"/>
      <c r="WLD24" s="19"/>
      <c r="WLE24" s="19"/>
      <c r="WLF24" s="19"/>
      <c r="WLG24" s="19"/>
      <c r="WLH24" s="19"/>
      <c r="WLI24" s="19"/>
      <c r="WLJ24" s="19"/>
      <c r="WLK24" s="19"/>
      <c r="WLL24" s="19"/>
      <c r="WLM24" s="19"/>
      <c r="WLN24" s="19"/>
      <c r="WLO24" s="19"/>
      <c r="WLP24" s="19"/>
      <c r="WLQ24" s="19"/>
      <c r="WLR24" s="19"/>
      <c r="WLS24" s="19"/>
      <c r="WLT24" s="19"/>
      <c r="WLU24" s="19"/>
      <c r="WLV24" s="19"/>
      <c r="WLW24" s="19"/>
      <c r="WLX24" s="19"/>
      <c r="WLY24" s="19"/>
      <c r="WLZ24" s="19"/>
      <c r="WMA24" s="19"/>
      <c r="WMB24" s="19"/>
      <c r="WMC24" s="19"/>
      <c r="WMD24" s="19"/>
      <c r="WME24" s="19"/>
      <c r="WMF24" s="19"/>
      <c r="WMG24" s="19"/>
      <c r="WMH24" s="19"/>
      <c r="WMI24" s="19"/>
      <c r="WMJ24" s="19"/>
      <c r="WMK24" s="19"/>
      <c r="WML24" s="19"/>
      <c r="WMM24" s="19"/>
      <c r="WMN24" s="19"/>
      <c r="WMO24" s="19"/>
      <c r="WMP24" s="19"/>
      <c r="WMQ24" s="19"/>
      <c r="WMR24" s="19"/>
      <c r="WMS24" s="19"/>
      <c r="WMT24" s="19"/>
      <c r="WMU24" s="19"/>
      <c r="WMV24" s="19"/>
      <c r="WMW24" s="19"/>
      <c r="WMX24" s="19"/>
      <c r="WMY24" s="19"/>
      <c r="WMZ24" s="19"/>
      <c r="WNA24" s="19"/>
      <c r="WNB24" s="19"/>
      <c r="WNC24" s="19"/>
      <c r="WND24" s="19"/>
      <c r="WNE24" s="19"/>
      <c r="WNF24" s="19"/>
      <c r="WNG24" s="19"/>
      <c r="WNH24" s="19"/>
      <c r="WNI24" s="19"/>
      <c r="WNJ24" s="19"/>
      <c r="WNK24" s="19"/>
      <c r="WNL24" s="19"/>
      <c r="WNM24" s="19"/>
      <c r="WNN24" s="19"/>
      <c r="WNO24" s="19"/>
      <c r="WNP24" s="19"/>
      <c r="WNQ24" s="19"/>
      <c r="WNR24" s="19"/>
      <c r="WNS24" s="19"/>
      <c r="WNT24" s="19"/>
      <c r="WNU24" s="19"/>
      <c r="WNV24" s="19"/>
      <c r="WNW24" s="19"/>
      <c r="WNX24" s="19"/>
      <c r="WNY24" s="19"/>
      <c r="WNZ24" s="19"/>
      <c r="WOA24" s="19"/>
      <c r="WOB24" s="19"/>
      <c r="WOC24" s="19"/>
      <c r="WOD24" s="19"/>
      <c r="WOE24" s="19"/>
      <c r="WOF24" s="19"/>
      <c r="WOG24" s="19"/>
      <c r="WOH24" s="19"/>
      <c r="WOI24" s="19"/>
      <c r="WOJ24" s="19"/>
      <c r="WOK24" s="19"/>
      <c r="WOL24" s="19"/>
      <c r="WOM24" s="19"/>
      <c r="WON24" s="19"/>
      <c r="WOO24" s="19"/>
      <c r="WOP24" s="19"/>
      <c r="WOQ24" s="19"/>
      <c r="WOR24" s="19"/>
      <c r="WOS24" s="19"/>
      <c r="WOT24" s="19"/>
      <c r="WOU24" s="19"/>
      <c r="WOV24" s="19"/>
      <c r="WOW24" s="19"/>
      <c r="WOX24" s="19"/>
      <c r="WOY24" s="19"/>
      <c r="WOZ24" s="19"/>
      <c r="WPA24" s="19"/>
      <c r="WPB24" s="19"/>
      <c r="WPC24" s="19"/>
      <c r="WPD24" s="19"/>
      <c r="WPE24" s="19"/>
      <c r="WPF24" s="19"/>
      <c r="WPG24" s="19"/>
      <c r="WPH24" s="19"/>
      <c r="WPI24" s="19"/>
      <c r="WPJ24" s="19"/>
      <c r="WPK24" s="19"/>
      <c r="WPL24" s="19"/>
      <c r="WPM24" s="19"/>
      <c r="WPN24" s="19"/>
      <c r="WPO24" s="19"/>
      <c r="WPP24" s="19"/>
      <c r="WPQ24" s="19"/>
      <c r="WPR24" s="19"/>
      <c r="WPS24" s="19"/>
      <c r="WPT24" s="19"/>
      <c r="WPU24" s="19"/>
      <c r="WPV24" s="19"/>
      <c r="WPW24" s="19"/>
      <c r="WPX24" s="19"/>
      <c r="WPY24" s="19"/>
      <c r="WPZ24" s="19"/>
      <c r="WQA24" s="19"/>
      <c r="WQB24" s="19"/>
      <c r="WQC24" s="19"/>
      <c r="WQD24" s="19"/>
      <c r="WQE24" s="19"/>
      <c r="WQF24" s="19"/>
      <c r="WQG24" s="19"/>
      <c r="WQH24" s="19"/>
      <c r="WQI24" s="19"/>
      <c r="WQJ24" s="19"/>
      <c r="WQK24" s="19"/>
      <c r="WQL24" s="19"/>
      <c r="WQM24" s="19"/>
      <c r="WQN24" s="19"/>
      <c r="WQO24" s="19"/>
      <c r="WQP24" s="19"/>
      <c r="WQQ24" s="19"/>
      <c r="WQR24" s="19"/>
      <c r="WQS24" s="19"/>
      <c r="WQT24" s="19"/>
      <c r="WQU24" s="19"/>
      <c r="WQV24" s="19"/>
      <c r="WQW24" s="19"/>
      <c r="WQX24" s="19"/>
      <c r="WQY24" s="19"/>
      <c r="WQZ24" s="19"/>
      <c r="WRA24" s="19"/>
      <c r="WRB24" s="19"/>
      <c r="WRC24" s="19"/>
      <c r="WRD24" s="19"/>
      <c r="WRE24" s="19"/>
      <c r="WRF24" s="19"/>
      <c r="WRG24" s="19"/>
      <c r="WRH24" s="19"/>
      <c r="WRI24" s="19"/>
      <c r="WRJ24" s="19"/>
      <c r="WRK24" s="19"/>
      <c r="WRL24" s="19"/>
      <c r="WRM24" s="19"/>
      <c r="WRN24" s="19"/>
      <c r="WRO24" s="19"/>
      <c r="WRP24" s="19"/>
      <c r="WRQ24" s="19"/>
      <c r="WRR24" s="19"/>
      <c r="WRS24" s="19"/>
      <c r="WRT24" s="19"/>
      <c r="WRU24" s="19"/>
      <c r="WRV24" s="19"/>
      <c r="WRW24" s="19"/>
      <c r="WRX24" s="19"/>
      <c r="WRY24" s="19"/>
      <c r="WRZ24" s="19"/>
      <c r="WSA24" s="19"/>
      <c r="WSB24" s="19"/>
      <c r="WSC24" s="19"/>
      <c r="WSD24" s="19"/>
      <c r="WSE24" s="19"/>
      <c r="WSF24" s="19"/>
      <c r="WSG24" s="19"/>
      <c r="WSH24" s="19"/>
      <c r="WSI24" s="19"/>
      <c r="WSJ24" s="19"/>
      <c r="WSK24" s="19"/>
      <c r="WSL24" s="19"/>
      <c r="WSM24" s="19"/>
      <c r="WSN24" s="19"/>
      <c r="WSO24" s="19"/>
      <c r="WSP24" s="19"/>
      <c r="WSQ24" s="19"/>
      <c r="WSR24" s="19"/>
      <c r="WSS24" s="19"/>
      <c r="WST24" s="19"/>
      <c r="WSU24" s="19"/>
      <c r="WSV24" s="19"/>
      <c r="WSW24" s="19"/>
      <c r="WSX24" s="19"/>
      <c r="WSY24" s="19"/>
      <c r="WSZ24" s="19"/>
      <c r="WTA24" s="19"/>
      <c r="WTB24" s="19"/>
      <c r="WTC24" s="19"/>
      <c r="WTD24" s="19"/>
      <c r="WTE24" s="19"/>
      <c r="WTF24" s="19"/>
      <c r="WTG24" s="19"/>
      <c r="WTH24" s="19"/>
      <c r="WTI24" s="19"/>
      <c r="WTJ24" s="19"/>
      <c r="WTK24" s="19"/>
      <c r="WTL24" s="19"/>
      <c r="WTM24" s="19"/>
      <c r="WTN24" s="19"/>
      <c r="WTO24" s="19"/>
      <c r="WTP24" s="19"/>
      <c r="WTQ24" s="19"/>
      <c r="WTR24" s="19"/>
      <c r="WTS24" s="19"/>
      <c r="WTT24" s="19"/>
      <c r="WTU24" s="19"/>
      <c r="WTV24" s="19"/>
      <c r="WTW24" s="19"/>
      <c r="WTX24" s="19"/>
      <c r="WTY24" s="19"/>
      <c r="WTZ24" s="19"/>
      <c r="WUA24" s="19"/>
      <c r="WUB24" s="19"/>
      <c r="WUC24" s="19"/>
      <c r="WUD24" s="19"/>
      <c r="WUE24" s="19"/>
      <c r="WUF24" s="19"/>
      <c r="WUG24" s="19"/>
      <c r="WUH24" s="19"/>
      <c r="WUI24" s="19"/>
      <c r="WUJ24" s="19"/>
      <c r="WUK24" s="19"/>
      <c r="WUL24" s="19"/>
      <c r="WUM24" s="19"/>
      <c r="WUN24" s="19"/>
      <c r="WUO24" s="19"/>
      <c r="WUP24" s="19"/>
      <c r="WUQ24" s="19"/>
      <c r="WUR24" s="19"/>
      <c r="WUS24" s="19"/>
      <c r="WUT24" s="19"/>
      <c r="WUU24" s="19"/>
      <c r="WUV24" s="19"/>
      <c r="WUW24" s="19"/>
      <c r="WUX24" s="19"/>
      <c r="WUY24" s="19"/>
      <c r="WUZ24" s="19"/>
      <c r="WVA24" s="19"/>
      <c r="WVB24" s="19"/>
      <c r="WVC24" s="19"/>
      <c r="WVD24" s="19"/>
      <c r="WVE24" s="19"/>
      <c r="WVF24" s="19"/>
      <c r="WVG24" s="19"/>
      <c r="WVH24" s="19"/>
      <c r="WVI24" s="19"/>
      <c r="WVJ24" s="19"/>
      <c r="WVK24" s="19"/>
      <c r="WVL24" s="19"/>
      <c r="WVM24" s="19"/>
      <c r="WVN24" s="19"/>
      <c r="WVO24" s="19"/>
      <c r="WVP24" s="19"/>
      <c r="WVQ24" s="19"/>
      <c r="WVR24" s="19"/>
      <c r="WVS24" s="19"/>
      <c r="WVT24" s="19"/>
      <c r="WVU24" s="19"/>
      <c r="WVV24" s="19"/>
      <c r="WVW24" s="19"/>
      <c r="WVX24" s="19"/>
      <c r="WVY24" s="19"/>
      <c r="WVZ24" s="19"/>
      <c r="WWA24" s="19"/>
      <c r="WWB24" s="19"/>
      <c r="WWC24" s="19"/>
      <c r="WWD24" s="19"/>
      <c r="WWE24" s="19"/>
      <c r="WWF24" s="19"/>
      <c r="WWG24" s="19"/>
      <c r="WWH24" s="19"/>
      <c r="WWI24" s="19"/>
      <c r="WWJ24" s="19"/>
      <c r="WWK24" s="19"/>
      <c r="WWL24" s="19"/>
      <c r="WWM24" s="19"/>
      <c r="WWN24" s="19"/>
      <c r="WWO24" s="19"/>
      <c r="WWP24" s="19"/>
      <c r="WWQ24" s="19"/>
      <c r="WWR24" s="19"/>
      <c r="WWS24" s="19"/>
      <c r="WWT24" s="19"/>
      <c r="WWU24" s="19"/>
      <c r="WWV24" s="19"/>
      <c r="WWW24" s="19"/>
      <c r="WWX24" s="19"/>
      <c r="WWY24" s="19"/>
      <c r="WWZ24" s="19"/>
      <c r="WXA24" s="19"/>
      <c r="WXB24" s="19"/>
      <c r="WXC24" s="19"/>
      <c r="WXD24" s="19"/>
      <c r="WXE24" s="19"/>
      <c r="WXF24" s="19"/>
      <c r="WXG24" s="19"/>
      <c r="WXH24" s="19"/>
      <c r="WXI24" s="19"/>
      <c r="WXJ24" s="19"/>
      <c r="WXK24" s="19"/>
      <c r="WXL24" s="19"/>
      <c r="WXM24" s="19"/>
      <c r="WXN24" s="19"/>
      <c r="WXO24" s="19"/>
      <c r="WXP24" s="19"/>
      <c r="WXQ24" s="19"/>
      <c r="WXR24" s="19"/>
      <c r="WXS24" s="19"/>
      <c r="WXT24" s="19"/>
      <c r="WXU24" s="19"/>
      <c r="WXV24" s="19"/>
      <c r="WXW24" s="19"/>
      <c r="WXX24" s="19"/>
      <c r="WXY24" s="19"/>
      <c r="WXZ24" s="19"/>
      <c r="WYA24" s="19"/>
      <c r="WYB24" s="19"/>
      <c r="WYC24" s="19"/>
      <c r="WYD24" s="19"/>
      <c r="WYE24" s="19"/>
      <c r="WYF24" s="19"/>
      <c r="WYG24" s="19"/>
      <c r="WYH24" s="19"/>
      <c r="WYI24" s="19"/>
      <c r="WYJ24" s="19"/>
      <c r="WYK24" s="19"/>
      <c r="WYL24" s="19"/>
      <c r="WYM24" s="19"/>
      <c r="WYN24" s="19"/>
      <c r="WYO24" s="19"/>
      <c r="WYP24" s="19"/>
      <c r="WYQ24" s="19"/>
      <c r="WYR24" s="19"/>
      <c r="WYS24" s="19"/>
      <c r="WYT24" s="19"/>
      <c r="WYU24" s="19"/>
      <c r="WYV24" s="19"/>
      <c r="WYW24" s="19"/>
      <c r="WYX24" s="19"/>
      <c r="WYY24" s="19"/>
      <c r="WYZ24" s="19"/>
      <c r="WZA24" s="19"/>
      <c r="WZB24" s="19"/>
      <c r="WZC24" s="19"/>
      <c r="WZD24" s="19"/>
      <c r="WZE24" s="19"/>
      <c r="WZF24" s="19"/>
      <c r="WZG24" s="19"/>
      <c r="WZH24" s="19"/>
      <c r="WZI24" s="19"/>
      <c r="WZJ24" s="19"/>
      <c r="WZK24" s="19"/>
      <c r="WZL24" s="19"/>
      <c r="WZM24" s="19"/>
      <c r="WZN24" s="19"/>
      <c r="WZO24" s="19"/>
      <c r="WZP24" s="19"/>
      <c r="WZQ24" s="19"/>
      <c r="WZR24" s="19"/>
      <c r="WZS24" s="19"/>
      <c r="WZT24" s="19"/>
      <c r="WZU24" s="19"/>
      <c r="WZV24" s="19"/>
      <c r="WZW24" s="19"/>
      <c r="WZX24" s="19"/>
      <c r="WZY24" s="19"/>
      <c r="WZZ24" s="19"/>
      <c r="XAA24" s="19"/>
      <c r="XAB24" s="19"/>
      <c r="XAC24" s="19"/>
      <c r="XAD24" s="19"/>
      <c r="XAE24" s="19"/>
      <c r="XAF24" s="19"/>
      <c r="XAG24" s="19"/>
      <c r="XAH24" s="19"/>
      <c r="XAI24" s="19"/>
      <c r="XAJ24" s="19"/>
      <c r="XAK24" s="19"/>
      <c r="XAL24" s="19"/>
      <c r="XAM24" s="19"/>
      <c r="XAN24" s="19"/>
      <c r="XAO24" s="19"/>
      <c r="XAP24" s="19"/>
      <c r="XAQ24" s="19"/>
      <c r="XAR24" s="19"/>
      <c r="XAS24" s="19"/>
      <c r="XAT24" s="19"/>
      <c r="XAU24" s="19"/>
      <c r="XAV24" s="19"/>
      <c r="XAW24" s="19"/>
      <c r="XAX24" s="19"/>
      <c r="XAY24" s="19"/>
      <c r="XAZ24" s="19"/>
      <c r="XBA24" s="19"/>
      <c r="XBB24" s="19"/>
      <c r="XBC24" s="19"/>
      <c r="XBD24" s="19"/>
      <c r="XBE24" s="19"/>
      <c r="XBF24" s="19"/>
      <c r="XBG24" s="19"/>
      <c r="XBH24" s="19"/>
      <c r="XBI24" s="19"/>
      <c r="XBJ24" s="19"/>
      <c r="XBK24" s="19"/>
      <c r="XBL24" s="19"/>
      <c r="XBM24" s="19"/>
      <c r="XBN24" s="19"/>
      <c r="XBO24" s="19"/>
      <c r="XBP24" s="19"/>
      <c r="XBQ24" s="19"/>
      <c r="XBR24" s="19"/>
      <c r="XBS24" s="19"/>
      <c r="XBT24" s="19"/>
      <c r="XBU24" s="19"/>
      <c r="XBV24" s="19"/>
      <c r="XBW24" s="19"/>
      <c r="XBX24" s="19"/>
      <c r="XBY24" s="19"/>
      <c r="XBZ24" s="19"/>
      <c r="XCA24" s="19"/>
      <c r="XCB24" s="19"/>
      <c r="XCC24" s="19"/>
      <c r="XCD24" s="19"/>
      <c r="XCE24" s="19"/>
      <c r="XCF24" s="19"/>
      <c r="XCG24" s="19"/>
      <c r="XCH24" s="19"/>
      <c r="XCI24" s="19"/>
      <c r="XCJ24" s="19"/>
      <c r="XCK24" s="19"/>
      <c r="XCL24" s="19"/>
      <c r="XCM24" s="19"/>
      <c r="XCN24" s="19"/>
      <c r="XCO24" s="19"/>
      <c r="XCP24" s="19"/>
      <c r="XCQ24" s="19"/>
      <c r="XCR24" s="19"/>
      <c r="XCS24" s="19"/>
      <c r="XCT24" s="19"/>
      <c r="XCU24" s="19"/>
      <c r="XCV24" s="19"/>
      <c r="XCW24" s="19"/>
      <c r="XCX24" s="19"/>
      <c r="XCY24" s="19"/>
      <c r="XCZ24" s="19"/>
      <c r="XDA24" s="19"/>
      <c r="XDB24" s="19"/>
      <c r="XDC24" s="19"/>
      <c r="XDD24" s="19"/>
      <c r="XDE24" s="19"/>
      <c r="XDF24" s="19"/>
      <c r="XDG24" s="19"/>
      <c r="XDH24" s="19"/>
      <c r="XDI24" s="19"/>
      <c r="XDJ24" s="19"/>
      <c r="XDK24" s="19"/>
      <c r="XDL24" s="19"/>
      <c r="XDM24" s="19"/>
      <c r="XDN24" s="19"/>
      <c r="XDO24" s="19"/>
      <c r="XDP24" s="19"/>
      <c r="XDQ24" s="19"/>
      <c r="XDR24" s="19"/>
      <c r="XDS24" s="19"/>
      <c r="XDT24" s="19"/>
      <c r="XDU24" s="19"/>
      <c r="XDV24" s="19"/>
      <c r="XDW24" s="19"/>
      <c r="XDX24" s="19"/>
      <c r="XDY24" s="19"/>
      <c r="XDZ24" s="19"/>
      <c r="XEA24" s="19"/>
      <c r="XEB24" s="19"/>
      <c r="XEC24" s="19"/>
      <c r="XED24" s="19"/>
      <c r="XEE24" s="19"/>
      <c r="XEF24" s="19"/>
      <c r="XEG24" s="19"/>
      <c r="XEH24" s="19"/>
      <c r="XEI24" s="19"/>
      <c r="XEJ24" s="19"/>
      <c r="XEK24" s="19"/>
      <c r="XEL24" s="19"/>
      <c r="XEM24" s="19"/>
      <c r="XEN24" s="19"/>
      <c r="XEO24" s="19"/>
      <c r="XEP24" s="19"/>
      <c r="XEQ24" s="19"/>
      <c r="XER24" s="19"/>
      <c r="XES24" s="19"/>
      <c r="XET24" s="19"/>
      <c r="XEU24" s="19"/>
      <c r="XEV24" s="19"/>
      <c r="XEW24" s="19"/>
      <c r="XEX24" s="19"/>
      <c r="XEY24" s="19"/>
      <c r="XEZ24" s="19"/>
      <c r="XFA24" s="19"/>
      <c r="XFB24" s="19"/>
      <c r="XFC24" s="19"/>
      <c r="XFD24" s="19"/>
    </row>
    <row r="25" spans="1:16384" s="60" customFormat="1">
      <c r="A25" s="86">
        <v>45194</v>
      </c>
      <c r="B25" s="19" t="s">
        <v>16746</v>
      </c>
      <c r="C25" s="19">
        <v>68000</v>
      </c>
      <c r="D25" s="20" t="s">
        <v>304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19"/>
      <c r="IV25" s="19"/>
      <c r="IW25" s="19"/>
      <c r="IX25" s="19"/>
      <c r="IY25" s="19"/>
      <c r="IZ25" s="19"/>
      <c r="JA25" s="19"/>
      <c r="JB25" s="19"/>
      <c r="JC25" s="19"/>
      <c r="JD25" s="19"/>
      <c r="JE25" s="19"/>
      <c r="JF25" s="19"/>
      <c r="JG25" s="19"/>
      <c r="JH25" s="19"/>
      <c r="JI25" s="19"/>
      <c r="JJ25" s="19"/>
      <c r="JK25" s="19"/>
      <c r="JL25" s="19"/>
      <c r="JM25" s="19"/>
      <c r="JN25" s="19"/>
      <c r="JO25" s="19"/>
      <c r="JP25" s="19"/>
      <c r="JQ25" s="19"/>
      <c r="JR25" s="19"/>
      <c r="JS25" s="19"/>
      <c r="JT25" s="19"/>
      <c r="JU25" s="19"/>
      <c r="JV25" s="19"/>
      <c r="JW25" s="19"/>
      <c r="JX25" s="19"/>
      <c r="JY25" s="19"/>
      <c r="JZ25" s="19"/>
      <c r="KA25" s="19"/>
      <c r="KB25" s="19"/>
      <c r="KC25" s="19"/>
      <c r="KD25" s="19"/>
      <c r="KE25" s="19"/>
      <c r="KF25" s="19"/>
      <c r="KG25" s="19"/>
      <c r="KH25" s="19"/>
      <c r="KI25" s="19"/>
      <c r="KJ25" s="19"/>
      <c r="KK25" s="19"/>
      <c r="KL25" s="19"/>
      <c r="KM25" s="19"/>
      <c r="KN25" s="19"/>
      <c r="KO25" s="19"/>
      <c r="KP25" s="19"/>
      <c r="KQ25" s="19"/>
      <c r="KR25" s="19"/>
      <c r="KS25" s="19"/>
      <c r="KT25" s="19"/>
      <c r="KU25" s="19"/>
      <c r="KV25" s="19"/>
      <c r="KW25" s="19"/>
      <c r="KX25" s="19"/>
      <c r="KY25" s="19"/>
      <c r="KZ25" s="19"/>
      <c r="LA25" s="19"/>
      <c r="LB25" s="19"/>
      <c r="LC25" s="19"/>
      <c r="LD25" s="19"/>
      <c r="LE25" s="19"/>
      <c r="LF25" s="19"/>
      <c r="LG25" s="19"/>
      <c r="LH25" s="19"/>
      <c r="LI25" s="19"/>
      <c r="LJ25" s="19"/>
      <c r="LK25" s="19"/>
      <c r="LL25" s="19"/>
      <c r="LM25" s="19"/>
      <c r="LN25" s="19"/>
      <c r="LO25" s="19"/>
      <c r="LP25" s="19"/>
      <c r="LQ25" s="19"/>
      <c r="LR25" s="19"/>
      <c r="LS25" s="19"/>
      <c r="LT25" s="19"/>
      <c r="LU25" s="19"/>
      <c r="LV25" s="19"/>
      <c r="LW25" s="19"/>
      <c r="LX25" s="19"/>
      <c r="LY25" s="19"/>
      <c r="LZ25" s="19"/>
      <c r="MA25" s="19"/>
      <c r="MB25" s="19"/>
      <c r="MC25" s="19"/>
      <c r="MD25" s="19"/>
      <c r="ME25" s="19"/>
      <c r="MF25" s="19"/>
      <c r="MG25" s="19"/>
      <c r="MH25" s="19"/>
      <c r="MI25" s="19"/>
      <c r="MJ25" s="19"/>
      <c r="MK25" s="19"/>
      <c r="ML25" s="19"/>
      <c r="MM25" s="19"/>
      <c r="MN25" s="19"/>
      <c r="MO25" s="19"/>
      <c r="MP25" s="19"/>
      <c r="MQ25" s="19"/>
      <c r="MR25" s="19"/>
      <c r="MS25" s="19"/>
      <c r="MT25" s="19"/>
      <c r="MU25" s="19"/>
      <c r="MV25" s="19"/>
      <c r="MW25" s="19"/>
      <c r="MX25" s="19"/>
      <c r="MY25" s="19"/>
      <c r="MZ25" s="19"/>
      <c r="NA25" s="19"/>
      <c r="NB25" s="19"/>
      <c r="NC25" s="19"/>
      <c r="ND25" s="19"/>
      <c r="NE25" s="19"/>
      <c r="NF25" s="19"/>
      <c r="NG25" s="19"/>
      <c r="NH25" s="19"/>
      <c r="NI25" s="19"/>
      <c r="NJ25" s="19"/>
      <c r="NK25" s="19"/>
      <c r="NL25" s="19"/>
      <c r="NM25" s="19"/>
      <c r="NN25" s="19"/>
      <c r="NO25" s="19"/>
      <c r="NP25" s="19"/>
      <c r="NQ25" s="19"/>
      <c r="NR25" s="19"/>
      <c r="NS25" s="19"/>
      <c r="NT25" s="19"/>
      <c r="NU25" s="19"/>
      <c r="NV25" s="19"/>
      <c r="NW25" s="19"/>
      <c r="NX25" s="19"/>
      <c r="NY25" s="19"/>
      <c r="NZ25" s="19"/>
      <c r="OA25" s="19"/>
      <c r="OB25" s="19"/>
      <c r="OC25" s="19"/>
      <c r="OD25" s="19"/>
      <c r="OE25" s="19"/>
      <c r="OF25" s="19"/>
      <c r="OG25" s="19"/>
      <c r="OH25" s="19"/>
      <c r="OI25" s="19"/>
      <c r="OJ25" s="19"/>
      <c r="OK25" s="19"/>
      <c r="OL25" s="19"/>
      <c r="OM25" s="19"/>
      <c r="ON25" s="19"/>
      <c r="OO25" s="19"/>
      <c r="OP25" s="19"/>
      <c r="OQ25" s="19"/>
      <c r="OR25" s="19"/>
      <c r="OS25" s="19"/>
      <c r="OT25" s="19"/>
      <c r="OU25" s="19"/>
      <c r="OV25" s="19"/>
      <c r="OW25" s="19"/>
      <c r="OX25" s="19"/>
      <c r="OY25" s="19"/>
      <c r="OZ25" s="19"/>
      <c r="PA25" s="19"/>
      <c r="PB25" s="19"/>
      <c r="PC25" s="19"/>
      <c r="PD25" s="19"/>
      <c r="PE25" s="19"/>
      <c r="PF25" s="19"/>
      <c r="PG25" s="19"/>
      <c r="PH25" s="19"/>
      <c r="PI25" s="19"/>
      <c r="PJ25" s="19"/>
      <c r="PK25" s="19"/>
      <c r="PL25" s="19"/>
      <c r="PM25" s="19"/>
      <c r="PN25" s="19"/>
      <c r="PO25" s="19"/>
      <c r="PP25" s="19"/>
      <c r="PQ25" s="19"/>
      <c r="PR25" s="19"/>
      <c r="PS25" s="19"/>
      <c r="PT25" s="19"/>
      <c r="PU25" s="19"/>
      <c r="PV25" s="19"/>
      <c r="PW25" s="19"/>
      <c r="PX25" s="19"/>
      <c r="PY25" s="19"/>
      <c r="PZ25" s="19"/>
      <c r="QA25" s="19"/>
      <c r="QB25" s="19"/>
      <c r="QC25" s="19"/>
      <c r="QD25" s="19"/>
      <c r="QE25" s="19"/>
      <c r="QF25" s="19"/>
      <c r="QG25" s="19"/>
      <c r="QH25" s="19"/>
      <c r="QI25" s="19"/>
      <c r="QJ25" s="19"/>
      <c r="QK25" s="19"/>
      <c r="QL25" s="19"/>
      <c r="QM25" s="19"/>
      <c r="QN25" s="19"/>
      <c r="QO25" s="19"/>
      <c r="QP25" s="19"/>
      <c r="QQ25" s="19"/>
      <c r="QR25" s="19"/>
      <c r="QS25" s="19"/>
      <c r="QT25" s="19"/>
      <c r="QU25" s="19"/>
      <c r="QV25" s="19"/>
      <c r="QW25" s="19"/>
      <c r="QX25" s="19"/>
      <c r="QY25" s="19"/>
      <c r="QZ25" s="19"/>
      <c r="RA25" s="19"/>
      <c r="RB25" s="19"/>
      <c r="RC25" s="19"/>
      <c r="RD25" s="19"/>
      <c r="RE25" s="19"/>
      <c r="RF25" s="19"/>
      <c r="RG25" s="19"/>
      <c r="RH25" s="19"/>
      <c r="RI25" s="19"/>
      <c r="RJ25" s="19"/>
      <c r="RK25" s="19"/>
      <c r="RL25" s="19"/>
      <c r="RM25" s="19"/>
      <c r="RN25" s="19"/>
      <c r="RO25" s="19"/>
      <c r="RP25" s="19"/>
      <c r="RQ25" s="19"/>
      <c r="RR25" s="19"/>
      <c r="RS25" s="19"/>
      <c r="RT25" s="19"/>
      <c r="RU25" s="19"/>
      <c r="RV25" s="19"/>
      <c r="RW25" s="19"/>
      <c r="RX25" s="19"/>
      <c r="RY25" s="19"/>
      <c r="RZ25" s="19"/>
      <c r="SA25" s="19"/>
      <c r="SB25" s="19"/>
      <c r="SC25" s="19"/>
      <c r="SD25" s="19"/>
      <c r="SE25" s="19"/>
      <c r="SF25" s="19"/>
      <c r="SG25" s="19"/>
      <c r="SH25" s="19"/>
      <c r="SI25" s="19"/>
      <c r="SJ25" s="19"/>
      <c r="SK25" s="19"/>
      <c r="SL25" s="19"/>
      <c r="SM25" s="19"/>
      <c r="SN25" s="19"/>
      <c r="SO25" s="19"/>
      <c r="SP25" s="19"/>
      <c r="SQ25" s="19"/>
      <c r="SR25" s="19"/>
      <c r="SS25" s="19"/>
      <c r="ST25" s="19"/>
      <c r="SU25" s="19"/>
      <c r="SV25" s="19"/>
      <c r="SW25" s="19"/>
      <c r="SX25" s="19"/>
      <c r="SY25" s="19"/>
      <c r="SZ25" s="19"/>
      <c r="TA25" s="19"/>
      <c r="TB25" s="19"/>
      <c r="TC25" s="19"/>
      <c r="TD25" s="19"/>
      <c r="TE25" s="19"/>
      <c r="TF25" s="19"/>
      <c r="TG25" s="19"/>
      <c r="TH25" s="19"/>
      <c r="TI25" s="19"/>
      <c r="TJ25" s="19"/>
      <c r="TK25" s="19"/>
      <c r="TL25" s="19"/>
      <c r="TM25" s="19"/>
      <c r="TN25" s="19"/>
      <c r="TO25" s="19"/>
      <c r="TP25" s="19"/>
      <c r="TQ25" s="19"/>
      <c r="TR25" s="19"/>
      <c r="TS25" s="19"/>
      <c r="TT25" s="19"/>
      <c r="TU25" s="19"/>
      <c r="TV25" s="19"/>
      <c r="TW25" s="19"/>
      <c r="TX25" s="19"/>
      <c r="TY25" s="19"/>
      <c r="TZ25" s="19"/>
      <c r="UA25" s="19"/>
      <c r="UB25" s="19"/>
      <c r="UC25" s="19"/>
      <c r="UD25" s="19"/>
      <c r="UE25" s="19"/>
      <c r="UF25" s="19"/>
      <c r="UG25" s="19"/>
      <c r="UH25" s="19"/>
      <c r="UI25" s="19"/>
      <c r="UJ25" s="19"/>
      <c r="UK25" s="19"/>
      <c r="UL25" s="19"/>
      <c r="UM25" s="19"/>
      <c r="UN25" s="19"/>
      <c r="UO25" s="19"/>
      <c r="UP25" s="19"/>
      <c r="UQ25" s="19"/>
      <c r="UR25" s="19"/>
      <c r="US25" s="19"/>
      <c r="UT25" s="19"/>
      <c r="UU25" s="19"/>
      <c r="UV25" s="19"/>
      <c r="UW25" s="19"/>
      <c r="UX25" s="19"/>
      <c r="UY25" s="19"/>
      <c r="UZ25" s="19"/>
      <c r="VA25" s="19"/>
      <c r="VB25" s="19"/>
      <c r="VC25" s="19"/>
      <c r="VD25" s="19"/>
      <c r="VE25" s="19"/>
      <c r="VF25" s="19"/>
      <c r="VG25" s="19"/>
      <c r="VH25" s="19"/>
      <c r="VI25" s="19"/>
      <c r="VJ25" s="19"/>
      <c r="VK25" s="19"/>
      <c r="VL25" s="19"/>
      <c r="VM25" s="19"/>
      <c r="VN25" s="19"/>
      <c r="VO25" s="19"/>
      <c r="VP25" s="19"/>
      <c r="VQ25" s="19"/>
      <c r="VR25" s="19"/>
      <c r="VS25" s="19"/>
      <c r="VT25" s="19"/>
      <c r="VU25" s="19"/>
      <c r="VV25" s="19"/>
      <c r="VW25" s="19"/>
      <c r="VX25" s="19"/>
      <c r="VY25" s="19"/>
      <c r="VZ25" s="19"/>
      <c r="WA25" s="19"/>
      <c r="WB25" s="19"/>
      <c r="WC25" s="19"/>
      <c r="WD25" s="19"/>
      <c r="WE25" s="19"/>
      <c r="WF25" s="19"/>
      <c r="WG25" s="19"/>
      <c r="WH25" s="19"/>
      <c r="WI25" s="19"/>
      <c r="WJ25" s="19"/>
      <c r="WK25" s="19"/>
      <c r="WL25" s="19"/>
      <c r="WM25" s="19"/>
      <c r="WN25" s="19"/>
      <c r="WO25" s="19"/>
      <c r="WP25" s="19"/>
      <c r="WQ25" s="19"/>
      <c r="WR25" s="19"/>
      <c r="WS25" s="19"/>
      <c r="WT25" s="19"/>
      <c r="WU25" s="19"/>
      <c r="WV25" s="19"/>
      <c r="WW25" s="19"/>
      <c r="WX25" s="19"/>
      <c r="WY25" s="19"/>
      <c r="WZ25" s="19"/>
      <c r="XA25" s="19"/>
      <c r="XB25" s="19"/>
      <c r="XC25" s="19"/>
      <c r="XD25" s="19"/>
      <c r="XE25" s="19"/>
      <c r="XF25" s="19"/>
      <c r="XG25" s="19"/>
      <c r="XH25" s="19"/>
      <c r="XI25" s="19"/>
      <c r="XJ25" s="19"/>
      <c r="XK25" s="19"/>
      <c r="XL25" s="19"/>
      <c r="XM25" s="19"/>
      <c r="XN25" s="19"/>
      <c r="XO25" s="19"/>
      <c r="XP25" s="19"/>
      <c r="XQ25" s="19"/>
      <c r="XR25" s="19"/>
      <c r="XS25" s="19"/>
      <c r="XT25" s="19"/>
      <c r="XU25" s="19"/>
      <c r="XV25" s="19"/>
      <c r="XW25" s="19"/>
      <c r="XX25" s="19"/>
      <c r="XY25" s="19"/>
      <c r="XZ25" s="19"/>
      <c r="YA25" s="19"/>
      <c r="YB25" s="19"/>
      <c r="YC25" s="19"/>
      <c r="YD25" s="19"/>
      <c r="YE25" s="19"/>
      <c r="YF25" s="19"/>
      <c r="YG25" s="19"/>
      <c r="YH25" s="19"/>
      <c r="YI25" s="19"/>
      <c r="YJ25" s="19"/>
      <c r="YK25" s="19"/>
      <c r="YL25" s="19"/>
      <c r="YM25" s="19"/>
      <c r="YN25" s="19"/>
      <c r="YO25" s="19"/>
      <c r="YP25" s="19"/>
      <c r="YQ25" s="19"/>
      <c r="YR25" s="19"/>
      <c r="YS25" s="19"/>
      <c r="YT25" s="19"/>
      <c r="YU25" s="19"/>
      <c r="YV25" s="19"/>
      <c r="YW25" s="19"/>
      <c r="YX25" s="19"/>
      <c r="YY25" s="19"/>
      <c r="YZ25" s="19"/>
      <c r="ZA25" s="19"/>
      <c r="ZB25" s="19"/>
      <c r="ZC25" s="19"/>
      <c r="ZD25" s="19"/>
      <c r="ZE25" s="19"/>
      <c r="ZF25" s="19"/>
      <c r="ZG25" s="19"/>
      <c r="ZH25" s="19"/>
      <c r="ZI25" s="19"/>
      <c r="ZJ25" s="19"/>
      <c r="ZK25" s="19"/>
      <c r="ZL25" s="19"/>
      <c r="ZM25" s="19"/>
      <c r="ZN25" s="19"/>
      <c r="ZO25" s="19"/>
      <c r="ZP25" s="19"/>
      <c r="ZQ25" s="19"/>
      <c r="ZR25" s="19"/>
      <c r="ZS25" s="19"/>
      <c r="ZT25" s="19"/>
      <c r="ZU25" s="19"/>
      <c r="ZV25" s="19"/>
      <c r="ZW25" s="19"/>
      <c r="ZX25" s="19"/>
      <c r="ZY25" s="19"/>
      <c r="ZZ25" s="19"/>
      <c r="AAA25" s="19"/>
      <c r="AAB25" s="19"/>
      <c r="AAC25" s="19"/>
      <c r="AAD25" s="19"/>
      <c r="AAE25" s="19"/>
      <c r="AAF25" s="19"/>
      <c r="AAG25" s="19"/>
      <c r="AAH25" s="19"/>
      <c r="AAI25" s="19"/>
      <c r="AAJ25" s="19"/>
      <c r="AAK25" s="19"/>
      <c r="AAL25" s="19"/>
      <c r="AAM25" s="19"/>
      <c r="AAN25" s="19"/>
      <c r="AAO25" s="19"/>
      <c r="AAP25" s="19"/>
      <c r="AAQ25" s="19"/>
      <c r="AAR25" s="19"/>
      <c r="AAS25" s="19"/>
      <c r="AAT25" s="19"/>
      <c r="AAU25" s="19"/>
      <c r="AAV25" s="19"/>
      <c r="AAW25" s="19"/>
      <c r="AAX25" s="19"/>
      <c r="AAY25" s="19"/>
      <c r="AAZ25" s="19"/>
      <c r="ABA25" s="19"/>
      <c r="ABB25" s="19"/>
      <c r="ABC25" s="19"/>
      <c r="ABD25" s="19"/>
      <c r="ABE25" s="19"/>
      <c r="ABF25" s="19"/>
      <c r="ABG25" s="19"/>
      <c r="ABH25" s="19"/>
      <c r="ABI25" s="19"/>
      <c r="ABJ25" s="19"/>
      <c r="ABK25" s="19"/>
      <c r="ABL25" s="19"/>
      <c r="ABM25" s="19"/>
      <c r="ABN25" s="19"/>
      <c r="ABO25" s="19"/>
      <c r="ABP25" s="19"/>
      <c r="ABQ25" s="19"/>
      <c r="ABR25" s="19"/>
      <c r="ABS25" s="19"/>
      <c r="ABT25" s="19"/>
      <c r="ABU25" s="19"/>
      <c r="ABV25" s="19"/>
      <c r="ABW25" s="19"/>
      <c r="ABX25" s="19"/>
      <c r="ABY25" s="19"/>
      <c r="ABZ25" s="19"/>
      <c r="ACA25" s="19"/>
      <c r="ACB25" s="19"/>
      <c r="ACC25" s="19"/>
      <c r="ACD25" s="19"/>
      <c r="ACE25" s="19"/>
      <c r="ACF25" s="19"/>
      <c r="ACG25" s="19"/>
      <c r="ACH25" s="19"/>
      <c r="ACI25" s="19"/>
      <c r="ACJ25" s="19"/>
      <c r="ACK25" s="19"/>
      <c r="ACL25" s="19"/>
      <c r="ACM25" s="19"/>
      <c r="ACN25" s="19"/>
      <c r="ACO25" s="19"/>
      <c r="ACP25" s="19"/>
      <c r="ACQ25" s="19"/>
      <c r="ACR25" s="19"/>
      <c r="ACS25" s="19"/>
      <c r="ACT25" s="19"/>
      <c r="ACU25" s="19"/>
      <c r="ACV25" s="19"/>
      <c r="ACW25" s="19"/>
      <c r="ACX25" s="19"/>
      <c r="ACY25" s="19"/>
      <c r="ACZ25" s="19"/>
      <c r="ADA25" s="19"/>
      <c r="ADB25" s="19"/>
      <c r="ADC25" s="19"/>
      <c r="ADD25" s="19"/>
      <c r="ADE25" s="19"/>
      <c r="ADF25" s="19"/>
      <c r="ADG25" s="19"/>
      <c r="ADH25" s="19"/>
      <c r="ADI25" s="19"/>
      <c r="ADJ25" s="19"/>
      <c r="ADK25" s="19"/>
      <c r="ADL25" s="19"/>
      <c r="ADM25" s="19"/>
      <c r="ADN25" s="19"/>
      <c r="ADO25" s="19"/>
      <c r="ADP25" s="19"/>
      <c r="ADQ25" s="19"/>
      <c r="ADR25" s="19"/>
      <c r="ADS25" s="19"/>
      <c r="ADT25" s="19"/>
      <c r="ADU25" s="19"/>
      <c r="ADV25" s="19"/>
      <c r="ADW25" s="19"/>
      <c r="ADX25" s="19"/>
      <c r="ADY25" s="19"/>
      <c r="ADZ25" s="19"/>
      <c r="AEA25" s="19"/>
      <c r="AEB25" s="19"/>
      <c r="AEC25" s="19"/>
      <c r="AED25" s="19"/>
      <c r="AEE25" s="19"/>
      <c r="AEF25" s="19"/>
      <c r="AEG25" s="19"/>
      <c r="AEH25" s="19"/>
      <c r="AEI25" s="19"/>
      <c r="AEJ25" s="19"/>
      <c r="AEK25" s="19"/>
      <c r="AEL25" s="19"/>
      <c r="AEM25" s="19"/>
      <c r="AEN25" s="19"/>
      <c r="AEO25" s="19"/>
      <c r="AEP25" s="19"/>
      <c r="AEQ25" s="19"/>
      <c r="AER25" s="19"/>
      <c r="AES25" s="19"/>
      <c r="AET25" s="19"/>
      <c r="AEU25" s="19"/>
      <c r="AEV25" s="19"/>
      <c r="AEW25" s="19"/>
      <c r="AEX25" s="19"/>
      <c r="AEY25" s="19"/>
      <c r="AEZ25" s="19"/>
      <c r="AFA25" s="19"/>
      <c r="AFB25" s="19"/>
      <c r="AFC25" s="19"/>
      <c r="AFD25" s="19"/>
      <c r="AFE25" s="19"/>
      <c r="AFF25" s="19"/>
      <c r="AFG25" s="19"/>
      <c r="AFH25" s="19"/>
      <c r="AFI25" s="19"/>
      <c r="AFJ25" s="19"/>
      <c r="AFK25" s="19"/>
      <c r="AFL25" s="19"/>
      <c r="AFM25" s="19"/>
      <c r="AFN25" s="19"/>
      <c r="AFO25" s="19"/>
      <c r="AFP25" s="19"/>
      <c r="AFQ25" s="19"/>
      <c r="AFR25" s="19"/>
      <c r="AFS25" s="19"/>
      <c r="AFT25" s="19"/>
      <c r="AFU25" s="19"/>
      <c r="AFV25" s="19"/>
      <c r="AFW25" s="19"/>
      <c r="AFX25" s="19"/>
      <c r="AFY25" s="19"/>
      <c r="AFZ25" s="19"/>
      <c r="AGA25" s="19"/>
      <c r="AGB25" s="19"/>
      <c r="AGC25" s="19"/>
      <c r="AGD25" s="19"/>
      <c r="AGE25" s="19"/>
      <c r="AGF25" s="19"/>
      <c r="AGG25" s="19"/>
      <c r="AGH25" s="19"/>
      <c r="AGI25" s="19"/>
      <c r="AGJ25" s="19"/>
      <c r="AGK25" s="19"/>
      <c r="AGL25" s="19"/>
      <c r="AGM25" s="19"/>
      <c r="AGN25" s="19"/>
      <c r="AGO25" s="19"/>
      <c r="AGP25" s="19"/>
      <c r="AGQ25" s="19"/>
      <c r="AGR25" s="19"/>
      <c r="AGS25" s="19"/>
      <c r="AGT25" s="19"/>
      <c r="AGU25" s="19"/>
      <c r="AGV25" s="19"/>
      <c r="AGW25" s="19"/>
      <c r="AGX25" s="19"/>
      <c r="AGY25" s="19"/>
      <c r="AGZ25" s="19"/>
      <c r="AHA25" s="19"/>
      <c r="AHB25" s="19"/>
      <c r="AHC25" s="19"/>
      <c r="AHD25" s="19"/>
      <c r="AHE25" s="19"/>
      <c r="AHF25" s="19"/>
      <c r="AHG25" s="19"/>
      <c r="AHH25" s="19"/>
      <c r="AHI25" s="19"/>
      <c r="AHJ25" s="19"/>
      <c r="AHK25" s="19"/>
      <c r="AHL25" s="19"/>
      <c r="AHM25" s="19"/>
      <c r="AHN25" s="19"/>
      <c r="AHO25" s="19"/>
      <c r="AHP25" s="19"/>
      <c r="AHQ25" s="19"/>
      <c r="AHR25" s="19"/>
      <c r="AHS25" s="19"/>
      <c r="AHT25" s="19"/>
      <c r="AHU25" s="19"/>
      <c r="AHV25" s="19"/>
      <c r="AHW25" s="19"/>
      <c r="AHX25" s="19"/>
      <c r="AHY25" s="19"/>
      <c r="AHZ25" s="19"/>
      <c r="AIA25" s="19"/>
      <c r="AIB25" s="19"/>
      <c r="AIC25" s="19"/>
      <c r="AID25" s="19"/>
      <c r="AIE25" s="19"/>
      <c r="AIF25" s="19"/>
      <c r="AIG25" s="19"/>
      <c r="AIH25" s="19"/>
      <c r="AII25" s="19"/>
      <c r="AIJ25" s="19"/>
      <c r="AIK25" s="19"/>
      <c r="AIL25" s="19"/>
      <c r="AIM25" s="19"/>
      <c r="AIN25" s="19"/>
      <c r="AIO25" s="19"/>
      <c r="AIP25" s="19"/>
      <c r="AIQ25" s="19"/>
      <c r="AIR25" s="19"/>
      <c r="AIS25" s="19"/>
      <c r="AIT25" s="19"/>
      <c r="AIU25" s="19"/>
      <c r="AIV25" s="19"/>
      <c r="AIW25" s="19"/>
      <c r="AIX25" s="19"/>
      <c r="AIY25" s="19"/>
      <c r="AIZ25" s="19"/>
      <c r="AJA25" s="19"/>
      <c r="AJB25" s="19"/>
      <c r="AJC25" s="19"/>
      <c r="AJD25" s="19"/>
      <c r="AJE25" s="19"/>
      <c r="AJF25" s="19"/>
      <c r="AJG25" s="19"/>
      <c r="AJH25" s="19"/>
      <c r="AJI25" s="19"/>
      <c r="AJJ25" s="19"/>
      <c r="AJK25" s="19"/>
      <c r="AJL25" s="19"/>
      <c r="AJM25" s="19"/>
      <c r="AJN25" s="19"/>
      <c r="AJO25" s="19"/>
      <c r="AJP25" s="19"/>
      <c r="AJQ25" s="19"/>
      <c r="AJR25" s="19"/>
      <c r="AJS25" s="19"/>
      <c r="AJT25" s="19"/>
      <c r="AJU25" s="19"/>
      <c r="AJV25" s="19"/>
      <c r="AJW25" s="19"/>
      <c r="AJX25" s="19"/>
      <c r="AJY25" s="19"/>
      <c r="AJZ25" s="19"/>
      <c r="AKA25" s="19"/>
      <c r="AKB25" s="19"/>
      <c r="AKC25" s="19"/>
      <c r="AKD25" s="19"/>
      <c r="AKE25" s="19"/>
      <c r="AKF25" s="19"/>
      <c r="AKG25" s="19"/>
      <c r="AKH25" s="19"/>
      <c r="AKI25" s="19"/>
      <c r="AKJ25" s="19"/>
      <c r="AKK25" s="19"/>
      <c r="AKL25" s="19"/>
      <c r="AKM25" s="19"/>
      <c r="AKN25" s="19"/>
      <c r="AKO25" s="19"/>
      <c r="AKP25" s="19"/>
      <c r="AKQ25" s="19"/>
      <c r="AKR25" s="19"/>
      <c r="AKS25" s="19"/>
      <c r="AKT25" s="19"/>
      <c r="AKU25" s="19"/>
      <c r="AKV25" s="19"/>
      <c r="AKW25" s="19"/>
      <c r="AKX25" s="19"/>
      <c r="AKY25" s="19"/>
      <c r="AKZ25" s="19"/>
      <c r="ALA25" s="19"/>
      <c r="ALB25" s="19"/>
      <c r="ALC25" s="19"/>
      <c r="ALD25" s="19"/>
      <c r="ALE25" s="19"/>
      <c r="ALF25" s="19"/>
      <c r="ALG25" s="19"/>
      <c r="ALH25" s="19"/>
      <c r="ALI25" s="19"/>
      <c r="ALJ25" s="19"/>
      <c r="ALK25" s="19"/>
      <c r="ALL25" s="19"/>
      <c r="ALM25" s="19"/>
      <c r="ALN25" s="19"/>
      <c r="ALO25" s="19"/>
      <c r="ALP25" s="19"/>
      <c r="ALQ25" s="19"/>
      <c r="ALR25" s="19"/>
      <c r="ALS25" s="19"/>
      <c r="ALT25" s="19"/>
      <c r="ALU25" s="19"/>
      <c r="ALV25" s="19"/>
      <c r="ALW25" s="19"/>
      <c r="ALX25" s="19"/>
      <c r="ALY25" s="19"/>
      <c r="ALZ25" s="19"/>
      <c r="AMA25" s="19"/>
      <c r="AMB25" s="19"/>
      <c r="AMC25" s="19"/>
      <c r="AMD25" s="19"/>
      <c r="AME25" s="19"/>
      <c r="AMF25" s="19"/>
      <c r="AMG25" s="19"/>
      <c r="AMH25" s="19"/>
      <c r="AMI25" s="19"/>
      <c r="AMJ25" s="19"/>
      <c r="AMK25" s="19"/>
      <c r="AML25" s="19"/>
      <c r="AMM25" s="19"/>
      <c r="AMN25" s="19"/>
      <c r="AMO25" s="19"/>
      <c r="AMP25" s="19"/>
      <c r="AMQ25" s="19"/>
      <c r="AMR25" s="19"/>
      <c r="AMS25" s="19"/>
      <c r="AMT25" s="19"/>
      <c r="AMU25" s="19"/>
      <c r="AMV25" s="19"/>
      <c r="AMW25" s="19"/>
      <c r="AMX25" s="19"/>
      <c r="AMY25" s="19"/>
      <c r="AMZ25" s="19"/>
      <c r="ANA25" s="19"/>
      <c r="ANB25" s="19"/>
      <c r="ANC25" s="19"/>
      <c r="AND25" s="19"/>
      <c r="ANE25" s="19"/>
      <c r="ANF25" s="19"/>
      <c r="ANG25" s="19"/>
      <c r="ANH25" s="19"/>
      <c r="ANI25" s="19"/>
      <c r="ANJ25" s="19"/>
      <c r="ANK25" s="19"/>
      <c r="ANL25" s="19"/>
      <c r="ANM25" s="19"/>
      <c r="ANN25" s="19"/>
      <c r="ANO25" s="19"/>
      <c r="ANP25" s="19"/>
      <c r="ANQ25" s="19"/>
      <c r="ANR25" s="19"/>
      <c r="ANS25" s="19"/>
      <c r="ANT25" s="19"/>
      <c r="ANU25" s="19"/>
      <c r="ANV25" s="19"/>
      <c r="ANW25" s="19"/>
      <c r="ANX25" s="19"/>
      <c r="ANY25" s="19"/>
      <c r="ANZ25" s="19"/>
      <c r="AOA25" s="19"/>
      <c r="AOB25" s="19"/>
      <c r="AOC25" s="19"/>
      <c r="AOD25" s="19"/>
      <c r="AOE25" s="19"/>
      <c r="AOF25" s="19"/>
      <c r="AOG25" s="19"/>
      <c r="AOH25" s="19"/>
      <c r="AOI25" s="19"/>
      <c r="AOJ25" s="19"/>
      <c r="AOK25" s="19"/>
      <c r="AOL25" s="19"/>
      <c r="AOM25" s="19"/>
      <c r="AON25" s="19"/>
      <c r="AOO25" s="19"/>
      <c r="AOP25" s="19"/>
      <c r="AOQ25" s="19"/>
      <c r="AOR25" s="19"/>
      <c r="AOS25" s="19"/>
      <c r="AOT25" s="19"/>
      <c r="AOU25" s="19"/>
      <c r="AOV25" s="19"/>
      <c r="AOW25" s="19"/>
      <c r="AOX25" s="19"/>
      <c r="AOY25" s="19"/>
      <c r="AOZ25" s="19"/>
      <c r="APA25" s="19"/>
      <c r="APB25" s="19"/>
      <c r="APC25" s="19"/>
      <c r="APD25" s="19"/>
      <c r="APE25" s="19"/>
      <c r="APF25" s="19"/>
      <c r="APG25" s="19"/>
      <c r="APH25" s="19"/>
      <c r="API25" s="19"/>
      <c r="APJ25" s="19"/>
      <c r="APK25" s="19"/>
      <c r="APL25" s="19"/>
      <c r="APM25" s="19"/>
      <c r="APN25" s="19"/>
      <c r="APO25" s="19"/>
      <c r="APP25" s="19"/>
      <c r="APQ25" s="19"/>
      <c r="APR25" s="19"/>
      <c r="APS25" s="19"/>
      <c r="APT25" s="19"/>
      <c r="APU25" s="19"/>
      <c r="APV25" s="19"/>
      <c r="APW25" s="19"/>
      <c r="APX25" s="19"/>
      <c r="APY25" s="19"/>
      <c r="APZ25" s="19"/>
      <c r="AQA25" s="19"/>
      <c r="AQB25" s="19"/>
      <c r="AQC25" s="19"/>
      <c r="AQD25" s="19"/>
      <c r="AQE25" s="19"/>
      <c r="AQF25" s="19"/>
      <c r="AQG25" s="19"/>
      <c r="AQH25" s="19"/>
      <c r="AQI25" s="19"/>
      <c r="AQJ25" s="19"/>
      <c r="AQK25" s="19"/>
      <c r="AQL25" s="19"/>
      <c r="AQM25" s="19"/>
      <c r="AQN25" s="19"/>
      <c r="AQO25" s="19"/>
      <c r="AQP25" s="19"/>
      <c r="AQQ25" s="19"/>
      <c r="AQR25" s="19"/>
      <c r="AQS25" s="19"/>
      <c r="AQT25" s="19"/>
      <c r="AQU25" s="19"/>
      <c r="AQV25" s="19"/>
      <c r="AQW25" s="19"/>
      <c r="AQX25" s="19"/>
      <c r="AQY25" s="19"/>
      <c r="AQZ25" s="19"/>
      <c r="ARA25" s="19"/>
      <c r="ARB25" s="19"/>
      <c r="ARC25" s="19"/>
      <c r="ARD25" s="19"/>
      <c r="ARE25" s="19"/>
      <c r="ARF25" s="19"/>
      <c r="ARG25" s="19"/>
      <c r="ARH25" s="19"/>
      <c r="ARI25" s="19"/>
      <c r="ARJ25" s="19"/>
      <c r="ARK25" s="19"/>
      <c r="ARL25" s="19"/>
      <c r="ARM25" s="19"/>
      <c r="ARN25" s="19"/>
      <c r="ARO25" s="19"/>
      <c r="ARP25" s="19"/>
      <c r="ARQ25" s="19"/>
      <c r="ARR25" s="19"/>
      <c r="ARS25" s="19"/>
      <c r="ART25" s="19"/>
      <c r="ARU25" s="19"/>
      <c r="ARV25" s="19"/>
      <c r="ARW25" s="19"/>
      <c r="ARX25" s="19"/>
      <c r="ARY25" s="19"/>
      <c r="ARZ25" s="19"/>
      <c r="ASA25" s="19"/>
      <c r="ASB25" s="19"/>
      <c r="ASC25" s="19"/>
      <c r="ASD25" s="19"/>
      <c r="ASE25" s="19"/>
      <c r="ASF25" s="19"/>
      <c r="ASG25" s="19"/>
      <c r="ASH25" s="19"/>
      <c r="ASI25" s="19"/>
      <c r="ASJ25" s="19"/>
      <c r="ASK25" s="19"/>
      <c r="ASL25" s="19"/>
      <c r="ASM25" s="19"/>
      <c r="ASN25" s="19"/>
      <c r="ASO25" s="19"/>
      <c r="ASP25" s="19"/>
      <c r="ASQ25" s="19"/>
      <c r="ASR25" s="19"/>
      <c r="ASS25" s="19"/>
      <c r="AST25" s="19"/>
      <c r="ASU25" s="19"/>
      <c r="ASV25" s="19"/>
      <c r="ASW25" s="19"/>
      <c r="ASX25" s="19"/>
      <c r="ASY25" s="19"/>
      <c r="ASZ25" s="19"/>
      <c r="ATA25" s="19"/>
      <c r="ATB25" s="19"/>
      <c r="ATC25" s="19"/>
      <c r="ATD25" s="19"/>
      <c r="ATE25" s="19"/>
      <c r="ATF25" s="19"/>
      <c r="ATG25" s="19"/>
      <c r="ATH25" s="19"/>
      <c r="ATI25" s="19"/>
      <c r="ATJ25" s="19"/>
      <c r="ATK25" s="19"/>
      <c r="ATL25" s="19"/>
      <c r="ATM25" s="19"/>
      <c r="ATN25" s="19"/>
      <c r="ATO25" s="19"/>
      <c r="ATP25" s="19"/>
      <c r="ATQ25" s="19"/>
      <c r="ATR25" s="19"/>
      <c r="ATS25" s="19"/>
      <c r="ATT25" s="19"/>
      <c r="ATU25" s="19"/>
      <c r="ATV25" s="19"/>
      <c r="ATW25" s="19"/>
      <c r="ATX25" s="19"/>
      <c r="ATY25" s="19"/>
      <c r="ATZ25" s="19"/>
      <c r="AUA25" s="19"/>
      <c r="AUB25" s="19"/>
      <c r="AUC25" s="19"/>
      <c r="AUD25" s="19"/>
      <c r="AUE25" s="19"/>
      <c r="AUF25" s="19"/>
      <c r="AUG25" s="19"/>
      <c r="AUH25" s="19"/>
      <c r="AUI25" s="19"/>
      <c r="AUJ25" s="19"/>
      <c r="AUK25" s="19"/>
      <c r="AUL25" s="19"/>
      <c r="AUM25" s="19"/>
      <c r="AUN25" s="19"/>
      <c r="AUO25" s="19"/>
      <c r="AUP25" s="19"/>
      <c r="AUQ25" s="19"/>
      <c r="AUR25" s="19"/>
      <c r="AUS25" s="19"/>
      <c r="AUT25" s="19"/>
      <c r="AUU25" s="19"/>
      <c r="AUV25" s="19"/>
      <c r="AUW25" s="19"/>
      <c r="AUX25" s="19"/>
      <c r="AUY25" s="19"/>
      <c r="AUZ25" s="19"/>
      <c r="AVA25" s="19"/>
      <c r="AVB25" s="19"/>
      <c r="AVC25" s="19"/>
      <c r="AVD25" s="19"/>
      <c r="AVE25" s="19"/>
      <c r="AVF25" s="19"/>
      <c r="AVG25" s="19"/>
      <c r="AVH25" s="19"/>
      <c r="AVI25" s="19"/>
      <c r="AVJ25" s="19"/>
      <c r="AVK25" s="19"/>
      <c r="AVL25" s="19"/>
      <c r="AVM25" s="19"/>
      <c r="AVN25" s="19"/>
      <c r="AVO25" s="19"/>
      <c r="AVP25" s="19"/>
      <c r="AVQ25" s="19"/>
      <c r="AVR25" s="19"/>
      <c r="AVS25" s="19"/>
      <c r="AVT25" s="19"/>
      <c r="AVU25" s="19"/>
      <c r="AVV25" s="19"/>
      <c r="AVW25" s="19"/>
      <c r="AVX25" s="19"/>
      <c r="AVY25" s="19"/>
      <c r="AVZ25" s="19"/>
      <c r="AWA25" s="19"/>
      <c r="AWB25" s="19"/>
      <c r="AWC25" s="19"/>
      <c r="AWD25" s="19"/>
      <c r="AWE25" s="19"/>
      <c r="AWF25" s="19"/>
      <c r="AWG25" s="19"/>
      <c r="AWH25" s="19"/>
      <c r="AWI25" s="19"/>
      <c r="AWJ25" s="19"/>
      <c r="AWK25" s="19"/>
      <c r="AWL25" s="19"/>
      <c r="AWM25" s="19"/>
      <c r="AWN25" s="19"/>
      <c r="AWO25" s="19"/>
      <c r="AWP25" s="19"/>
      <c r="AWQ25" s="19"/>
      <c r="AWR25" s="19"/>
      <c r="AWS25" s="19"/>
      <c r="AWT25" s="19"/>
      <c r="AWU25" s="19"/>
      <c r="AWV25" s="19"/>
      <c r="AWW25" s="19"/>
      <c r="AWX25" s="19"/>
      <c r="AWY25" s="19"/>
      <c r="AWZ25" s="19"/>
      <c r="AXA25" s="19"/>
      <c r="AXB25" s="19"/>
      <c r="AXC25" s="19"/>
      <c r="AXD25" s="19"/>
      <c r="AXE25" s="19"/>
      <c r="AXF25" s="19"/>
      <c r="AXG25" s="19"/>
      <c r="AXH25" s="19"/>
      <c r="AXI25" s="19"/>
      <c r="AXJ25" s="19"/>
      <c r="AXK25" s="19"/>
      <c r="AXL25" s="19"/>
      <c r="AXM25" s="19"/>
      <c r="AXN25" s="19"/>
      <c r="AXO25" s="19"/>
      <c r="AXP25" s="19"/>
      <c r="AXQ25" s="19"/>
      <c r="AXR25" s="19"/>
      <c r="AXS25" s="19"/>
      <c r="AXT25" s="19"/>
      <c r="AXU25" s="19"/>
      <c r="AXV25" s="19"/>
      <c r="AXW25" s="19"/>
      <c r="AXX25" s="19"/>
      <c r="AXY25" s="19"/>
      <c r="AXZ25" s="19"/>
      <c r="AYA25" s="19"/>
      <c r="AYB25" s="19"/>
      <c r="AYC25" s="19"/>
      <c r="AYD25" s="19"/>
      <c r="AYE25" s="19"/>
      <c r="AYF25" s="19"/>
      <c r="AYG25" s="19"/>
      <c r="AYH25" s="19"/>
      <c r="AYI25" s="19"/>
      <c r="AYJ25" s="19"/>
      <c r="AYK25" s="19"/>
      <c r="AYL25" s="19"/>
      <c r="AYM25" s="19"/>
      <c r="AYN25" s="19"/>
      <c r="AYO25" s="19"/>
      <c r="AYP25" s="19"/>
      <c r="AYQ25" s="19"/>
      <c r="AYR25" s="19"/>
      <c r="AYS25" s="19"/>
      <c r="AYT25" s="19"/>
      <c r="AYU25" s="19"/>
      <c r="AYV25" s="19"/>
      <c r="AYW25" s="19"/>
      <c r="AYX25" s="19"/>
      <c r="AYY25" s="19"/>
      <c r="AYZ25" s="19"/>
      <c r="AZA25" s="19"/>
      <c r="AZB25" s="19"/>
      <c r="AZC25" s="19"/>
      <c r="AZD25" s="19"/>
      <c r="AZE25" s="19"/>
      <c r="AZF25" s="19"/>
      <c r="AZG25" s="19"/>
      <c r="AZH25" s="19"/>
      <c r="AZI25" s="19"/>
      <c r="AZJ25" s="19"/>
      <c r="AZK25" s="19"/>
      <c r="AZL25" s="19"/>
      <c r="AZM25" s="19"/>
      <c r="AZN25" s="19"/>
      <c r="AZO25" s="19"/>
      <c r="AZP25" s="19"/>
      <c r="AZQ25" s="19"/>
      <c r="AZR25" s="19"/>
      <c r="AZS25" s="19"/>
      <c r="AZT25" s="19"/>
      <c r="AZU25" s="19"/>
      <c r="AZV25" s="19"/>
      <c r="AZW25" s="19"/>
      <c r="AZX25" s="19"/>
      <c r="AZY25" s="19"/>
      <c r="AZZ25" s="19"/>
      <c r="BAA25" s="19"/>
      <c r="BAB25" s="19"/>
      <c r="BAC25" s="19"/>
      <c r="BAD25" s="19"/>
      <c r="BAE25" s="19"/>
      <c r="BAF25" s="19"/>
      <c r="BAG25" s="19"/>
      <c r="BAH25" s="19"/>
      <c r="BAI25" s="19"/>
      <c r="BAJ25" s="19"/>
      <c r="BAK25" s="19"/>
      <c r="BAL25" s="19"/>
      <c r="BAM25" s="19"/>
      <c r="BAN25" s="19"/>
      <c r="BAO25" s="19"/>
      <c r="BAP25" s="19"/>
      <c r="BAQ25" s="19"/>
      <c r="BAR25" s="19"/>
      <c r="BAS25" s="19"/>
      <c r="BAT25" s="19"/>
      <c r="BAU25" s="19"/>
      <c r="BAV25" s="19"/>
      <c r="BAW25" s="19"/>
      <c r="BAX25" s="19"/>
      <c r="BAY25" s="19"/>
      <c r="BAZ25" s="19"/>
      <c r="BBA25" s="19"/>
      <c r="BBB25" s="19"/>
      <c r="BBC25" s="19"/>
      <c r="BBD25" s="19"/>
      <c r="BBE25" s="19"/>
      <c r="BBF25" s="19"/>
      <c r="BBG25" s="19"/>
      <c r="BBH25" s="19"/>
      <c r="BBI25" s="19"/>
      <c r="BBJ25" s="19"/>
      <c r="BBK25" s="19"/>
      <c r="BBL25" s="19"/>
      <c r="BBM25" s="19"/>
      <c r="BBN25" s="19"/>
      <c r="BBO25" s="19"/>
      <c r="BBP25" s="19"/>
      <c r="BBQ25" s="19"/>
      <c r="BBR25" s="19"/>
      <c r="BBS25" s="19"/>
      <c r="BBT25" s="19"/>
      <c r="BBU25" s="19"/>
      <c r="BBV25" s="19"/>
      <c r="BBW25" s="19"/>
      <c r="BBX25" s="19"/>
      <c r="BBY25" s="19"/>
      <c r="BBZ25" s="19"/>
      <c r="BCA25" s="19"/>
      <c r="BCB25" s="19"/>
      <c r="BCC25" s="19"/>
      <c r="BCD25" s="19"/>
      <c r="BCE25" s="19"/>
      <c r="BCF25" s="19"/>
      <c r="BCG25" s="19"/>
      <c r="BCH25" s="19"/>
      <c r="BCI25" s="19"/>
      <c r="BCJ25" s="19"/>
      <c r="BCK25" s="19"/>
      <c r="BCL25" s="19"/>
      <c r="BCM25" s="19"/>
      <c r="BCN25" s="19"/>
      <c r="BCO25" s="19"/>
      <c r="BCP25" s="19"/>
      <c r="BCQ25" s="19"/>
      <c r="BCR25" s="19"/>
      <c r="BCS25" s="19"/>
      <c r="BCT25" s="19"/>
      <c r="BCU25" s="19"/>
      <c r="BCV25" s="19"/>
      <c r="BCW25" s="19"/>
      <c r="BCX25" s="19"/>
      <c r="BCY25" s="19"/>
      <c r="BCZ25" s="19"/>
      <c r="BDA25" s="19"/>
      <c r="BDB25" s="19"/>
      <c r="BDC25" s="19"/>
      <c r="BDD25" s="19"/>
      <c r="BDE25" s="19"/>
      <c r="BDF25" s="19"/>
      <c r="BDG25" s="19"/>
      <c r="BDH25" s="19"/>
      <c r="BDI25" s="19"/>
      <c r="BDJ25" s="19"/>
      <c r="BDK25" s="19"/>
      <c r="BDL25" s="19"/>
      <c r="BDM25" s="19"/>
      <c r="BDN25" s="19"/>
      <c r="BDO25" s="19"/>
      <c r="BDP25" s="19"/>
      <c r="BDQ25" s="19"/>
      <c r="BDR25" s="19"/>
      <c r="BDS25" s="19"/>
      <c r="BDT25" s="19"/>
      <c r="BDU25" s="19"/>
      <c r="BDV25" s="19"/>
      <c r="BDW25" s="19"/>
      <c r="BDX25" s="19"/>
      <c r="BDY25" s="19"/>
      <c r="BDZ25" s="19"/>
      <c r="BEA25" s="19"/>
      <c r="BEB25" s="19"/>
      <c r="BEC25" s="19"/>
      <c r="BED25" s="19"/>
      <c r="BEE25" s="19"/>
      <c r="BEF25" s="19"/>
      <c r="BEG25" s="19"/>
      <c r="BEH25" s="19"/>
      <c r="BEI25" s="19"/>
      <c r="BEJ25" s="19"/>
      <c r="BEK25" s="19"/>
      <c r="BEL25" s="19"/>
      <c r="BEM25" s="19"/>
      <c r="BEN25" s="19"/>
      <c r="BEO25" s="19"/>
      <c r="BEP25" s="19"/>
      <c r="BEQ25" s="19"/>
      <c r="BER25" s="19"/>
      <c r="BES25" s="19"/>
      <c r="BET25" s="19"/>
      <c r="BEU25" s="19"/>
      <c r="BEV25" s="19"/>
      <c r="BEW25" s="19"/>
      <c r="BEX25" s="19"/>
      <c r="BEY25" s="19"/>
      <c r="BEZ25" s="19"/>
      <c r="BFA25" s="19"/>
      <c r="BFB25" s="19"/>
      <c r="BFC25" s="19"/>
      <c r="BFD25" s="19"/>
      <c r="BFE25" s="19"/>
      <c r="BFF25" s="19"/>
      <c r="BFG25" s="19"/>
      <c r="BFH25" s="19"/>
      <c r="BFI25" s="19"/>
      <c r="BFJ25" s="19"/>
      <c r="BFK25" s="19"/>
      <c r="BFL25" s="19"/>
      <c r="BFM25" s="19"/>
      <c r="BFN25" s="19"/>
      <c r="BFO25" s="19"/>
      <c r="BFP25" s="19"/>
      <c r="BFQ25" s="19"/>
      <c r="BFR25" s="19"/>
      <c r="BFS25" s="19"/>
      <c r="BFT25" s="19"/>
      <c r="BFU25" s="19"/>
      <c r="BFV25" s="19"/>
      <c r="BFW25" s="19"/>
      <c r="BFX25" s="19"/>
      <c r="BFY25" s="19"/>
      <c r="BFZ25" s="19"/>
      <c r="BGA25" s="19"/>
      <c r="BGB25" s="19"/>
      <c r="BGC25" s="19"/>
      <c r="BGD25" s="19"/>
      <c r="BGE25" s="19"/>
      <c r="BGF25" s="19"/>
      <c r="BGG25" s="19"/>
      <c r="BGH25" s="19"/>
      <c r="BGI25" s="19"/>
      <c r="BGJ25" s="19"/>
      <c r="BGK25" s="19"/>
      <c r="BGL25" s="19"/>
      <c r="BGM25" s="19"/>
      <c r="BGN25" s="19"/>
      <c r="BGO25" s="19"/>
      <c r="BGP25" s="19"/>
      <c r="BGQ25" s="19"/>
      <c r="BGR25" s="19"/>
      <c r="BGS25" s="19"/>
      <c r="BGT25" s="19"/>
      <c r="BGU25" s="19"/>
      <c r="BGV25" s="19"/>
      <c r="BGW25" s="19"/>
      <c r="BGX25" s="19"/>
      <c r="BGY25" s="19"/>
      <c r="BGZ25" s="19"/>
      <c r="BHA25" s="19"/>
      <c r="BHB25" s="19"/>
      <c r="BHC25" s="19"/>
      <c r="BHD25" s="19"/>
      <c r="BHE25" s="19"/>
      <c r="BHF25" s="19"/>
      <c r="BHG25" s="19"/>
      <c r="BHH25" s="19"/>
      <c r="BHI25" s="19"/>
      <c r="BHJ25" s="19"/>
      <c r="BHK25" s="19"/>
      <c r="BHL25" s="19"/>
      <c r="BHM25" s="19"/>
      <c r="BHN25" s="19"/>
      <c r="BHO25" s="19"/>
      <c r="BHP25" s="19"/>
      <c r="BHQ25" s="19"/>
      <c r="BHR25" s="19"/>
      <c r="BHS25" s="19"/>
      <c r="BHT25" s="19"/>
      <c r="BHU25" s="19"/>
      <c r="BHV25" s="19"/>
      <c r="BHW25" s="19"/>
      <c r="BHX25" s="19"/>
      <c r="BHY25" s="19"/>
      <c r="BHZ25" s="19"/>
      <c r="BIA25" s="19"/>
      <c r="BIB25" s="19"/>
      <c r="BIC25" s="19"/>
      <c r="BID25" s="19"/>
      <c r="BIE25" s="19"/>
      <c r="BIF25" s="19"/>
      <c r="BIG25" s="19"/>
      <c r="BIH25" s="19"/>
      <c r="BII25" s="19"/>
      <c r="BIJ25" s="19"/>
      <c r="BIK25" s="19"/>
      <c r="BIL25" s="19"/>
      <c r="BIM25" s="19"/>
      <c r="BIN25" s="19"/>
      <c r="BIO25" s="19"/>
      <c r="BIP25" s="19"/>
      <c r="BIQ25" s="19"/>
      <c r="BIR25" s="19"/>
      <c r="BIS25" s="19"/>
      <c r="BIT25" s="19"/>
      <c r="BIU25" s="19"/>
      <c r="BIV25" s="19"/>
      <c r="BIW25" s="19"/>
      <c r="BIX25" s="19"/>
      <c r="BIY25" s="19"/>
      <c r="BIZ25" s="19"/>
      <c r="BJA25" s="19"/>
      <c r="BJB25" s="19"/>
      <c r="BJC25" s="19"/>
      <c r="BJD25" s="19"/>
      <c r="BJE25" s="19"/>
      <c r="BJF25" s="19"/>
      <c r="BJG25" s="19"/>
      <c r="BJH25" s="19"/>
      <c r="BJI25" s="19"/>
      <c r="BJJ25" s="19"/>
      <c r="BJK25" s="19"/>
      <c r="BJL25" s="19"/>
      <c r="BJM25" s="19"/>
      <c r="BJN25" s="19"/>
      <c r="BJO25" s="19"/>
      <c r="BJP25" s="19"/>
      <c r="BJQ25" s="19"/>
      <c r="BJR25" s="19"/>
      <c r="BJS25" s="19"/>
      <c r="BJT25" s="19"/>
      <c r="BJU25" s="19"/>
      <c r="BJV25" s="19"/>
      <c r="BJW25" s="19"/>
      <c r="BJX25" s="19"/>
      <c r="BJY25" s="19"/>
      <c r="BJZ25" s="19"/>
      <c r="BKA25" s="19"/>
      <c r="BKB25" s="19"/>
      <c r="BKC25" s="19"/>
      <c r="BKD25" s="19"/>
      <c r="BKE25" s="19"/>
      <c r="BKF25" s="19"/>
      <c r="BKG25" s="19"/>
      <c r="BKH25" s="19"/>
      <c r="BKI25" s="19"/>
      <c r="BKJ25" s="19"/>
      <c r="BKK25" s="19"/>
      <c r="BKL25" s="19"/>
      <c r="BKM25" s="19"/>
      <c r="BKN25" s="19"/>
      <c r="BKO25" s="19"/>
      <c r="BKP25" s="19"/>
      <c r="BKQ25" s="19"/>
      <c r="BKR25" s="19"/>
      <c r="BKS25" s="19"/>
      <c r="BKT25" s="19"/>
      <c r="BKU25" s="19"/>
      <c r="BKV25" s="19"/>
      <c r="BKW25" s="19"/>
      <c r="BKX25" s="19"/>
      <c r="BKY25" s="19"/>
      <c r="BKZ25" s="19"/>
      <c r="BLA25" s="19"/>
      <c r="BLB25" s="19"/>
      <c r="BLC25" s="19"/>
      <c r="BLD25" s="19"/>
      <c r="BLE25" s="19"/>
      <c r="BLF25" s="19"/>
      <c r="BLG25" s="19"/>
      <c r="BLH25" s="19"/>
      <c r="BLI25" s="19"/>
      <c r="BLJ25" s="19"/>
      <c r="BLK25" s="19"/>
      <c r="BLL25" s="19"/>
      <c r="BLM25" s="19"/>
      <c r="BLN25" s="19"/>
      <c r="BLO25" s="19"/>
      <c r="BLP25" s="19"/>
      <c r="BLQ25" s="19"/>
      <c r="BLR25" s="19"/>
      <c r="BLS25" s="19"/>
      <c r="BLT25" s="19"/>
      <c r="BLU25" s="19"/>
      <c r="BLV25" s="19"/>
      <c r="BLW25" s="19"/>
      <c r="BLX25" s="19"/>
      <c r="BLY25" s="19"/>
      <c r="BLZ25" s="19"/>
      <c r="BMA25" s="19"/>
      <c r="BMB25" s="19"/>
      <c r="BMC25" s="19"/>
      <c r="BMD25" s="19"/>
      <c r="BME25" s="19"/>
      <c r="BMF25" s="19"/>
      <c r="BMG25" s="19"/>
      <c r="BMH25" s="19"/>
      <c r="BMI25" s="19"/>
      <c r="BMJ25" s="19"/>
      <c r="BMK25" s="19"/>
      <c r="BML25" s="19"/>
      <c r="BMM25" s="19"/>
      <c r="BMN25" s="19"/>
      <c r="BMO25" s="19"/>
      <c r="BMP25" s="19"/>
      <c r="BMQ25" s="19"/>
      <c r="BMR25" s="19"/>
      <c r="BMS25" s="19"/>
      <c r="BMT25" s="19"/>
      <c r="BMU25" s="19"/>
      <c r="BMV25" s="19"/>
      <c r="BMW25" s="19"/>
      <c r="BMX25" s="19"/>
      <c r="BMY25" s="19"/>
      <c r="BMZ25" s="19"/>
      <c r="BNA25" s="19"/>
      <c r="BNB25" s="19"/>
      <c r="BNC25" s="19"/>
      <c r="BND25" s="19"/>
      <c r="BNE25" s="19"/>
      <c r="BNF25" s="19"/>
      <c r="BNG25" s="19"/>
      <c r="BNH25" s="19"/>
      <c r="BNI25" s="19"/>
      <c r="BNJ25" s="19"/>
      <c r="BNK25" s="19"/>
      <c r="BNL25" s="19"/>
      <c r="BNM25" s="19"/>
      <c r="BNN25" s="19"/>
      <c r="BNO25" s="19"/>
      <c r="BNP25" s="19"/>
      <c r="BNQ25" s="19"/>
      <c r="BNR25" s="19"/>
      <c r="BNS25" s="19"/>
      <c r="BNT25" s="19"/>
      <c r="BNU25" s="19"/>
      <c r="BNV25" s="19"/>
      <c r="BNW25" s="19"/>
      <c r="BNX25" s="19"/>
      <c r="BNY25" s="19"/>
      <c r="BNZ25" s="19"/>
      <c r="BOA25" s="19"/>
      <c r="BOB25" s="19"/>
      <c r="BOC25" s="19"/>
      <c r="BOD25" s="19"/>
      <c r="BOE25" s="19"/>
      <c r="BOF25" s="19"/>
      <c r="BOG25" s="19"/>
      <c r="BOH25" s="19"/>
      <c r="BOI25" s="19"/>
      <c r="BOJ25" s="19"/>
      <c r="BOK25" s="19"/>
      <c r="BOL25" s="19"/>
      <c r="BOM25" s="19"/>
      <c r="BON25" s="19"/>
      <c r="BOO25" s="19"/>
      <c r="BOP25" s="19"/>
      <c r="BOQ25" s="19"/>
      <c r="BOR25" s="19"/>
      <c r="BOS25" s="19"/>
      <c r="BOT25" s="19"/>
      <c r="BOU25" s="19"/>
      <c r="BOV25" s="19"/>
      <c r="BOW25" s="19"/>
      <c r="BOX25" s="19"/>
      <c r="BOY25" s="19"/>
      <c r="BOZ25" s="19"/>
      <c r="BPA25" s="19"/>
      <c r="BPB25" s="19"/>
      <c r="BPC25" s="19"/>
      <c r="BPD25" s="19"/>
      <c r="BPE25" s="19"/>
      <c r="BPF25" s="19"/>
      <c r="BPG25" s="19"/>
      <c r="BPH25" s="19"/>
      <c r="BPI25" s="19"/>
      <c r="BPJ25" s="19"/>
      <c r="BPK25" s="19"/>
      <c r="BPL25" s="19"/>
      <c r="BPM25" s="19"/>
      <c r="BPN25" s="19"/>
      <c r="BPO25" s="19"/>
      <c r="BPP25" s="19"/>
      <c r="BPQ25" s="19"/>
      <c r="BPR25" s="19"/>
      <c r="BPS25" s="19"/>
      <c r="BPT25" s="19"/>
      <c r="BPU25" s="19"/>
      <c r="BPV25" s="19"/>
      <c r="BPW25" s="19"/>
      <c r="BPX25" s="19"/>
      <c r="BPY25" s="19"/>
      <c r="BPZ25" s="19"/>
      <c r="BQA25" s="19"/>
      <c r="BQB25" s="19"/>
      <c r="BQC25" s="19"/>
      <c r="BQD25" s="19"/>
      <c r="BQE25" s="19"/>
      <c r="BQF25" s="19"/>
      <c r="BQG25" s="19"/>
      <c r="BQH25" s="19"/>
      <c r="BQI25" s="19"/>
      <c r="BQJ25" s="19"/>
      <c r="BQK25" s="19"/>
      <c r="BQL25" s="19"/>
      <c r="BQM25" s="19"/>
      <c r="BQN25" s="19"/>
      <c r="BQO25" s="19"/>
      <c r="BQP25" s="19"/>
      <c r="BQQ25" s="19"/>
      <c r="BQR25" s="19"/>
      <c r="BQS25" s="19"/>
      <c r="BQT25" s="19"/>
      <c r="BQU25" s="19"/>
      <c r="BQV25" s="19"/>
      <c r="BQW25" s="19"/>
      <c r="BQX25" s="19"/>
      <c r="BQY25" s="19"/>
      <c r="BQZ25" s="19"/>
      <c r="BRA25" s="19"/>
      <c r="BRB25" s="19"/>
      <c r="BRC25" s="19"/>
      <c r="BRD25" s="19"/>
      <c r="BRE25" s="19"/>
      <c r="BRF25" s="19"/>
      <c r="BRG25" s="19"/>
      <c r="BRH25" s="19"/>
      <c r="BRI25" s="19"/>
      <c r="BRJ25" s="19"/>
      <c r="BRK25" s="19"/>
      <c r="BRL25" s="19"/>
      <c r="BRM25" s="19"/>
      <c r="BRN25" s="19"/>
      <c r="BRO25" s="19"/>
      <c r="BRP25" s="19"/>
      <c r="BRQ25" s="19"/>
      <c r="BRR25" s="19"/>
      <c r="BRS25" s="19"/>
      <c r="BRT25" s="19"/>
      <c r="BRU25" s="19"/>
      <c r="BRV25" s="19"/>
      <c r="BRW25" s="19"/>
      <c r="BRX25" s="19"/>
      <c r="BRY25" s="19"/>
      <c r="BRZ25" s="19"/>
      <c r="BSA25" s="19"/>
      <c r="BSB25" s="19"/>
      <c r="BSC25" s="19"/>
      <c r="BSD25" s="19"/>
      <c r="BSE25" s="19"/>
      <c r="BSF25" s="19"/>
      <c r="BSG25" s="19"/>
      <c r="BSH25" s="19"/>
      <c r="BSI25" s="19"/>
      <c r="BSJ25" s="19"/>
      <c r="BSK25" s="19"/>
      <c r="BSL25" s="19"/>
      <c r="BSM25" s="19"/>
      <c r="BSN25" s="19"/>
      <c r="BSO25" s="19"/>
      <c r="BSP25" s="19"/>
      <c r="BSQ25" s="19"/>
      <c r="BSR25" s="19"/>
      <c r="BSS25" s="19"/>
      <c r="BST25" s="19"/>
      <c r="BSU25" s="19"/>
      <c r="BSV25" s="19"/>
      <c r="BSW25" s="19"/>
      <c r="BSX25" s="19"/>
      <c r="BSY25" s="19"/>
      <c r="BSZ25" s="19"/>
      <c r="BTA25" s="19"/>
      <c r="BTB25" s="19"/>
      <c r="BTC25" s="19"/>
      <c r="BTD25" s="19"/>
      <c r="BTE25" s="19"/>
      <c r="BTF25" s="19"/>
      <c r="BTG25" s="19"/>
      <c r="BTH25" s="19"/>
      <c r="BTI25" s="19"/>
      <c r="BTJ25" s="19"/>
      <c r="BTK25" s="19"/>
      <c r="BTL25" s="19"/>
      <c r="BTM25" s="19"/>
      <c r="BTN25" s="19"/>
      <c r="BTO25" s="19"/>
      <c r="BTP25" s="19"/>
      <c r="BTQ25" s="19"/>
      <c r="BTR25" s="19"/>
      <c r="BTS25" s="19"/>
      <c r="BTT25" s="19"/>
      <c r="BTU25" s="19"/>
      <c r="BTV25" s="19"/>
      <c r="BTW25" s="19"/>
      <c r="BTX25" s="19"/>
      <c r="BTY25" s="19"/>
      <c r="BTZ25" s="19"/>
      <c r="BUA25" s="19"/>
      <c r="BUB25" s="19"/>
      <c r="BUC25" s="19"/>
      <c r="BUD25" s="19"/>
      <c r="BUE25" s="19"/>
      <c r="BUF25" s="19"/>
      <c r="BUG25" s="19"/>
      <c r="BUH25" s="19"/>
      <c r="BUI25" s="19"/>
      <c r="BUJ25" s="19"/>
      <c r="BUK25" s="19"/>
      <c r="BUL25" s="19"/>
      <c r="BUM25" s="19"/>
      <c r="BUN25" s="19"/>
      <c r="BUO25" s="19"/>
      <c r="BUP25" s="19"/>
      <c r="BUQ25" s="19"/>
      <c r="BUR25" s="19"/>
      <c r="BUS25" s="19"/>
      <c r="BUT25" s="19"/>
      <c r="BUU25" s="19"/>
      <c r="BUV25" s="19"/>
      <c r="BUW25" s="19"/>
      <c r="BUX25" s="19"/>
      <c r="BUY25" s="19"/>
      <c r="BUZ25" s="19"/>
      <c r="BVA25" s="19"/>
      <c r="BVB25" s="19"/>
      <c r="BVC25" s="19"/>
      <c r="BVD25" s="19"/>
      <c r="BVE25" s="19"/>
      <c r="BVF25" s="19"/>
      <c r="BVG25" s="19"/>
      <c r="BVH25" s="19"/>
      <c r="BVI25" s="19"/>
      <c r="BVJ25" s="19"/>
      <c r="BVK25" s="19"/>
      <c r="BVL25" s="19"/>
      <c r="BVM25" s="19"/>
      <c r="BVN25" s="19"/>
      <c r="BVO25" s="19"/>
      <c r="BVP25" s="19"/>
      <c r="BVQ25" s="19"/>
      <c r="BVR25" s="19"/>
      <c r="BVS25" s="19"/>
      <c r="BVT25" s="19"/>
      <c r="BVU25" s="19"/>
      <c r="BVV25" s="19"/>
      <c r="BVW25" s="19"/>
      <c r="BVX25" s="19"/>
      <c r="BVY25" s="19"/>
      <c r="BVZ25" s="19"/>
      <c r="BWA25" s="19"/>
      <c r="BWB25" s="19"/>
      <c r="BWC25" s="19"/>
      <c r="BWD25" s="19"/>
      <c r="BWE25" s="19"/>
      <c r="BWF25" s="19"/>
      <c r="BWG25" s="19"/>
      <c r="BWH25" s="19"/>
      <c r="BWI25" s="19"/>
      <c r="BWJ25" s="19"/>
      <c r="BWK25" s="19"/>
      <c r="BWL25" s="19"/>
      <c r="BWM25" s="19"/>
      <c r="BWN25" s="19"/>
      <c r="BWO25" s="19"/>
      <c r="BWP25" s="19"/>
      <c r="BWQ25" s="19"/>
      <c r="BWR25" s="19"/>
      <c r="BWS25" s="19"/>
      <c r="BWT25" s="19"/>
      <c r="BWU25" s="19"/>
      <c r="BWV25" s="19"/>
      <c r="BWW25" s="19"/>
      <c r="BWX25" s="19"/>
      <c r="BWY25" s="19"/>
      <c r="BWZ25" s="19"/>
      <c r="BXA25" s="19"/>
      <c r="BXB25" s="19"/>
      <c r="BXC25" s="19"/>
      <c r="BXD25" s="19"/>
      <c r="BXE25" s="19"/>
      <c r="BXF25" s="19"/>
      <c r="BXG25" s="19"/>
      <c r="BXH25" s="19"/>
      <c r="BXI25" s="19"/>
      <c r="BXJ25" s="19"/>
      <c r="BXK25" s="19"/>
      <c r="BXL25" s="19"/>
      <c r="BXM25" s="19"/>
      <c r="BXN25" s="19"/>
      <c r="BXO25" s="19"/>
      <c r="BXP25" s="19"/>
      <c r="BXQ25" s="19"/>
      <c r="BXR25" s="19"/>
      <c r="BXS25" s="19"/>
      <c r="BXT25" s="19"/>
      <c r="BXU25" s="19"/>
      <c r="BXV25" s="19"/>
      <c r="BXW25" s="19"/>
      <c r="BXX25" s="19"/>
      <c r="BXY25" s="19"/>
      <c r="BXZ25" s="19"/>
      <c r="BYA25" s="19"/>
      <c r="BYB25" s="19"/>
      <c r="BYC25" s="19"/>
      <c r="BYD25" s="19"/>
      <c r="BYE25" s="19"/>
      <c r="BYF25" s="19"/>
      <c r="BYG25" s="19"/>
      <c r="BYH25" s="19"/>
      <c r="BYI25" s="19"/>
      <c r="BYJ25" s="19"/>
      <c r="BYK25" s="19"/>
      <c r="BYL25" s="19"/>
      <c r="BYM25" s="19"/>
      <c r="BYN25" s="19"/>
      <c r="BYO25" s="19"/>
      <c r="BYP25" s="19"/>
      <c r="BYQ25" s="19"/>
      <c r="BYR25" s="19"/>
      <c r="BYS25" s="19"/>
      <c r="BYT25" s="19"/>
      <c r="BYU25" s="19"/>
      <c r="BYV25" s="19"/>
      <c r="BYW25" s="19"/>
      <c r="BYX25" s="19"/>
      <c r="BYY25" s="19"/>
      <c r="BYZ25" s="19"/>
      <c r="BZA25" s="19"/>
      <c r="BZB25" s="19"/>
      <c r="BZC25" s="19"/>
      <c r="BZD25" s="19"/>
      <c r="BZE25" s="19"/>
      <c r="BZF25" s="19"/>
      <c r="BZG25" s="19"/>
      <c r="BZH25" s="19"/>
      <c r="BZI25" s="19"/>
      <c r="BZJ25" s="19"/>
      <c r="BZK25" s="19"/>
      <c r="BZL25" s="19"/>
      <c r="BZM25" s="19"/>
      <c r="BZN25" s="19"/>
      <c r="BZO25" s="19"/>
      <c r="BZP25" s="19"/>
      <c r="BZQ25" s="19"/>
      <c r="BZR25" s="19"/>
      <c r="BZS25" s="19"/>
      <c r="BZT25" s="19"/>
      <c r="BZU25" s="19"/>
      <c r="BZV25" s="19"/>
      <c r="BZW25" s="19"/>
      <c r="BZX25" s="19"/>
      <c r="BZY25" s="19"/>
      <c r="BZZ25" s="19"/>
      <c r="CAA25" s="19"/>
      <c r="CAB25" s="19"/>
      <c r="CAC25" s="19"/>
      <c r="CAD25" s="19"/>
      <c r="CAE25" s="19"/>
      <c r="CAF25" s="19"/>
      <c r="CAG25" s="19"/>
      <c r="CAH25" s="19"/>
      <c r="CAI25" s="19"/>
      <c r="CAJ25" s="19"/>
      <c r="CAK25" s="19"/>
      <c r="CAL25" s="19"/>
      <c r="CAM25" s="19"/>
      <c r="CAN25" s="19"/>
      <c r="CAO25" s="19"/>
      <c r="CAP25" s="19"/>
      <c r="CAQ25" s="19"/>
      <c r="CAR25" s="19"/>
      <c r="CAS25" s="19"/>
      <c r="CAT25" s="19"/>
      <c r="CAU25" s="19"/>
      <c r="CAV25" s="19"/>
      <c r="CAW25" s="19"/>
      <c r="CAX25" s="19"/>
      <c r="CAY25" s="19"/>
      <c r="CAZ25" s="19"/>
      <c r="CBA25" s="19"/>
      <c r="CBB25" s="19"/>
      <c r="CBC25" s="19"/>
      <c r="CBD25" s="19"/>
      <c r="CBE25" s="19"/>
      <c r="CBF25" s="19"/>
      <c r="CBG25" s="19"/>
      <c r="CBH25" s="19"/>
      <c r="CBI25" s="19"/>
      <c r="CBJ25" s="19"/>
      <c r="CBK25" s="19"/>
      <c r="CBL25" s="19"/>
      <c r="CBM25" s="19"/>
      <c r="CBN25" s="19"/>
      <c r="CBO25" s="19"/>
      <c r="CBP25" s="19"/>
      <c r="CBQ25" s="19"/>
      <c r="CBR25" s="19"/>
      <c r="CBS25" s="19"/>
      <c r="CBT25" s="19"/>
      <c r="CBU25" s="19"/>
      <c r="CBV25" s="19"/>
      <c r="CBW25" s="19"/>
      <c r="CBX25" s="19"/>
      <c r="CBY25" s="19"/>
      <c r="CBZ25" s="19"/>
      <c r="CCA25" s="19"/>
      <c r="CCB25" s="19"/>
      <c r="CCC25" s="19"/>
      <c r="CCD25" s="19"/>
      <c r="CCE25" s="19"/>
      <c r="CCF25" s="19"/>
      <c r="CCG25" s="19"/>
      <c r="CCH25" s="19"/>
      <c r="CCI25" s="19"/>
      <c r="CCJ25" s="19"/>
      <c r="CCK25" s="19"/>
      <c r="CCL25" s="19"/>
      <c r="CCM25" s="19"/>
      <c r="CCN25" s="19"/>
      <c r="CCO25" s="19"/>
      <c r="CCP25" s="19"/>
      <c r="CCQ25" s="19"/>
      <c r="CCR25" s="19"/>
      <c r="CCS25" s="19"/>
      <c r="CCT25" s="19"/>
      <c r="CCU25" s="19"/>
      <c r="CCV25" s="19"/>
      <c r="CCW25" s="19"/>
      <c r="CCX25" s="19"/>
      <c r="CCY25" s="19"/>
      <c r="CCZ25" s="19"/>
      <c r="CDA25" s="19"/>
      <c r="CDB25" s="19"/>
      <c r="CDC25" s="19"/>
      <c r="CDD25" s="19"/>
      <c r="CDE25" s="19"/>
      <c r="CDF25" s="19"/>
      <c r="CDG25" s="19"/>
      <c r="CDH25" s="19"/>
      <c r="CDI25" s="19"/>
      <c r="CDJ25" s="19"/>
      <c r="CDK25" s="19"/>
      <c r="CDL25" s="19"/>
      <c r="CDM25" s="19"/>
      <c r="CDN25" s="19"/>
      <c r="CDO25" s="19"/>
      <c r="CDP25" s="19"/>
      <c r="CDQ25" s="19"/>
      <c r="CDR25" s="19"/>
      <c r="CDS25" s="19"/>
      <c r="CDT25" s="19"/>
      <c r="CDU25" s="19"/>
      <c r="CDV25" s="19"/>
      <c r="CDW25" s="19"/>
      <c r="CDX25" s="19"/>
      <c r="CDY25" s="19"/>
      <c r="CDZ25" s="19"/>
      <c r="CEA25" s="19"/>
      <c r="CEB25" s="19"/>
      <c r="CEC25" s="19"/>
      <c r="CED25" s="19"/>
      <c r="CEE25" s="19"/>
      <c r="CEF25" s="19"/>
      <c r="CEG25" s="19"/>
      <c r="CEH25" s="19"/>
      <c r="CEI25" s="19"/>
      <c r="CEJ25" s="19"/>
      <c r="CEK25" s="19"/>
      <c r="CEL25" s="19"/>
      <c r="CEM25" s="19"/>
      <c r="CEN25" s="19"/>
      <c r="CEO25" s="19"/>
      <c r="CEP25" s="19"/>
      <c r="CEQ25" s="19"/>
      <c r="CER25" s="19"/>
      <c r="CES25" s="19"/>
      <c r="CET25" s="19"/>
      <c r="CEU25" s="19"/>
      <c r="CEV25" s="19"/>
      <c r="CEW25" s="19"/>
      <c r="CEX25" s="19"/>
      <c r="CEY25" s="19"/>
      <c r="CEZ25" s="19"/>
      <c r="CFA25" s="19"/>
      <c r="CFB25" s="19"/>
      <c r="CFC25" s="19"/>
      <c r="CFD25" s="19"/>
      <c r="CFE25" s="19"/>
      <c r="CFF25" s="19"/>
      <c r="CFG25" s="19"/>
      <c r="CFH25" s="19"/>
      <c r="CFI25" s="19"/>
      <c r="CFJ25" s="19"/>
      <c r="CFK25" s="19"/>
      <c r="CFL25" s="19"/>
      <c r="CFM25" s="19"/>
      <c r="CFN25" s="19"/>
      <c r="CFO25" s="19"/>
      <c r="CFP25" s="19"/>
      <c r="CFQ25" s="19"/>
      <c r="CFR25" s="19"/>
      <c r="CFS25" s="19"/>
      <c r="CFT25" s="19"/>
      <c r="CFU25" s="19"/>
      <c r="CFV25" s="19"/>
      <c r="CFW25" s="19"/>
      <c r="CFX25" s="19"/>
      <c r="CFY25" s="19"/>
      <c r="CFZ25" s="19"/>
      <c r="CGA25" s="19"/>
      <c r="CGB25" s="19"/>
      <c r="CGC25" s="19"/>
      <c r="CGD25" s="19"/>
      <c r="CGE25" s="19"/>
      <c r="CGF25" s="19"/>
      <c r="CGG25" s="19"/>
      <c r="CGH25" s="19"/>
      <c r="CGI25" s="19"/>
      <c r="CGJ25" s="19"/>
      <c r="CGK25" s="19"/>
      <c r="CGL25" s="19"/>
      <c r="CGM25" s="19"/>
      <c r="CGN25" s="19"/>
      <c r="CGO25" s="19"/>
      <c r="CGP25" s="19"/>
      <c r="CGQ25" s="19"/>
      <c r="CGR25" s="19"/>
      <c r="CGS25" s="19"/>
      <c r="CGT25" s="19"/>
      <c r="CGU25" s="19"/>
      <c r="CGV25" s="19"/>
      <c r="CGW25" s="19"/>
      <c r="CGX25" s="19"/>
      <c r="CGY25" s="19"/>
      <c r="CGZ25" s="19"/>
      <c r="CHA25" s="19"/>
      <c r="CHB25" s="19"/>
      <c r="CHC25" s="19"/>
      <c r="CHD25" s="19"/>
      <c r="CHE25" s="19"/>
      <c r="CHF25" s="19"/>
      <c r="CHG25" s="19"/>
      <c r="CHH25" s="19"/>
      <c r="CHI25" s="19"/>
      <c r="CHJ25" s="19"/>
      <c r="CHK25" s="19"/>
      <c r="CHL25" s="19"/>
      <c r="CHM25" s="19"/>
      <c r="CHN25" s="19"/>
      <c r="CHO25" s="19"/>
      <c r="CHP25" s="19"/>
      <c r="CHQ25" s="19"/>
      <c r="CHR25" s="19"/>
      <c r="CHS25" s="19"/>
      <c r="CHT25" s="19"/>
      <c r="CHU25" s="19"/>
      <c r="CHV25" s="19"/>
      <c r="CHW25" s="19"/>
      <c r="CHX25" s="19"/>
      <c r="CHY25" s="19"/>
      <c r="CHZ25" s="19"/>
      <c r="CIA25" s="19"/>
      <c r="CIB25" s="19"/>
      <c r="CIC25" s="19"/>
      <c r="CID25" s="19"/>
      <c r="CIE25" s="19"/>
      <c r="CIF25" s="19"/>
      <c r="CIG25" s="19"/>
      <c r="CIH25" s="19"/>
      <c r="CII25" s="19"/>
      <c r="CIJ25" s="19"/>
      <c r="CIK25" s="19"/>
      <c r="CIL25" s="19"/>
      <c r="CIM25" s="19"/>
      <c r="CIN25" s="19"/>
      <c r="CIO25" s="19"/>
      <c r="CIP25" s="19"/>
      <c r="CIQ25" s="19"/>
      <c r="CIR25" s="19"/>
      <c r="CIS25" s="19"/>
      <c r="CIT25" s="19"/>
      <c r="CIU25" s="19"/>
      <c r="CIV25" s="19"/>
      <c r="CIW25" s="19"/>
      <c r="CIX25" s="19"/>
      <c r="CIY25" s="19"/>
      <c r="CIZ25" s="19"/>
      <c r="CJA25" s="19"/>
      <c r="CJB25" s="19"/>
      <c r="CJC25" s="19"/>
      <c r="CJD25" s="19"/>
      <c r="CJE25" s="19"/>
      <c r="CJF25" s="19"/>
      <c r="CJG25" s="19"/>
      <c r="CJH25" s="19"/>
      <c r="CJI25" s="19"/>
      <c r="CJJ25" s="19"/>
      <c r="CJK25" s="19"/>
      <c r="CJL25" s="19"/>
      <c r="CJM25" s="19"/>
      <c r="CJN25" s="19"/>
      <c r="CJO25" s="19"/>
      <c r="CJP25" s="19"/>
      <c r="CJQ25" s="19"/>
      <c r="CJR25" s="19"/>
      <c r="CJS25" s="19"/>
      <c r="CJT25" s="19"/>
      <c r="CJU25" s="19"/>
      <c r="CJV25" s="19"/>
      <c r="CJW25" s="19"/>
      <c r="CJX25" s="19"/>
      <c r="CJY25" s="19"/>
      <c r="CJZ25" s="19"/>
      <c r="CKA25" s="19"/>
      <c r="CKB25" s="19"/>
      <c r="CKC25" s="19"/>
      <c r="CKD25" s="19"/>
      <c r="CKE25" s="19"/>
      <c r="CKF25" s="19"/>
      <c r="CKG25" s="19"/>
      <c r="CKH25" s="19"/>
      <c r="CKI25" s="19"/>
      <c r="CKJ25" s="19"/>
      <c r="CKK25" s="19"/>
      <c r="CKL25" s="19"/>
      <c r="CKM25" s="19"/>
      <c r="CKN25" s="19"/>
      <c r="CKO25" s="19"/>
      <c r="CKP25" s="19"/>
      <c r="CKQ25" s="19"/>
      <c r="CKR25" s="19"/>
      <c r="CKS25" s="19"/>
      <c r="CKT25" s="19"/>
      <c r="CKU25" s="19"/>
      <c r="CKV25" s="19"/>
      <c r="CKW25" s="19"/>
      <c r="CKX25" s="19"/>
      <c r="CKY25" s="19"/>
      <c r="CKZ25" s="19"/>
      <c r="CLA25" s="19"/>
      <c r="CLB25" s="19"/>
      <c r="CLC25" s="19"/>
      <c r="CLD25" s="19"/>
      <c r="CLE25" s="19"/>
      <c r="CLF25" s="19"/>
      <c r="CLG25" s="19"/>
      <c r="CLH25" s="19"/>
      <c r="CLI25" s="19"/>
      <c r="CLJ25" s="19"/>
      <c r="CLK25" s="19"/>
      <c r="CLL25" s="19"/>
      <c r="CLM25" s="19"/>
      <c r="CLN25" s="19"/>
      <c r="CLO25" s="19"/>
      <c r="CLP25" s="19"/>
      <c r="CLQ25" s="19"/>
      <c r="CLR25" s="19"/>
      <c r="CLS25" s="19"/>
      <c r="CLT25" s="19"/>
      <c r="CLU25" s="19"/>
      <c r="CLV25" s="19"/>
      <c r="CLW25" s="19"/>
      <c r="CLX25" s="19"/>
      <c r="CLY25" s="19"/>
      <c r="CLZ25" s="19"/>
      <c r="CMA25" s="19"/>
      <c r="CMB25" s="19"/>
      <c r="CMC25" s="19"/>
      <c r="CMD25" s="19"/>
      <c r="CME25" s="19"/>
      <c r="CMF25" s="19"/>
      <c r="CMG25" s="19"/>
      <c r="CMH25" s="19"/>
      <c r="CMI25" s="19"/>
      <c r="CMJ25" s="19"/>
      <c r="CMK25" s="19"/>
      <c r="CML25" s="19"/>
      <c r="CMM25" s="19"/>
      <c r="CMN25" s="19"/>
      <c r="CMO25" s="19"/>
      <c r="CMP25" s="19"/>
      <c r="CMQ25" s="19"/>
      <c r="CMR25" s="19"/>
      <c r="CMS25" s="19"/>
      <c r="CMT25" s="19"/>
      <c r="CMU25" s="19"/>
      <c r="CMV25" s="19"/>
      <c r="CMW25" s="19"/>
      <c r="CMX25" s="19"/>
      <c r="CMY25" s="19"/>
      <c r="CMZ25" s="19"/>
      <c r="CNA25" s="19"/>
      <c r="CNB25" s="19"/>
      <c r="CNC25" s="19"/>
      <c r="CND25" s="19"/>
      <c r="CNE25" s="19"/>
      <c r="CNF25" s="19"/>
      <c r="CNG25" s="19"/>
      <c r="CNH25" s="19"/>
      <c r="CNI25" s="19"/>
      <c r="CNJ25" s="19"/>
      <c r="CNK25" s="19"/>
      <c r="CNL25" s="19"/>
      <c r="CNM25" s="19"/>
      <c r="CNN25" s="19"/>
      <c r="CNO25" s="19"/>
      <c r="CNP25" s="19"/>
      <c r="CNQ25" s="19"/>
      <c r="CNR25" s="19"/>
      <c r="CNS25" s="19"/>
      <c r="CNT25" s="19"/>
      <c r="CNU25" s="19"/>
      <c r="CNV25" s="19"/>
      <c r="CNW25" s="19"/>
      <c r="CNX25" s="19"/>
      <c r="CNY25" s="19"/>
      <c r="CNZ25" s="19"/>
      <c r="COA25" s="19"/>
      <c r="COB25" s="19"/>
      <c r="COC25" s="19"/>
      <c r="COD25" s="19"/>
      <c r="COE25" s="19"/>
      <c r="COF25" s="19"/>
      <c r="COG25" s="19"/>
      <c r="COH25" s="19"/>
      <c r="COI25" s="19"/>
      <c r="COJ25" s="19"/>
      <c r="COK25" s="19"/>
      <c r="COL25" s="19"/>
      <c r="COM25" s="19"/>
      <c r="CON25" s="19"/>
      <c r="COO25" s="19"/>
      <c r="COP25" s="19"/>
      <c r="COQ25" s="19"/>
      <c r="COR25" s="19"/>
      <c r="COS25" s="19"/>
      <c r="COT25" s="19"/>
      <c r="COU25" s="19"/>
      <c r="COV25" s="19"/>
      <c r="COW25" s="19"/>
      <c r="COX25" s="19"/>
      <c r="COY25" s="19"/>
      <c r="COZ25" s="19"/>
      <c r="CPA25" s="19"/>
      <c r="CPB25" s="19"/>
      <c r="CPC25" s="19"/>
      <c r="CPD25" s="19"/>
      <c r="CPE25" s="19"/>
      <c r="CPF25" s="19"/>
      <c r="CPG25" s="19"/>
      <c r="CPH25" s="19"/>
      <c r="CPI25" s="19"/>
      <c r="CPJ25" s="19"/>
      <c r="CPK25" s="19"/>
      <c r="CPL25" s="19"/>
      <c r="CPM25" s="19"/>
      <c r="CPN25" s="19"/>
      <c r="CPO25" s="19"/>
      <c r="CPP25" s="19"/>
      <c r="CPQ25" s="19"/>
      <c r="CPR25" s="19"/>
      <c r="CPS25" s="19"/>
      <c r="CPT25" s="19"/>
      <c r="CPU25" s="19"/>
      <c r="CPV25" s="19"/>
      <c r="CPW25" s="19"/>
      <c r="CPX25" s="19"/>
      <c r="CPY25" s="19"/>
      <c r="CPZ25" s="19"/>
      <c r="CQA25" s="19"/>
      <c r="CQB25" s="19"/>
      <c r="CQC25" s="19"/>
      <c r="CQD25" s="19"/>
      <c r="CQE25" s="19"/>
      <c r="CQF25" s="19"/>
      <c r="CQG25" s="19"/>
      <c r="CQH25" s="19"/>
      <c r="CQI25" s="19"/>
      <c r="CQJ25" s="19"/>
      <c r="CQK25" s="19"/>
      <c r="CQL25" s="19"/>
      <c r="CQM25" s="19"/>
      <c r="CQN25" s="19"/>
      <c r="CQO25" s="19"/>
      <c r="CQP25" s="19"/>
      <c r="CQQ25" s="19"/>
      <c r="CQR25" s="19"/>
      <c r="CQS25" s="19"/>
      <c r="CQT25" s="19"/>
      <c r="CQU25" s="19"/>
      <c r="CQV25" s="19"/>
      <c r="CQW25" s="19"/>
      <c r="CQX25" s="19"/>
      <c r="CQY25" s="19"/>
      <c r="CQZ25" s="19"/>
      <c r="CRA25" s="19"/>
      <c r="CRB25" s="19"/>
      <c r="CRC25" s="19"/>
      <c r="CRD25" s="19"/>
      <c r="CRE25" s="19"/>
      <c r="CRF25" s="19"/>
      <c r="CRG25" s="19"/>
      <c r="CRH25" s="19"/>
      <c r="CRI25" s="19"/>
      <c r="CRJ25" s="19"/>
      <c r="CRK25" s="19"/>
      <c r="CRL25" s="19"/>
      <c r="CRM25" s="19"/>
      <c r="CRN25" s="19"/>
      <c r="CRO25" s="19"/>
      <c r="CRP25" s="19"/>
      <c r="CRQ25" s="19"/>
      <c r="CRR25" s="19"/>
      <c r="CRS25" s="19"/>
      <c r="CRT25" s="19"/>
      <c r="CRU25" s="19"/>
      <c r="CRV25" s="19"/>
      <c r="CRW25" s="19"/>
      <c r="CRX25" s="19"/>
      <c r="CRY25" s="19"/>
      <c r="CRZ25" s="19"/>
      <c r="CSA25" s="19"/>
      <c r="CSB25" s="19"/>
      <c r="CSC25" s="19"/>
      <c r="CSD25" s="19"/>
      <c r="CSE25" s="19"/>
      <c r="CSF25" s="19"/>
      <c r="CSG25" s="19"/>
      <c r="CSH25" s="19"/>
      <c r="CSI25" s="19"/>
      <c r="CSJ25" s="19"/>
      <c r="CSK25" s="19"/>
      <c r="CSL25" s="19"/>
      <c r="CSM25" s="19"/>
      <c r="CSN25" s="19"/>
      <c r="CSO25" s="19"/>
      <c r="CSP25" s="19"/>
      <c r="CSQ25" s="19"/>
      <c r="CSR25" s="19"/>
      <c r="CSS25" s="19"/>
      <c r="CST25" s="19"/>
      <c r="CSU25" s="19"/>
      <c r="CSV25" s="19"/>
      <c r="CSW25" s="19"/>
      <c r="CSX25" s="19"/>
      <c r="CSY25" s="19"/>
      <c r="CSZ25" s="19"/>
      <c r="CTA25" s="19"/>
      <c r="CTB25" s="19"/>
      <c r="CTC25" s="19"/>
      <c r="CTD25" s="19"/>
      <c r="CTE25" s="19"/>
      <c r="CTF25" s="19"/>
      <c r="CTG25" s="19"/>
      <c r="CTH25" s="19"/>
      <c r="CTI25" s="19"/>
      <c r="CTJ25" s="19"/>
      <c r="CTK25" s="19"/>
      <c r="CTL25" s="19"/>
      <c r="CTM25" s="19"/>
      <c r="CTN25" s="19"/>
      <c r="CTO25" s="19"/>
      <c r="CTP25" s="19"/>
      <c r="CTQ25" s="19"/>
      <c r="CTR25" s="19"/>
      <c r="CTS25" s="19"/>
      <c r="CTT25" s="19"/>
      <c r="CTU25" s="19"/>
      <c r="CTV25" s="19"/>
      <c r="CTW25" s="19"/>
      <c r="CTX25" s="19"/>
      <c r="CTY25" s="19"/>
      <c r="CTZ25" s="19"/>
      <c r="CUA25" s="19"/>
      <c r="CUB25" s="19"/>
      <c r="CUC25" s="19"/>
      <c r="CUD25" s="19"/>
      <c r="CUE25" s="19"/>
      <c r="CUF25" s="19"/>
      <c r="CUG25" s="19"/>
      <c r="CUH25" s="19"/>
      <c r="CUI25" s="19"/>
      <c r="CUJ25" s="19"/>
      <c r="CUK25" s="19"/>
      <c r="CUL25" s="19"/>
      <c r="CUM25" s="19"/>
      <c r="CUN25" s="19"/>
      <c r="CUO25" s="19"/>
      <c r="CUP25" s="19"/>
      <c r="CUQ25" s="19"/>
      <c r="CUR25" s="19"/>
      <c r="CUS25" s="19"/>
      <c r="CUT25" s="19"/>
      <c r="CUU25" s="19"/>
      <c r="CUV25" s="19"/>
      <c r="CUW25" s="19"/>
      <c r="CUX25" s="19"/>
      <c r="CUY25" s="19"/>
      <c r="CUZ25" s="19"/>
      <c r="CVA25" s="19"/>
      <c r="CVB25" s="19"/>
      <c r="CVC25" s="19"/>
      <c r="CVD25" s="19"/>
      <c r="CVE25" s="19"/>
      <c r="CVF25" s="19"/>
      <c r="CVG25" s="19"/>
      <c r="CVH25" s="19"/>
      <c r="CVI25" s="19"/>
      <c r="CVJ25" s="19"/>
      <c r="CVK25" s="19"/>
      <c r="CVL25" s="19"/>
      <c r="CVM25" s="19"/>
      <c r="CVN25" s="19"/>
      <c r="CVO25" s="19"/>
      <c r="CVP25" s="19"/>
      <c r="CVQ25" s="19"/>
      <c r="CVR25" s="19"/>
      <c r="CVS25" s="19"/>
      <c r="CVT25" s="19"/>
      <c r="CVU25" s="19"/>
      <c r="CVV25" s="19"/>
      <c r="CVW25" s="19"/>
      <c r="CVX25" s="19"/>
      <c r="CVY25" s="19"/>
      <c r="CVZ25" s="19"/>
      <c r="CWA25" s="19"/>
      <c r="CWB25" s="19"/>
      <c r="CWC25" s="19"/>
      <c r="CWD25" s="19"/>
      <c r="CWE25" s="19"/>
      <c r="CWF25" s="19"/>
      <c r="CWG25" s="19"/>
      <c r="CWH25" s="19"/>
      <c r="CWI25" s="19"/>
      <c r="CWJ25" s="19"/>
      <c r="CWK25" s="19"/>
      <c r="CWL25" s="19"/>
      <c r="CWM25" s="19"/>
      <c r="CWN25" s="19"/>
      <c r="CWO25" s="19"/>
      <c r="CWP25" s="19"/>
      <c r="CWQ25" s="19"/>
      <c r="CWR25" s="19"/>
      <c r="CWS25" s="19"/>
      <c r="CWT25" s="19"/>
      <c r="CWU25" s="19"/>
      <c r="CWV25" s="19"/>
      <c r="CWW25" s="19"/>
      <c r="CWX25" s="19"/>
      <c r="CWY25" s="19"/>
      <c r="CWZ25" s="19"/>
      <c r="CXA25" s="19"/>
      <c r="CXB25" s="19"/>
      <c r="CXC25" s="19"/>
      <c r="CXD25" s="19"/>
      <c r="CXE25" s="19"/>
      <c r="CXF25" s="19"/>
      <c r="CXG25" s="19"/>
      <c r="CXH25" s="19"/>
      <c r="CXI25" s="19"/>
      <c r="CXJ25" s="19"/>
      <c r="CXK25" s="19"/>
      <c r="CXL25" s="19"/>
      <c r="CXM25" s="19"/>
      <c r="CXN25" s="19"/>
      <c r="CXO25" s="19"/>
      <c r="CXP25" s="19"/>
      <c r="CXQ25" s="19"/>
      <c r="CXR25" s="19"/>
      <c r="CXS25" s="19"/>
      <c r="CXT25" s="19"/>
      <c r="CXU25" s="19"/>
      <c r="CXV25" s="19"/>
      <c r="CXW25" s="19"/>
      <c r="CXX25" s="19"/>
      <c r="CXY25" s="19"/>
      <c r="CXZ25" s="19"/>
      <c r="CYA25" s="19"/>
      <c r="CYB25" s="19"/>
      <c r="CYC25" s="19"/>
      <c r="CYD25" s="19"/>
      <c r="CYE25" s="19"/>
      <c r="CYF25" s="19"/>
      <c r="CYG25" s="19"/>
      <c r="CYH25" s="19"/>
      <c r="CYI25" s="19"/>
      <c r="CYJ25" s="19"/>
      <c r="CYK25" s="19"/>
      <c r="CYL25" s="19"/>
      <c r="CYM25" s="19"/>
      <c r="CYN25" s="19"/>
      <c r="CYO25" s="19"/>
      <c r="CYP25" s="19"/>
      <c r="CYQ25" s="19"/>
      <c r="CYR25" s="19"/>
      <c r="CYS25" s="19"/>
      <c r="CYT25" s="19"/>
      <c r="CYU25" s="19"/>
      <c r="CYV25" s="19"/>
      <c r="CYW25" s="19"/>
      <c r="CYX25" s="19"/>
      <c r="CYY25" s="19"/>
      <c r="CYZ25" s="19"/>
      <c r="CZA25" s="19"/>
      <c r="CZB25" s="19"/>
      <c r="CZC25" s="19"/>
      <c r="CZD25" s="19"/>
      <c r="CZE25" s="19"/>
      <c r="CZF25" s="19"/>
      <c r="CZG25" s="19"/>
      <c r="CZH25" s="19"/>
      <c r="CZI25" s="19"/>
      <c r="CZJ25" s="19"/>
      <c r="CZK25" s="19"/>
      <c r="CZL25" s="19"/>
      <c r="CZM25" s="19"/>
      <c r="CZN25" s="19"/>
      <c r="CZO25" s="19"/>
      <c r="CZP25" s="19"/>
      <c r="CZQ25" s="19"/>
      <c r="CZR25" s="19"/>
      <c r="CZS25" s="19"/>
      <c r="CZT25" s="19"/>
      <c r="CZU25" s="19"/>
      <c r="CZV25" s="19"/>
      <c r="CZW25" s="19"/>
      <c r="CZX25" s="19"/>
      <c r="CZY25" s="19"/>
      <c r="CZZ25" s="19"/>
      <c r="DAA25" s="19"/>
      <c r="DAB25" s="19"/>
      <c r="DAC25" s="19"/>
      <c r="DAD25" s="19"/>
      <c r="DAE25" s="19"/>
      <c r="DAF25" s="19"/>
      <c r="DAG25" s="19"/>
      <c r="DAH25" s="19"/>
      <c r="DAI25" s="19"/>
      <c r="DAJ25" s="19"/>
      <c r="DAK25" s="19"/>
      <c r="DAL25" s="19"/>
      <c r="DAM25" s="19"/>
      <c r="DAN25" s="19"/>
      <c r="DAO25" s="19"/>
      <c r="DAP25" s="19"/>
      <c r="DAQ25" s="19"/>
      <c r="DAR25" s="19"/>
      <c r="DAS25" s="19"/>
      <c r="DAT25" s="19"/>
      <c r="DAU25" s="19"/>
      <c r="DAV25" s="19"/>
      <c r="DAW25" s="19"/>
      <c r="DAX25" s="19"/>
      <c r="DAY25" s="19"/>
      <c r="DAZ25" s="19"/>
      <c r="DBA25" s="19"/>
      <c r="DBB25" s="19"/>
      <c r="DBC25" s="19"/>
      <c r="DBD25" s="19"/>
      <c r="DBE25" s="19"/>
      <c r="DBF25" s="19"/>
      <c r="DBG25" s="19"/>
      <c r="DBH25" s="19"/>
      <c r="DBI25" s="19"/>
      <c r="DBJ25" s="19"/>
      <c r="DBK25" s="19"/>
      <c r="DBL25" s="19"/>
      <c r="DBM25" s="19"/>
      <c r="DBN25" s="19"/>
      <c r="DBO25" s="19"/>
      <c r="DBP25" s="19"/>
      <c r="DBQ25" s="19"/>
      <c r="DBR25" s="19"/>
      <c r="DBS25" s="19"/>
      <c r="DBT25" s="19"/>
      <c r="DBU25" s="19"/>
      <c r="DBV25" s="19"/>
      <c r="DBW25" s="19"/>
      <c r="DBX25" s="19"/>
      <c r="DBY25" s="19"/>
      <c r="DBZ25" s="19"/>
      <c r="DCA25" s="19"/>
      <c r="DCB25" s="19"/>
      <c r="DCC25" s="19"/>
      <c r="DCD25" s="19"/>
      <c r="DCE25" s="19"/>
      <c r="DCF25" s="19"/>
      <c r="DCG25" s="19"/>
      <c r="DCH25" s="19"/>
      <c r="DCI25" s="19"/>
      <c r="DCJ25" s="19"/>
      <c r="DCK25" s="19"/>
      <c r="DCL25" s="19"/>
      <c r="DCM25" s="19"/>
      <c r="DCN25" s="19"/>
      <c r="DCO25" s="19"/>
      <c r="DCP25" s="19"/>
      <c r="DCQ25" s="19"/>
      <c r="DCR25" s="19"/>
      <c r="DCS25" s="19"/>
      <c r="DCT25" s="19"/>
      <c r="DCU25" s="19"/>
      <c r="DCV25" s="19"/>
      <c r="DCW25" s="19"/>
      <c r="DCX25" s="19"/>
      <c r="DCY25" s="19"/>
      <c r="DCZ25" s="19"/>
      <c r="DDA25" s="19"/>
      <c r="DDB25" s="19"/>
      <c r="DDC25" s="19"/>
      <c r="DDD25" s="19"/>
      <c r="DDE25" s="19"/>
      <c r="DDF25" s="19"/>
      <c r="DDG25" s="19"/>
      <c r="DDH25" s="19"/>
      <c r="DDI25" s="19"/>
      <c r="DDJ25" s="19"/>
      <c r="DDK25" s="19"/>
      <c r="DDL25" s="19"/>
      <c r="DDM25" s="19"/>
      <c r="DDN25" s="19"/>
      <c r="DDO25" s="19"/>
      <c r="DDP25" s="19"/>
      <c r="DDQ25" s="19"/>
      <c r="DDR25" s="19"/>
      <c r="DDS25" s="19"/>
      <c r="DDT25" s="19"/>
      <c r="DDU25" s="19"/>
      <c r="DDV25" s="19"/>
      <c r="DDW25" s="19"/>
      <c r="DDX25" s="19"/>
      <c r="DDY25" s="19"/>
      <c r="DDZ25" s="19"/>
      <c r="DEA25" s="19"/>
      <c r="DEB25" s="19"/>
      <c r="DEC25" s="19"/>
      <c r="DED25" s="19"/>
      <c r="DEE25" s="19"/>
      <c r="DEF25" s="19"/>
      <c r="DEG25" s="19"/>
      <c r="DEH25" s="19"/>
      <c r="DEI25" s="19"/>
      <c r="DEJ25" s="19"/>
      <c r="DEK25" s="19"/>
      <c r="DEL25" s="19"/>
      <c r="DEM25" s="19"/>
      <c r="DEN25" s="19"/>
      <c r="DEO25" s="19"/>
      <c r="DEP25" s="19"/>
      <c r="DEQ25" s="19"/>
      <c r="DER25" s="19"/>
      <c r="DES25" s="19"/>
      <c r="DET25" s="19"/>
      <c r="DEU25" s="19"/>
      <c r="DEV25" s="19"/>
      <c r="DEW25" s="19"/>
      <c r="DEX25" s="19"/>
      <c r="DEY25" s="19"/>
      <c r="DEZ25" s="19"/>
      <c r="DFA25" s="19"/>
      <c r="DFB25" s="19"/>
      <c r="DFC25" s="19"/>
      <c r="DFD25" s="19"/>
      <c r="DFE25" s="19"/>
      <c r="DFF25" s="19"/>
      <c r="DFG25" s="19"/>
      <c r="DFH25" s="19"/>
      <c r="DFI25" s="19"/>
      <c r="DFJ25" s="19"/>
      <c r="DFK25" s="19"/>
      <c r="DFL25" s="19"/>
      <c r="DFM25" s="19"/>
      <c r="DFN25" s="19"/>
      <c r="DFO25" s="19"/>
      <c r="DFP25" s="19"/>
      <c r="DFQ25" s="19"/>
      <c r="DFR25" s="19"/>
      <c r="DFS25" s="19"/>
      <c r="DFT25" s="19"/>
      <c r="DFU25" s="19"/>
      <c r="DFV25" s="19"/>
      <c r="DFW25" s="19"/>
      <c r="DFX25" s="19"/>
      <c r="DFY25" s="19"/>
      <c r="DFZ25" s="19"/>
      <c r="DGA25" s="19"/>
      <c r="DGB25" s="19"/>
      <c r="DGC25" s="19"/>
      <c r="DGD25" s="19"/>
      <c r="DGE25" s="19"/>
      <c r="DGF25" s="19"/>
      <c r="DGG25" s="19"/>
      <c r="DGH25" s="19"/>
      <c r="DGI25" s="19"/>
      <c r="DGJ25" s="19"/>
      <c r="DGK25" s="19"/>
      <c r="DGL25" s="19"/>
      <c r="DGM25" s="19"/>
      <c r="DGN25" s="19"/>
      <c r="DGO25" s="19"/>
      <c r="DGP25" s="19"/>
      <c r="DGQ25" s="19"/>
      <c r="DGR25" s="19"/>
      <c r="DGS25" s="19"/>
      <c r="DGT25" s="19"/>
      <c r="DGU25" s="19"/>
      <c r="DGV25" s="19"/>
      <c r="DGW25" s="19"/>
      <c r="DGX25" s="19"/>
      <c r="DGY25" s="19"/>
      <c r="DGZ25" s="19"/>
      <c r="DHA25" s="19"/>
      <c r="DHB25" s="19"/>
      <c r="DHC25" s="19"/>
      <c r="DHD25" s="19"/>
      <c r="DHE25" s="19"/>
      <c r="DHF25" s="19"/>
      <c r="DHG25" s="19"/>
      <c r="DHH25" s="19"/>
      <c r="DHI25" s="19"/>
      <c r="DHJ25" s="19"/>
      <c r="DHK25" s="19"/>
      <c r="DHL25" s="19"/>
      <c r="DHM25" s="19"/>
      <c r="DHN25" s="19"/>
      <c r="DHO25" s="19"/>
      <c r="DHP25" s="19"/>
      <c r="DHQ25" s="19"/>
      <c r="DHR25" s="19"/>
      <c r="DHS25" s="19"/>
      <c r="DHT25" s="19"/>
      <c r="DHU25" s="19"/>
      <c r="DHV25" s="19"/>
      <c r="DHW25" s="19"/>
      <c r="DHX25" s="19"/>
      <c r="DHY25" s="19"/>
      <c r="DHZ25" s="19"/>
      <c r="DIA25" s="19"/>
      <c r="DIB25" s="19"/>
      <c r="DIC25" s="19"/>
      <c r="DID25" s="19"/>
      <c r="DIE25" s="19"/>
      <c r="DIF25" s="19"/>
      <c r="DIG25" s="19"/>
      <c r="DIH25" s="19"/>
      <c r="DII25" s="19"/>
      <c r="DIJ25" s="19"/>
      <c r="DIK25" s="19"/>
      <c r="DIL25" s="19"/>
      <c r="DIM25" s="19"/>
      <c r="DIN25" s="19"/>
      <c r="DIO25" s="19"/>
      <c r="DIP25" s="19"/>
      <c r="DIQ25" s="19"/>
      <c r="DIR25" s="19"/>
      <c r="DIS25" s="19"/>
      <c r="DIT25" s="19"/>
      <c r="DIU25" s="19"/>
      <c r="DIV25" s="19"/>
      <c r="DIW25" s="19"/>
      <c r="DIX25" s="19"/>
      <c r="DIY25" s="19"/>
      <c r="DIZ25" s="19"/>
      <c r="DJA25" s="19"/>
      <c r="DJB25" s="19"/>
      <c r="DJC25" s="19"/>
      <c r="DJD25" s="19"/>
      <c r="DJE25" s="19"/>
      <c r="DJF25" s="19"/>
      <c r="DJG25" s="19"/>
      <c r="DJH25" s="19"/>
      <c r="DJI25" s="19"/>
      <c r="DJJ25" s="19"/>
      <c r="DJK25" s="19"/>
      <c r="DJL25" s="19"/>
      <c r="DJM25" s="19"/>
      <c r="DJN25" s="19"/>
      <c r="DJO25" s="19"/>
      <c r="DJP25" s="19"/>
      <c r="DJQ25" s="19"/>
      <c r="DJR25" s="19"/>
      <c r="DJS25" s="19"/>
      <c r="DJT25" s="19"/>
      <c r="DJU25" s="19"/>
      <c r="DJV25" s="19"/>
      <c r="DJW25" s="19"/>
      <c r="DJX25" s="19"/>
      <c r="DJY25" s="19"/>
      <c r="DJZ25" s="19"/>
      <c r="DKA25" s="19"/>
      <c r="DKB25" s="19"/>
      <c r="DKC25" s="19"/>
      <c r="DKD25" s="19"/>
      <c r="DKE25" s="19"/>
      <c r="DKF25" s="19"/>
      <c r="DKG25" s="19"/>
      <c r="DKH25" s="19"/>
      <c r="DKI25" s="19"/>
      <c r="DKJ25" s="19"/>
      <c r="DKK25" s="19"/>
      <c r="DKL25" s="19"/>
      <c r="DKM25" s="19"/>
      <c r="DKN25" s="19"/>
      <c r="DKO25" s="19"/>
      <c r="DKP25" s="19"/>
      <c r="DKQ25" s="19"/>
      <c r="DKR25" s="19"/>
      <c r="DKS25" s="19"/>
      <c r="DKT25" s="19"/>
      <c r="DKU25" s="19"/>
      <c r="DKV25" s="19"/>
      <c r="DKW25" s="19"/>
      <c r="DKX25" s="19"/>
      <c r="DKY25" s="19"/>
      <c r="DKZ25" s="19"/>
      <c r="DLA25" s="19"/>
      <c r="DLB25" s="19"/>
      <c r="DLC25" s="19"/>
      <c r="DLD25" s="19"/>
      <c r="DLE25" s="19"/>
      <c r="DLF25" s="19"/>
      <c r="DLG25" s="19"/>
      <c r="DLH25" s="19"/>
      <c r="DLI25" s="19"/>
      <c r="DLJ25" s="19"/>
      <c r="DLK25" s="19"/>
      <c r="DLL25" s="19"/>
      <c r="DLM25" s="19"/>
      <c r="DLN25" s="19"/>
      <c r="DLO25" s="19"/>
      <c r="DLP25" s="19"/>
      <c r="DLQ25" s="19"/>
      <c r="DLR25" s="19"/>
      <c r="DLS25" s="19"/>
      <c r="DLT25" s="19"/>
      <c r="DLU25" s="19"/>
      <c r="DLV25" s="19"/>
      <c r="DLW25" s="19"/>
      <c r="DLX25" s="19"/>
      <c r="DLY25" s="19"/>
      <c r="DLZ25" s="19"/>
      <c r="DMA25" s="19"/>
      <c r="DMB25" s="19"/>
      <c r="DMC25" s="19"/>
      <c r="DMD25" s="19"/>
      <c r="DME25" s="19"/>
      <c r="DMF25" s="19"/>
      <c r="DMG25" s="19"/>
      <c r="DMH25" s="19"/>
      <c r="DMI25" s="19"/>
      <c r="DMJ25" s="19"/>
      <c r="DMK25" s="19"/>
      <c r="DML25" s="19"/>
      <c r="DMM25" s="19"/>
      <c r="DMN25" s="19"/>
      <c r="DMO25" s="19"/>
      <c r="DMP25" s="19"/>
      <c r="DMQ25" s="19"/>
      <c r="DMR25" s="19"/>
      <c r="DMS25" s="19"/>
      <c r="DMT25" s="19"/>
      <c r="DMU25" s="19"/>
      <c r="DMV25" s="19"/>
      <c r="DMW25" s="19"/>
      <c r="DMX25" s="19"/>
      <c r="DMY25" s="19"/>
      <c r="DMZ25" s="19"/>
      <c r="DNA25" s="19"/>
      <c r="DNB25" s="19"/>
      <c r="DNC25" s="19"/>
      <c r="DND25" s="19"/>
      <c r="DNE25" s="19"/>
      <c r="DNF25" s="19"/>
      <c r="DNG25" s="19"/>
      <c r="DNH25" s="19"/>
      <c r="DNI25" s="19"/>
      <c r="DNJ25" s="19"/>
      <c r="DNK25" s="19"/>
      <c r="DNL25" s="19"/>
      <c r="DNM25" s="19"/>
      <c r="DNN25" s="19"/>
      <c r="DNO25" s="19"/>
      <c r="DNP25" s="19"/>
      <c r="DNQ25" s="19"/>
      <c r="DNR25" s="19"/>
      <c r="DNS25" s="19"/>
      <c r="DNT25" s="19"/>
      <c r="DNU25" s="19"/>
      <c r="DNV25" s="19"/>
      <c r="DNW25" s="19"/>
      <c r="DNX25" s="19"/>
      <c r="DNY25" s="19"/>
      <c r="DNZ25" s="19"/>
      <c r="DOA25" s="19"/>
      <c r="DOB25" s="19"/>
      <c r="DOC25" s="19"/>
      <c r="DOD25" s="19"/>
      <c r="DOE25" s="19"/>
      <c r="DOF25" s="19"/>
      <c r="DOG25" s="19"/>
      <c r="DOH25" s="19"/>
      <c r="DOI25" s="19"/>
      <c r="DOJ25" s="19"/>
      <c r="DOK25" s="19"/>
      <c r="DOL25" s="19"/>
      <c r="DOM25" s="19"/>
      <c r="DON25" s="19"/>
      <c r="DOO25" s="19"/>
      <c r="DOP25" s="19"/>
      <c r="DOQ25" s="19"/>
      <c r="DOR25" s="19"/>
      <c r="DOS25" s="19"/>
      <c r="DOT25" s="19"/>
      <c r="DOU25" s="19"/>
      <c r="DOV25" s="19"/>
      <c r="DOW25" s="19"/>
      <c r="DOX25" s="19"/>
      <c r="DOY25" s="19"/>
      <c r="DOZ25" s="19"/>
      <c r="DPA25" s="19"/>
      <c r="DPB25" s="19"/>
      <c r="DPC25" s="19"/>
      <c r="DPD25" s="19"/>
      <c r="DPE25" s="19"/>
      <c r="DPF25" s="19"/>
      <c r="DPG25" s="19"/>
      <c r="DPH25" s="19"/>
      <c r="DPI25" s="19"/>
      <c r="DPJ25" s="19"/>
      <c r="DPK25" s="19"/>
      <c r="DPL25" s="19"/>
      <c r="DPM25" s="19"/>
      <c r="DPN25" s="19"/>
      <c r="DPO25" s="19"/>
      <c r="DPP25" s="19"/>
      <c r="DPQ25" s="19"/>
      <c r="DPR25" s="19"/>
      <c r="DPS25" s="19"/>
      <c r="DPT25" s="19"/>
      <c r="DPU25" s="19"/>
      <c r="DPV25" s="19"/>
      <c r="DPW25" s="19"/>
      <c r="DPX25" s="19"/>
      <c r="DPY25" s="19"/>
      <c r="DPZ25" s="19"/>
      <c r="DQA25" s="19"/>
      <c r="DQB25" s="19"/>
      <c r="DQC25" s="19"/>
      <c r="DQD25" s="19"/>
      <c r="DQE25" s="19"/>
      <c r="DQF25" s="19"/>
      <c r="DQG25" s="19"/>
      <c r="DQH25" s="19"/>
      <c r="DQI25" s="19"/>
      <c r="DQJ25" s="19"/>
      <c r="DQK25" s="19"/>
      <c r="DQL25" s="19"/>
      <c r="DQM25" s="19"/>
      <c r="DQN25" s="19"/>
      <c r="DQO25" s="19"/>
      <c r="DQP25" s="19"/>
      <c r="DQQ25" s="19"/>
      <c r="DQR25" s="19"/>
      <c r="DQS25" s="19"/>
      <c r="DQT25" s="19"/>
      <c r="DQU25" s="19"/>
      <c r="DQV25" s="19"/>
      <c r="DQW25" s="19"/>
      <c r="DQX25" s="19"/>
      <c r="DQY25" s="19"/>
      <c r="DQZ25" s="19"/>
      <c r="DRA25" s="19"/>
      <c r="DRB25" s="19"/>
      <c r="DRC25" s="19"/>
      <c r="DRD25" s="19"/>
      <c r="DRE25" s="19"/>
      <c r="DRF25" s="19"/>
      <c r="DRG25" s="19"/>
      <c r="DRH25" s="19"/>
      <c r="DRI25" s="19"/>
      <c r="DRJ25" s="19"/>
      <c r="DRK25" s="19"/>
      <c r="DRL25" s="19"/>
      <c r="DRM25" s="19"/>
      <c r="DRN25" s="19"/>
      <c r="DRO25" s="19"/>
      <c r="DRP25" s="19"/>
      <c r="DRQ25" s="19"/>
      <c r="DRR25" s="19"/>
      <c r="DRS25" s="19"/>
      <c r="DRT25" s="19"/>
      <c r="DRU25" s="19"/>
      <c r="DRV25" s="19"/>
      <c r="DRW25" s="19"/>
      <c r="DRX25" s="19"/>
      <c r="DRY25" s="19"/>
      <c r="DRZ25" s="19"/>
      <c r="DSA25" s="19"/>
      <c r="DSB25" s="19"/>
      <c r="DSC25" s="19"/>
      <c r="DSD25" s="19"/>
      <c r="DSE25" s="19"/>
      <c r="DSF25" s="19"/>
      <c r="DSG25" s="19"/>
      <c r="DSH25" s="19"/>
      <c r="DSI25" s="19"/>
      <c r="DSJ25" s="19"/>
      <c r="DSK25" s="19"/>
      <c r="DSL25" s="19"/>
      <c r="DSM25" s="19"/>
      <c r="DSN25" s="19"/>
      <c r="DSO25" s="19"/>
      <c r="DSP25" s="19"/>
      <c r="DSQ25" s="19"/>
      <c r="DSR25" s="19"/>
      <c r="DSS25" s="19"/>
      <c r="DST25" s="19"/>
      <c r="DSU25" s="19"/>
      <c r="DSV25" s="19"/>
      <c r="DSW25" s="19"/>
      <c r="DSX25" s="19"/>
      <c r="DSY25" s="19"/>
      <c r="DSZ25" s="19"/>
      <c r="DTA25" s="19"/>
      <c r="DTB25" s="19"/>
      <c r="DTC25" s="19"/>
      <c r="DTD25" s="19"/>
      <c r="DTE25" s="19"/>
      <c r="DTF25" s="19"/>
      <c r="DTG25" s="19"/>
      <c r="DTH25" s="19"/>
      <c r="DTI25" s="19"/>
      <c r="DTJ25" s="19"/>
      <c r="DTK25" s="19"/>
      <c r="DTL25" s="19"/>
      <c r="DTM25" s="19"/>
      <c r="DTN25" s="19"/>
      <c r="DTO25" s="19"/>
      <c r="DTP25" s="19"/>
      <c r="DTQ25" s="19"/>
      <c r="DTR25" s="19"/>
      <c r="DTS25" s="19"/>
      <c r="DTT25" s="19"/>
      <c r="DTU25" s="19"/>
      <c r="DTV25" s="19"/>
      <c r="DTW25" s="19"/>
      <c r="DTX25" s="19"/>
      <c r="DTY25" s="19"/>
      <c r="DTZ25" s="19"/>
      <c r="DUA25" s="19"/>
      <c r="DUB25" s="19"/>
      <c r="DUC25" s="19"/>
      <c r="DUD25" s="19"/>
      <c r="DUE25" s="19"/>
      <c r="DUF25" s="19"/>
      <c r="DUG25" s="19"/>
      <c r="DUH25" s="19"/>
      <c r="DUI25" s="19"/>
      <c r="DUJ25" s="19"/>
      <c r="DUK25" s="19"/>
      <c r="DUL25" s="19"/>
      <c r="DUM25" s="19"/>
      <c r="DUN25" s="19"/>
      <c r="DUO25" s="19"/>
      <c r="DUP25" s="19"/>
      <c r="DUQ25" s="19"/>
      <c r="DUR25" s="19"/>
      <c r="DUS25" s="19"/>
      <c r="DUT25" s="19"/>
      <c r="DUU25" s="19"/>
      <c r="DUV25" s="19"/>
      <c r="DUW25" s="19"/>
      <c r="DUX25" s="19"/>
      <c r="DUY25" s="19"/>
      <c r="DUZ25" s="19"/>
      <c r="DVA25" s="19"/>
      <c r="DVB25" s="19"/>
      <c r="DVC25" s="19"/>
      <c r="DVD25" s="19"/>
      <c r="DVE25" s="19"/>
      <c r="DVF25" s="19"/>
      <c r="DVG25" s="19"/>
      <c r="DVH25" s="19"/>
      <c r="DVI25" s="19"/>
      <c r="DVJ25" s="19"/>
      <c r="DVK25" s="19"/>
      <c r="DVL25" s="19"/>
      <c r="DVM25" s="19"/>
      <c r="DVN25" s="19"/>
      <c r="DVO25" s="19"/>
      <c r="DVP25" s="19"/>
      <c r="DVQ25" s="19"/>
      <c r="DVR25" s="19"/>
      <c r="DVS25" s="19"/>
      <c r="DVT25" s="19"/>
      <c r="DVU25" s="19"/>
      <c r="DVV25" s="19"/>
      <c r="DVW25" s="19"/>
      <c r="DVX25" s="19"/>
      <c r="DVY25" s="19"/>
      <c r="DVZ25" s="19"/>
      <c r="DWA25" s="19"/>
      <c r="DWB25" s="19"/>
      <c r="DWC25" s="19"/>
      <c r="DWD25" s="19"/>
      <c r="DWE25" s="19"/>
      <c r="DWF25" s="19"/>
      <c r="DWG25" s="19"/>
      <c r="DWH25" s="19"/>
      <c r="DWI25" s="19"/>
      <c r="DWJ25" s="19"/>
      <c r="DWK25" s="19"/>
      <c r="DWL25" s="19"/>
      <c r="DWM25" s="19"/>
      <c r="DWN25" s="19"/>
      <c r="DWO25" s="19"/>
      <c r="DWP25" s="19"/>
      <c r="DWQ25" s="19"/>
      <c r="DWR25" s="19"/>
      <c r="DWS25" s="19"/>
      <c r="DWT25" s="19"/>
      <c r="DWU25" s="19"/>
      <c r="DWV25" s="19"/>
      <c r="DWW25" s="19"/>
      <c r="DWX25" s="19"/>
      <c r="DWY25" s="19"/>
      <c r="DWZ25" s="19"/>
      <c r="DXA25" s="19"/>
      <c r="DXB25" s="19"/>
      <c r="DXC25" s="19"/>
      <c r="DXD25" s="19"/>
      <c r="DXE25" s="19"/>
      <c r="DXF25" s="19"/>
      <c r="DXG25" s="19"/>
      <c r="DXH25" s="19"/>
      <c r="DXI25" s="19"/>
      <c r="DXJ25" s="19"/>
      <c r="DXK25" s="19"/>
      <c r="DXL25" s="19"/>
      <c r="DXM25" s="19"/>
      <c r="DXN25" s="19"/>
      <c r="DXO25" s="19"/>
      <c r="DXP25" s="19"/>
      <c r="DXQ25" s="19"/>
      <c r="DXR25" s="19"/>
      <c r="DXS25" s="19"/>
      <c r="DXT25" s="19"/>
      <c r="DXU25" s="19"/>
      <c r="DXV25" s="19"/>
      <c r="DXW25" s="19"/>
      <c r="DXX25" s="19"/>
      <c r="DXY25" s="19"/>
      <c r="DXZ25" s="19"/>
      <c r="DYA25" s="19"/>
      <c r="DYB25" s="19"/>
      <c r="DYC25" s="19"/>
      <c r="DYD25" s="19"/>
      <c r="DYE25" s="19"/>
      <c r="DYF25" s="19"/>
      <c r="DYG25" s="19"/>
      <c r="DYH25" s="19"/>
      <c r="DYI25" s="19"/>
      <c r="DYJ25" s="19"/>
      <c r="DYK25" s="19"/>
      <c r="DYL25" s="19"/>
      <c r="DYM25" s="19"/>
      <c r="DYN25" s="19"/>
      <c r="DYO25" s="19"/>
      <c r="DYP25" s="19"/>
      <c r="DYQ25" s="19"/>
      <c r="DYR25" s="19"/>
      <c r="DYS25" s="19"/>
      <c r="DYT25" s="19"/>
      <c r="DYU25" s="19"/>
      <c r="DYV25" s="19"/>
      <c r="DYW25" s="19"/>
      <c r="DYX25" s="19"/>
      <c r="DYY25" s="19"/>
      <c r="DYZ25" s="19"/>
      <c r="DZA25" s="19"/>
      <c r="DZB25" s="19"/>
      <c r="DZC25" s="19"/>
      <c r="DZD25" s="19"/>
      <c r="DZE25" s="19"/>
      <c r="DZF25" s="19"/>
      <c r="DZG25" s="19"/>
      <c r="DZH25" s="19"/>
      <c r="DZI25" s="19"/>
      <c r="DZJ25" s="19"/>
      <c r="DZK25" s="19"/>
      <c r="DZL25" s="19"/>
      <c r="DZM25" s="19"/>
      <c r="DZN25" s="19"/>
      <c r="DZO25" s="19"/>
      <c r="DZP25" s="19"/>
      <c r="DZQ25" s="19"/>
      <c r="DZR25" s="19"/>
      <c r="DZS25" s="19"/>
      <c r="DZT25" s="19"/>
      <c r="DZU25" s="19"/>
      <c r="DZV25" s="19"/>
      <c r="DZW25" s="19"/>
      <c r="DZX25" s="19"/>
      <c r="DZY25" s="19"/>
      <c r="DZZ25" s="19"/>
      <c r="EAA25" s="19"/>
      <c r="EAB25" s="19"/>
      <c r="EAC25" s="19"/>
      <c r="EAD25" s="19"/>
      <c r="EAE25" s="19"/>
      <c r="EAF25" s="19"/>
      <c r="EAG25" s="19"/>
      <c r="EAH25" s="19"/>
      <c r="EAI25" s="19"/>
      <c r="EAJ25" s="19"/>
      <c r="EAK25" s="19"/>
      <c r="EAL25" s="19"/>
      <c r="EAM25" s="19"/>
      <c r="EAN25" s="19"/>
      <c r="EAO25" s="19"/>
      <c r="EAP25" s="19"/>
      <c r="EAQ25" s="19"/>
      <c r="EAR25" s="19"/>
      <c r="EAS25" s="19"/>
      <c r="EAT25" s="19"/>
      <c r="EAU25" s="19"/>
      <c r="EAV25" s="19"/>
      <c r="EAW25" s="19"/>
      <c r="EAX25" s="19"/>
      <c r="EAY25" s="19"/>
      <c r="EAZ25" s="19"/>
      <c r="EBA25" s="19"/>
      <c r="EBB25" s="19"/>
      <c r="EBC25" s="19"/>
      <c r="EBD25" s="19"/>
      <c r="EBE25" s="19"/>
      <c r="EBF25" s="19"/>
      <c r="EBG25" s="19"/>
      <c r="EBH25" s="19"/>
      <c r="EBI25" s="19"/>
      <c r="EBJ25" s="19"/>
      <c r="EBK25" s="19"/>
      <c r="EBL25" s="19"/>
      <c r="EBM25" s="19"/>
      <c r="EBN25" s="19"/>
      <c r="EBO25" s="19"/>
      <c r="EBP25" s="19"/>
      <c r="EBQ25" s="19"/>
      <c r="EBR25" s="19"/>
      <c r="EBS25" s="19"/>
      <c r="EBT25" s="19"/>
      <c r="EBU25" s="19"/>
      <c r="EBV25" s="19"/>
      <c r="EBW25" s="19"/>
      <c r="EBX25" s="19"/>
      <c r="EBY25" s="19"/>
      <c r="EBZ25" s="19"/>
      <c r="ECA25" s="19"/>
      <c r="ECB25" s="19"/>
      <c r="ECC25" s="19"/>
      <c r="ECD25" s="19"/>
      <c r="ECE25" s="19"/>
      <c r="ECF25" s="19"/>
      <c r="ECG25" s="19"/>
      <c r="ECH25" s="19"/>
      <c r="ECI25" s="19"/>
      <c r="ECJ25" s="19"/>
      <c r="ECK25" s="19"/>
      <c r="ECL25" s="19"/>
      <c r="ECM25" s="19"/>
      <c r="ECN25" s="19"/>
      <c r="ECO25" s="19"/>
      <c r="ECP25" s="19"/>
      <c r="ECQ25" s="19"/>
      <c r="ECR25" s="19"/>
      <c r="ECS25" s="19"/>
      <c r="ECT25" s="19"/>
      <c r="ECU25" s="19"/>
      <c r="ECV25" s="19"/>
      <c r="ECW25" s="19"/>
      <c r="ECX25" s="19"/>
      <c r="ECY25" s="19"/>
      <c r="ECZ25" s="19"/>
      <c r="EDA25" s="19"/>
      <c r="EDB25" s="19"/>
      <c r="EDC25" s="19"/>
      <c r="EDD25" s="19"/>
      <c r="EDE25" s="19"/>
      <c r="EDF25" s="19"/>
      <c r="EDG25" s="19"/>
      <c r="EDH25" s="19"/>
      <c r="EDI25" s="19"/>
      <c r="EDJ25" s="19"/>
      <c r="EDK25" s="19"/>
      <c r="EDL25" s="19"/>
      <c r="EDM25" s="19"/>
      <c r="EDN25" s="19"/>
      <c r="EDO25" s="19"/>
      <c r="EDP25" s="19"/>
      <c r="EDQ25" s="19"/>
      <c r="EDR25" s="19"/>
      <c r="EDS25" s="19"/>
      <c r="EDT25" s="19"/>
      <c r="EDU25" s="19"/>
      <c r="EDV25" s="19"/>
      <c r="EDW25" s="19"/>
      <c r="EDX25" s="19"/>
      <c r="EDY25" s="19"/>
      <c r="EDZ25" s="19"/>
      <c r="EEA25" s="19"/>
      <c r="EEB25" s="19"/>
      <c r="EEC25" s="19"/>
      <c r="EED25" s="19"/>
      <c r="EEE25" s="19"/>
      <c r="EEF25" s="19"/>
      <c r="EEG25" s="19"/>
      <c r="EEH25" s="19"/>
      <c r="EEI25" s="19"/>
      <c r="EEJ25" s="19"/>
      <c r="EEK25" s="19"/>
      <c r="EEL25" s="19"/>
      <c r="EEM25" s="19"/>
      <c r="EEN25" s="19"/>
      <c r="EEO25" s="19"/>
      <c r="EEP25" s="19"/>
      <c r="EEQ25" s="19"/>
      <c r="EER25" s="19"/>
      <c r="EES25" s="19"/>
      <c r="EET25" s="19"/>
      <c r="EEU25" s="19"/>
      <c r="EEV25" s="19"/>
      <c r="EEW25" s="19"/>
      <c r="EEX25" s="19"/>
      <c r="EEY25" s="19"/>
      <c r="EEZ25" s="19"/>
      <c r="EFA25" s="19"/>
      <c r="EFB25" s="19"/>
      <c r="EFC25" s="19"/>
      <c r="EFD25" s="19"/>
      <c r="EFE25" s="19"/>
      <c r="EFF25" s="19"/>
      <c r="EFG25" s="19"/>
      <c r="EFH25" s="19"/>
      <c r="EFI25" s="19"/>
      <c r="EFJ25" s="19"/>
      <c r="EFK25" s="19"/>
      <c r="EFL25" s="19"/>
      <c r="EFM25" s="19"/>
      <c r="EFN25" s="19"/>
      <c r="EFO25" s="19"/>
      <c r="EFP25" s="19"/>
      <c r="EFQ25" s="19"/>
      <c r="EFR25" s="19"/>
      <c r="EFS25" s="19"/>
      <c r="EFT25" s="19"/>
      <c r="EFU25" s="19"/>
      <c r="EFV25" s="19"/>
      <c r="EFW25" s="19"/>
      <c r="EFX25" s="19"/>
      <c r="EFY25" s="19"/>
      <c r="EFZ25" s="19"/>
      <c r="EGA25" s="19"/>
      <c r="EGB25" s="19"/>
      <c r="EGC25" s="19"/>
      <c r="EGD25" s="19"/>
      <c r="EGE25" s="19"/>
      <c r="EGF25" s="19"/>
      <c r="EGG25" s="19"/>
      <c r="EGH25" s="19"/>
      <c r="EGI25" s="19"/>
      <c r="EGJ25" s="19"/>
      <c r="EGK25" s="19"/>
      <c r="EGL25" s="19"/>
      <c r="EGM25" s="19"/>
      <c r="EGN25" s="19"/>
      <c r="EGO25" s="19"/>
      <c r="EGP25" s="19"/>
      <c r="EGQ25" s="19"/>
      <c r="EGR25" s="19"/>
      <c r="EGS25" s="19"/>
      <c r="EGT25" s="19"/>
      <c r="EGU25" s="19"/>
      <c r="EGV25" s="19"/>
      <c r="EGW25" s="19"/>
      <c r="EGX25" s="19"/>
      <c r="EGY25" s="19"/>
      <c r="EGZ25" s="19"/>
      <c r="EHA25" s="19"/>
      <c r="EHB25" s="19"/>
      <c r="EHC25" s="19"/>
      <c r="EHD25" s="19"/>
      <c r="EHE25" s="19"/>
      <c r="EHF25" s="19"/>
      <c r="EHG25" s="19"/>
      <c r="EHH25" s="19"/>
      <c r="EHI25" s="19"/>
      <c r="EHJ25" s="19"/>
      <c r="EHK25" s="19"/>
      <c r="EHL25" s="19"/>
      <c r="EHM25" s="19"/>
      <c r="EHN25" s="19"/>
      <c r="EHO25" s="19"/>
      <c r="EHP25" s="19"/>
      <c r="EHQ25" s="19"/>
      <c r="EHR25" s="19"/>
      <c r="EHS25" s="19"/>
      <c r="EHT25" s="19"/>
      <c r="EHU25" s="19"/>
      <c r="EHV25" s="19"/>
      <c r="EHW25" s="19"/>
      <c r="EHX25" s="19"/>
      <c r="EHY25" s="19"/>
      <c r="EHZ25" s="19"/>
      <c r="EIA25" s="19"/>
      <c r="EIB25" s="19"/>
      <c r="EIC25" s="19"/>
      <c r="EID25" s="19"/>
      <c r="EIE25" s="19"/>
      <c r="EIF25" s="19"/>
      <c r="EIG25" s="19"/>
      <c r="EIH25" s="19"/>
      <c r="EII25" s="19"/>
      <c r="EIJ25" s="19"/>
      <c r="EIK25" s="19"/>
      <c r="EIL25" s="19"/>
      <c r="EIM25" s="19"/>
      <c r="EIN25" s="19"/>
      <c r="EIO25" s="19"/>
      <c r="EIP25" s="19"/>
      <c r="EIQ25" s="19"/>
      <c r="EIR25" s="19"/>
      <c r="EIS25" s="19"/>
      <c r="EIT25" s="19"/>
      <c r="EIU25" s="19"/>
      <c r="EIV25" s="19"/>
      <c r="EIW25" s="19"/>
      <c r="EIX25" s="19"/>
      <c r="EIY25" s="19"/>
      <c r="EIZ25" s="19"/>
      <c r="EJA25" s="19"/>
      <c r="EJB25" s="19"/>
      <c r="EJC25" s="19"/>
      <c r="EJD25" s="19"/>
      <c r="EJE25" s="19"/>
      <c r="EJF25" s="19"/>
      <c r="EJG25" s="19"/>
      <c r="EJH25" s="19"/>
      <c r="EJI25" s="19"/>
      <c r="EJJ25" s="19"/>
      <c r="EJK25" s="19"/>
      <c r="EJL25" s="19"/>
      <c r="EJM25" s="19"/>
      <c r="EJN25" s="19"/>
      <c r="EJO25" s="19"/>
      <c r="EJP25" s="19"/>
      <c r="EJQ25" s="19"/>
      <c r="EJR25" s="19"/>
      <c r="EJS25" s="19"/>
      <c r="EJT25" s="19"/>
      <c r="EJU25" s="19"/>
      <c r="EJV25" s="19"/>
      <c r="EJW25" s="19"/>
      <c r="EJX25" s="19"/>
      <c r="EJY25" s="19"/>
      <c r="EJZ25" s="19"/>
      <c r="EKA25" s="19"/>
      <c r="EKB25" s="19"/>
      <c r="EKC25" s="19"/>
      <c r="EKD25" s="19"/>
      <c r="EKE25" s="19"/>
      <c r="EKF25" s="19"/>
      <c r="EKG25" s="19"/>
      <c r="EKH25" s="19"/>
      <c r="EKI25" s="19"/>
      <c r="EKJ25" s="19"/>
      <c r="EKK25" s="19"/>
      <c r="EKL25" s="19"/>
      <c r="EKM25" s="19"/>
      <c r="EKN25" s="19"/>
      <c r="EKO25" s="19"/>
      <c r="EKP25" s="19"/>
      <c r="EKQ25" s="19"/>
      <c r="EKR25" s="19"/>
      <c r="EKS25" s="19"/>
      <c r="EKT25" s="19"/>
      <c r="EKU25" s="19"/>
      <c r="EKV25" s="19"/>
      <c r="EKW25" s="19"/>
      <c r="EKX25" s="19"/>
      <c r="EKY25" s="19"/>
      <c r="EKZ25" s="19"/>
      <c r="ELA25" s="19"/>
      <c r="ELB25" s="19"/>
      <c r="ELC25" s="19"/>
      <c r="ELD25" s="19"/>
      <c r="ELE25" s="19"/>
      <c r="ELF25" s="19"/>
      <c r="ELG25" s="19"/>
      <c r="ELH25" s="19"/>
      <c r="ELI25" s="19"/>
      <c r="ELJ25" s="19"/>
      <c r="ELK25" s="19"/>
      <c r="ELL25" s="19"/>
      <c r="ELM25" s="19"/>
      <c r="ELN25" s="19"/>
      <c r="ELO25" s="19"/>
      <c r="ELP25" s="19"/>
      <c r="ELQ25" s="19"/>
      <c r="ELR25" s="19"/>
      <c r="ELS25" s="19"/>
      <c r="ELT25" s="19"/>
      <c r="ELU25" s="19"/>
      <c r="ELV25" s="19"/>
      <c r="ELW25" s="19"/>
      <c r="ELX25" s="19"/>
      <c r="ELY25" s="19"/>
      <c r="ELZ25" s="19"/>
      <c r="EMA25" s="19"/>
      <c r="EMB25" s="19"/>
      <c r="EMC25" s="19"/>
      <c r="EMD25" s="19"/>
      <c r="EME25" s="19"/>
      <c r="EMF25" s="19"/>
      <c r="EMG25" s="19"/>
      <c r="EMH25" s="19"/>
      <c r="EMI25" s="19"/>
      <c r="EMJ25" s="19"/>
      <c r="EMK25" s="19"/>
      <c r="EML25" s="19"/>
      <c r="EMM25" s="19"/>
      <c r="EMN25" s="19"/>
      <c r="EMO25" s="19"/>
      <c r="EMP25" s="19"/>
      <c r="EMQ25" s="19"/>
      <c r="EMR25" s="19"/>
      <c r="EMS25" s="19"/>
      <c r="EMT25" s="19"/>
      <c r="EMU25" s="19"/>
      <c r="EMV25" s="19"/>
      <c r="EMW25" s="19"/>
      <c r="EMX25" s="19"/>
      <c r="EMY25" s="19"/>
      <c r="EMZ25" s="19"/>
      <c r="ENA25" s="19"/>
      <c r="ENB25" s="19"/>
      <c r="ENC25" s="19"/>
      <c r="END25" s="19"/>
      <c r="ENE25" s="19"/>
      <c r="ENF25" s="19"/>
      <c r="ENG25" s="19"/>
      <c r="ENH25" s="19"/>
      <c r="ENI25" s="19"/>
      <c r="ENJ25" s="19"/>
      <c r="ENK25" s="19"/>
      <c r="ENL25" s="19"/>
      <c r="ENM25" s="19"/>
      <c r="ENN25" s="19"/>
      <c r="ENO25" s="19"/>
      <c r="ENP25" s="19"/>
      <c r="ENQ25" s="19"/>
      <c r="ENR25" s="19"/>
      <c r="ENS25" s="19"/>
      <c r="ENT25" s="19"/>
      <c r="ENU25" s="19"/>
      <c r="ENV25" s="19"/>
      <c r="ENW25" s="19"/>
      <c r="ENX25" s="19"/>
      <c r="ENY25" s="19"/>
      <c r="ENZ25" s="19"/>
      <c r="EOA25" s="19"/>
      <c r="EOB25" s="19"/>
      <c r="EOC25" s="19"/>
      <c r="EOD25" s="19"/>
      <c r="EOE25" s="19"/>
      <c r="EOF25" s="19"/>
      <c r="EOG25" s="19"/>
      <c r="EOH25" s="19"/>
      <c r="EOI25" s="19"/>
      <c r="EOJ25" s="19"/>
      <c r="EOK25" s="19"/>
      <c r="EOL25" s="19"/>
      <c r="EOM25" s="19"/>
      <c r="EON25" s="19"/>
      <c r="EOO25" s="19"/>
      <c r="EOP25" s="19"/>
      <c r="EOQ25" s="19"/>
      <c r="EOR25" s="19"/>
      <c r="EOS25" s="19"/>
      <c r="EOT25" s="19"/>
      <c r="EOU25" s="19"/>
      <c r="EOV25" s="19"/>
      <c r="EOW25" s="19"/>
      <c r="EOX25" s="19"/>
      <c r="EOY25" s="19"/>
      <c r="EOZ25" s="19"/>
      <c r="EPA25" s="19"/>
      <c r="EPB25" s="19"/>
      <c r="EPC25" s="19"/>
      <c r="EPD25" s="19"/>
      <c r="EPE25" s="19"/>
      <c r="EPF25" s="19"/>
      <c r="EPG25" s="19"/>
      <c r="EPH25" s="19"/>
      <c r="EPI25" s="19"/>
      <c r="EPJ25" s="19"/>
      <c r="EPK25" s="19"/>
      <c r="EPL25" s="19"/>
      <c r="EPM25" s="19"/>
      <c r="EPN25" s="19"/>
      <c r="EPO25" s="19"/>
      <c r="EPP25" s="19"/>
      <c r="EPQ25" s="19"/>
      <c r="EPR25" s="19"/>
      <c r="EPS25" s="19"/>
      <c r="EPT25" s="19"/>
      <c r="EPU25" s="19"/>
      <c r="EPV25" s="19"/>
      <c r="EPW25" s="19"/>
      <c r="EPX25" s="19"/>
      <c r="EPY25" s="19"/>
      <c r="EPZ25" s="19"/>
      <c r="EQA25" s="19"/>
      <c r="EQB25" s="19"/>
      <c r="EQC25" s="19"/>
      <c r="EQD25" s="19"/>
      <c r="EQE25" s="19"/>
      <c r="EQF25" s="19"/>
      <c r="EQG25" s="19"/>
      <c r="EQH25" s="19"/>
      <c r="EQI25" s="19"/>
      <c r="EQJ25" s="19"/>
      <c r="EQK25" s="19"/>
      <c r="EQL25" s="19"/>
      <c r="EQM25" s="19"/>
      <c r="EQN25" s="19"/>
      <c r="EQO25" s="19"/>
      <c r="EQP25" s="19"/>
      <c r="EQQ25" s="19"/>
      <c r="EQR25" s="19"/>
      <c r="EQS25" s="19"/>
      <c r="EQT25" s="19"/>
      <c r="EQU25" s="19"/>
      <c r="EQV25" s="19"/>
      <c r="EQW25" s="19"/>
      <c r="EQX25" s="19"/>
      <c r="EQY25" s="19"/>
      <c r="EQZ25" s="19"/>
      <c r="ERA25" s="19"/>
      <c r="ERB25" s="19"/>
      <c r="ERC25" s="19"/>
      <c r="ERD25" s="19"/>
      <c r="ERE25" s="19"/>
      <c r="ERF25" s="19"/>
      <c r="ERG25" s="19"/>
      <c r="ERH25" s="19"/>
      <c r="ERI25" s="19"/>
      <c r="ERJ25" s="19"/>
      <c r="ERK25" s="19"/>
      <c r="ERL25" s="19"/>
      <c r="ERM25" s="19"/>
      <c r="ERN25" s="19"/>
      <c r="ERO25" s="19"/>
      <c r="ERP25" s="19"/>
      <c r="ERQ25" s="19"/>
      <c r="ERR25" s="19"/>
      <c r="ERS25" s="19"/>
      <c r="ERT25" s="19"/>
      <c r="ERU25" s="19"/>
      <c r="ERV25" s="19"/>
      <c r="ERW25" s="19"/>
      <c r="ERX25" s="19"/>
      <c r="ERY25" s="19"/>
      <c r="ERZ25" s="19"/>
      <c r="ESA25" s="19"/>
      <c r="ESB25" s="19"/>
      <c r="ESC25" s="19"/>
      <c r="ESD25" s="19"/>
      <c r="ESE25" s="19"/>
      <c r="ESF25" s="19"/>
      <c r="ESG25" s="19"/>
      <c r="ESH25" s="19"/>
      <c r="ESI25" s="19"/>
      <c r="ESJ25" s="19"/>
      <c r="ESK25" s="19"/>
      <c r="ESL25" s="19"/>
      <c r="ESM25" s="19"/>
      <c r="ESN25" s="19"/>
      <c r="ESO25" s="19"/>
      <c r="ESP25" s="19"/>
      <c r="ESQ25" s="19"/>
      <c r="ESR25" s="19"/>
      <c r="ESS25" s="19"/>
      <c r="EST25" s="19"/>
      <c r="ESU25" s="19"/>
      <c r="ESV25" s="19"/>
      <c r="ESW25" s="19"/>
      <c r="ESX25" s="19"/>
      <c r="ESY25" s="19"/>
      <c r="ESZ25" s="19"/>
      <c r="ETA25" s="19"/>
      <c r="ETB25" s="19"/>
      <c r="ETC25" s="19"/>
      <c r="ETD25" s="19"/>
      <c r="ETE25" s="19"/>
      <c r="ETF25" s="19"/>
      <c r="ETG25" s="19"/>
      <c r="ETH25" s="19"/>
      <c r="ETI25" s="19"/>
      <c r="ETJ25" s="19"/>
      <c r="ETK25" s="19"/>
      <c r="ETL25" s="19"/>
      <c r="ETM25" s="19"/>
      <c r="ETN25" s="19"/>
      <c r="ETO25" s="19"/>
      <c r="ETP25" s="19"/>
      <c r="ETQ25" s="19"/>
      <c r="ETR25" s="19"/>
      <c r="ETS25" s="19"/>
      <c r="ETT25" s="19"/>
      <c r="ETU25" s="19"/>
      <c r="ETV25" s="19"/>
      <c r="ETW25" s="19"/>
      <c r="ETX25" s="19"/>
      <c r="ETY25" s="19"/>
      <c r="ETZ25" s="19"/>
      <c r="EUA25" s="19"/>
      <c r="EUB25" s="19"/>
      <c r="EUC25" s="19"/>
      <c r="EUD25" s="19"/>
      <c r="EUE25" s="19"/>
      <c r="EUF25" s="19"/>
      <c r="EUG25" s="19"/>
      <c r="EUH25" s="19"/>
      <c r="EUI25" s="19"/>
      <c r="EUJ25" s="19"/>
      <c r="EUK25" s="19"/>
      <c r="EUL25" s="19"/>
      <c r="EUM25" s="19"/>
      <c r="EUN25" s="19"/>
      <c r="EUO25" s="19"/>
      <c r="EUP25" s="19"/>
      <c r="EUQ25" s="19"/>
      <c r="EUR25" s="19"/>
      <c r="EUS25" s="19"/>
      <c r="EUT25" s="19"/>
      <c r="EUU25" s="19"/>
      <c r="EUV25" s="19"/>
      <c r="EUW25" s="19"/>
      <c r="EUX25" s="19"/>
      <c r="EUY25" s="19"/>
      <c r="EUZ25" s="19"/>
      <c r="EVA25" s="19"/>
      <c r="EVB25" s="19"/>
      <c r="EVC25" s="19"/>
      <c r="EVD25" s="19"/>
      <c r="EVE25" s="19"/>
      <c r="EVF25" s="19"/>
      <c r="EVG25" s="19"/>
      <c r="EVH25" s="19"/>
      <c r="EVI25" s="19"/>
      <c r="EVJ25" s="19"/>
      <c r="EVK25" s="19"/>
      <c r="EVL25" s="19"/>
      <c r="EVM25" s="19"/>
      <c r="EVN25" s="19"/>
      <c r="EVO25" s="19"/>
      <c r="EVP25" s="19"/>
      <c r="EVQ25" s="19"/>
      <c r="EVR25" s="19"/>
      <c r="EVS25" s="19"/>
      <c r="EVT25" s="19"/>
      <c r="EVU25" s="19"/>
      <c r="EVV25" s="19"/>
      <c r="EVW25" s="19"/>
      <c r="EVX25" s="19"/>
      <c r="EVY25" s="19"/>
      <c r="EVZ25" s="19"/>
      <c r="EWA25" s="19"/>
      <c r="EWB25" s="19"/>
      <c r="EWC25" s="19"/>
      <c r="EWD25" s="19"/>
      <c r="EWE25" s="19"/>
      <c r="EWF25" s="19"/>
      <c r="EWG25" s="19"/>
      <c r="EWH25" s="19"/>
      <c r="EWI25" s="19"/>
      <c r="EWJ25" s="19"/>
      <c r="EWK25" s="19"/>
      <c r="EWL25" s="19"/>
      <c r="EWM25" s="19"/>
      <c r="EWN25" s="19"/>
      <c r="EWO25" s="19"/>
      <c r="EWP25" s="19"/>
      <c r="EWQ25" s="19"/>
      <c r="EWR25" s="19"/>
      <c r="EWS25" s="19"/>
      <c r="EWT25" s="19"/>
      <c r="EWU25" s="19"/>
      <c r="EWV25" s="19"/>
      <c r="EWW25" s="19"/>
      <c r="EWX25" s="19"/>
      <c r="EWY25" s="19"/>
      <c r="EWZ25" s="19"/>
      <c r="EXA25" s="19"/>
      <c r="EXB25" s="19"/>
      <c r="EXC25" s="19"/>
      <c r="EXD25" s="19"/>
      <c r="EXE25" s="19"/>
      <c r="EXF25" s="19"/>
      <c r="EXG25" s="19"/>
      <c r="EXH25" s="19"/>
      <c r="EXI25" s="19"/>
      <c r="EXJ25" s="19"/>
      <c r="EXK25" s="19"/>
      <c r="EXL25" s="19"/>
      <c r="EXM25" s="19"/>
      <c r="EXN25" s="19"/>
      <c r="EXO25" s="19"/>
      <c r="EXP25" s="19"/>
      <c r="EXQ25" s="19"/>
      <c r="EXR25" s="19"/>
      <c r="EXS25" s="19"/>
      <c r="EXT25" s="19"/>
      <c r="EXU25" s="19"/>
      <c r="EXV25" s="19"/>
      <c r="EXW25" s="19"/>
      <c r="EXX25" s="19"/>
      <c r="EXY25" s="19"/>
      <c r="EXZ25" s="19"/>
      <c r="EYA25" s="19"/>
      <c r="EYB25" s="19"/>
      <c r="EYC25" s="19"/>
      <c r="EYD25" s="19"/>
      <c r="EYE25" s="19"/>
      <c r="EYF25" s="19"/>
      <c r="EYG25" s="19"/>
      <c r="EYH25" s="19"/>
      <c r="EYI25" s="19"/>
      <c r="EYJ25" s="19"/>
      <c r="EYK25" s="19"/>
      <c r="EYL25" s="19"/>
      <c r="EYM25" s="19"/>
      <c r="EYN25" s="19"/>
      <c r="EYO25" s="19"/>
      <c r="EYP25" s="19"/>
      <c r="EYQ25" s="19"/>
      <c r="EYR25" s="19"/>
      <c r="EYS25" s="19"/>
      <c r="EYT25" s="19"/>
      <c r="EYU25" s="19"/>
      <c r="EYV25" s="19"/>
      <c r="EYW25" s="19"/>
      <c r="EYX25" s="19"/>
      <c r="EYY25" s="19"/>
      <c r="EYZ25" s="19"/>
      <c r="EZA25" s="19"/>
      <c r="EZB25" s="19"/>
      <c r="EZC25" s="19"/>
      <c r="EZD25" s="19"/>
      <c r="EZE25" s="19"/>
      <c r="EZF25" s="19"/>
      <c r="EZG25" s="19"/>
      <c r="EZH25" s="19"/>
      <c r="EZI25" s="19"/>
      <c r="EZJ25" s="19"/>
      <c r="EZK25" s="19"/>
      <c r="EZL25" s="19"/>
      <c r="EZM25" s="19"/>
      <c r="EZN25" s="19"/>
      <c r="EZO25" s="19"/>
      <c r="EZP25" s="19"/>
      <c r="EZQ25" s="19"/>
      <c r="EZR25" s="19"/>
      <c r="EZS25" s="19"/>
      <c r="EZT25" s="19"/>
      <c r="EZU25" s="19"/>
      <c r="EZV25" s="19"/>
      <c r="EZW25" s="19"/>
      <c r="EZX25" s="19"/>
      <c r="EZY25" s="19"/>
      <c r="EZZ25" s="19"/>
      <c r="FAA25" s="19"/>
      <c r="FAB25" s="19"/>
      <c r="FAC25" s="19"/>
      <c r="FAD25" s="19"/>
      <c r="FAE25" s="19"/>
      <c r="FAF25" s="19"/>
      <c r="FAG25" s="19"/>
      <c r="FAH25" s="19"/>
      <c r="FAI25" s="19"/>
      <c r="FAJ25" s="19"/>
      <c r="FAK25" s="19"/>
      <c r="FAL25" s="19"/>
      <c r="FAM25" s="19"/>
      <c r="FAN25" s="19"/>
      <c r="FAO25" s="19"/>
      <c r="FAP25" s="19"/>
      <c r="FAQ25" s="19"/>
      <c r="FAR25" s="19"/>
      <c r="FAS25" s="19"/>
      <c r="FAT25" s="19"/>
      <c r="FAU25" s="19"/>
      <c r="FAV25" s="19"/>
      <c r="FAW25" s="19"/>
      <c r="FAX25" s="19"/>
      <c r="FAY25" s="19"/>
      <c r="FAZ25" s="19"/>
      <c r="FBA25" s="19"/>
      <c r="FBB25" s="19"/>
      <c r="FBC25" s="19"/>
      <c r="FBD25" s="19"/>
      <c r="FBE25" s="19"/>
      <c r="FBF25" s="19"/>
      <c r="FBG25" s="19"/>
      <c r="FBH25" s="19"/>
      <c r="FBI25" s="19"/>
      <c r="FBJ25" s="19"/>
      <c r="FBK25" s="19"/>
      <c r="FBL25" s="19"/>
      <c r="FBM25" s="19"/>
      <c r="FBN25" s="19"/>
      <c r="FBO25" s="19"/>
      <c r="FBP25" s="19"/>
      <c r="FBQ25" s="19"/>
      <c r="FBR25" s="19"/>
      <c r="FBS25" s="19"/>
      <c r="FBT25" s="19"/>
      <c r="FBU25" s="19"/>
      <c r="FBV25" s="19"/>
      <c r="FBW25" s="19"/>
      <c r="FBX25" s="19"/>
      <c r="FBY25" s="19"/>
      <c r="FBZ25" s="19"/>
      <c r="FCA25" s="19"/>
      <c r="FCB25" s="19"/>
      <c r="FCC25" s="19"/>
      <c r="FCD25" s="19"/>
      <c r="FCE25" s="19"/>
      <c r="FCF25" s="19"/>
      <c r="FCG25" s="19"/>
      <c r="FCH25" s="19"/>
      <c r="FCI25" s="19"/>
      <c r="FCJ25" s="19"/>
      <c r="FCK25" s="19"/>
      <c r="FCL25" s="19"/>
      <c r="FCM25" s="19"/>
      <c r="FCN25" s="19"/>
      <c r="FCO25" s="19"/>
      <c r="FCP25" s="19"/>
      <c r="FCQ25" s="19"/>
      <c r="FCR25" s="19"/>
      <c r="FCS25" s="19"/>
      <c r="FCT25" s="19"/>
      <c r="FCU25" s="19"/>
      <c r="FCV25" s="19"/>
      <c r="FCW25" s="19"/>
      <c r="FCX25" s="19"/>
      <c r="FCY25" s="19"/>
      <c r="FCZ25" s="19"/>
      <c r="FDA25" s="19"/>
      <c r="FDB25" s="19"/>
      <c r="FDC25" s="19"/>
      <c r="FDD25" s="19"/>
      <c r="FDE25" s="19"/>
      <c r="FDF25" s="19"/>
      <c r="FDG25" s="19"/>
      <c r="FDH25" s="19"/>
      <c r="FDI25" s="19"/>
      <c r="FDJ25" s="19"/>
      <c r="FDK25" s="19"/>
      <c r="FDL25" s="19"/>
      <c r="FDM25" s="19"/>
      <c r="FDN25" s="19"/>
      <c r="FDO25" s="19"/>
      <c r="FDP25" s="19"/>
      <c r="FDQ25" s="19"/>
      <c r="FDR25" s="19"/>
      <c r="FDS25" s="19"/>
      <c r="FDT25" s="19"/>
      <c r="FDU25" s="19"/>
      <c r="FDV25" s="19"/>
      <c r="FDW25" s="19"/>
      <c r="FDX25" s="19"/>
      <c r="FDY25" s="19"/>
      <c r="FDZ25" s="19"/>
      <c r="FEA25" s="19"/>
      <c r="FEB25" s="19"/>
      <c r="FEC25" s="19"/>
      <c r="FED25" s="19"/>
      <c r="FEE25" s="19"/>
      <c r="FEF25" s="19"/>
      <c r="FEG25" s="19"/>
      <c r="FEH25" s="19"/>
      <c r="FEI25" s="19"/>
      <c r="FEJ25" s="19"/>
      <c r="FEK25" s="19"/>
      <c r="FEL25" s="19"/>
      <c r="FEM25" s="19"/>
      <c r="FEN25" s="19"/>
      <c r="FEO25" s="19"/>
      <c r="FEP25" s="19"/>
      <c r="FEQ25" s="19"/>
      <c r="FER25" s="19"/>
      <c r="FES25" s="19"/>
      <c r="FET25" s="19"/>
      <c r="FEU25" s="19"/>
      <c r="FEV25" s="19"/>
      <c r="FEW25" s="19"/>
      <c r="FEX25" s="19"/>
      <c r="FEY25" s="19"/>
      <c r="FEZ25" s="19"/>
      <c r="FFA25" s="19"/>
      <c r="FFB25" s="19"/>
      <c r="FFC25" s="19"/>
      <c r="FFD25" s="19"/>
      <c r="FFE25" s="19"/>
      <c r="FFF25" s="19"/>
      <c r="FFG25" s="19"/>
      <c r="FFH25" s="19"/>
      <c r="FFI25" s="19"/>
      <c r="FFJ25" s="19"/>
      <c r="FFK25" s="19"/>
      <c r="FFL25" s="19"/>
      <c r="FFM25" s="19"/>
      <c r="FFN25" s="19"/>
      <c r="FFO25" s="19"/>
      <c r="FFP25" s="19"/>
      <c r="FFQ25" s="19"/>
      <c r="FFR25" s="19"/>
      <c r="FFS25" s="19"/>
      <c r="FFT25" s="19"/>
      <c r="FFU25" s="19"/>
      <c r="FFV25" s="19"/>
      <c r="FFW25" s="19"/>
      <c r="FFX25" s="19"/>
      <c r="FFY25" s="19"/>
      <c r="FFZ25" s="19"/>
      <c r="FGA25" s="19"/>
      <c r="FGB25" s="19"/>
      <c r="FGC25" s="19"/>
      <c r="FGD25" s="19"/>
      <c r="FGE25" s="19"/>
      <c r="FGF25" s="19"/>
      <c r="FGG25" s="19"/>
      <c r="FGH25" s="19"/>
      <c r="FGI25" s="19"/>
      <c r="FGJ25" s="19"/>
      <c r="FGK25" s="19"/>
      <c r="FGL25" s="19"/>
      <c r="FGM25" s="19"/>
      <c r="FGN25" s="19"/>
      <c r="FGO25" s="19"/>
      <c r="FGP25" s="19"/>
      <c r="FGQ25" s="19"/>
      <c r="FGR25" s="19"/>
      <c r="FGS25" s="19"/>
      <c r="FGT25" s="19"/>
      <c r="FGU25" s="19"/>
      <c r="FGV25" s="19"/>
      <c r="FGW25" s="19"/>
      <c r="FGX25" s="19"/>
      <c r="FGY25" s="19"/>
      <c r="FGZ25" s="19"/>
      <c r="FHA25" s="19"/>
      <c r="FHB25" s="19"/>
      <c r="FHC25" s="19"/>
      <c r="FHD25" s="19"/>
      <c r="FHE25" s="19"/>
      <c r="FHF25" s="19"/>
      <c r="FHG25" s="19"/>
      <c r="FHH25" s="19"/>
      <c r="FHI25" s="19"/>
      <c r="FHJ25" s="19"/>
      <c r="FHK25" s="19"/>
      <c r="FHL25" s="19"/>
      <c r="FHM25" s="19"/>
      <c r="FHN25" s="19"/>
      <c r="FHO25" s="19"/>
      <c r="FHP25" s="19"/>
      <c r="FHQ25" s="19"/>
      <c r="FHR25" s="19"/>
      <c r="FHS25" s="19"/>
      <c r="FHT25" s="19"/>
      <c r="FHU25" s="19"/>
      <c r="FHV25" s="19"/>
      <c r="FHW25" s="19"/>
      <c r="FHX25" s="19"/>
      <c r="FHY25" s="19"/>
      <c r="FHZ25" s="19"/>
      <c r="FIA25" s="19"/>
      <c r="FIB25" s="19"/>
      <c r="FIC25" s="19"/>
      <c r="FID25" s="19"/>
      <c r="FIE25" s="19"/>
      <c r="FIF25" s="19"/>
      <c r="FIG25" s="19"/>
      <c r="FIH25" s="19"/>
      <c r="FII25" s="19"/>
      <c r="FIJ25" s="19"/>
      <c r="FIK25" s="19"/>
      <c r="FIL25" s="19"/>
      <c r="FIM25" s="19"/>
      <c r="FIN25" s="19"/>
      <c r="FIO25" s="19"/>
      <c r="FIP25" s="19"/>
      <c r="FIQ25" s="19"/>
      <c r="FIR25" s="19"/>
      <c r="FIS25" s="19"/>
      <c r="FIT25" s="19"/>
      <c r="FIU25" s="19"/>
      <c r="FIV25" s="19"/>
      <c r="FIW25" s="19"/>
      <c r="FIX25" s="19"/>
      <c r="FIY25" s="19"/>
      <c r="FIZ25" s="19"/>
      <c r="FJA25" s="19"/>
      <c r="FJB25" s="19"/>
      <c r="FJC25" s="19"/>
      <c r="FJD25" s="19"/>
      <c r="FJE25" s="19"/>
      <c r="FJF25" s="19"/>
      <c r="FJG25" s="19"/>
      <c r="FJH25" s="19"/>
      <c r="FJI25" s="19"/>
      <c r="FJJ25" s="19"/>
      <c r="FJK25" s="19"/>
      <c r="FJL25" s="19"/>
      <c r="FJM25" s="19"/>
      <c r="FJN25" s="19"/>
      <c r="FJO25" s="19"/>
      <c r="FJP25" s="19"/>
      <c r="FJQ25" s="19"/>
      <c r="FJR25" s="19"/>
      <c r="FJS25" s="19"/>
      <c r="FJT25" s="19"/>
      <c r="FJU25" s="19"/>
      <c r="FJV25" s="19"/>
      <c r="FJW25" s="19"/>
      <c r="FJX25" s="19"/>
      <c r="FJY25" s="19"/>
      <c r="FJZ25" s="19"/>
      <c r="FKA25" s="19"/>
      <c r="FKB25" s="19"/>
      <c r="FKC25" s="19"/>
      <c r="FKD25" s="19"/>
      <c r="FKE25" s="19"/>
      <c r="FKF25" s="19"/>
      <c r="FKG25" s="19"/>
      <c r="FKH25" s="19"/>
      <c r="FKI25" s="19"/>
      <c r="FKJ25" s="19"/>
      <c r="FKK25" s="19"/>
      <c r="FKL25" s="19"/>
      <c r="FKM25" s="19"/>
      <c r="FKN25" s="19"/>
      <c r="FKO25" s="19"/>
      <c r="FKP25" s="19"/>
      <c r="FKQ25" s="19"/>
      <c r="FKR25" s="19"/>
      <c r="FKS25" s="19"/>
      <c r="FKT25" s="19"/>
      <c r="FKU25" s="19"/>
      <c r="FKV25" s="19"/>
      <c r="FKW25" s="19"/>
      <c r="FKX25" s="19"/>
      <c r="FKY25" s="19"/>
      <c r="FKZ25" s="19"/>
      <c r="FLA25" s="19"/>
      <c r="FLB25" s="19"/>
      <c r="FLC25" s="19"/>
      <c r="FLD25" s="19"/>
      <c r="FLE25" s="19"/>
      <c r="FLF25" s="19"/>
      <c r="FLG25" s="19"/>
      <c r="FLH25" s="19"/>
      <c r="FLI25" s="19"/>
      <c r="FLJ25" s="19"/>
      <c r="FLK25" s="19"/>
      <c r="FLL25" s="19"/>
      <c r="FLM25" s="19"/>
      <c r="FLN25" s="19"/>
      <c r="FLO25" s="19"/>
      <c r="FLP25" s="19"/>
      <c r="FLQ25" s="19"/>
      <c r="FLR25" s="19"/>
      <c r="FLS25" s="19"/>
      <c r="FLT25" s="19"/>
      <c r="FLU25" s="19"/>
      <c r="FLV25" s="19"/>
      <c r="FLW25" s="19"/>
      <c r="FLX25" s="19"/>
      <c r="FLY25" s="19"/>
      <c r="FLZ25" s="19"/>
      <c r="FMA25" s="19"/>
      <c r="FMB25" s="19"/>
      <c r="FMC25" s="19"/>
      <c r="FMD25" s="19"/>
      <c r="FME25" s="19"/>
      <c r="FMF25" s="19"/>
      <c r="FMG25" s="19"/>
      <c r="FMH25" s="19"/>
      <c r="FMI25" s="19"/>
      <c r="FMJ25" s="19"/>
      <c r="FMK25" s="19"/>
      <c r="FML25" s="19"/>
      <c r="FMM25" s="19"/>
      <c r="FMN25" s="19"/>
      <c r="FMO25" s="19"/>
      <c r="FMP25" s="19"/>
      <c r="FMQ25" s="19"/>
      <c r="FMR25" s="19"/>
      <c r="FMS25" s="19"/>
      <c r="FMT25" s="19"/>
      <c r="FMU25" s="19"/>
      <c r="FMV25" s="19"/>
      <c r="FMW25" s="19"/>
      <c r="FMX25" s="19"/>
      <c r="FMY25" s="19"/>
      <c r="FMZ25" s="19"/>
      <c r="FNA25" s="19"/>
      <c r="FNB25" s="19"/>
      <c r="FNC25" s="19"/>
      <c r="FND25" s="19"/>
      <c r="FNE25" s="19"/>
      <c r="FNF25" s="19"/>
      <c r="FNG25" s="19"/>
      <c r="FNH25" s="19"/>
      <c r="FNI25" s="19"/>
      <c r="FNJ25" s="19"/>
      <c r="FNK25" s="19"/>
      <c r="FNL25" s="19"/>
      <c r="FNM25" s="19"/>
      <c r="FNN25" s="19"/>
      <c r="FNO25" s="19"/>
      <c r="FNP25" s="19"/>
      <c r="FNQ25" s="19"/>
      <c r="FNR25" s="19"/>
      <c r="FNS25" s="19"/>
      <c r="FNT25" s="19"/>
      <c r="FNU25" s="19"/>
      <c r="FNV25" s="19"/>
      <c r="FNW25" s="19"/>
      <c r="FNX25" s="19"/>
      <c r="FNY25" s="19"/>
      <c r="FNZ25" s="19"/>
      <c r="FOA25" s="19"/>
      <c r="FOB25" s="19"/>
      <c r="FOC25" s="19"/>
      <c r="FOD25" s="19"/>
      <c r="FOE25" s="19"/>
      <c r="FOF25" s="19"/>
      <c r="FOG25" s="19"/>
      <c r="FOH25" s="19"/>
      <c r="FOI25" s="19"/>
      <c r="FOJ25" s="19"/>
      <c r="FOK25" s="19"/>
      <c r="FOL25" s="19"/>
      <c r="FOM25" s="19"/>
      <c r="FON25" s="19"/>
      <c r="FOO25" s="19"/>
      <c r="FOP25" s="19"/>
      <c r="FOQ25" s="19"/>
      <c r="FOR25" s="19"/>
      <c r="FOS25" s="19"/>
      <c r="FOT25" s="19"/>
      <c r="FOU25" s="19"/>
      <c r="FOV25" s="19"/>
      <c r="FOW25" s="19"/>
      <c r="FOX25" s="19"/>
      <c r="FOY25" s="19"/>
      <c r="FOZ25" s="19"/>
      <c r="FPA25" s="19"/>
      <c r="FPB25" s="19"/>
      <c r="FPC25" s="19"/>
      <c r="FPD25" s="19"/>
      <c r="FPE25" s="19"/>
      <c r="FPF25" s="19"/>
      <c r="FPG25" s="19"/>
      <c r="FPH25" s="19"/>
      <c r="FPI25" s="19"/>
      <c r="FPJ25" s="19"/>
      <c r="FPK25" s="19"/>
      <c r="FPL25" s="19"/>
      <c r="FPM25" s="19"/>
      <c r="FPN25" s="19"/>
      <c r="FPO25" s="19"/>
      <c r="FPP25" s="19"/>
      <c r="FPQ25" s="19"/>
      <c r="FPR25" s="19"/>
      <c r="FPS25" s="19"/>
      <c r="FPT25" s="19"/>
      <c r="FPU25" s="19"/>
      <c r="FPV25" s="19"/>
      <c r="FPW25" s="19"/>
      <c r="FPX25" s="19"/>
      <c r="FPY25" s="19"/>
      <c r="FPZ25" s="19"/>
      <c r="FQA25" s="19"/>
      <c r="FQB25" s="19"/>
      <c r="FQC25" s="19"/>
      <c r="FQD25" s="19"/>
      <c r="FQE25" s="19"/>
      <c r="FQF25" s="19"/>
      <c r="FQG25" s="19"/>
      <c r="FQH25" s="19"/>
      <c r="FQI25" s="19"/>
      <c r="FQJ25" s="19"/>
      <c r="FQK25" s="19"/>
      <c r="FQL25" s="19"/>
      <c r="FQM25" s="19"/>
      <c r="FQN25" s="19"/>
      <c r="FQO25" s="19"/>
      <c r="FQP25" s="19"/>
      <c r="FQQ25" s="19"/>
      <c r="FQR25" s="19"/>
      <c r="FQS25" s="19"/>
      <c r="FQT25" s="19"/>
      <c r="FQU25" s="19"/>
      <c r="FQV25" s="19"/>
      <c r="FQW25" s="19"/>
      <c r="FQX25" s="19"/>
      <c r="FQY25" s="19"/>
      <c r="FQZ25" s="19"/>
      <c r="FRA25" s="19"/>
      <c r="FRB25" s="19"/>
      <c r="FRC25" s="19"/>
      <c r="FRD25" s="19"/>
      <c r="FRE25" s="19"/>
      <c r="FRF25" s="19"/>
      <c r="FRG25" s="19"/>
      <c r="FRH25" s="19"/>
      <c r="FRI25" s="19"/>
      <c r="FRJ25" s="19"/>
      <c r="FRK25" s="19"/>
      <c r="FRL25" s="19"/>
      <c r="FRM25" s="19"/>
      <c r="FRN25" s="19"/>
      <c r="FRO25" s="19"/>
      <c r="FRP25" s="19"/>
      <c r="FRQ25" s="19"/>
      <c r="FRR25" s="19"/>
      <c r="FRS25" s="19"/>
      <c r="FRT25" s="19"/>
      <c r="FRU25" s="19"/>
      <c r="FRV25" s="19"/>
      <c r="FRW25" s="19"/>
      <c r="FRX25" s="19"/>
      <c r="FRY25" s="19"/>
      <c r="FRZ25" s="19"/>
      <c r="FSA25" s="19"/>
      <c r="FSB25" s="19"/>
      <c r="FSC25" s="19"/>
      <c r="FSD25" s="19"/>
      <c r="FSE25" s="19"/>
      <c r="FSF25" s="19"/>
      <c r="FSG25" s="19"/>
      <c r="FSH25" s="19"/>
      <c r="FSI25" s="19"/>
      <c r="FSJ25" s="19"/>
      <c r="FSK25" s="19"/>
      <c r="FSL25" s="19"/>
      <c r="FSM25" s="19"/>
      <c r="FSN25" s="19"/>
      <c r="FSO25" s="19"/>
      <c r="FSP25" s="19"/>
      <c r="FSQ25" s="19"/>
      <c r="FSR25" s="19"/>
      <c r="FSS25" s="19"/>
      <c r="FST25" s="19"/>
      <c r="FSU25" s="19"/>
      <c r="FSV25" s="19"/>
      <c r="FSW25" s="19"/>
      <c r="FSX25" s="19"/>
      <c r="FSY25" s="19"/>
      <c r="FSZ25" s="19"/>
      <c r="FTA25" s="19"/>
      <c r="FTB25" s="19"/>
      <c r="FTC25" s="19"/>
      <c r="FTD25" s="19"/>
      <c r="FTE25" s="19"/>
      <c r="FTF25" s="19"/>
      <c r="FTG25" s="19"/>
      <c r="FTH25" s="19"/>
      <c r="FTI25" s="19"/>
      <c r="FTJ25" s="19"/>
      <c r="FTK25" s="19"/>
      <c r="FTL25" s="19"/>
      <c r="FTM25" s="19"/>
      <c r="FTN25" s="19"/>
      <c r="FTO25" s="19"/>
      <c r="FTP25" s="19"/>
      <c r="FTQ25" s="19"/>
      <c r="FTR25" s="19"/>
      <c r="FTS25" s="19"/>
      <c r="FTT25" s="19"/>
      <c r="FTU25" s="19"/>
      <c r="FTV25" s="19"/>
      <c r="FTW25" s="19"/>
      <c r="FTX25" s="19"/>
      <c r="FTY25" s="19"/>
      <c r="FTZ25" s="19"/>
      <c r="FUA25" s="19"/>
      <c r="FUB25" s="19"/>
      <c r="FUC25" s="19"/>
      <c r="FUD25" s="19"/>
      <c r="FUE25" s="19"/>
      <c r="FUF25" s="19"/>
      <c r="FUG25" s="19"/>
      <c r="FUH25" s="19"/>
      <c r="FUI25" s="19"/>
      <c r="FUJ25" s="19"/>
      <c r="FUK25" s="19"/>
      <c r="FUL25" s="19"/>
      <c r="FUM25" s="19"/>
      <c r="FUN25" s="19"/>
      <c r="FUO25" s="19"/>
      <c r="FUP25" s="19"/>
      <c r="FUQ25" s="19"/>
      <c r="FUR25" s="19"/>
      <c r="FUS25" s="19"/>
      <c r="FUT25" s="19"/>
      <c r="FUU25" s="19"/>
      <c r="FUV25" s="19"/>
      <c r="FUW25" s="19"/>
      <c r="FUX25" s="19"/>
      <c r="FUY25" s="19"/>
      <c r="FUZ25" s="19"/>
      <c r="FVA25" s="19"/>
      <c r="FVB25" s="19"/>
      <c r="FVC25" s="19"/>
      <c r="FVD25" s="19"/>
      <c r="FVE25" s="19"/>
      <c r="FVF25" s="19"/>
      <c r="FVG25" s="19"/>
      <c r="FVH25" s="19"/>
      <c r="FVI25" s="19"/>
      <c r="FVJ25" s="19"/>
      <c r="FVK25" s="19"/>
      <c r="FVL25" s="19"/>
      <c r="FVM25" s="19"/>
      <c r="FVN25" s="19"/>
      <c r="FVO25" s="19"/>
      <c r="FVP25" s="19"/>
      <c r="FVQ25" s="19"/>
      <c r="FVR25" s="19"/>
      <c r="FVS25" s="19"/>
      <c r="FVT25" s="19"/>
      <c r="FVU25" s="19"/>
      <c r="FVV25" s="19"/>
      <c r="FVW25" s="19"/>
      <c r="FVX25" s="19"/>
      <c r="FVY25" s="19"/>
      <c r="FVZ25" s="19"/>
      <c r="FWA25" s="19"/>
      <c r="FWB25" s="19"/>
      <c r="FWC25" s="19"/>
      <c r="FWD25" s="19"/>
      <c r="FWE25" s="19"/>
      <c r="FWF25" s="19"/>
      <c r="FWG25" s="19"/>
      <c r="FWH25" s="19"/>
      <c r="FWI25" s="19"/>
      <c r="FWJ25" s="19"/>
      <c r="FWK25" s="19"/>
      <c r="FWL25" s="19"/>
      <c r="FWM25" s="19"/>
      <c r="FWN25" s="19"/>
      <c r="FWO25" s="19"/>
      <c r="FWP25" s="19"/>
      <c r="FWQ25" s="19"/>
      <c r="FWR25" s="19"/>
      <c r="FWS25" s="19"/>
      <c r="FWT25" s="19"/>
      <c r="FWU25" s="19"/>
      <c r="FWV25" s="19"/>
      <c r="FWW25" s="19"/>
      <c r="FWX25" s="19"/>
      <c r="FWY25" s="19"/>
      <c r="FWZ25" s="19"/>
      <c r="FXA25" s="19"/>
      <c r="FXB25" s="19"/>
      <c r="FXC25" s="19"/>
      <c r="FXD25" s="19"/>
      <c r="FXE25" s="19"/>
      <c r="FXF25" s="19"/>
      <c r="FXG25" s="19"/>
      <c r="FXH25" s="19"/>
      <c r="FXI25" s="19"/>
      <c r="FXJ25" s="19"/>
      <c r="FXK25" s="19"/>
      <c r="FXL25" s="19"/>
      <c r="FXM25" s="19"/>
      <c r="FXN25" s="19"/>
      <c r="FXO25" s="19"/>
      <c r="FXP25" s="19"/>
      <c r="FXQ25" s="19"/>
      <c r="FXR25" s="19"/>
      <c r="FXS25" s="19"/>
      <c r="FXT25" s="19"/>
      <c r="FXU25" s="19"/>
      <c r="FXV25" s="19"/>
      <c r="FXW25" s="19"/>
      <c r="FXX25" s="19"/>
      <c r="FXY25" s="19"/>
      <c r="FXZ25" s="19"/>
      <c r="FYA25" s="19"/>
      <c r="FYB25" s="19"/>
      <c r="FYC25" s="19"/>
      <c r="FYD25" s="19"/>
      <c r="FYE25" s="19"/>
      <c r="FYF25" s="19"/>
      <c r="FYG25" s="19"/>
      <c r="FYH25" s="19"/>
      <c r="FYI25" s="19"/>
      <c r="FYJ25" s="19"/>
      <c r="FYK25" s="19"/>
      <c r="FYL25" s="19"/>
      <c r="FYM25" s="19"/>
      <c r="FYN25" s="19"/>
      <c r="FYO25" s="19"/>
      <c r="FYP25" s="19"/>
      <c r="FYQ25" s="19"/>
      <c r="FYR25" s="19"/>
      <c r="FYS25" s="19"/>
      <c r="FYT25" s="19"/>
      <c r="FYU25" s="19"/>
      <c r="FYV25" s="19"/>
      <c r="FYW25" s="19"/>
      <c r="FYX25" s="19"/>
      <c r="FYY25" s="19"/>
      <c r="FYZ25" s="19"/>
      <c r="FZA25" s="19"/>
      <c r="FZB25" s="19"/>
      <c r="FZC25" s="19"/>
      <c r="FZD25" s="19"/>
      <c r="FZE25" s="19"/>
      <c r="FZF25" s="19"/>
      <c r="FZG25" s="19"/>
      <c r="FZH25" s="19"/>
      <c r="FZI25" s="19"/>
      <c r="FZJ25" s="19"/>
      <c r="FZK25" s="19"/>
      <c r="FZL25" s="19"/>
      <c r="FZM25" s="19"/>
      <c r="FZN25" s="19"/>
      <c r="FZO25" s="19"/>
      <c r="FZP25" s="19"/>
      <c r="FZQ25" s="19"/>
      <c r="FZR25" s="19"/>
      <c r="FZS25" s="19"/>
      <c r="FZT25" s="19"/>
      <c r="FZU25" s="19"/>
      <c r="FZV25" s="19"/>
      <c r="FZW25" s="19"/>
      <c r="FZX25" s="19"/>
      <c r="FZY25" s="19"/>
      <c r="FZZ25" s="19"/>
      <c r="GAA25" s="19"/>
      <c r="GAB25" s="19"/>
      <c r="GAC25" s="19"/>
      <c r="GAD25" s="19"/>
      <c r="GAE25" s="19"/>
      <c r="GAF25" s="19"/>
      <c r="GAG25" s="19"/>
      <c r="GAH25" s="19"/>
      <c r="GAI25" s="19"/>
      <c r="GAJ25" s="19"/>
      <c r="GAK25" s="19"/>
      <c r="GAL25" s="19"/>
      <c r="GAM25" s="19"/>
      <c r="GAN25" s="19"/>
      <c r="GAO25" s="19"/>
      <c r="GAP25" s="19"/>
      <c r="GAQ25" s="19"/>
      <c r="GAR25" s="19"/>
      <c r="GAS25" s="19"/>
      <c r="GAT25" s="19"/>
      <c r="GAU25" s="19"/>
      <c r="GAV25" s="19"/>
      <c r="GAW25" s="19"/>
      <c r="GAX25" s="19"/>
      <c r="GAY25" s="19"/>
      <c r="GAZ25" s="19"/>
      <c r="GBA25" s="19"/>
      <c r="GBB25" s="19"/>
      <c r="GBC25" s="19"/>
      <c r="GBD25" s="19"/>
      <c r="GBE25" s="19"/>
      <c r="GBF25" s="19"/>
      <c r="GBG25" s="19"/>
      <c r="GBH25" s="19"/>
      <c r="GBI25" s="19"/>
      <c r="GBJ25" s="19"/>
      <c r="GBK25" s="19"/>
      <c r="GBL25" s="19"/>
      <c r="GBM25" s="19"/>
      <c r="GBN25" s="19"/>
      <c r="GBO25" s="19"/>
      <c r="GBP25" s="19"/>
      <c r="GBQ25" s="19"/>
      <c r="GBR25" s="19"/>
      <c r="GBS25" s="19"/>
      <c r="GBT25" s="19"/>
      <c r="GBU25" s="19"/>
      <c r="GBV25" s="19"/>
      <c r="GBW25" s="19"/>
      <c r="GBX25" s="19"/>
      <c r="GBY25" s="19"/>
      <c r="GBZ25" s="19"/>
      <c r="GCA25" s="19"/>
      <c r="GCB25" s="19"/>
      <c r="GCC25" s="19"/>
      <c r="GCD25" s="19"/>
      <c r="GCE25" s="19"/>
      <c r="GCF25" s="19"/>
      <c r="GCG25" s="19"/>
      <c r="GCH25" s="19"/>
      <c r="GCI25" s="19"/>
      <c r="GCJ25" s="19"/>
      <c r="GCK25" s="19"/>
      <c r="GCL25" s="19"/>
      <c r="GCM25" s="19"/>
      <c r="GCN25" s="19"/>
      <c r="GCO25" s="19"/>
      <c r="GCP25" s="19"/>
      <c r="GCQ25" s="19"/>
      <c r="GCR25" s="19"/>
      <c r="GCS25" s="19"/>
      <c r="GCT25" s="19"/>
      <c r="GCU25" s="19"/>
      <c r="GCV25" s="19"/>
      <c r="GCW25" s="19"/>
      <c r="GCX25" s="19"/>
      <c r="GCY25" s="19"/>
      <c r="GCZ25" s="19"/>
      <c r="GDA25" s="19"/>
      <c r="GDB25" s="19"/>
      <c r="GDC25" s="19"/>
      <c r="GDD25" s="19"/>
      <c r="GDE25" s="19"/>
      <c r="GDF25" s="19"/>
      <c r="GDG25" s="19"/>
      <c r="GDH25" s="19"/>
      <c r="GDI25" s="19"/>
      <c r="GDJ25" s="19"/>
      <c r="GDK25" s="19"/>
      <c r="GDL25" s="19"/>
      <c r="GDM25" s="19"/>
      <c r="GDN25" s="19"/>
      <c r="GDO25" s="19"/>
      <c r="GDP25" s="19"/>
      <c r="GDQ25" s="19"/>
      <c r="GDR25" s="19"/>
      <c r="GDS25" s="19"/>
      <c r="GDT25" s="19"/>
      <c r="GDU25" s="19"/>
      <c r="GDV25" s="19"/>
      <c r="GDW25" s="19"/>
      <c r="GDX25" s="19"/>
      <c r="GDY25" s="19"/>
      <c r="GDZ25" s="19"/>
      <c r="GEA25" s="19"/>
      <c r="GEB25" s="19"/>
      <c r="GEC25" s="19"/>
      <c r="GED25" s="19"/>
      <c r="GEE25" s="19"/>
      <c r="GEF25" s="19"/>
      <c r="GEG25" s="19"/>
      <c r="GEH25" s="19"/>
      <c r="GEI25" s="19"/>
      <c r="GEJ25" s="19"/>
      <c r="GEK25" s="19"/>
      <c r="GEL25" s="19"/>
      <c r="GEM25" s="19"/>
      <c r="GEN25" s="19"/>
      <c r="GEO25" s="19"/>
      <c r="GEP25" s="19"/>
      <c r="GEQ25" s="19"/>
      <c r="GER25" s="19"/>
      <c r="GES25" s="19"/>
      <c r="GET25" s="19"/>
      <c r="GEU25" s="19"/>
      <c r="GEV25" s="19"/>
      <c r="GEW25" s="19"/>
      <c r="GEX25" s="19"/>
      <c r="GEY25" s="19"/>
      <c r="GEZ25" s="19"/>
      <c r="GFA25" s="19"/>
      <c r="GFB25" s="19"/>
      <c r="GFC25" s="19"/>
      <c r="GFD25" s="19"/>
      <c r="GFE25" s="19"/>
      <c r="GFF25" s="19"/>
      <c r="GFG25" s="19"/>
      <c r="GFH25" s="19"/>
      <c r="GFI25" s="19"/>
      <c r="GFJ25" s="19"/>
      <c r="GFK25" s="19"/>
      <c r="GFL25" s="19"/>
      <c r="GFM25" s="19"/>
      <c r="GFN25" s="19"/>
      <c r="GFO25" s="19"/>
      <c r="GFP25" s="19"/>
      <c r="GFQ25" s="19"/>
      <c r="GFR25" s="19"/>
      <c r="GFS25" s="19"/>
      <c r="GFT25" s="19"/>
      <c r="GFU25" s="19"/>
      <c r="GFV25" s="19"/>
      <c r="GFW25" s="19"/>
      <c r="GFX25" s="19"/>
      <c r="GFY25" s="19"/>
      <c r="GFZ25" s="19"/>
      <c r="GGA25" s="19"/>
      <c r="GGB25" s="19"/>
      <c r="GGC25" s="19"/>
      <c r="GGD25" s="19"/>
      <c r="GGE25" s="19"/>
      <c r="GGF25" s="19"/>
      <c r="GGG25" s="19"/>
      <c r="GGH25" s="19"/>
      <c r="GGI25" s="19"/>
      <c r="GGJ25" s="19"/>
      <c r="GGK25" s="19"/>
      <c r="GGL25" s="19"/>
      <c r="GGM25" s="19"/>
      <c r="GGN25" s="19"/>
      <c r="GGO25" s="19"/>
      <c r="GGP25" s="19"/>
      <c r="GGQ25" s="19"/>
      <c r="GGR25" s="19"/>
      <c r="GGS25" s="19"/>
      <c r="GGT25" s="19"/>
      <c r="GGU25" s="19"/>
      <c r="GGV25" s="19"/>
      <c r="GGW25" s="19"/>
      <c r="GGX25" s="19"/>
      <c r="GGY25" s="19"/>
      <c r="GGZ25" s="19"/>
      <c r="GHA25" s="19"/>
      <c r="GHB25" s="19"/>
      <c r="GHC25" s="19"/>
      <c r="GHD25" s="19"/>
      <c r="GHE25" s="19"/>
      <c r="GHF25" s="19"/>
      <c r="GHG25" s="19"/>
      <c r="GHH25" s="19"/>
      <c r="GHI25" s="19"/>
      <c r="GHJ25" s="19"/>
      <c r="GHK25" s="19"/>
      <c r="GHL25" s="19"/>
      <c r="GHM25" s="19"/>
      <c r="GHN25" s="19"/>
      <c r="GHO25" s="19"/>
      <c r="GHP25" s="19"/>
      <c r="GHQ25" s="19"/>
      <c r="GHR25" s="19"/>
      <c r="GHS25" s="19"/>
      <c r="GHT25" s="19"/>
      <c r="GHU25" s="19"/>
      <c r="GHV25" s="19"/>
      <c r="GHW25" s="19"/>
      <c r="GHX25" s="19"/>
      <c r="GHY25" s="19"/>
      <c r="GHZ25" s="19"/>
      <c r="GIA25" s="19"/>
      <c r="GIB25" s="19"/>
      <c r="GIC25" s="19"/>
      <c r="GID25" s="19"/>
      <c r="GIE25" s="19"/>
      <c r="GIF25" s="19"/>
      <c r="GIG25" s="19"/>
      <c r="GIH25" s="19"/>
      <c r="GII25" s="19"/>
      <c r="GIJ25" s="19"/>
      <c r="GIK25" s="19"/>
      <c r="GIL25" s="19"/>
      <c r="GIM25" s="19"/>
      <c r="GIN25" s="19"/>
      <c r="GIO25" s="19"/>
      <c r="GIP25" s="19"/>
      <c r="GIQ25" s="19"/>
      <c r="GIR25" s="19"/>
      <c r="GIS25" s="19"/>
      <c r="GIT25" s="19"/>
      <c r="GIU25" s="19"/>
      <c r="GIV25" s="19"/>
      <c r="GIW25" s="19"/>
      <c r="GIX25" s="19"/>
      <c r="GIY25" s="19"/>
      <c r="GIZ25" s="19"/>
      <c r="GJA25" s="19"/>
      <c r="GJB25" s="19"/>
      <c r="GJC25" s="19"/>
      <c r="GJD25" s="19"/>
      <c r="GJE25" s="19"/>
      <c r="GJF25" s="19"/>
      <c r="GJG25" s="19"/>
      <c r="GJH25" s="19"/>
      <c r="GJI25" s="19"/>
      <c r="GJJ25" s="19"/>
      <c r="GJK25" s="19"/>
      <c r="GJL25" s="19"/>
      <c r="GJM25" s="19"/>
      <c r="GJN25" s="19"/>
      <c r="GJO25" s="19"/>
      <c r="GJP25" s="19"/>
      <c r="GJQ25" s="19"/>
      <c r="GJR25" s="19"/>
      <c r="GJS25" s="19"/>
      <c r="GJT25" s="19"/>
      <c r="GJU25" s="19"/>
      <c r="GJV25" s="19"/>
      <c r="GJW25" s="19"/>
      <c r="GJX25" s="19"/>
      <c r="GJY25" s="19"/>
      <c r="GJZ25" s="19"/>
      <c r="GKA25" s="19"/>
      <c r="GKB25" s="19"/>
      <c r="GKC25" s="19"/>
      <c r="GKD25" s="19"/>
      <c r="GKE25" s="19"/>
      <c r="GKF25" s="19"/>
      <c r="GKG25" s="19"/>
      <c r="GKH25" s="19"/>
      <c r="GKI25" s="19"/>
      <c r="GKJ25" s="19"/>
      <c r="GKK25" s="19"/>
      <c r="GKL25" s="19"/>
      <c r="GKM25" s="19"/>
      <c r="GKN25" s="19"/>
      <c r="GKO25" s="19"/>
      <c r="GKP25" s="19"/>
      <c r="GKQ25" s="19"/>
      <c r="GKR25" s="19"/>
      <c r="GKS25" s="19"/>
      <c r="GKT25" s="19"/>
      <c r="GKU25" s="19"/>
      <c r="GKV25" s="19"/>
      <c r="GKW25" s="19"/>
      <c r="GKX25" s="19"/>
      <c r="GKY25" s="19"/>
      <c r="GKZ25" s="19"/>
      <c r="GLA25" s="19"/>
      <c r="GLB25" s="19"/>
      <c r="GLC25" s="19"/>
      <c r="GLD25" s="19"/>
      <c r="GLE25" s="19"/>
      <c r="GLF25" s="19"/>
      <c r="GLG25" s="19"/>
      <c r="GLH25" s="19"/>
      <c r="GLI25" s="19"/>
      <c r="GLJ25" s="19"/>
      <c r="GLK25" s="19"/>
      <c r="GLL25" s="19"/>
      <c r="GLM25" s="19"/>
      <c r="GLN25" s="19"/>
      <c r="GLO25" s="19"/>
      <c r="GLP25" s="19"/>
      <c r="GLQ25" s="19"/>
      <c r="GLR25" s="19"/>
      <c r="GLS25" s="19"/>
      <c r="GLT25" s="19"/>
      <c r="GLU25" s="19"/>
      <c r="GLV25" s="19"/>
      <c r="GLW25" s="19"/>
      <c r="GLX25" s="19"/>
      <c r="GLY25" s="19"/>
      <c r="GLZ25" s="19"/>
      <c r="GMA25" s="19"/>
      <c r="GMB25" s="19"/>
      <c r="GMC25" s="19"/>
      <c r="GMD25" s="19"/>
      <c r="GME25" s="19"/>
      <c r="GMF25" s="19"/>
      <c r="GMG25" s="19"/>
      <c r="GMH25" s="19"/>
      <c r="GMI25" s="19"/>
      <c r="GMJ25" s="19"/>
      <c r="GMK25" s="19"/>
      <c r="GML25" s="19"/>
      <c r="GMM25" s="19"/>
      <c r="GMN25" s="19"/>
      <c r="GMO25" s="19"/>
      <c r="GMP25" s="19"/>
      <c r="GMQ25" s="19"/>
      <c r="GMR25" s="19"/>
      <c r="GMS25" s="19"/>
      <c r="GMT25" s="19"/>
      <c r="GMU25" s="19"/>
      <c r="GMV25" s="19"/>
      <c r="GMW25" s="19"/>
      <c r="GMX25" s="19"/>
      <c r="GMY25" s="19"/>
      <c r="GMZ25" s="19"/>
      <c r="GNA25" s="19"/>
      <c r="GNB25" s="19"/>
      <c r="GNC25" s="19"/>
      <c r="GND25" s="19"/>
      <c r="GNE25" s="19"/>
      <c r="GNF25" s="19"/>
      <c r="GNG25" s="19"/>
      <c r="GNH25" s="19"/>
      <c r="GNI25" s="19"/>
      <c r="GNJ25" s="19"/>
      <c r="GNK25" s="19"/>
      <c r="GNL25" s="19"/>
      <c r="GNM25" s="19"/>
      <c r="GNN25" s="19"/>
      <c r="GNO25" s="19"/>
      <c r="GNP25" s="19"/>
      <c r="GNQ25" s="19"/>
      <c r="GNR25" s="19"/>
      <c r="GNS25" s="19"/>
      <c r="GNT25" s="19"/>
      <c r="GNU25" s="19"/>
      <c r="GNV25" s="19"/>
      <c r="GNW25" s="19"/>
      <c r="GNX25" s="19"/>
      <c r="GNY25" s="19"/>
      <c r="GNZ25" s="19"/>
      <c r="GOA25" s="19"/>
      <c r="GOB25" s="19"/>
      <c r="GOC25" s="19"/>
      <c r="GOD25" s="19"/>
      <c r="GOE25" s="19"/>
      <c r="GOF25" s="19"/>
      <c r="GOG25" s="19"/>
      <c r="GOH25" s="19"/>
      <c r="GOI25" s="19"/>
      <c r="GOJ25" s="19"/>
      <c r="GOK25" s="19"/>
      <c r="GOL25" s="19"/>
      <c r="GOM25" s="19"/>
      <c r="GON25" s="19"/>
      <c r="GOO25" s="19"/>
      <c r="GOP25" s="19"/>
      <c r="GOQ25" s="19"/>
      <c r="GOR25" s="19"/>
      <c r="GOS25" s="19"/>
      <c r="GOT25" s="19"/>
      <c r="GOU25" s="19"/>
      <c r="GOV25" s="19"/>
      <c r="GOW25" s="19"/>
      <c r="GOX25" s="19"/>
      <c r="GOY25" s="19"/>
      <c r="GOZ25" s="19"/>
      <c r="GPA25" s="19"/>
      <c r="GPB25" s="19"/>
      <c r="GPC25" s="19"/>
      <c r="GPD25" s="19"/>
      <c r="GPE25" s="19"/>
      <c r="GPF25" s="19"/>
      <c r="GPG25" s="19"/>
      <c r="GPH25" s="19"/>
      <c r="GPI25" s="19"/>
      <c r="GPJ25" s="19"/>
      <c r="GPK25" s="19"/>
      <c r="GPL25" s="19"/>
      <c r="GPM25" s="19"/>
      <c r="GPN25" s="19"/>
      <c r="GPO25" s="19"/>
      <c r="GPP25" s="19"/>
      <c r="GPQ25" s="19"/>
      <c r="GPR25" s="19"/>
      <c r="GPS25" s="19"/>
      <c r="GPT25" s="19"/>
      <c r="GPU25" s="19"/>
      <c r="GPV25" s="19"/>
      <c r="GPW25" s="19"/>
      <c r="GPX25" s="19"/>
      <c r="GPY25" s="19"/>
      <c r="GPZ25" s="19"/>
      <c r="GQA25" s="19"/>
      <c r="GQB25" s="19"/>
      <c r="GQC25" s="19"/>
      <c r="GQD25" s="19"/>
      <c r="GQE25" s="19"/>
      <c r="GQF25" s="19"/>
      <c r="GQG25" s="19"/>
      <c r="GQH25" s="19"/>
      <c r="GQI25" s="19"/>
      <c r="GQJ25" s="19"/>
      <c r="GQK25" s="19"/>
      <c r="GQL25" s="19"/>
      <c r="GQM25" s="19"/>
      <c r="GQN25" s="19"/>
      <c r="GQO25" s="19"/>
      <c r="GQP25" s="19"/>
      <c r="GQQ25" s="19"/>
      <c r="GQR25" s="19"/>
      <c r="GQS25" s="19"/>
      <c r="GQT25" s="19"/>
      <c r="GQU25" s="19"/>
      <c r="GQV25" s="19"/>
      <c r="GQW25" s="19"/>
      <c r="GQX25" s="19"/>
      <c r="GQY25" s="19"/>
      <c r="GQZ25" s="19"/>
      <c r="GRA25" s="19"/>
      <c r="GRB25" s="19"/>
      <c r="GRC25" s="19"/>
      <c r="GRD25" s="19"/>
      <c r="GRE25" s="19"/>
      <c r="GRF25" s="19"/>
      <c r="GRG25" s="19"/>
      <c r="GRH25" s="19"/>
      <c r="GRI25" s="19"/>
      <c r="GRJ25" s="19"/>
      <c r="GRK25" s="19"/>
      <c r="GRL25" s="19"/>
      <c r="GRM25" s="19"/>
      <c r="GRN25" s="19"/>
      <c r="GRO25" s="19"/>
      <c r="GRP25" s="19"/>
      <c r="GRQ25" s="19"/>
      <c r="GRR25" s="19"/>
      <c r="GRS25" s="19"/>
      <c r="GRT25" s="19"/>
      <c r="GRU25" s="19"/>
      <c r="GRV25" s="19"/>
      <c r="GRW25" s="19"/>
      <c r="GRX25" s="19"/>
      <c r="GRY25" s="19"/>
      <c r="GRZ25" s="19"/>
      <c r="GSA25" s="19"/>
      <c r="GSB25" s="19"/>
      <c r="GSC25" s="19"/>
      <c r="GSD25" s="19"/>
      <c r="GSE25" s="19"/>
      <c r="GSF25" s="19"/>
      <c r="GSG25" s="19"/>
      <c r="GSH25" s="19"/>
      <c r="GSI25" s="19"/>
      <c r="GSJ25" s="19"/>
      <c r="GSK25" s="19"/>
      <c r="GSL25" s="19"/>
      <c r="GSM25" s="19"/>
      <c r="GSN25" s="19"/>
      <c r="GSO25" s="19"/>
      <c r="GSP25" s="19"/>
      <c r="GSQ25" s="19"/>
      <c r="GSR25" s="19"/>
      <c r="GSS25" s="19"/>
      <c r="GST25" s="19"/>
      <c r="GSU25" s="19"/>
      <c r="GSV25" s="19"/>
      <c r="GSW25" s="19"/>
      <c r="GSX25" s="19"/>
      <c r="GSY25" s="19"/>
      <c r="GSZ25" s="19"/>
      <c r="GTA25" s="19"/>
      <c r="GTB25" s="19"/>
      <c r="GTC25" s="19"/>
      <c r="GTD25" s="19"/>
      <c r="GTE25" s="19"/>
      <c r="GTF25" s="19"/>
      <c r="GTG25" s="19"/>
      <c r="GTH25" s="19"/>
      <c r="GTI25" s="19"/>
      <c r="GTJ25" s="19"/>
      <c r="GTK25" s="19"/>
      <c r="GTL25" s="19"/>
      <c r="GTM25" s="19"/>
      <c r="GTN25" s="19"/>
      <c r="GTO25" s="19"/>
      <c r="GTP25" s="19"/>
      <c r="GTQ25" s="19"/>
      <c r="GTR25" s="19"/>
      <c r="GTS25" s="19"/>
      <c r="GTT25" s="19"/>
      <c r="GTU25" s="19"/>
      <c r="GTV25" s="19"/>
      <c r="GTW25" s="19"/>
      <c r="GTX25" s="19"/>
      <c r="GTY25" s="19"/>
      <c r="GTZ25" s="19"/>
      <c r="GUA25" s="19"/>
      <c r="GUB25" s="19"/>
      <c r="GUC25" s="19"/>
      <c r="GUD25" s="19"/>
      <c r="GUE25" s="19"/>
      <c r="GUF25" s="19"/>
      <c r="GUG25" s="19"/>
      <c r="GUH25" s="19"/>
      <c r="GUI25" s="19"/>
      <c r="GUJ25" s="19"/>
      <c r="GUK25" s="19"/>
      <c r="GUL25" s="19"/>
      <c r="GUM25" s="19"/>
      <c r="GUN25" s="19"/>
      <c r="GUO25" s="19"/>
      <c r="GUP25" s="19"/>
      <c r="GUQ25" s="19"/>
      <c r="GUR25" s="19"/>
      <c r="GUS25" s="19"/>
      <c r="GUT25" s="19"/>
      <c r="GUU25" s="19"/>
      <c r="GUV25" s="19"/>
      <c r="GUW25" s="19"/>
      <c r="GUX25" s="19"/>
      <c r="GUY25" s="19"/>
      <c r="GUZ25" s="19"/>
      <c r="GVA25" s="19"/>
      <c r="GVB25" s="19"/>
      <c r="GVC25" s="19"/>
      <c r="GVD25" s="19"/>
      <c r="GVE25" s="19"/>
      <c r="GVF25" s="19"/>
      <c r="GVG25" s="19"/>
      <c r="GVH25" s="19"/>
      <c r="GVI25" s="19"/>
      <c r="GVJ25" s="19"/>
      <c r="GVK25" s="19"/>
      <c r="GVL25" s="19"/>
      <c r="GVM25" s="19"/>
      <c r="GVN25" s="19"/>
      <c r="GVO25" s="19"/>
      <c r="GVP25" s="19"/>
      <c r="GVQ25" s="19"/>
      <c r="GVR25" s="19"/>
      <c r="GVS25" s="19"/>
      <c r="GVT25" s="19"/>
      <c r="GVU25" s="19"/>
      <c r="GVV25" s="19"/>
      <c r="GVW25" s="19"/>
      <c r="GVX25" s="19"/>
      <c r="GVY25" s="19"/>
      <c r="GVZ25" s="19"/>
      <c r="GWA25" s="19"/>
      <c r="GWB25" s="19"/>
      <c r="GWC25" s="19"/>
      <c r="GWD25" s="19"/>
      <c r="GWE25" s="19"/>
      <c r="GWF25" s="19"/>
      <c r="GWG25" s="19"/>
      <c r="GWH25" s="19"/>
      <c r="GWI25" s="19"/>
      <c r="GWJ25" s="19"/>
      <c r="GWK25" s="19"/>
      <c r="GWL25" s="19"/>
      <c r="GWM25" s="19"/>
      <c r="GWN25" s="19"/>
      <c r="GWO25" s="19"/>
      <c r="GWP25" s="19"/>
      <c r="GWQ25" s="19"/>
      <c r="GWR25" s="19"/>
      <c r="GWS25" s="19"/>
      <c r="GWT25" s="19"/>
      <c r="GWU25" s="19"/>
      <c r="GWV25" s="19"/>
      <c r="GWW25" s="19"/>
      <c r="GWX25" s="19"/>
      <c r="GWY25" s="19"/>
      <c r="GWZ25" s="19"/>
      <c r="GXA25" s="19"/>
      <c r="GXB25" s="19"/>
      <c r="GXC25" s="19"/>
      <c r="GXD25" s="19"/>
      <c r="GXE25" s="19"/>
      <c r="GXF25" s="19"/>
      <c r="GXG25" s="19"/>
      <c r="GXH25" s="19"/>
      <c r="GXI25" s="19"/>
      <c r="GXJ25" s="19"/>
      <c r="GXK25" s="19"/>
      <c r="GXL25" s="19"/>
      <c r="GXM25" s="19"/>
      <c r="GXN25" s="19"/>
      <c r="GXO25" s="19"/>
      <c r="GXP25" s="19"/>
      <c r="GXQ25" s="19"/>
      <c r="GXR25" s="19"/>
      <c r="GXS25" s="19"/>
      <c r="GXT25" s="19"/>
      <c r="GXU25" s="19"/>
      <c r="GXV25" s="19"/>
      <c r="GXW25" s="19"/>
      <c r="GXX25" s="19"/>
      <c r="GXY25" s="19"/>
      <c r="GXZ25" s="19"/>
      <c r="GYA25" s="19"/>
      <c r="GYB25" s="19"/>
      <c r="GYC25" s="19"/>
      <c r="GYD25" s="19"/>
      <c r="GYE25" s="19"/>
      <c r="GYF25" s="19"/>
      <c r="GYG25" s="19"/>
      <c r="GYH25" s="19"/>
      <c r="GYI25" s="19"/>
      <c r="GYJ25" s="19"/>
      <c r="GYK25" s="19"/>
      <c r="GYL25" s="19"/>
      <c r="GYM25" s="19"/>
      <c r="GYN25" s="19"/>
      <c r="GYO25" s="19"/>
      <c r="GYP25" s="19"/>
      <c r="GYQ25" s="19"/>
      <c r="GYR25" s="19"/>
      <c r="GYS25" s="19"/>
      <c r="GYT25" s="19"/>
      <c r="GYU25" s="19"/>
      <c r="GYV25" s="19"/>
      <c r="GYW25" s="19"/>
      <c r="GYX25" s="19"/>
      <c r="GYY25" s="19"/>
      <c r="GYZ25" s="19"/>
      <c r="GZA25" s="19"/>
      <c r="GZB25" s="19"/>
      <c r="GZC25" s="19"/>
      <c r="GZD25" s="19"/>
      <c r="GZE25" s="19"/>
      <c r="GZF25" s="19"/>
      <c r="GZG25" s="19"/>
      <c r="GZH25" s="19"/>
      <c r="GZI25" s="19"/>
      <c r="GZJ25" s="19"/>
      <c r="GZK25" s="19"/>
      <c r="GZL25" s="19"/>
      <c r="GZM25" s="19"/>
      <c r="GZN25" s="19"/>
      <c r="GZO25" s="19"/>
      <c r="GZP25" s="19"/>
      <c r="GZQ25" s="19"/>
      <c r="GZR25" s="19"/>
      <c r="GZS25" s="19"/>
      <c r="GZT25" s="19"/>
      <c r="GZU25" s="19"/>
      <c r="GZV25" s="19"/>
      <c r="GZW25" s="19"/>
      <c r="GZX25" s="19"/>
      <c r="GZY25" s="19"/>
      <c r="GZZ25" s="19"/>
      <c r="HAA25" s="19"/>
      <c r="HAB25" s="19"/>
      <c r="HAC25" s="19"/>
      <c r="HAD25" s="19"/>
      <c r="HAE25" s="19"/>
      <c r="HAF25" s="19"/>
      <c r="HAG25" s="19"/>
      <c r="HAH25" s="19"/>
      <c r="HAI25" s="19"/>
      <c r="HAJ25" s="19"/>
      <c r="HAK25" s="19"/>
      <c r="HAL25" s="19"/>
      <c r="HAM25" s="19"/>
      <c r="HAN25" s="19"/>
      <c r="HAO25" s="19"/>
      <c r="HAP25" s="19"/>
      <c r="HAQ25" s="19"/>
      <c r="HAR25" s="19"/>
      <c r="HAS25" s="19"/>
      <c r="HAT25" s="19"/>
      <c r="HAU25" s="19"/>
      <c r="HAV25" s="19"/>
      <c r="HAW25" s="19"/>
      <c r="HAX25" s="19"/>
      <c r="HAY25" s="19"/>
      <c r="HAZ25" s="19"/>
      <c r="HBA25" s="19"/>
      <c r="HBB25" s="19"/>
      <c r="HBC25" s="19"/>
      <c r="HBD25" s="19"/>
      <c r="HBE25" s="19"/>
      <c r="HBF25" s="19"/>
      <c r="HBG25" s="19"/>
      <c r="HBH25" s="19"/>
      <c r="HBI25" s="19"/>
      <c r="HBJ25" s="19"/>
      <c r="HBK25" s="19"/>
      <c r="HBL25" s="19"/>
      <c r="HBM25" s="19"/>
      <c r="HBN25" s="19"/>
      <c r="HBO25" s="19"/>
      <c r="HBP25" s="19"/>
      <c r="HBQ25" s="19"/>
      <c r="HBR25" s="19"/>
      <c r="HBS25" s="19"/>
      <c r="HBT25" s="19"/>
      <c r="HBU25" s="19"/>
      <c r="HBV25" s="19"/>
      <c r="HBW25" s="19"/>
      <c r="HBX25" s="19"/>
      <c r="HBY25" s="19"/>
      <c r="HBZ25" s="19"/>
      <c r="HCA25" s="19"/>
      <c r="HCB25" s="19"/>
      <c r="HCC25" s="19"/>
      <c r="HCD25" s="19"/>
      <c r="HCE25" s="19"/>
      <c r="HCF25" s="19"/>
      <c r="HCG25" s="19"/>
      <c r="HCH25" s="19"/>
      <c r="HCI25" s="19"/>
      <c r="HCJ25" s="19"/>
      <c r="HCK25" s="19"/>
      <c r="HCL25" s="19"/>
      <c r="HCM25" s="19"/>
      <c r="HCN25" s="19"/>
      <c r="HCO25" s="19"/>
      <c r="HCP25" s="19"/>
      <c r="HCQ25" s="19"/>
      <c r="HCR25" s="19"/>
      <c r="HCS25" s="19"/>
      <c r="HCT25" s="19"/>
      <c r="HCU25" s="19"/>
      <c r="HCV25" s="19"/>
      <c r="HCW25" s="19"/>
      <c r="HCX25" s="19"/>
      <c r="HCY25" s="19"/>
      <c r="HCZ25" s="19"/>
      <c r="HDA25" s="19"/>
      <c r="HDB25" s="19"/>
      <c r="HDC25" s="19"/>
      <c r="HDD25" s="19"/>
      <c r="HDE25" s="19"/>
      <c r="HDF25" s="19"/>
      <c r="HDG25" s="19"/>
      <c r="HDH25" s="19"/>
      <c r="HDI25" s="19"/>
      <c r="HDJ25" s="19"/>
      <c r="HDK25" s="19"/>
      <c r="HDL25" s="19"/>
      <c r="HDM25" s="19"/>
      <c r="HDN25" s="19"/>
      <c r="HDO25" s="19"/>
      <c r="HDP25" s="19"/>
      <c r="HDQ25" s="19"/>
      <c r="HDR25" s="19"/>
      <c r="HDS25" s="19"/>
      <c r="HDT25" s="19"/>
      <c r="HDU25" s="19"/>
      <c r="HDV25" s="19"/>
      <c r="HDW25" s="19"/>
      <c r="HDX25" s="19"/>
      <c r="HDY25" s="19"/>
      <c r="HDZ25" s="19"/>
      <c r="HEA25" s="19"/>
      <c r="HEB25" s="19"/>
      <c r="HEC25" s="19"/>
      <c r="HED25" s="19"/>
      <c r="HEE25" s="19"/>
      <c r="HEF25" s="19"/>
      <c r="HEG25" s="19"/>
      <c r="HEH25" s="19"/>
      <c r="HEI25" s="19"/>
      <c r="HEJ25" s="19"/>
      <c r="HEK25" s="19"/>
      <c r="HEL25" s="19"/>
      <c r="HEM25" s="19"/>
      <c r="HEN25" s="19"/>
      <c r="HEO25" s="19"/>
      <c r="HEP25" s="19"/>
      <c r="HEQ25" s="19"/>
      <c r="HER25" s="19"/>
      <c r="HES25" s="19"/>
      <c r="HET25" s="19"/>
      <c r="HEU25" s="19"/>
      <c r="HEV25" s="19"/>
      <c r="HEW25" s="19"/>
      <c r="HEX25" s="19"/>
      <c r="HEY25" s="19"/>
      <c r="HEZ25" s="19"/>
      <c r="HFA25" s="19"/>
      <c r="HFB25" s="19"/>
      <c r="HFC25" s="19"/>
      <c r="HFD25" s="19"/>
      <c r="HFE25" s="19"/>
      <c r="HFF25" s="19"/>
      <c r="HFG25" s="19"/>
      <c r="HFH25" s="19"/>
      <c r="HFI25" s="19"/>
      <c r="HFJ25" s="19"/>
      <c r="HFK25" s="19"/>
      <c r="HFL25" s="19"/>
      <c r="HFM25" s="19"/>
      <c r="HFN25" s="19"/>
      <c r="HFO25" s="19"/>
      <c r="HFP25" s="19"/>
      <c r="HFQ25" s="19"/>
      <c r="HFR25" s="19"/>
      <c r="HFS25" s="19"/>
      <c r="HFT25" s="19"/>
      <c r="HFU25" s="19"/>
      <c r="HFV25" s="19"/>
      <c r="HFW25" s="19"/>
      <c r="HFX25" s="19"/>
      <c r="HFY25" s="19"/>
      <c r="HFZ25" s="19"/>
      <c r="HGA25" s="19"/>
      <c r="HGB25" s="19"/>
      <c r="HGC25" s="19"/>
      <c r="HGD25" s="19"/>
      <c r="HGE25" s="19"/>
      <c r="HGF25" s="19"/>
      <c r="HGG25" s="19"/>
      <c r="HGH25" s="19"/>
      <c r="HGI25" s="19"/>
      <c r="HGJ25" s="19"/>
      <c r="HGK25" s="19"/>
      <c r="HGL25" s="19"/>
      <c r="HGM25" s="19"/>
      <c r="HGN25" s="19"/>
      <c r="HGO25" s="19"/>
      <c r="HGP25" s="19"/>
      <c r="HGQ25" s="19"/>
      <c r="HGR25" s="19"/>
      <c r="HGS25" s="19"/>
      <c r="HGT25" s="19"/>
      <c r="HGU25" s="19"/>
      <c r="HGV25" s="19"/>
      <c r="HGW25" s="19"/>
      <c r="HGX25" s="19"/>
      <c r="HGY25" s="19"/>
      <c r="HGZ25" s="19"/>
      <c r="HHA25" s="19"/>
      <c r="HHB25" s="19"/>
      <c r="HHC25" s="19"/>
      <c r="HHD25" s="19"/>
      <c r="HHE25" s="19"/>
      <c r="HHF25" s="19"/>
      <c r="HHG25" s="19"/>
      <c r="HHH25" s="19"/>
      <c r="HHI25" s="19"/>
      <c r="HHJ25" s="19"/>
      <c r="HHK25" s="19"/>
      <c r="HHL25" s="19"/>
      <c r="HHM25" s="19"/>
      <c r="HHN25" s="19"/>
      <c r="HHO25" s="19"/>
      <c r="HHP25" s="19"/>
      <c r="HHQ25" s="19"/>
      <c r="HHR25" s="19"/>
      <c r="HHS25" s="19"/>
      <c r="HHT25" s="19"/>
      <c r="HHU25" s="19"/>
      <c r="HHV25" s="19"/>
      <c r="HHW25" s="19"/>
      <c r="HHX25" s="19"/>
      <c r="HHY25" s="19"/>
      <c r="HHZ25" s="19"/>
      <c r="HIA25" s="19"/>
      <c r="HIB25" s="19"/>
      <c r="HIC25" s="19"/>
      <c r="HID25" s="19"/>
      <c r="HIE25" s="19"/>
      <c r="HIF25" s="19"/>
      <c r="HIG25" s="19"/>
      <c r="HIH25" s="19"/>
      <c r="HII25" s="19"/>
      <c r="HIJ25" s="19"/>
      <c r="HIK25" s="19"/>
      <c r="HIL25" s="19"/>
      <c r="HIM25" s="19"/>
      <c r="HIN25" s="19"/>
      <c r="HIO25" s="19"/>
      <c r="HIP25" s="19"/>
      <c r="HIQ25" s="19"/>
      <c r="HIR25" s="19"/>
      <c r="HIS25" s="19"/>
      <c r="HIT25" s="19"/>
      <c r="HIU25" s="19"/>
      <c r="HIV25" s="19"/>
      <c r="HIW25" s="19"/>
      <c r="HIX25" s="19"/>
      <c r="HIY25" s="19"/>
      <c r="HIZ25" s="19"/>
      <c r="HJA25" s="19"/>
      <c r="HJB25" s="19"/>
      <c r="HJC25" s="19"/>
      <c r="HJD25" s="19"/>
      <c r="HJE25" s="19"/>
      <c r="HJF25" s="19"/>
      <c r="HJG25" s="19"/>
      <c r="HJH25" s="19"/>
      <c r="HJI25" s="19"/>
      <c r="HJJ25" s="19"/>
      <c r="HJK25" s="19"/>
      <c r="HJL25" s="19"/>
      <c r="HJM25" s="19"/>
      <c r="HJN25" s="19"/>
      <c r="HJO25" s="19"/>
      <c r="HJP25" s="19"/>
      <c r="HJQ25" s="19"/>
      <c r="HJR25" s="19"/>
      <c r="HJS25" s="19"/>
      <c r="HJT25" s="19"/>
      <c r="HJU25" s="19"/>
      <c r="HJV25" s="19"/>
      <c r="HJW25" s="19"/>
      <c r="HJX25" s="19"/>
      <c r="HJY25" s="19"/>
      <c r="HJZ25" s="19"/>
      <c r="HKA25" s="19"/>
      <c r="HKB25" s="19"/>
      <c r="HKC25" s="19"/>
      <c r="HKD25" s="19"/>
      <c r="HKE25" s="19"/>
      <c r="HKF25" s="19"/>
      <c r="HKG25" s="19"/>
      <c r="HKH25" s="19"/>
      <c r="HKI25" s="19"/>
      <c r="HKJ25" s="19"/>
      <c r="HKK25" s="19"/>
      <c r="HKL25" s="19"/>
      <c r="HKM25" s="19"/>
      <c r="HKN25" s="19"/>
      <c r="HKO25" s="19"/>
      <c r="HKP25" s="19"/>
      <c r="HKQ25" s="19"/>
      <c r="HKR25" s="19"/>
      <c r="HKS25" s="19"/>
      <c r="HKT25" s="19"/>
      <c r="HKU25" s="19"/>
      <c r="HKV25" s="19"/>
      <c r="HKW25" s="19"/>
      <c r="HKX25" s="19"/>
      <c r="HKY25" s="19"/>
      <c r="HKZ25" s="19"/>
      <c r="HLA25" s="19"/>
      <c r="HLB25" s="19"/>
      <c r="HLC25" s="19"/>
      <c r="HLD25" s="19"/>
      <c r="HLE25" s="19"/>
      <c r="HLF25" s="19"/>
      <c r="HLG25" s="19"/>
      <c r="HLH25" s="19"/>
      <c r="HLI25" s="19"/>
      <c r="HLJ25" s="19"/>
      <c r="HLK25" s="19"/>
      <c r="HLL25" s="19"/>
      <c r="HLM25" s="19"/>
      <c r="HLN25" s="19"/>
      <c r="HLO25" s="19"/>
      <c r="HLP25" s="19"/>
      <c r="HLQ25" s="19"/>
      <c r="HLR25" s="19"/>
      <c r="HLS25" s="19"/>
      <c r="HLT25" s="19"/>
      <c r="HLU25" s="19"/>
      <c r="HLV25" s="19"/>
      <c r="HLW25" s="19"/>
      <c r="HLX25" s="19"/>
      <c r="HLY25" s="19"/>
      <c r="HLZ25" s="19"/>
      <c r="HMA25" s="19"/>
      <c r="HMB25" s="19"/>
      <c r="HMC25" s="19"/>
      <c r="HMD25" s="19"/>
      <c r="HME25" s="19"/>
      <c r="HMF25" s="19"/>
      <c r="HMG25" s="19"/>
      <c r="HMH25" s="19"/>
      <c r="HMI25" s="19"/>
      <c r="HMJ25" s="19"/>
      <c r="HMK25" s="19"/>
      <c r="HML25" s="19"/>
      <c r="HMM25" s="19"/>
      <c r="HMN25" s="19"/>
      <c r="HMO25" s="19"/>
      <c r="HMP25" s="19"/>
      <c r="HMQ25" s="19"/>
      <c r="HMR25" s="19"/>
      <c r="HMS25" s="19"/>
      <c r="HMT25" s="19"/>
      <c r="HMU25" s="19"/>
      <c r="HMV25" s="19"/>
      <c r="HMW25" s="19"/>
      <c r="HMX25" s="19"/>
      <c r="HMY25" s="19"/>
      <c r="HMZ25" s="19"/>
      <c r="HNA25" s="19"/>
      <c r="HNB25" s="19"/>
      <c r="HNC25" s="19"/>
      <c r="HND25" s="19"/>
      <c r="HNE25" s="19"/>
      <c r="HNF25" s="19"/>
      <c r="HNG25" s="19"/>
      <c r="HNH25" s="19"/>
      <c r="HNI25" s="19"/>
      <c r="HNJ25" s="19"/>
      <c r="HNK25" s="19"/>
      <c r="HNL25" s="19"/>
      <c r="HNM25" s="19"/>
      <c r="HNN25" s="19"/>
      <c r="HNO25" s="19"/>
      <c r="HNP25" s="19"/>
      <c r="HNQ25" s="19"/>
      <c r="HNR25" s="19"/>
      <c r="HNS25" s="19"/>
      <c r="HNT25" s="19"/>
      <c r="HNU25" s="19"/>
      <c r="HNV25" s="19"/>
      <c r="HNW25" s="19"/>
      <c r="HNX25" s="19"/>
      <c r="HNY25" s="19"/>
      <c r="HNZ25" s="19"/>
      <c r="HOA25" s="19"/>
      <c r="HOB25" s="19"/>
      <c r="HOC25" s="19"/>
      <c r="HOD25" s="19"/>
      <c r="HOE25" s="19"/>
      <c r="HOF25" s="19"/>
      <c r="HOG25" s="19"/>
      <c r="HOH25" s="19"/>
      <c r="HOI25" s="19"/>
      <c r="HOJ25" s="19"/>
      <c r="HOK25" s="19"/>
      <c r="HOL25" s="19"/>
      <c r="HOM25" s="19"/>
      <c r="HON25" s="19"/>
      <c r="HOO25" s="19"/>
      <c r="HOP25" s="19"/>
      <c r="HOQ25" s="19"/>
      <c r="HOR25" s="19"/>
      <c r="HOS25" s="19"/>
      <c r="HOT25" s="19"/>
      <c r="HOU25" s="19"/>
      <c r="HOV25" s="19"/>
      <c r="HOW25" s="19"/>
      <c r="HOX25" s="19"/>
      <c r="HOY25" s="19"/>
      <c r="HOZ25" s="19"/>
      <c r="HPA25" s="19"/>
      <c r="HPB25" s="19"/>
      <c r="HPC25" s="19"/>
      <c r="HPD25" s="19"/>
      <c r="HPE25" s="19"/>
      <c r="HPF25" s="19"/>
      <c r="HPG25" s="19"/>
      <c r="HPH25" s="19"/>
      <c r="HPI25" s="19"/>
      <c r="HPJ25" s="19"/>
      <c r="HPK25" s="19"/>
      <c r="HPL25" s="19"/>
      <c r="HPM25" s="19"/>
      <c r="HPN25" s="19"/>
      <c r="HPO25" s="19"/>
      <c r="HPP25" s="19"/>
      <c r="HPQ25" s="19"/>
      <c r="HPR25" s="19"/>
      <c r="HPS25" s="19"/>
      <c r="HPT25" s="19"/>
      <c r="HPU25" s="19"/>
      <c r="HPV25" s="19"/>
      <c r="HPW25" s="19"/>
      <c r="HPX25" s="19"/>
      <c r="HPY25" s="19"/>
      <c r="HPZ25" s="19"/>
      <c r="HQA25" s="19"/>
      <c r="HQB25" s="19"/>
      <c r="HQC25" s="19"/>
      <c r="HQD25" s="19"/>
      <c r="HQE25" s="19"/>
      <c r="HQF25" s="19"/>
      <c r="HQG25" s="19"/>
      <c r="HQH25" s="19"/>
      <c r="HQI25" s="19"/>
      <c r="HQJ25" s="19"/>
      <c r="HQK25" s="19"/>
      <c r="HQL25" s="19"/>
      <c r="HQM25" s="19"/>
      <c r="HQN25" s="19"/>
      <c r="HQO25" s="19"/>
      <c r="HQP25" s="19"/>
      <c r="HQQ25" s="19"/>
      <c r="HQR25" s="19"/>
      <c r="HQS25" s="19"/>
      <c r="HQT25" s="19"/>
      <c r="HQU25" s="19"/>
      <c r="HQV25" s="19"/>
      <c r="HQW25" s="19"/>
      <c r="HQX25" s="19"/>
      <c r="HQY25" s="19"/>
      <c r="HQZ25" s="19"/>
      <c r="HRA25" s="19"/>
      <c r="HRB25" s="19"/>
      <c r="HRC25" s="19"/>
      <c r="HRD25" s="19"/>
      <c r="HRE25" s="19"/>
      <c r="HRF25" s="19"/>
      <c r="HRG25" s="19"/>
      <c r="HRH25" s="19"/>
      <c r="HRI25" s="19"/>
      <c r="HRJ25" s="19"/>
      <c r="HRK25" s="19"/>
      <c r="HRL25" s="19"/>
      <c r="HRM25" s="19"/>
      <c r="HRN25" s="19"/>
      <c r="HRO25" s="19"/>
      <c r="HRP25" s="19"/>
      <c r="HRQ25" s="19"/>
      <c r="HRR25" s="19"/>
      <c r="HRS25" s="19"/>
      <c r="HRT25" s="19"/>
      <c r="HRU25" s="19"/>
      <c r="HRV25" s="19"/>
      <c r="HRW25" s="19"/>
      <c r="HRX25" s="19"/>
      <c r="HRY25" s="19"/>
      <c r="HRZ25" s="19"/>
      <c r="HSA25" s="19"/>
      <c r="HSB25" s="19"/>
      <c r="HSC25" s="19"/>
      <c r="HSD25" s="19"/>
      <c r="HSE25" s="19"/>
      <c r="HSF25" s="19"/>
      <c r="HSG25" s="19"/>
      <c r="HSH25" s="19"/>
      <c r="HSI25" s="19"/>
      <c r="HSJ25" s="19"/>
      <c r="HSK25" s="19"/>
      <c r="HSL25" s="19"/>
      <c r="HSM25" s="19"/>
      <c r="HSN25" s="19"/>
      <c r="HSO25" s="19"/>
      <c r="HSP25" s="19"/>
      <c r="HSQ25" s="19"/>
      <c r="HSR25" s="19"/>
      <c r="HSS25" s="19"/>
      <c r="HST25" s="19"/>
      <c r="HSU25" s="19"/>
      <c r="HSV25" s="19"/>
      <c r="HSW25" s="19"/>
      <c r="HSX25" s="19"/>
      <c r="HSY25" s="19"/>
      <c r="HSZ25" s="19"/>
      <c r="HTA25" s="19"/>
      <c r="HTB25" s="19"/>
      <c r="HTC25" s="19"/>
      <c r="HTD25" s="19"/>
      <c r="HTE25" s="19"/>
      <c r="HTF25" s="19"/>
      <c r="HTG25" s="19"/>
      <c r="HTH25" s="19"/>
      <c r="HTI25" s="19"/>
      <c r="HTJ25" s="19"/>
      <c r="HTK25" s="19"/>
      <c r="HTL25" s="19"/>
      <c r="HTM25" s="19"/>
      <c r="HTN25" s="19"/>
      <c r="HTO25" s="19"/>
      <c r="HTP25" s="19"/>
      <c r="HTQ25" s="19"/>
      <c r="HTR25" s="19"/>
      <c r="HTS25" s="19"/>
      <c r="HTT25" s="19"/>
      <c r="HTU25" s="19"/>
      <c r="HTV25" s="19"/>
      <c r="HTW25" s="19"/>
      <c r="HTX25" s="19"/>
      <c r="HTY25" s="19"/>
      <c r="HTZ25" s="19"/>
      <c r="HUA25" s="19"/>
      <c r="HUB25" s="19"/>
      <c r="HUC25" s="19"/>
      <c r="HUD25" s="19"/>
      <c r="HUE25" s="19"/>
      <c r="HUF25" s="19"/>
      <c r="HUG25" s="19"/>
      <c r="HUH25" s="19"/>
      <c r="HUI25" s="19"/>
      <c r="HUJ25" s="19"/>
      <c r="HUK25" s="19"/>
      <c r="HUL25" s="19"/>
      <c r="HUM25" s="19"/>
      <c r="HUN25" s="19"/>
      <c r="HUO25" s="19"/>
      <c r="HUP25" s="19"/>
      <c r="HUQ25" s="19"/>
      <c r="HUR25" s="19"/>
      <c r="HUS25" s="19"/>
      <c r="HUT25" s="19"/>
      <c r="HUU25" s="19"/>
      <c r="HUV25" s="19"/>
      <c r="HUW25" s="19"/>
      <c r="HUX25" s="19"/>
      <c r="HUY25" s="19"/>
      <c r="HUZ25" s="19"/>
      <c r="HVA25" s="19"/>
      <c r="HVB25" s="19"/>
      <c r="HVC25" s="19"/>
      <c r="HVD25" s="19"/>
      <c r="HVE25" s="19"/>
      <c r="HVF25" s="19"/>
      <c r="HVG25" s="19"/>
      <c r="HVH25" s="19"/>
      <c r="HVI25" s="19"/>
      <c r="HVJ25" s="19"/>
      <c r="HVK25" s="19"/>
      <c r="HVL25" s="19"/>
      <c r="HVM25" s="19"/>
      <c r="HVN25" s="19"/>
      <c r="HVO25" s="19"/>
      <c r="HVP25" s="19"/>
      <c r="HVQ25" s="19"/>
      <c r="HVR25" s="19"/>
      <c r="HVS25" s="19"/>
      <c r="HVT25" s="19"/>
      <c r="HVU25" s="19"/>
      <c r="HVV25" s="19"/>
      <c r="HVW25" s="19"/>
      <c r="HVX25" s="19"/>
      <c r="HVY25" s="19"/>
      <c r="HVZ25" s="19"/>
      <c r="HWA25" s="19"/>
      <c r="HWB25" s="19"/>
      <c r="HWC25" s="19"/>
      <c r="HWD25" s="19"/>
      <c r="HWE25" s="19"/>
      <c r="HWF25" s="19"/>
      <c r="HWG25" s="19"/>
      <c r="HWH25" s="19"/>
      <c r="HWI25" s="19"/>
      <c r="HWJ25" s="19"/>
      <c r="HWK25" s="19"/>
      <c r="HWL25" s="19"/>
      <c r="HWM25" s="19"/>
      <c r="HWN25" s="19"/>
      <c r="HWO25" s="19"/>
      <c r="HWP25" s="19"/>
      <c r="HWQ25" s="19"/>
      <c r="HWR25" s="19"/>
      <c r="HWS25" s="19"/>
      <c r="HWT25" s="19"/>
      <c r="HWU25" s="19"/>
      <c r="HWV25" s="19"/>
      <c r="HWW25" s="19"/>
      <c r="HWX25" s="19"/>
      <c r="HWY25" s="19"/>
      <c r="HWZ25" s="19"/>
      <c r="HXA25" s="19"/>
      <c r="HXB25" s="19"/>
      <c r="HXC25" s="19"/>
      <c r="HXD25" s="19"/>
      <c r="HXE25" s="19"/>
      <c r="HXF25" s="19"/>
      <c r="HXG25" s="19"/>
      <c r="HXH25" s="19"/>
      <c r="HXI25" s="19"/>
      <c r="HXJ25" s="19"/>
      <c r="HXK25" s="19"/>
      <c r="HXL25" s="19"/>
      <c r="HXM25" s="19"/>
      <c r="HXN25" s="19"/>
      <c r="HXO25" s="19"/>
      <c r="HXP25" s="19"/>
      <c r="HXQ25" s="19"/>
      <c r="HXR25" s="19"/>
      <c r="HXS25" s="19"/>
      <c r="HXT25" s="19"/>
      <c r="HXU25" s="19"/>
      <c r="HXV25" s="19"/>
      <c r="HXW25" s="19"/>
      <c r="HXX25" s="19"/>
      <c r="HXY25" s="19"/>
      <c r="HXZ25" s="19"/>
      <c r="HYA25" s="19"/>
      <c r="HYB25" s="19"/>
      <c r="HYC25" s="19"/>
      <c r="HYD25" s="19"/>
      <c r="HYE25" s="19"/>
      <c r="HYF25" s="19"/>
      <c r="HYG25" s="19"/>
      <c r="HYH25" s="19"/>
      <c r="HYI25" s="19"/>
      <c r="HYJ25" s="19"/>
      <c r="HYK25" s="19"/>
      <c r="HYL25" s="19"/>
      <c r="HYM25" s="19"/>
      <c r="HYN25" s="19"/>
      <c r="HYO25" s="19"/>
      <c r="HYP25" s="19"/>
      <c r="HYQ25" s="19"/>
      <c r="HYR25" s="19"/>
      <c r="HYS25" s="19"/>
      <c r="HYT25" s="19"/>
      <c r="HYU25" s="19"/>
      <c r="HYV25" s="19"/>
      <c r="HYW25" s="19"/>
      <c r="HYX25" s="19"/>
      <c r="HYY25" s="19"/>
      <c r="HYZ25" s="19"/>
      <c r="HZA25" s="19"/>
      <c r="HZB25" s="19"/>
      <c r="HZC25" s="19"/>
      <c r="HZD25" s="19"/>
      <c r="HZE25" s="19"/>
      <c r="HZF25" s="19"/>
      <c r="HZG25" s="19"/>
      <c r="HZH25" s="19"/>
      <c r="HZI25" s="19"/>
      <c r="HZJ25" s="19"/>
      <c r="HZK25" s="19"/>
      <c r="HZL25" s="19"/>
      <c r="HZM25" s="19"/>
      <c r="HZN25" s="19"/>
      <c r="HZO25" s="19"/>
      <c r="HZP25" s="19"/>
      <c r="HZQ25" s="19"/>
      <c r="HZR25" s="19"/>
      <c r="HZS25" s="19"/>
      <c r="HZT25" s="19"/>
      <c r="HZU25" s="19"/>
      <c r="HZV25" s="19"/>
      <c r="HZW25" s="19"/>
      <c r="HZX25" s="19"/>
      <c r="HZY25" s="19"/>
      <c r="HZZ25" s="19"/>
      <c r="IAA25" s="19"/>
      <c r="IAB25" s="19"/>
      <c r="IAC25" s="19"/>
      <c r="IAD25" s="19"/>
      <c r="IAE25" s="19"/>
      <c r="IAF25" s="19"/>
      <c r="IAG25" s="19"/>
      <c r="IAH25" s="19"/>
      <c r="IAI25" s="19"/>
      <c r="IAJ25" s="19"/>
      <c r="IAK25" s="19"/>
      <c r="IAL25" s="19"/>
      <c r="IAM25" s="19"/>
      <c r="IAN25" s="19"/>
      <c r="IAO25" s="19"/>
      <c r="IAP25" s="19"/>
      <c r="IAQ25" s="19"/>
      <c r="IAR25" s="19"/>
      <c r="IAS25" s="19"/>
      <c r="IAT25" s="19"/>
      <c r="IAU25" s="19"/>
      <c r="IAV25" s="19"/>
      <c r="IAW25" s="19"/>
      <c r="IAX25" s="19"/>
      <c r="IAY25" s="19"/>
      <c r="IAZ25" s="19"/>
      <c r="IBA25" s="19"/>
      <c r="IBB25" s="19"/>
      <c r="IBC25" s="19"/>
      <c r="IBD25" s="19"/>
      <c r="IBE25" s="19"/>
      <c r="IBF25" s="19"/>
      <c r="IBG25" s="19"/>
      <c r="IBH25" s="19"/>
      <c r="IBI25" s="19"/>
      <c r="IBJ25" s="19"/>
      <c r="IBK25" s="19"/>
      <c r="IBL25" s="19"/>
      <c r="IBM25" s="19"/>
      <c r="IBN25" s="19"/>
      <c r="IBO25" s="19"/>
      <c r="IBP25" s="19"/>
      <c r="IBQ25" s="19"/>
      <c r="IBR25" s="19"/>
      <c r="IBS25" s="19"/>
      <c r="IBT25" s="19"/>
      <c r="IBU25" s="19"/>
      <c r="IBV25" s="19"/>
      <c r="IBW25" s="19"/>
      <c r="IBX25" s="19"/>
      <c r="IBY25" s="19"/>
      <c r="IBZ25" s="19"/>
      <c r="ICA25" s="19"/>
      <c r="ICB25" s="19"/>
      <c r="ICC25" s="19"/>
      <c r="ICD25" s="19"/>
      <c r="ICE25" s="19"/>
      <c r="ICF25" s="19"/>
      <c r="ICG25" s="19"/>
      <c r="ICH25" s="19"/>
      <c r="ICI25" s="19"/>
      <c r="ICJ25" s="19"/>
      <c r="ICK25" s="19"/>
      <c r="ICL25" s="19"/>
      <c r="ICM25" s="19"/>
      <c r="ICN25" s="19"/>
      <c r="ICO25" s="19"/>
      <c r="ICP25" s="19"/>
      <c r="ICQ25" s="19"/>
      <c r="ICR25" s="19"/>
      <c r="ICS25" s="19"/>
      <c r="ICT25" s="19"/>
      <c r="ICU25" s="19"/>
      <c r="ICV25" s="19"/>
      <c r="ICW25" s="19"/>
      <c r="ICX25" s="19"/>
      <c r="ICY25" s="19"/>
      <c r="ICZ25" s="19"/>
      <c r="IDA25" s="19"/>
      <c r="IDB25" s="19"/>
      <c r="IDC25" s="19"/>
      <c r="IDD25" s="19"/>
      <c r="IDE25" s="19"/>
      <c r="IDF25" s="19"/>
      <c r="IDG25" s="19"/>
      <c r="IDH25" s="19"/>
      <c r="IDI25" s="19"/>
      <c r="IDJ25" s="19"/>
      <c r="IDK25" s="19"/>
      <c r="IDL25" s="19"/>
      <c r="IDM25" s="19"/>
      <c r="IDN25" s="19"/>
      <c r="IDO25" s="19"/>
      <c r="IDP25" s="19"/>
      <c r="IDQ25" s="19"/>
      <c r="IDR25" s="19"/>
      <c r="IDS25" s="19"/>
      <c r="IDT25" s="19"/>
      <c r="IDU25" s="19"/>
      <c r="IDV25" s="19"/>
      <c r="IDW25" s="19"/>
      <c r="IDX25" s="19"/>
      <c r="IDY25" s="19"/>
      <c r="IDZ25" s="19"/>
      <c r="IEA25" s="19"/>
      <c r="IEB25" s="19"/>
      <c r="IEC25" s="19"/>
      <c r="IED25" s="19"/>
      <c r="IEE25" s="19"/>
      <c r="IEF25" s="19"/>
      <c r="IEG25" s="19"/>
      <c r="IEH25" s="19"/>
      <c r="IEI25" s="19"/>
      <c r="IEJ25" s="19"/>
      <c r="IEK25" s="19"/>
      <c r="IEL25" s="19"/>
      <c r="IEM25" s="19"/>
      <c r="IEN25" s="19"/>
      <c r="IEO25" s="19"/>
      <c r="IEP25" s="19"/>
      <c r="IEQ25" s="19"/>
      <c r="IER25" s="19"/>
      <c r="IES25" s="19"/>
      <c r="IET25" s="19"/>
      <c r="IEU25" s="19"/>
      <c r="IEV25" s="19"/>
      <c r="IEW25" s="19"/>
      <c r="IEX25" s="19"/>
      <c r="IEY25" s="19"/>
      <c r="IEZ25" s="19"/>
      <c r="IFA25" s="19"/>
      <c r="IFB25" s="19"/>
      <c r="IFC25" s="19"/>
      <c r="IFD25" s="19"/>
      <c r="IFE25" s="19"/>
      <c r="IFF25" s="19"/>
      <c r="IFG25" s="19"/>
      <c r="IFH25" s="19"/>
      <c r="IFI25" s="19"/>
      <c r="IFJ25" s="19"/>
      <c r="IFK25" s="19"/>
      <c r="IFL25" s="19"/>
      <c r="IFM25" s="19"/>
      <c r="IFN25" s="19"/>
      <c r="IFO25" s="19"/>
      <c r="IFP25" s="19"/>
      <c r="IFQ25" s="19"/>
      <c r="IFR25" s="19"/>
      <c r="IFS25" s="19"/>
      <c r="IFT25" s="19"/>
      <c r="IFU25" s="19"/>
      <c r="IFV25" s="19"/>
      <c r="IFW25" s="19"/>
      <c r="IFX25" s="19"/>
      <c r="IFY25" s="19"/>
      <c r="IFZ25" s="19"/>
      <c r="IGA25" s="19"/>
      <c r="IGB25" s="19"/>
      <c r="IGC25" s="19"/>
      <c r="IGD25" s="19"/>
      <c r="IGE25" s="19"/>
      <c r="IGF25" s="19"/>
      <c r="IGG25" s="19"/>
      <c r="IGH25" s="19"/>
      <c r="IGI25" s="19"/>
      <c r="IGJ25" s="19"/>
      <c r="IGK25" s="19"/>
      <c r="IGL25" s="19"/>
      <c r="IGM25" s="19"/>
      <c r="IGN25" s="19"/>
      <c r="IGO25" s="19"/>
      <c r="IGP25" s="19"/>
      <c r="IGQ25" s="19"/>
      <c r="IGR25" s="19"/>
      <c r="IGS25" s="19"/>
      <c r="IGT25" s="19"/>
      <c r="IGU25" s="19"/>
      <c r="IGV25" s="19"/>
      <c r="IGW25" s="19"/>
      <c r="IGX25" s="19"/>
      <c r="IGY25" s="19"/>
      <c r="IGZ25" s="19"/>
      <c r="IHA25" s="19"/>
      <c r="IHB25" s="19"/>
      <c r="IHC25" s="19"/>
      <c r="IHD25" s="19"/>
      <c r="IHE25" s="19"/>
      <c r="IHF25" s="19"/>
      <c r="IHG25" s="19"/>
      <c r="IHH25" s="19"/>
      <c r="IHI25" s="19"/>
      <c r="IHJ25" s="19"/>
      <c r="IHK25" s="19"/>
      <c r="IHL25" s="19"/>
      <c r="IHM25" s="19"/>
      <c r="IHN25" s="19"/>
      <c r="IHO25" s="19"/>
      <c r="IHP25" s="19"/>
      <c r="IHQ25" s="19"/>
      <c r="IHR25" s="19"/>
      <c r="IHS25" s="19"/>
      <c r="IHT25" s="19"/>
      <c r="IHU25" s="19"/>
      <c r="IHV25" s="19"/>
      <c r="IHW25" s="19"/>
      <c r="IHX25" s="19"/>
      <c r="IHY25" s="19"/>
      <c r="IHZ25" s="19"/>
      <c r="IIA25" s="19"/>
      <c r="IIB25" s="19"/>
      <c r="IIC25" s="19"/>
      <c r="IID25" s="19"/>
      <c r="IIE25" s="19"/>
      <c r="IIF25" s="19"/>
      <c r="IIG25" s="19"/>
      <c r="IIH25" s="19"/>
      <c r="III25" s="19"/>
      <c r="IIJ25" s="19"/>
      <c r="IIK25" s="19"/>
      <c r="IIL25" s="19"/>
      <c r="IIM25" s="19"/>
      <c r="IIN25" s="19"/>
      <c r="IIO25" s="19"/>
      <c r="IIP25" s="19"/>
      <c r="IIQ25" s="19"/>
      <c r="IIR25" s="19"/>
      <c r="IIS25" s="19"/>
      <c r="IIT25" s="19"/>
      <c r="IIU25" s="19"/>
      <c r="IIV25" s="19"/>
      <c r="IIW25" s="19"/>
      <c r="IIX25" s="19"/>
      <c r="IIY25" s="19"/>
      <c r="IIZ25" s="19"/>
      <c r="IJA25" s="19"/>
      <c r="IJB25" s="19"/>
      <c r="IJC25" s="19"/>
      <c r="IJD25" s="19"/>
      <c r="IJE25" s="19"/>
      <c r="IJF25" s="19"/>
      <c r="IJG25" s="19"/>
      <c r="IJH25" s="19"/>
      <c r="IJI25" s="19"/>
      <c r="IJJ25" s="19"/>
      <c r="IJK25" s="19"/>
      <c r="IJL25" s="19"/>
      <c r="IJM25" s="19"/>
      <c r="IJN25" s="19"/>
      <c r="IJO25" s="19"/>
      <c r="IJP25" s="19"/>
      <c r="IJQ25" s="19"/>
      <c r="IJR25" s="19"/>
      <c r="IJS25" s="19"/>
      <c r="IJT25" s="19"/>
      <c r="IJU25" s="19"/>
      <c r="IJV25" s="19"/>
      <c r="IJW25" s="19"/>
      <c r="IJX25" s="19"/>
      <c r="IJY25" s="19"/>
      <c r="IJZ25" s="19"/>
      <c r="IKA25" s="19"/>
      <c r="IKB25" s="19"/>
      <c r="IKC25" s="19"/>
      <c r="IKD25" s="19"/>
      <c r="IKE25" s="19"/>
      <c r="IKF25" s="19"/>
      <c r="IKG25" s="19"/>
      <c r="IKH25" s="19"/>
      <c r="IKI25" s="19"/>
      <c r="IKJ25" s="19"/>
      <c r="IKK25" s="19"/>
      <c r="IKL25" s="19"/>
      <c r="IKM25" s="19"/>
      <c r="IKN25" s="19"/>
      <c r="IKO25" s="19"/>
      <c r="IKP25" s="19"/>
      <c r="IKQ25" s="19"/>
      <c r="IKR25" s="19"/>
      <c r="IKS25" s="19"/>
      <c r="IKT25" s="19"/>
      <c r="IKU25" s="19"/>
      <c r="IKV25" s="19"/>
      <c r="IKW25" s="19"/>
      <c r="IKX25" s="19"/>
      <c r="IKY25" s="19"/>
      <c r="IKZ25" s="19"/>
      <c r="ILA25" s="19"/>
      <c r="ILB25" s="19"/>
      <c r="ILC25" s="19"/>
      <c r="ILD25" s="19"/>
      <c r="ILE25" s="19"/>
      <c r="ILF25" s="19"/>
      <c r="ILG25" s="19"/>
      <c r="ILH25" s="19"/>
      <c r="ILI25" s="19"/>
      <c r="ILJ25" s="19"/>
      <c r="ILK25" s="19"/>
      <c r="ILL25" s="19"/>
      <c r="ILM25" s="19"/>
      <c r="ILN25" s="19"/>
      <c r="ILO25" s="19"/>
      <c r="ILP25" s="19"/>
      <c r="ILQ25" s="19"/>
      <c r="ILR25" s="19"/>
      <c r="ILS25" s="19"/>
      <c r="ILT25" s="19"/>
      <c r="ILU25" s="19"/>
      <c r="ILV25" s="19"/>
      <c r="ILW25" s="19"/>
      <c r="ILX25" s="19"/>
      <c r="ILY25" s="19"/>
      <c r="ILZ25" s="19"/>
      <c r="IMA25" s="19"/>
      <c r="IMB25" s="19"/>
      <c r="IMC25" s="19"/>
      <c r="IMD25" s="19"/>
      <c r="IME25" s="19"/>
      <c r="IMF25" s="19"/>
      <c r="IMG25" s="19"/>
      <c r="IMH25" s="19"/>
      <c r="IMI25" s="19"/>
      <c r="IMJ25" s="19"/>
      <c r="IMK25" s="19"/>
      <c r="IML25" s="19"/>
      <c r="IMM25" s="19"/>
      <c r="IMN25" s="19"/>
      <c r="IMO25" s="19"/>
      <c r="IMP25" s="19"/>
      <c r="IMQ25" s="19"/>
      <c r="IMR25" s="19"/>
      <c r="IMS25" s="19"/>
      <c r="IMT25" s="19"/>
      <c r="IMU25" s="19"/>
      <c r="IMV25" s="19"/>
      <c r="IMW25" s="19"/>
      <c r="IMX25" s="19"/>
      <c r="IMY25" s="19"/>
      <c r="IMZ25" s="19"/>
      <c r="INA25" s="19"/>
      <c r="INB25" s="19"/>
      <c r="INC25" s="19"/>
      <c r="IND25" s="19"/>
      <c r="INE25" s="19"/>
      <c r="INF25" s="19"/>
      <c r="ING25" s="19"/>
      <c r="INH25" s="19"/>
      <c r="INI25" s="19"/>
      <c r="INJ25" s="19"/>
      <c r="INK25" s="19"/>
      <c r="INL25" s="19"/>
      <c r="INM25" s="19"/>
      <c r="INN25" s="19"/>
      <c r="INO25" s="19"/>
      <c r="INP25" s="19"/>
      <c r="INQ25" s="19"/>
      <c r="INR25" s="19"/>
      <c r="INS25" s="19"/>
      <c r="INT25" s="19"/>
      <c r="INU25" s="19"/>
      <c r="INV25" s="19"/>
      <c r="INW25" s="19"/>
      <c r="INX25" s="19"/>
      <c r="INY25" s="19"/>
      <c r="INZ25" s="19"/>
      <c r="IOA25" s="19"/>
      <c r="IOB25" s="19"/>
      <c r="IOC25" s="19"/>
      <c r="IOD25" s="19"/>
      <c r="IOE25" s="19"/>
      <c r="IOF25" s="19"/>
      <c r="IOG25" s="19"/>
      <c r="IOH25" s="19"/>
      <c r="IOI25" s="19"/>
      <c r="IOJ25" s="19"/>
      <c r="IOK25" s="19"/>
      <c r="IOL25" s="19"/>
      <c r="IOM25" s="19"/>
      <c r="ION25" s="19"/>
      <c r="IOO25" s="19"/>
      <c r="IOP25" s="19"/>
      <c r="IOQ25" s="19"/>
      <c r="IOR25" s="19"/>
      <c r="IOS25" s="19"/>
      <c r="IOT25" s="19"/>
      <c r="IOU25" s="19"/>
      <c r="IOV25" s="19"/>
      <c r="IOW25" s="19"/>
      <c r="IOX25" s="19"/>
      <c r="IOY25" s="19"/>
      <c r="IOZ25" s="19"/>
      <c r="IPA25" s="19"/>
      <c r="IPB25" s="19"/>
      <c r="IPC25" s="19"/>
      <c r="IPD25" s="19"/>
      <c r="IPE25" s="19"/>
      <c r="IPF25" s="19"/>
      <c r="IPG25" s="19"/>
      <c r="IPH25" s="19"/>
      <c r="IPI25" s="19"/>
      <c r="IPJ25" s="19"/>
      <c r="IPK25" s="19"/>
      <c r="IPL25" s="19"/>
      <c r="IPM25" s="19"/>
      <c r="IPN25" s="19"/>
      <c r="IPO25" s="19"/>
      <c r="IPP25" s="19"/>
      <c r="IPQ25" s="19"/>
      <c r="IPR25" s="19"/>
      <c r="IPS25" s="19"/>
      <c r="IPT25" s="19"/>
      <c r="IPU25" s="19"/>
      <c r="IPV25" s="19"/>
      <c r="IPW25" s="19"/>
      <c r="IPX25" s="19"/>
      <c r="IPY25" s="19"/>
      <c r="IPZ25" s="19"/>
      <c r="IQA25" s="19"/>
      <c r="IQB25" s="19"/>
      <c r="IQC25" s="19"/>
      <c r="IQD25" s="19"/>
      <c r="IQE25" s="19"/>
      <c r="IQF25" s="19"/>
      <c r="IQG25" s="19"/>
      <c r="IQH25" s="19"/>
      <c r="IQI25" s="19"/>
      <c r="IQJ25" s="19"/>
      <c r="IQK25" s="19"/>
      <c r="IQL25" s="19"/>
      <c r="IQM25" s="19"/>
      <c r="IQN25" s="19"/>
      <c r="IQO25" s="19"/>
      <c r="IQP25" s="19"/>
      <c r="IQQ25" s="19"/>
      <c r="IQR25" s="19"/>
      <c r="IQS25" s="19"/>
      <c r="IQT25" s="19"/>
      <c r="IQU25" s="19"/>
      <c r="IQV25" s="19"/>
      <c r="IQW25" s="19"/>
      <c r="IQX25" s="19"/>
      <c r="IQY25" s="19"/>
      <c r="IQZ25" s="19"/>
      <c r="IRA25" s="19"/>
      <c r="IRB25" s="19"/>
      <c r="IRC25" s="19"/>
      <c r="IRD25" s="19"/>
      <c r="IRE25" s="19"/>
      <c r="IRF25" s="19"/>
      <c r="IRG25" s="19"/>
      <c r="IRH25" s="19"/>
      <c r="IRI25" s="19"/>
      <c r="IRJ25" s="19"/>
      <c r="IRK25" s="19"/>
      <c r="IRL25" s="19"/>
      <c r="IRM25" s="19"/>
      <c r="IRN25" s="19"/>
      <c r="IRO25" s="19"/>
      <c r="IRP25" s="19"/>
      <c r="IRQ25" s="19"/>
      <c r="IRR25" s="19"/>
      <c r="IRS25" s="19"/>
      <c r="IRT25" s="19"/>
      <c r="IRU25" s="19"/>
      <c r="IRV25" s="19"/>
      <c r="IRW25" s="19"/>
      <c r="IRX25" s="19"/>
      <c r="IRY25" s="19"/>
      <c r="IRZ25" s="19"/>
      <c r="ISA25" s="19"/>
      <c r="ISB25" s="19"/>
      <c r="ISC25" s="19"/>
      <c r="ISD25" s="19"/>
      <c r="ISE25" s="19"/>
      <c r="ISF25" s="19"/>
      <c r="ISG25" s="19"/>
      <c r="ISH25" s="19"/>
      <c r="ISI25" s="19"/>
      <c r="ISJ25" s="19"/>
      <c r="ISK25" s="19"/>
      <c r="ISL25" s="19"/>
      <c r="ISM25" s="19"/>
      <c r="ISN25" s="19"/>
      <c r="ISO25" s="19"/>
      <c r="ISP25" s="19"/>
      <c r="ISQ25" s="19"/>
      <c r="ISR25" s="19"/>
      <c r="ISS25" s="19"/>
      <c r="IST25" s="19"/>
      <c r="ISU25" s="19"/>
      <c r="ISV25" s="19"/>
      <c r="ISW25" s="19"/>
      <c r="ISX25" s="19"/>
      <c r="ISY25" s="19"/>
      <c r="ISZ25" s="19"/>
      <c r="ITA25" s="19"/>
      <c r="ITB25" s="19"/>
      <c r="ITC25" s="19"/>
      <c r="ITD25" s="19"/>
      <c r="ITE25" s="19"/>
      <c r="ITF25" s="19"/>
      <c r="ITG25" s="19"/>
      <c r="ITH25" s="19"/>
      <c r="ITI25" s="19"/>
      <c r="ITJ25" s="19"/>
      <c r="ITK25" s="19"/>
      <c r="ITL25" s="19"/>
      <c r="ITM25" s="19"/>
      <c r="ITN25" s="19"/>
      <c r="ITO25" s="19"/>
      <c r="ITP25" s="19"/>
      <c r="ITQ25" s="19"/>
      <c r="ITR25" s="19"/>
      <c r="ITS25" s="19"/>
      <c r="ITT25" s="19"/>
      <c r="ITU25" s="19"/>
      <c r="ITV25" s="19"/>
      <c r="ITW25" s="19"/>
      <c r="ITX25" s="19"/>
      <c r="ITY25" s="19"/>
      <c r="ITZ25" s="19"/>
      <c r="IUA25" s="19"/>
      <c r="IUB25" s="19"/>
      <c r="IUC25" s="19"/>
      <c r="IUD25" s="19"/>
      <c r="IUE25" s="19"/>
      <c r="IUF25" s="19"/>
      <c r="IUG25" s="19"/>
      <c r="IUH25" s="19"/>
      <c r="IUI25" s="19"/>
      <c r="IUJ25" s="19"/>
      <c r="IUK25" s="19"/>
      <c r="IUL25" s="19"/>
      <c r="IUM25" s="19"/>
      <c r="IUN25" s="19"/>
      <c r="IUO25" s="19"/>
      <c r="IUP25" s="19"/>
      <c r="IUQ25" s="19"/>
      <c r="IUR25" s="19"/>
      <c r="IUS25" s="19"/>
      <c r="IUT25" s="19"/>
      <c r="IUU25" s="19"/>
      <c r="IUV25" s="19"/>
      <c r="IUW25" s="19"/>
      <c r="IUX25" s="19"/>
      <c r="IUY25" s="19"/>
      <c r="IUZ25" s="19"/>
      <c r="IVA25" s="19"/>
      <c r="IVB25" s="19"/>
      <c r="IVC25" s="19"/>
      <c r="IVD25" s="19"/>
      <c r="IVE25" s="19"/>
      <c r="IVF25" s="19"/>
      <c r="IVG25" s="19"/>
      <c r="IVH25" s="19"/>
      <c r="IVI25" s="19"/>
      <c r="IVJ25" s="19"/>
      <c r="IVK25" s="19"/>
      <c r="IVL25" s="19"/>
      <c r="IVM25" s="19"/>
      <c r="IVN25" s="19"/>
      <c r="IVO25" s="19"/>
      <c r="IVP25" s="19"/>
      <c r="IVQ25" s="19"/>
      <c r="IVR25" s="19"/>
      <c r="IVS25" s="19"/>
      <c r="IVT25" s="19"/>
      <c r="IVU25" s="19"/>
      <c r="IVV25" s="19"/>
      <c r="IVW25" s="19"/>
      <c r="IVX25" s="19"/>
      <c r="IVY25" s="19"/>
      <c r="IVZ25" s="19"/>
      <c r="IWA25" s="19"/>
      <c r="IWB25" s="19"/>
      <c r="IWC25" s="19"/>
      <c r="IWD25" s="19"/>
      <c r="IWE25" s="19"/>
      <c r="IWF25" s="19"/>
      <c r="IWG25" s="19"/>
      <c r="IWH25" s="19"/>
      <c r="IWI25" s="19"/>
      <c r="IWJ25" s="19"/>
      <c r="IWK25" s="19"/>
      <c r="IWL25" s="19"/>
      <c r="IWM25" s="19"/>
      <c r="IWN25" s="19"/>
      <c r="IWO25" s="19"/>
      <c r="IWP25" s="19"/>
      <c r="IWQ25" s="19"/>
      <c r="IWR25" s="19"/>
      <c r="IWS25" s="19"/>
      <c r="IWT25" s="19"/>
      <c r="IWU25" s="19"/>
      <c r="IWV25" s="19"/>
      <c r="IWW25" s="19"/>
      <c r="IWX25" s="19"/>
      <c r="IWY25" s="19"/>
      <c r="IWZ25" s="19"/>
      <c r="IXA25" s="19"/>
      <c r="IXB25" s="19"/>
      <c r="IXC25" s="19"/>
      <c r="IXD25" s="19"/>
      <c r="IXE25" s="19"/>
      <c r="IXF25" s="19"/>
      <c r="IXG25" s="19"/>
      <c r="IXH25" s="19"/>
      <c r="IXI25" s="19"/>
      <c r="IXJ25" s="19"/>
      <c r="IXK25" s="19"/>
      <c r="IXL25" s="19"/>
      <c r="IXM25" s="19"/>
      <c r="IXN25" s="19"/>
      <c r="IXO25" s="19"/>
      <c r="IXP25" s="19"/>
      <c r="IXQ25" s="19"/>
      <c r="IXR25" s="19"/>
      <c r="IXS25" s="19"/>
      <c r="IXT25" s="19"/>
      <c r="IXU25" s="19"/>
      <c r="IXV25" s="19"/>
      <c r="IXW25" s="19"/>
      <c r="IXX25" s="19"/>
      <c r="IXY25" s="19"/>
      <c r="IXZ25" s="19"/>
      <c r="IYA25" s="19"/>
      <c r="IYB25" s="19"/>
      <c r="IYC25" s="19"/>
      <c r="IYD25" s="19"/>
      <c r="IYE25" s="19"/>
      <c r="IYF25" s="19"/>
      <c r="IYG25" s="19"/>
      <c r="IYH25" s="19"/>
      <c r="IYI25" s="19"/>
      <c r="IYJ25" s="19"/>
      <c r="IYK25" s="19"/>
      <c r="IYL25" s="19"/>
      <c r="IYM25" s="19"/>
      <c r="IYN25" s="19"/>
      <c r="IYO25" s="19"/>
      <c r="IYP25" s="19"/>
      <c r="IYQ25" s="19"/>
      <c r="IYR25" s="19"/>
      <c r="IYS25" s="19"/>
      <c r="IYT25" s="19"/>
      <c r="IYU25" s="19"/>
      <c r="IYV25" s="19"/>
      <c r="IYW25" s="19"/>
      <c r="IYX25" s="19"/>
      <c r="IYY25" s="19"/>
      <c r="IYZ25" s="19"/>
      <c r="IZA25" s="19"/>
      <c r="IZB25" s="19"/>
      <c r="IZC25" s="19"/>
      <c r="IZD25" s="19"/>
      <c r="IZE25" s="19"/>
      <c r="IZF25" s="19"/>
      <c r="IZG25" s="19"/>
      <c r="IZH25" s="19"/>
      <c r="IZI25" s="19"/>
      <c r="IZJ25" s="19"/>
      <c r="IZK25" s="19"/>
      <c r="IZL25" s="19"/>
      <c r="IZM25" s="19"/>
      <c r="IZN25" s="19"/>
      <c r="IZO25" s="19"/>
      <c r="IZP25" s="19"/>
      <c r="IZQ25" s="19"/>
      <c r="IZR25" s="19"/>
      <c r="IZS25" s="19"/>
      <c r="IZT25" s="19"/>
      <c r="IZU25" s="19"/>
      <c r="IZV25" s="19"/>
      <c r="IZW25" s="19"/>
      <c r="IZX25" s="19"/>
      <c r="IZY25" s="19"/>
      <c r="IZZ25" s="19"/>
      <c r="JAA25" s="19"/>
      <c r="JAB25" s="19"/>
      <c r="JAC25" s="19"/>
      <c r="JAD25" s="19"/>
      <c r="JAE25" s="19"/>
      <c r="JAF25" s="19"/>
      <c r="JAG25" s="19"/>
      <c r="JAH25" s="19"/>
      <c r="JAI25" s="19"/>
      <c r="JAJ25" s="19"/>
      <c r="JAK25" s="19"/>
      <c r="JAL25" s="19"/>
      <c r="JAM25" s="19"/>
      <c r="JAN25" s="19"/>
      <c r="JAO25" s="19"/>
      <c r="JAP25" s="19"/>
      <c r="JAQ25" s="19"/>
      <c r="JAR25" s="19"/>
      <c r="JAS25" s="19"/>
      <c r="JAT25" s="19"/>
      <c r="JAU25" s="19"/>
      <c r="JAV25" s="19"/>
      <c r="JAW25" s="19"/>
      <c r="JAX25" s="19"/>
      <c r="JAY25" s="19"/>
      <c r="JAZ25" s="19"/>
      <c r="JBA25" s="19"/>
      <c r="JBB25" s="19"/>
      <c r="JBC25" s="19"/>
      <c r="JBD25" s="19"/>
      <c r="JBE25" s="19"/>
      <c r="JBF25" s="19"/>
      <c r="JBG25" s="19"/>
      <c r="JBH25" s="19"/>
      <c r="JBI25" s="19"/>
      <c r="JBJ25" s="19"/>
      <c r="JBK25" s="19"/>
      <c r="JBL25" s="19"/>
      <c r="JBM25" s="19"/>
      <c r="JBN25" s="19"/>
      <c r="JBO25" s="19"/>
      <c r="JBP25" s="19"/>
      <c r="JBQ25" s="19"/>
      <c r="JBR25" s="19"/>
      <c r="JBS25" s="19"/>
      <c r="JBT25" s="19"/>
      <c r="JBU25" s="19"/>
      <c r="JBV25" s="19"/>
      <c r="JBW25" s="19"/>
      <c r="JBX25" s="19"/>
      <c r="JBY25" s="19"/>
      <c r="JBZ25" s="19"/>
      <c r="JCA25" s="19"/>
      <c r="JCB25" s="19"/>
      <c r="JCC25" s="19"/>
      <c r="JCD25" s="19"/>
      <c r="JCE25" s="19"/>
      <c r="JCF25" s="19"/>
      <c r="JCG25" s="19"/>
      <c r="JCH25" s="19"/>
      <c r="JCI25" s="19"/>
      <c r="JCJ25" s="19"/>
      <c r="JCK25" s="19"/>
      <c r="JCL25" s="19"/>
      <c r="JCM25" s="19"/>
      <c r="JCN25" s="19"/>
      <c r="JCO25" s="19"/>
      <c r="JCP25" s="19"/>
      <c r="JCQ25" s="19"/>
      <c r="JCR25" s="19"/>
      <c r="JCS25" s="19"/>
      <c r="JCT25" s="19"/>
      <c r="JCU25" s="19"/>
      <c r="JCV25" s="19"/>
      <c r="JCW25" s="19"/>
      <c r="JCX25" s="19"/>
      <c r="JCY25" s="19"/>
      <c r="JCZ25" s="19"/>
      <c r="JDA25" s="19"/>
      <c r="JDB25" s="19"/>
      <c r="JDC25" s="19"/>
      <c r="JDD25" s="19"/>
      <c r="JDE25" s="19"/>
      <c r="JDF25" s="19"/>
      <c r="JDG25" s="19"/>
      <c r="JDH25" s="19"/>
      <c r="JDI25" s="19"/>
      <c r="JDJ25" s="19"/>
      <c r="JDK25" s="19"/>
      <c r="JDL25" s="19"/>
      <c r="JDM25" s="19"/>
      <c r="JDN25" s="19"/>
      <c r="JDO25" s="19"/>
      <c r="JDP25" s="19"/>
      <c r="JDQ25" s="19"/>
      <c r="JDR25" s="19"/>
      <c r="JDS25" s="19"/>
      <c r="JDT25" s="19"/>
      <c r="JDU25" s="19"/>
      <c r="JDV25" s="19"/>
      <c r="JDW25" s="19"/>
      <c r="JDX25" s="19"/>
      <c r="JDY25" s="19"/>
      <c r="JDZ25" s="19"/>
      <c r="JEA25" s="19"/>
      <c r="JEB25" s="19"/>
      <c r="JEC25" s="19"/>
      <c r="JED25" s="19"/>
      <c r="JEE25" s="19"/>
      <c r="JEF25" s="19"/>
      <c r="JEG25" s="19"/>
      <c r="JEH25" s="19"/>
      <c r="JEI25" s="19"/>
      <c r="JEJ25" s="19"/>
      <c r="JEK25" s="19"/>
      <c r="JEL25" s="19"/>
      <c r="JEM25" s="19"/>
      <c r="JEN25" s="19"/>
      <c r="JEO25" s="19"/>
      <c r="JEP25" s="19"/>
      <c r="JEQ25" s="19"/>
      <c r="JER25" s="19"/>
      <c r="JES25" s="19"/>
      <c r="JET25" s="19"/>
      <c r="JEU25" s="19"/>
      <c r="JEV25" s="19"/>
      <c r="JEW25" s="19"/>
      <c r="JEX25" s="19"/>
      <c r="JEY25" s="19"/>
      <c r="JEZ25" s="19"/>
      <c r="JFA25" s="19"/>
      <c r="JFB25" s="19"/>
      <c r="JFC25" s="19"/>
      <c r="JFD25" s="19"/>
      <c r="JFE25" s="19"/>
      <c r="JFF25" s="19"/>
      <c r="JFG25" s="19"/>
      <c r="JFH25" s="19"/>
      <c r="JFI25" s="19"/>
      <c r="JFJ25" s="19"/>
      <c r="JFK25" s="19"/>
      <c r="JFL25" s="19"/>
      <c r="JFM25" s="19"/>
      <c r="JFN25" s="19"/>
      <c r="JFO25" s="19"/>
      <c r="JFP25" s="19"/>
      <c r="JFQ25" s="19"/>
      <c r="JFR25" s="19"/>
      <c r="JFS25" s="19"/>
      <c r="JFT25" s="19"/>
      <c r="JFU25" s="19"/>
      <c r="JFV25" s="19"/>
      <c r="JFW25" s="19"/>
      <c r="JFX25" s="19"/>
      <c r="JFY25" s="19"/>
      <c r="JFZ25" s="19"/>
      <c r="JGA25" s="19"/>
      <c r="JGB25" s="19"/>
      <c r="JGC25" s="19"/>
      <c r="JGD25" s="19"/>
      <c r="JGE25" s="19"/>
      <c r="JGF25" s="19"/>
      <c r="JGG25" s="19"/>
      <c r="JGH25" s="19"/>
      <c r="JGI25" s="19"/>
      <c r="JGJ25" s="19"/>
      <c r="JGK25" s="19"/>
      <c r="JGL25" s="19"/>
      <c r="JGM25" s="19"/>
      <c r="JGN25" s="19"/>
      <c r="JGO25" s="19"/>
      <c r="JGP25" s="19"/>
      <c r="JGQ25" s="19"/>
      <c r="JGR25" s="19"/>
      <c r="JGS25" s="19"/>
      <c r="JGT25" s="19"/>
      <c r="JGU25" s="19"/>
      <c r="JGV25" s="19"/>
      <c r="JGW25" s="19"/>
      <c r="JGX25" s="19"/>
      <c r="JGY25" s="19"/>
      <c r="JGZ25" s="19"/>
      <c r="JHA25" s="19"/>
      <c r="JHB25" s="19"/>
      <c r="JHC25" s="19"/>
      <c r="JHD25" s="19"/>
      <c r="JHE25" s="19"/>
      <c r="JHF25" s="19"/>
      <c r="JHG25" s="19"/>
      <c r="JHH25" s="19"/>
      <c r="JHI25" s="19"/>
      <c r="JHJ25" s="19"/>
      <c r="JHK25" s="19"/>
      <c r="JHL25" s="19"/>
      <c r="JHM25" s="19"/>
      <c r="JHN25" s="19"/>
      <c r="JHO25" s="19"/>
      <c r="JHP25" s="19"/>
      <c r="JHQ25" s="19"/>
      <c r="JHR25" s="19"/>
      <c r="JHS25" s="19"/>
      <c r="JHT25" s="19"/>
      <c r="JHU25" s="19"/>
      <c r="JHV25" s="19"/>
      <c r="JHW25" s="19"/>
      <c r="JHX25" s="19"/>
      <c r="JHY25" s="19"/>
      <c r="JHZ25" s="19"/>
      <c r="JIA25" s="19"/>
      <c r="JIB25" s="19"/>
      <c r="JIC25" s="19"/>
      <c r="JID25" s="19"/>
      <c r="JIE25" s="19"/>
      <c r="JIF25" s="19"/>
      <c r="JIG25" s="19"/>
      <c r="JIH25" s="19"/>
      <c r="JII25" s="19"/>
      <c r="JIJ25" s="19"/>
      <c r="JIK25" s="19"/>
      <c r="JIL25" s="19"/>
      <c r="JIM25" s="19"/>
      <c r="JIN25" s="19"/>
      <c r="JIO25" s="19"/>
      <c r="JIP25" s="19"/>
      <c r="JIQ25" s="19"/>
      <c r="JIR25" s="19"/>
      <c r="JIS25" s="19"/>
      <c r="JIT25" s="19"/>
      <c r="JIU25" s="19"/>
      <c r="JIV25" s="19"/>
      <c r="JIW25" s="19"/>
      <c r="JIX25" s="19"/>
      <c r="JIY25" s="19"/>
      <c r="JIZ25" s="19"/>
      <c r="JJA25" s="19"/>
      <c r="JJB25" s="19"/>
      <c r="JJC25" s="19"/>
      <c r="JJD25" s="19"/>
      <c r="JJE25" s="19"/>
      <c r="JJF25" s="19"/>
      <c r="JJG25" s="19"/>
      <c r="JJH25" s="19"/>
      <c r="JJI25" s="19"/>
      <c r="JJJ25" s="19"/>
      <c r="JJK25" s="19"/>
      <c r="JJL25" s="19"/>
      <c r="JJM25" s="19"/>
      <c r="JJN25" s="19"/>
      <c r="JJO25" s="19"/>
      <c r="JJP25" s="19"/>
      <c r="JJQ25" s="19"/>
      <c r="JJR25" s="19"/>
      <c r="JJS25" s="19"/>
      <c r="JJT25" s="19"/>
      <c r="JJU25" s="19"/>
      <c r="JJV25" s="19"/>
      <c r="JJW25" s="19"/>
      <c r="JJX25" s="19"/>
      <c r="JJY25" s="19"/>
      <c r="JJZ25" s="19"/>
      <c r="JKA25" s="19"/>
      <c r="JKB25" s="19"/>
      <c r="JKC25" s="19"/>
      <c r="JKD25" s="19"/>
      <c r="JKE25" s="19"/>
      <c r="JKF25" s="19"/>
      <c r="JKG25" s="19"/>
      <c r="JKH25" s="19"/>
      <c r="JKI25" s="19"/>
      <c r="JKJ25" s="19"/>
      <c r="JKK25" s="19"/>
      <c r="JKL25" s="19"/>
      <c r="JKM25" s="19"/>
      <c r="JKN25" s="19"/>
      <c r="JKO25" s="19"/>
      <c r="JKP25" s="19"/>
      <c r="JKQ25" s="19"/>
      <c r="JKR25" s="19"/>
      <c r="JKS25" s="19"/>
      <c r="JKT25" s="19"/>
      <c r="JKU25" s="19"/>
      <c r="JKV25" s="19"/>
      <c r="JKW25" s="19"/>
      <c r="JKX25" s="19"/>
      <c r="JKY25" s="19"/>
      <c r="JKZ25" s="19"/>
      <c r="JLA25" s="19"/>
      <c r="JLB25" s="19"/>
      <c r="JLC25" s="19"/>
      <c r="JLD25" s="19"/>
      <c r="JLE25" s="19"/>
      <c r="JLF25" s="19"/>
      <c r="JLG25" s="19"/>
      <c r="JLH25" s="19"/>
      <c r="JLI25" s="19"/>
      <c r="JLJ25" s="19"/>
      <c r="JLK25" s="19"/>
      <c r="JLL25" s="19"/>
      <c r="JLM25" s="19"/>
      <c r="JLN25" s="19"/>
      <c r="JLO25" s="19"/>
      <c r="JLP25" s="19"/>
      <c r="JLQ25" s="19"/>
      <c r="JLR25" s="19"/>
      <c r="JLS25" s="19"/>
      <c r="JLT25" s="19"/>
      <c r="JLU25" s="19"/>
      <c r="JLV25" s="19"/>
      <c r="JLW25" s="19"/>
      <c r="JLX25" s="19"/>
      <c r="JLY25" s="19"/>
      <c r="JLZ25" s="19"/>
      <c r="JMA25" s="19"/>
      <c r="JMB25" s="19"/>
      <c r="JMC25" s="19"/>
      <c r="JMD25" s="19"/>
      <c r="JME25" s="19"/>
      <c r="JMF25" s="19"/>
      <c r="JMG25" s="19"/>
      <c r="JMH25" s="19"/>
      <c r="JMI25" s="19"/>
      <c r="JMJ25" s="19"/>
      <c r="JMK25" s="19"/>
      <c r="JML25" s="19"/>
      <c r="JMM25" s="19"/>
      <c r="JMN25" s="19"/>
      <c r="JMO25" s="19"/>
      <c r="JMP25" s="19"/>
      <c r="JMQ25" s="19"/>
      <c r="JMR25" s="19"/>
      <c r="JMS25" s="19"/>
      <c r="JMT25" s="19"/>
      <c r="JMU25" s="19"/>
      <c r="JMV25" s="19"/>
      <c r="JMW25" s="19"/>
      <c r="JMX25" s="19"/>
      <c r="JMY25" s="19"/>
      <c r="JMZ25" s="19"/>
      <c r="JNA25" s="19"/>
      <c r="JNB25" s="19"/>
      <c r="JNC25" s="19"/>
      <c r="JND25" s="19"/>
      <c r="JNE25" s="19"/>
      <c r="JNF25" s="19"/>
      <c r="JNG25" s="19"/>
      <c r="JNH25" s="19"/>
      <c r="JNI25" s="19"/>
      <c r="JNJ25" s="19"/>
      <c r="JNK25" s="19"/>
      <c r="JNL25" s="19"/>
      <c r="JNM25" s="19"/>
      <c r="JNN25" s="19"/>
      <c r="JNO25" s="19"/>
      <c r="JNP25" s="19"/>
      <c r="JNQ25" s="19"/>
      <c r="JNR25" s="19"/>
      <c r="JNS25" s="19"/>
      <c r="JNT25" s="19"/>
      <c r="JNU25" s="19"/>
      <c r="JNV25" s="19"/>
      <c r="JNW25" s="19"/>
      <c r="JNX25" s="19"/>
      <c r="JNY25" s="19"/>
      <c r="JNZ25" s="19"/>
      <c r="JOA25" s="19"/>
      <c r="JOB25" s="19"/>
      <c r="JOC25" s="19"/>
      <c r="JOD25" s="19"/>
      <c r="JOE25" s="19"/>
      <c r="JOF25" s="19"/>
      <c r="JOG25" s="19"/>
      <c r="JOH25" s="19"/>
      <c r="JOI25" s="19"/>
      <c r="JOJ25" s="19"/>
      <c r="JOK25" s="19"/>
      <c r="JOL25" s="19"/>
      <c r="JOM25" s="19"/>
      <c r="JON25" s="19"/>
      <c r="JOO25" s="19"/>
      <c r="JOP25" s="19"/>
      <c r="JOQ25" s="19"/>
      <c r="JOR25" s="19"/>
      <c r="JOS25" s="19"/>
      <c r="JOT25" s="19"/>
      <c r="JOU25" s="19"/>
      <c r="JOV25" s="19"/>
      <c r="JOW25" s="19"/>
      <c r="JOX25" s="19"/>
      <c r="JOY25" s="19"/>
      <c r="JOZ25" s="19"/>
      <c r="JPA25" s="19"/>
      <c r="JPB25" s="19"/>
      <c r="JPC25" s="19"/>
      <c r="JPD25" s="19"/>
      <c r="JPE25" s="19"/>
      <c r="JPF25" s="19"/>
      <c r="JPG25" s="19"/>
      <c r="JPH25" s="19"/>
      <c r="JPI25" s="19"/>
      <c r="JPJ25" s="19"/>
      <c r="JPK25" s="19"/>
      <c r="JPL25" s="19"/>
      <c r="JPM25" s="19"/>
      <c r="JPN25" s="19"/>
      <c r="JPO25" s="19"/>
      <c r="JPP25" s="19"/>
      <c r="JPQ25" s="19"/>
      <c r="JPR25" s="19"/>
      <c r="JPS25" s="19"/>
      <c r="JPT25" s="19"/>
      <c r="JPU25" s="19"/>
      <c r="JPV25" s="19"/>
      <c r="JPW25" s="19"/>
      <c r="JPX25" s="19"/>
      <c r="JPY25" s="19"/>
      <c r="JPZ25" s="19"/>
      <c r="JQA25" s="19"/>
      <c r="JQB25" s="19"/>
      <c r="JQC25" s="19"/>
      <c r="JQD25" s="19"/>
      <c r="JQE25" s="19"/>
      <c r="JQF25" s="19"/>
      <c r="JQG25" s="19"/>
      <c r="JQH25" s="19"/>
      <c r="JQI25" s="19"/>
      <c r="JQJ25" s="19"/>
      <c r="JQK25" s="19"/>
      <c r="JQL25" s="19"/>
      <c r="JQM25" s="19"/>
      <c r="JQN25" s="19"/>
      <c r="JQO25" s="19"/>
      <c r="JQP25" s="19"/>
      <c r="JQQ25" s="19"/>
      <c r="JQR25" s="19"/>
      <c r="JQS25" s="19"/>
      <c r="JQT25" s="19"/>
      <c r="JQU25" s="19"/>
      <c r="JQV25" s="19"/>
      <c r="JQW25" s="19"/>
      <c r="JQX25" s="19"/>
      <c r="JQY25" s="19"/>
      <c r="JQZ25" s="19"/>
      <c r="JRA25" s="19"/>
      <c r="JRB25" s="19"/>
      <c r="JRC25" s="19"/>
      <c r="JRD25" s="19"/>
      <c r="JRE25" s="19"/>
      <c r="JRF25" s="19"/>
      <c r="JRG25" s="19"/>
      <c r="JRH25" s="19"/>
      <c r="JRI25" s="19"/>
      <c r="JRJ25" s="19"/>
      <c r="JRK25" s="19"/>
      <c r="JRL25" s="19"/>
      <c r="JRM25" s="19"/>
      <c r="JRN25" s="19"/>
      <c r="JRO25" s="19"/>
      <c r="JRP25" s="19"/>
      <c r="JRQ25" s="19"/>
      <c r="JRR25" s="19"/>
      <c r="JRS25" s="19"/>
      <c r="JRT25" s="19"/>
      <c r="JRU25" s="19"/>
      <c r="JRV25" s="19"/>
      <c r="JRW25" s="19"/>
      <c r="JRX25" s="19"/>
      <c r="JRY25" s="19"/>
      <c r="JRZ25" s="19"/>
      <c r="JSA25" s="19"/>
      <c r="JSB25" s="19"/>
      <c r="JSC25" s="19"/>
      <c r="JSD25" s="19"/>
      <c r="JSE25" s="19"/>
      <c r="JSF25" s="19"/>
      <c r="JSG25" s="19"/>
      <c r="JSH25" s="19"/>
      <c r="JSI25" s="19"/>
      <c r="JSJ25" s="19"/>
      <c r="JSK25" s="19"/>
      <c r="JSL25" s="19"/>
      <c r="JSM25" s="19"/>
      <c r="JSN25" s="19"/>
      <c r="JSO25" s="19"/>
      <c r="JSP25" s="19"/>
      <c r="JSQ25" s="19"/>
      <c r="JSR25" s="19"/>
      <c r="JSS25" s="19"/>
      <c r="JST25" s="19"/>
      <c r="JSU25" s="19"/>
      <c r="JSV25" s="19"/>
      <c r="JSW25" s="19"/>
      <c r="JSX25" s="19"/>
      <c r="JSY25" s="19"/>
      <c r="JSZ25" s="19"/>
      <c r="JTA25" s="19"/>
      <c r="JTB25" s="19"/>
      <c r="JTC25" s="19"/>
      <c r="JTD25" s="19"/>
      <c r="JTE25" s="19"/>
      <c r="JTF25" s="19"/>
      <c r="JTG25" s="19"/>
      <c r="JTH25" s="19"/>
      <c r="JTI25" s="19"/>
      <c r="JTJ25" s="19"/>
      <c r="JTK25" s="19"/>
      <c r="JTL25" s="19"/>
      <c r="JTM25" s="19"/>
      <c r="JTN25" s="19"/>
      <c r="JTO25" s="19"/>
      <c r="JTP25" s="19"/>
      <c r="JTQ25" s="19"/>
      <c r="JTR25" s="19"/>
      <c r="JTS25" s="19"/>
      <c r="JTT25" s="19"/>
      <c r="JTU25" s="19"/>
      <c r="JTV25" s="19"/>
      <c r="JTW25" s="19"/>
      <c r="JTX25" s="19"/>
      <c r="JTY25" s="19"/>
      <c r="JTZ25" s="19"/>
      <c r="JUA25" s="19"/>
      <c r="JUB25" s="19"/>
      <c r="JUC25" s="19"/>
      <c r="JUD25" s="19"/>
      <c r="JUE25" s="19"/>
      <c r="JUF25" s="19"/>
      <c r="JUG25" s="19"/>
      <c r="JUH25" s="19"/>
      <c r="JUI25" s="19"/>
      <c r="JUJ25" s="19"/>
      <c r="JUK25" s="19"/>
      <c r="JUL25" s="19"/>
      <c r="JUM25" s="19"/>
      <c r="JUN25" s="19"/>
      <c r="JUO25" s="19"/>
      <c r="JUP25" s="19"/>
      <c r="JUQ25" s="19"/>
      <c r="JUR25" s="19"/>
      <c r="JUS25" s="19"/>
      <c r="JUT25" s="19"/>
      <c r="JUU25" s="19"/>
      <c r="JUV25" s="19"/>
      <c r="JUW25" s="19"/>
      <c r="JUX25" s="19"/>
      <c r="JUY25" s="19"/>
      <c r="JUZ25" s="19"/>
      <c r="JVA25" s="19"/>
      <c r="JVB25" s="19"/>
      <c r="JVC25" s="19"/>
      <c r="JVD25" s="19"/>
      <c r="JVE25" s="19"/>
      <c r="JVF25" s="19"/>
      <c r="JVG25" s="19"/>
      <c r="JVH25" s="19"/>
      <c r="JVI25" s="19"/>
      <c r="JVJ25" s="19"/>
      <c r="JVK25" s="19"/>
      <c r="JVL25" s="19"/>
      <c r="JVM25" s="19"/>
      <c r="JVN25" s="19"/>
      <c r="JVO25" s="19"/>
      <c r="JVP25" s="19"/>
      <c r="JVQ25" s="19"/>
      <c r="JVR25" s="19"/>
      <c r="JVS25" s="19"/>
      <c r="JVT25" s="19"/>
      <c r="JVU25" s="19"/>
      <c r="JVV25" s="19"/>
      <c r="JVW25" s="19"/>
      <c r="JVX25" s="19"/>
      <c r="JVY25" s="19"/>
      <c r="JVZ25" s="19"/>
      <c r="JWA25" s="19"/>
      <c r="JWB25" s="19"/>
      <c r="JWC25" s="19"/>
      <c r="JWD25" s="19"/>
      <c r="JWE25" s="19"/>
      <c r="JWF25" s="19"/>
      <c r="JWG25" s="19"/>
      <c r="JWH25" s="19"/>
      <c r="JWI25" s="19"/>
      <c r="JWJ25" s="19"/>
      <c r="JWK25" s="19"/>
      <c r="JWL25" s="19"/>
      <c r="JWM25" s="19"/>
      <c r="JWN25" s="19"/>
      <c r="JWO25" s="19"/>
      <c r="JWP25" s="19"/>
      <c r="JWQ25" s="19"/>
      <c r="JWR25" s="19"/>
      <c r="JWS25" s="19"/>
      <c r="JWT25" s="19"/>
      <c r="JWU25" s="19"/>
      <c r="JWV25" s="19"/>
      <c r="JWW25" s="19"/>
      <c r="JWX25" s="19"/>
      <c r="JWY25" s="19"/>
      <c r="JWZ25" s="19"/>
      <c r="JXA25" s="19"/>
      <c r="JXB25" s="19"/>
      <c r="JXC25" s="19"/>
      <c r="JXD25" s="19"/>
      <c r="JXE25" s="19"/>
      <c r="JXF25" s="19"/>
      <c r="JXG25" s="19"/>
      <c r="JXH25" s="19"/>
      <c r="JXI25" s="19"/>
      <c r="JXJ25" s="19"/>
      <c r="JXK25" s="19"/>
      <c r="JXL25" s="19"/>
      <c r="JXM25" s="19"/>
      <c r="JXN25" s="19"/>
      <c r="JXO25" s="19"/>
      <c r="JXP25" s="19"/>
      <c r="JXQ25" s="19"/>
      <c r="JXR25" s="19"/>
      <c r="JXS25" s="19"/>
      <c r="JXT25" s="19"/>
      <c r="JXU25" s="19"/>
      <c r="JXV25" s="19"/>
      <c r="JXW25" s="19"/>
      <c r="JXX25" s="19"/>
      <c r="JXY25" s="19"/>
      <c r="JXZ25" s="19"/>
      <c r="JYA25" s="19"/>
      <c r="JYB25" s="19"/>
      <c r="JYC25" s="19"/>
      <c r="JYD25" s="19"/>
      <c r="JYE25" s="19"/>
      <c r="JYF25" s="19"/>
      <c r="JYG25" s="19"/>
      <c r="JYH25" s="19"/>
      <c r="JYI25" s="19"/>
      <c r="JYJ25" s="19"/>
      <c r="JYK25" s="19"/>
      <c r="JYL25" s="19"/>
      <c r="JYM25" s="19"/>
      <c r="JYN25" s="19"/>
      <c r="JYO25" s="19"/>
      <c r="JYP25" s="19"/>
      <c r="JYQ25" s="19"/>
      <c r="JYR25" s="19"/>
      <c r="JYS25" s="19"/>
      <c r="JYT25" s="19"/>
      <c r="JYU25" s="19"/>
      <c r="JYV25" s="19"/>
      <c r="JYW25" s="19"/>
      <c r="JYX25" s="19"/>
      <c r="JYY25" s="19"/>
      <c r="JYZ25" s="19"/>
      <c r="JZA25" s="19"/>
      <c r="JZB25" s="19"/>
      <c r="JZC25" s="19"/>
      <c r="JZD25" s="19"/>
      <c r="JZE25" s="19"/>
      <c r="JZF25" s="19"/>
      <c r="JZG25" s="19"/>
      <c r="JZH25" s="19"/>
      <c r="JZI25" s="19"/>
      <c r="JZJ25" s="19"/>
      <c r="JZK25" s="19"/>
      <c r="JZL25" s="19"/>
      <c r="JZM25" s="19"/>
      <c r="JZN25" s="19"/>
      <c r="JZO25" s="19"/>
      <c r="JZP25" s="19"/>
      <c r="JZQ25" s="19"/>
      <c r="JZR25" s="19"/>
      <c r="JZS25" s="19"/>
      <c r="JZT25" s="19"/>
      <c r="JZU25" s="19"/>
      <c r="JZV25" s="19"/>
      <c r="JZW25" s="19"/>
      <c r="JZX25" s="19"/>
      <c r="JZY25" s="19"/>
      <c r="JZZ25" s="19"/>
      <c r="KAA25" s="19"/>
      <c r="KAB25" s="19"/>
      <c r="KAC25" s="19"/>
      <c r="KAD25" s="19"/>
      <c r="KAE25" s="19"/>
      <c r="KAF25" s="19"/>
      <c r="KAG25" s="19"/>
      <c r="KAH25" s="19"/>
      <c r="KAI25" s="19"/>
      <c r="KAJ25" s="19"/>
      <c r="KAK25" s="19"/>
      <c r="KAL25" s="19"/>
      <c r="KAM25" s="19"/>
      <c r="KAN25" s="19"/>
      <c r="KAO25" s="19"/>
      <c r="KAP25" s="19"/>
      <c r="KAQ25" s="19"/>
      <c r="KAR25" s="19"/>
      <c r="KAS25" s="19"/>
      <c r="KAT25" s="19"/>
      <c r="KAU25" s="19"/>
      <c r="KAV25" s="19"/>
      <c r="KAW25" s="19"/>
      <c r="KAX25" s="19"/>
      <c r="KAY25" s="19"/>
      <c r="KAZ25" s="19"/>
      <c r="KBA25" s="19"/>
      <c r="KBB25" s="19"/>
      <c r="KBC25" s="19"/>
      <c r="KBD25" s="19"/>
      <c r="KBE25" s="19"/>
      <c r="KBF25" s="19"/>
      <c r="KBG25" s="19"/>
      <c r="KBH25" s="19"/>
      <c r="KBI25" s="19"/>
      <c r="KBJ25" s="19"/>
      <c r="KBK25" s="19"/>
      <c r="KBL25" s="19"/>
      <c r="KBM25" s="19"/>
      <c r="KBN25" s="19"/>
      <c r="KBO25" s="19"/>
      <c r="KBP25" s="19"/>
      <c r="KBQ25" s="19"/>
      <c r="KBR25" s="19"/>
      <c r="KBS25" s="19"/>
      <c r="KBT25" s="19"/>
      <c r="KBU25" s="19"/>
      <c r="KBV25" s="19"/>
      <c r="KBW25" s="19"/>
      <c r="KBX25" s="19"/>
      <c r="KBY25" s="19"/>
      <c r="KBZ25" s="19"/>
      <c r="KCA25" s="19"/>
      <c r="KCB25" s="19"/>
      <c r="KCC25" s="19"/>
      <c r="KCD25" s="19"/>
      <c r="KCE25" s="19"/>
      <c r="KCF25" s="19"/>
      <c r="KCG25" s="19"/>
      <c r="KCH25" s="19"/>
      <c r="KCI25" s="19"/>
      <c r="KCJ25" s="19"/>
      <c r="KCK25" s="19"/>
      <c r="KCL25" s="19"/>
      <c r="KCM25" s="19"/>
      <c r="KCN25" s="19"/>
      <c r="KCO25" s="19"/>
      <c r="KCP25" s="19"/>
      <c r="KCQ25" s="19"/>
      <c r="KCR25" s="19"/>
      <c r="KCS25" s="19"/>
      <c r="KCT25" s="19"/>
      <c r="KCU25" s="19"/>
      <c r="KCV25" s="19"/>
      <c r="KCW25" s="19"/>
      <c r="KCX25" s="19"/>
      <c r="KCY25" s="19"/>
      <c r="KCZ25" s="19"/>
      <c r="KDA25" s="19"/>
      <c r="KDB25" s="19"/>
      <c r="KDC25" s="19"/>
      <c r="KDD25" s="19"/>
      <c r="KDE25" s="19"/>
      <c r="KDF25" s="19"/>
      <c r="KDG25" s="19"/>
      <c r="KDH25" s="19"/>
      <c r="KDI25" s="19"/>
      <c r="KDJ25" s="19"/>
      <c r="KDK25" s="19"/>
      <c r="KDL25" s="19"/>
      <c r="KDM25" s="19"/>
      <c r="KDN25" s="19"/>
      <c r="KDO25" s="19"/>
      <c r="KDP25" s="19"/>
      <c r="KDQ25" s="19"/>
      <c r="KDR25" s="19"/>
      <c r="KDS25" s="19"/>
      <c r="KDT25" s="19"/>
      <c r="KDU25" s="19"/>
      <c r="KDV25" s="19"/>
      <c r="KDW25" s="19"/>
      <c r="KDX25" s="19"/>
      <c r="KDY25" s="19"/>
      <c r="KDZ25" s="19"/>
      <c r="KEA25" s="19"/>
      <c r="KEB25" s="19"/>
      <c r="KEC25" s="19"/>
      <c r="KED25" s="19"/>
      <c r="KEE25" s="19"/>
      <c r="KEF25" s="19"/>
      <c r="KEG25" s="19"/>
      <c r="KEH25" s="19"/>
      <c r="KEI25" s="19"/>
      <c r="KEJ25" s="19"/>
      <c r="KEK25" s="19"/>
      <c r="KEL25" s="19"/>
      <c r="KEM25" s="19"/>
      <c r="KEN25" s="19"/>
      <c r="KEO25" s="19"/>
      <c r="KEP25" s="19"/>
      <c r="KEQ25" s="19"/>
      <c r="KER25" s="19"/>
      <c r="KES25" s="19"/>
      <c r="KET25" s="19"/>
      <c r="KEU25" s="19"/>
      <c r="KEV25" s="19"/>
      <c r="KEW25" s="19"/>
      <c r="KEX25" s="19"/>
      <c r="KEY25" s="19"/>
      <c r="KEZ25" s="19"/>
      <c r="KFA25" s="19"/>
      <c r="KFB25" s="19"/>
      <c r="KFC25" s="19"/>
      <c r="KFD25" s="19"/>
      <c r="KFE25" s="19"/>
      <c r="KFF25" s="19"/>
      <c r="KFG25" s="19"/>
      <c r="KFH25" s="19"/>
      <c r="KFI25" s="19"/>
      <c r="KFJ25" s="19"/>
      <c r="KFK25" s="19"/>
      <c r="KFL25" s="19"/>
      <c r="KFM25" s="19"/>
      <c r="KFN25" s="19"/>
      <c r="KFO25" s="19"/>
      <c r="KFP25" s="19"/>
      <c r="KFQ25" s="19"/>
      <c r="KFR25" s="19"/>
      <c r="KFS25" s="19"/>
      <c r="KFT25" s="19"/>
      <c r="KFU25" s="19"/>
      <c r="KFV25" s="19"/>
      <c r="KFW25" s="19"/>
      <c r="KFX25" s="19"/>
      <c r="KFY25" s="19"/>
      <c r="KFZ25" s="19"/>
      <c r="KGA25" s="19"/>
      <c r="KGB25" s="19"/>
      <c r="KGC25" s="19"/>
      <c r="KGD25" s="19"/>
      <c r="KGE25" s="19"/>
      <c r="KGF25" s="19"/>
      <c r="KGG25" s="19"/>
      <c r="KGH25" s="19"/>
      <c r="KGI25" s="19"/>
      <c r="KGJ25" s="19"/>
      <c r="KGK25" s="19"/>
      <c r="KGL25" s="19"/>
      <c r="KGM25" s="19"/>
      <c r="KGN25" s="19"/>
      <c r="KGO25" s="19"/>
      <c r="KGP25" s="19"/>
      <c r="KGQ25" s="19"/>
      <c r="KGR25" s="19"/>
      <c r="KGS25" s="19"/>
      <c r="KGT25" s="19"/>
      <c r="KGU25" s="19"/>
      <c r="KGV25" s="19"/>
      <c r="KGW25" s="19"/>
      <c r="KGX25" s="19"/>
      <c r="KGY25" s="19"/>
      <c r="KGZ25" s="19"/>
      <c r="KHA25" s="19"/>
      <c r="KHB25" s="19"/>
      <c r="KHC25" s="19"/>
      <c r="KHD25" s="19"/>
      <c r="KHE25" s="19"/>
      <c r="KHF25" s="19"/>
      <c r="KHG25" s="19"/>
      <c r="KHH25" s="19"/>
      <c r="KHI25" s="19"/>
      <c r="KHJ25" s="19"/>
      <c r="KHK25" s="19"/>
      <c r="KHL25" s="19"/>
      <c r="KHM25" s="19"/>
      <c r="KHN25" s="19"/>
      <c r="KHO25" s="19"/>
      <c r="KHP25" s="19"/>
      <c r="KHQ25" s="19"/>
      <c r="KHR25" s="19"/>
      <c r="KHS25" s="19"/>
      <c r="KHT25" s="19"/>
      <c r="KHU25" s="19"/>
      <c r="KHV25" s="19"/>
      <c r="KHW25" s="19"/>
      <c r="KHX25" s="19"/>
      <c r="KHY25" s="19"/>
      <c r="KHZ25" s="19"/>
      <c r="KIA25" s="19"/>
      <c r="KIB25" s="19"/>
      <c r="KIC25" s="19"/>
      <c r="KID25" s="19"/>
      <c r="KIE25" s="19"/>
      <c r="KIF25" s="19"/>
      <c r="KIG25" s="19"/>
      <c r="KIH25" s="19"/>
      <c r="KII25" s="19"/>
      <c r="KIJ25" s="19"/>
      <c r="KIK25" s="19"/>
      <c r="KIL25" s="19"/>
      <c r="KIM25" s="19"/>
      <c r="KIN25" s="19"/>
      <c r="KIO25" s="19"/>
      <c r="KIP25" s="19"/>
      <c r="KIQ25" s="19"/>
      <c r="KIR25" s="19"/>
      <c r="KIS25" s="19"/>
      <c r="KIT25" s="19"/>
      <c r="KIU25" s="19"/>
      <c r="KIV25" s="19"/>
      <c r="KIW25" s="19"/>
      <c r="KIX25" s="19"/>
      <c r="KIY25" s="19"/>
      <c r="KIZ25" s="19"/>
      <c r="KJA25" s="19"/>
      <c r="KJB25" s="19"/>
      <c r="KJC25" s="19"/>
      <c r="KJD25" s="19"/>
      <c r="KJE25" s="19"/>
      <c r="KJF25" s="19"/>
      <c r="KJG25" s="19"/>
      <c r="KJH25" s="19"/>
      <c r="KJI25" s="19"/>
      <c r="KJJ25" s="19"/>
      <c r="KJK25" s="19"/>
      <c r="KJL25" s="19"/>
      <c r="KJM25" s="19"/>
      <c r="KJN25" s="19"/>
      <c r="KJO25" s="19"/>
      <c r="KJP25" s="19"/>
      <c r="KJQ25" s="19"/>
      <c r="KJR25" s="19"/>
      <c r="KJS25" s="19"/>
      <c r="KJT25" s="19"/>
      <c r="KJU25" s="19"/>
      <c r="KJV25" s="19"/>
      <c r="KJW25" s="19"/>
      <c r="KJX25" s="19"/>
      <c r="KJY25" s="19"/>
      <c r="KJZ25" s="19"/>
      <c r="KKA25" s="19"/>
      <c r="KKB25" s="19"/>
      <c r="KKC25" s="19"/>
      <c r="KKD25" s="19"/>
      <c r="KKE25" s="19"/>
      <c r="KKF25" s="19"/>
      <c r="KKG25" s="19"/>
      <c r="KKH25" s="19"/>
      <c r="KKI25" s="19"/>
      <c r="KKJ25" s="19"/>
      <c r="KKK25" s="19"/>
      <c r="KKL25" s="19"/>
      <c r="KKM25" s="19"/>
      <c r="KKN25" s="19"/>
      <c r="KKO25" s="19"/>
      <c r="KKP25" s="19"/>
      <c r="KKQ25" s="19"/>
      <c r="KKR25" s="19"/>
      <c r="KKS25" s="19"/>
      <c r="KKT25" s="19"/>
      <c r="KKU25" s="19"/>
      <c r="KKV25" s="19"/>
      <c r="KKW25" s="19"/>
      <c r="KKX25" s="19"/>
      <c r="KKY25" s="19"/>
      <c r="KKZ25" s="19"/>
      <c r="KLA25" s="19"/>
      <c r="KLB25" s="19"/>
      <c r="KLC25" s="19"/>
      <c r="KLD25" s="19"/>
      <c r="KLE25" s="19"/>
      <c r="KLF25" s="19"/>
      <c r="KLG25" s="19"/>
      <c r="KLH25" s="19"/>
      <c r="KLI25" s="19"/>
      <c r="KLJ25" s="19"/>
      <c r="KLK25" s="19"/>
      <c r="KLL25" s="19"/>
      <c r="KLM25" s="19"/>
      <c r="KLN25" s="19"/>
      <c r="KLO25" s="19"/>
      <c r="KLP25" s="19"/>
      <c r="KLQ25" s="19"/>
      <c r="KLR25" s="19"/>
      <c r="KLS25" s="19"/>
      <c r="KLT25" s="19"/>
      <c r="KLU25" s="19"/>
      <c r="KLV25" s="19"/>
      <c r="KLW25" s="19"/>
      <c r="KLX25" s="19"/>
      <c r="KLY25" s="19"/>
      <c r="KLZ25" s="19"/>
      <c r="KMA25" s="19"/>
      <c r="KMB25" s="19"/>
      <c r="KMC25" s="19"/>
      <c r="KMD25" s="19"/>
      <c r="KME25" s="19"/>
      <c r="KMF25" s="19"/>
      <c r="KMG25" s="19"/>
      <c r="KMH25" s="19"/>
      <c r="KMI25" s="19"/>
      <c r="KMJ25" s="19"/>
      <c r="KMK25" s="19"/>
      <c r="KML25" s="19"/>
      <c r="KMM25" s="19"/>
      <c r="KMN25" s="19"/>
      <c r="KMO25" s="19"/>
      <c r="KMP25" s="19"/>
      <c r="KMQ25" s="19"/>
      <c r="KMR25" s="19"/>
      <c r="KMS25" s="19"/>
      <c r="KMT25" s="19"/>
      <c r="KMU25" s="19"/>
      <c r="KMV25" s="19"/>
      <c r="KMW25" s="19"/>
      <c r="KMX25" s="19"/>
      <c r="KMY25" s="19"/>
      <c r="KMZ25" s="19"/>
      <c r="KNA25" s="19"/>
      <c r="KNB25" s="19"/>
      <c r="KNC25" s="19"/>
      <c r="KND25" s="19"/>
      <c r="KNE25" s="19"/>
      <c r="KNF25" s="19"/>
      <c r="KNG25" s="19"/>
      <c r="KNH25" s="19"/>
      <c r="KNI25" s="19"/>
      <c r="KNJ25" s="19"/>
      <c r="KNK25" s="19"/>
      <c r="KNL25" s="19"/>
      <c r="KNM25" s="19"/>
      <c r="KNN25" s="19"/>
      <c r="KNO25" s="19"/>
      <c r="KNP25" s="19"/>
      <c r="KNQ25" s="19"/>
      <c r="KNR25" s="19"/>
      <c r="KNS25" s="19"/>
      <c r="KNT25" s="19"/>
      <c r="KNU25" s="19"/>
      <c r="KNV25" s="19"/>
      <c r="KNW25" s="19"/>
      <c r="KNX25" s="19"/>
      <c r="KNY25" s="19"/>
      <c r="KNZ25" s="19"/>
      <c r="KOA25" s="19"/>
      <c r="KOB25" s="19"/>
      <c r="KOC25" s="19"/>
      <c r="KOD25" s="19"/>
      <c r="KOE25" s="19"/>
      <c r="KOF25" s="19"/>
      <c r="KOG25" s="19"/>
      <c r="KOH25" s="19"/>
      <c r="KOI25" s="19"/>
      <c r="KOJ25" s="19"/>
      <c r="KOK25" s="19"/>
      <c r="KOL25" s="19"/>
      <c r="KOM25" s="19"/>
      <c r="KON25" s="19"/>
      <c r="KOO25" s="19"/>
      <c r="KOP25" s="19"/>
      <c r="KOQ25" s="19"/>
      <c r="KOR25" s="19"/>
      <c r="KOS25" s="19"/>
      <c r="KOT25" s="19"/>
      <c r="KOU25" s="19"/>
      <c r="KOV25" s="19"/>
      <c r="KOW25" s="19"/>
      <c r="KOX25" s="19"/>
      <c r="KOY25" s="19"/>
      <c r="KOZ25" s="19"/>
      <c r="KPA25" s="19"/>
      <c r="KPB25" s="19"/>
      <c r="KPC25" s="19"/>
      <c r="KPD25" s="19"/>
      <c r="KPE25" s="19"/>
      <c r="KPF25" s="19"/>
      <c r="KPG25" s="19"/>
      <c r="KPH25" s="19"/>
      <c r="KPI25" s="19"/>
      <c r="KPJ25" s="19"/>
      <c r="KPK25" s="19"/>
      <c r="KPL25" s="19"/>
      <c r="KPM25" s="19"/>
      <c r="KPN25" s="19"/>
      <c r="KPO25" s="19"/>
      <c r="KPP25" s="19"/>
      <c r="KPQ25" s="19"/>
      <c r="KPR25" s="19"/>
      <c r="KPS25" s="19"/>
      <c r="KPT25" s="19"/>
      <c r="KPU25" s="19"/>
      <c r="KPV25" s="19"/>
      <c r="KPW25" s="19"/>
      <c r="KPX25" s="19"/>
      <c r="KPY25" s="19"/>
      <c r="KPZ25" s="19"/>
      <c r="KQA25" s="19"/>
      <c r="KQB25" s="19"/>
      <c r="KQC25" s="19"/>
      <c r="KQD25" s="19"/>
      <c r="KQE25" s="19"/>
      <c r="KQF25" s="19"/>
      <c r="KQG25" s="19"/>
      <c r="KQH25" s="19"/>
      <c r="KQI25" s="19"/>
      <c r="KQJ25" s="19"/>
      <c r="KQK25" s="19"/>
      <c r="KQL25" s="19"/>
      <c r="KQM25" s="19"/>
      <c r="KQN25" s="19"/>
      <c r="KQO25" s="19"/>
      <c r="KQP25" s="19"/>
      <c r="KQQ25" s="19"/>
      <c r="KQR25" s="19"/>
      <c r="KQS25" s="19"/>
      <c r="KQT25" s="19"/>
      <c r="KQU25" s="19"/>
      <c r="KQV25" s="19"/>
      <c r="KQW25" s="19"/>
      <c r="KQX25" s="19"/>
      <c r="KQY25" s="19"/>
      <c r="KQZ25" s="19"/>
      <c r="KRA25" s="19"/>
      <c r="KRB25" s="19"/>
      <c r="KRC25" s="19"/>
      <c r="KRD25" s="19"/>
      <c r="KRE25" s="19"/>
      <c r="KRF25" s="19"/>
      <c r="KRG25" s="19"/>
      <c r="KRH25" s="19"/>
      <c r="KRI25" s="19"/>
      <c r="KRJ25" s="19"/>
      <c r="KRK25" s="19"/>
      <c r="KRL25" s="19"/>
      <c r="KRM25" s="19"/>
      <c r="KRN25" s="19"/>
      <c r="KRO25" s="19"/>
      <c r="KRP25" s="19"/>
      <c r="KRQ25" s="19"/>
      <c r="KRR25" s="19"/>
      <c r="KRS25" s="19"/>
      <c r="KRT25" s="19"/>
      <c r="KRU25" s="19"/>
      <c r="KRV25" s="19"/>
      <c r="KRW25" s="19"/>
      <c r="KRX25" s="19"/>
      <c r="KRY25" s="19"/>
      <c r="KRZ25" s="19"/>
      <c r="KSA25" s="19"/>
      <c r="KSB25" s="19"/>
      <c r="KSC25" s="19"/>
      <c r="KSD25" s="19"/>
      <c r="KSE25" s="19"/>
      <c r="KSF25" s="19"/>
      <c r="KSG25" s="19"/>
      <c r="KSH25" s="19"/>
      <c r="KSI25" s="19"/>
      <c r="KSJ25" s="19"/>
      <c r="KSK25" s="19"/>
      <c r="KSL25" s="19"/>
      <c r="KSM25" s="19"/>
      <c r="KSN25" s="19"/>
      <c r="KSO25" s="19"/>
      <c r="KSP25" s="19"/>
      <c r="KSQ25" s="19"/>
      <c r="KSR25" s="19"/>
      <c r="KSS25" s="19"/>
      <c r="KST25" s="19"/>
      <c r="KSU25" s="19"/>
      <c r="KSV25" s="19"/>
      <c r="KSW25" s="19"/>
      <c r="KSX25" s="19"/>
      <c r="KSY25" s="19"/>
      <c r="KSZ25" s="19"/>
      <c r="KTA25" s="19"/>
      <c r="KTB25" s="19"/>
      <c r="KTC25" s="19"/>
      <c r="KTD25" s="19"/>
      <c r="KTE25" s="19"/>
      <c r="KTF25" s="19"/>
      <c r="KTG25" s="19"/>
      <c r="KTH25" s="19"/>
      <c r="KTI25" s="19"/>
      <c r="KTJ25" s="19"/>
      <c r="KTK25" s="19"/>
      <c r="KTL25" s="19"/>
      <c r="KTM25" s="19"/>
      <c r="KTN25" s="19"/>
      <c r="KTO25" s="19"/>
      <c r="KTP25" s="19"/>
      <c r="KTQ25" s="19"/>
      <c r="KTR25" s="19"/>
      <c r="KTS25" s="19"/>
      <c r="KTT25" s="19"/>
      <c r="KTU25" s="19"/>
      <c r="KTV25" s="19"/>
      <c r="KTW25" s="19"/>
      <c r="KTX25" s="19"/>
      <c r="KTY25" s="19"/>
      <c r="KTZ25" s="19"/>
      <c r="KUA25" s="19"/>
      <c r="KUB25" s="19"/>
      <c r="KUC25" s="19"/>
      <c r="KUD25" s="19"/>
      <c r="KUE25" s="19"/>
      <c r="KUF25" s="19"/>
      <c r="KUG25" s="19"/>
      <c r="KUH25" s="19"/>
      <c r="KUI25" s="19"/>
      <c r="KUJ25" s="19"/>
      <c r="KUK25" s="19"/>
      <c r="KUL25" s="19"/>
      <c r="KUM25" s="19"/>
      <c r="KUN25" s="19"/>
      <c r="KUO25" s="19"/>
      <c r="KUP25" s="19"/>
      <c r="KUQ25" s="19"/>
      <c r="KUR25" s="19"/>
      <c r="KUS25" s="19"/>
      <c r="KUT25" s="19"/>
      <c r="KUU25" s="19"/>
      <c r="KUV25" s="19"/>
      <c r="KUW25" s="19"/>
      <c r="KUX25" s="19"/>
      <c r="KUY25" s="19"/>
      <c r="KUZ25" s="19"/>
      <c r="KVA25" s="19"/>
      <c r="KVB25" s="19"/>
      <c r="KVC25" s="19"/>
      <c r="KVD25" s="19"/>
      <c r="KVE25" s="19"/>
      <c r="KVF25" s="19"/>
      <c r="KVG25" s="19"/>
      <c r="KVH25" s="19"/>
      <c r="KVI25" s="19"/>
      <c r="KVJ25" s="19"/>
      <c r="KVK25" s="19"/>
      <c r="KVL25" s="19"/>
      <c r="KVM25" s="19"/>
      <c r="KVN25" s="19"/>
      <c r="KVO25" s="19"/>
      <c r="KVP25" s="19"/>
      <c r="KVQ25" s="19"/>
      <c r="KVR25" s="19"/>
      <c r="KVS25" s="19"/>
      <c r="KVT25" s="19"/>
      <c r="KVU25" s="19"/>
      <c r="KVV25" s="19"/>
      <c r="KVW25" s="19"/>
      <c r="KVX25" s="19"/>
      <c r="KVY25" s="19"/>
      <c r="KVZ25" s="19"/>
      <c r="KWA25" s="19"/>
      <c r="KWB25" s="19"/>
      <c r="KWC25" s="19"/>
      <c r="KWD25" s="19"/>
      <c r="KWE25" s="19"/>
      <c r="KWF25" s="19"/>
      <c r="KWG25" s="19"/>
      <c r="KWH25" s="19"/>
      <c r="KWI25" s="19"/>
      <c r="KWJ25" s="19"/>
      <c r="KWK25" s="19"/>
      <c r="KWL25" s="19"/>
      <c r="KWM25" s="19"/>
      <c r="KWN25" s="19"/>
      <c r="KWO25" s="19"/>
      <c r="KWP25" s="19"/>
      <c r="KWQ25" s="19"/>
      <c r="KWR25" s="19"/>
      <c r="KWS25" s="19"/>
      <c r="KWT25" s="19"/>
      <c r="KWU25" s="19"/>
      <c r="KWV25" s="19"/>
      <c r="KWW25" s="19"/>
      <c r="KWX25" s="19"/>
      <c r="KWY25" s="19"/>
      <c r="KWZ25" s="19"/>
      <c r="KXA25" s="19"/>
      <c r="KXB25" s="19"/>
      <c r="KXC25" s="19"/>
      <c r="KXD25" s="19"/>
      <c r="KXE25" s="19"/>
      <c r="KXF25" s="19"/>
      <c r="KXG25" s="19"/>
      <c r="KXH25" s="19"/>
      <c r="KXI25" s="19"/>
      <c r="KXJ25" s="19"/>
      <c r="KXK25" s="19"/>
      <c r="KXL25" s="19"/>
      <c r="KXM25" s="19"/>
      <c r="KXN25" s="19"/>
      <c r="KXO25" s="19"/>
      <c r="KXP25" s="19"/>
      <c r="KXQ25" s="19"/>
      <c r="KXR25" s="19"/>
      <c r="KXS25" s="19"/>
      <c r="KXT25" s="19"/>
      <c r="KXU25" s="19"/>
      <c r="KXV25" s="19"/>
      <c r="KXW25" s="19"/>
      <c r="KXX25" s="19"/>
      <c r="KXY25" s="19"/>
      <c r="KXZ25" s="19"/>
      <c r="KYA25" s="19"/>
      <c r="KYB25" s="19"/>
      <c r="KYC25" s="19"/>
      <c r="KYD25" s="19"/>
      <c r="KYE25" s="19"/>
      <c r="KYF25" s="19"/>
      <c r="KYG25" s="19"/>
      <c r="KYH25" s="19"/>
      <c r="KYI25" s="19"/>
      <c r="KYJ25" s="19"/>
      <c r="KYK25" s="19"/>
      <c r="KYL25" s="19"/>
      <c r="KYM25" s="19"/>
      <c r="KYN25" s="19"/>
      <c r="KYO25" s="19"/>
      <c r="KYP25" s="19"/>
      <c r="KYQ25" s="19"/>
      <c r="KYR25" s="19"/>
      <c r="KYS25" s="19"/>
      <c r="KYT25" s="19"/>
      <c r="KYU25" s="19"/>
      <c r="KYV25" s="19"/>
      <c r="KYW25" s="19"/>
      <c r="KYX25" s="19"/>
      <c r="KYY25" s="19"/>
      <c r="KYZ25" s="19"/>
      <c r="KZA25" s="19"/>
      <c r="KZB25" s="19"/>
      <c r="KZC25" s="19"/>
      <c r="KZD25" s="19"/>
      <c r="KZE25" s="19"/>
      <c r="KZF25" s="19"/>
      <c r="KZG25" s="19"/>
      <c r="KZH25" s="19"/>
      <c r="KZI25" s="19"/>
      <c r="KZJ25" s="19"/>
      <c r="KZK25" s="19"/>
      <c r="KZL25" s="19"/>
      <c r="KZM25" s="19"/>
      <c r="KZN25" s="19"/>
      <c r="KZO25" s="19"/>
      <c r="KZP25" s="19"/>
      <c r="KZQ25" s="19"/>
      <c r="KZR25" s="19"/>
      <c r="KZS25" s="19"/>
      <c r="KZT25" s="19"/>
      <c r="KZU25" s="19"/>
      <c r="KZV25" s="19"/>
      <c r="KZW25" s="19"/>
      <c r="KZX25" s="19"/>
      <c r="KZY25" s="19"/>
      <c r="KZZ25" s="19"/>
      <c r="LAA25" s="19"/>
      <c r="LAB25" s="19"/>
      <c r="LAC25" s="19"/>
      <c r="LAD25" s="19"/>
      <c r="LAE25" s="19"/>
      <c r="LAF25" s="19"/>
      <c r="LAG25" s="19"/>
      <c r="LAH25" s="19"/>
      <c r="LAI25" s="19"/>
      <c r="LAJ25" s="19"/>
      <c r="LAK25" s="19"/>
      <c r="LAL25" s="19"/>
      <c r="LAM25" s="19"/>
      <c r="LAN25" s="19"/>
      <c r="LAO25" s="19"/>
      <c r="LAP25" s="19"/>
      <c r="LAQ25" s="19"/>
      <c r="LAR25" s="19"/>
      <c r="LAS25" s="19"/>
      <c r="LAT25" s="19"/>
      <c r="LAU25" s="19"/>
      <c r="LAV25" s="19"/>
      <c r="LAW25" s="19"/>
      <c r="LAX25" s="19"/>
      <c r="LAY25" s="19"/>
      <c r="LAZ25" s="19"/>
      <c r="LBA25" s="19"/>
      <c r="LBB25" s="19"/>
      <c r="LBC25" s="19"/>
      <c r="LBD25" s="19"/>
      <c r="LBE25" s="19"/>
      <c r="LBF25" s="19"/>
      <c r="LBG25" s="19"/>
      <c r="LBH25" s="19"/>
      <c r="LBI25" s="19"/>
      <c r="LBJ25" s="19"/>
      <c r="LBK25" s="19"/>
      <c r="LBL25" s="19"/>
      <c r="LBM25" s="19"/>
      <c r="LBN25" s="19"/>
      <c r="LBO25" s="19"/>
      <c r="LBP25" s="19"/>
      <c r="LBQ25" s="19"/>
      <c r="LBR25" s="19"/>
      <c r="LBS25" s="19"/>
      <c r="LBT25" s="19"/>
      <c r="LBU25" s="19"/>
      <c r="LBV25" s="19"/>
      <c r="LBW25" s="19"/>
      <c r="LBX25" s="19"/>
      <c r="LBY25" s="19"/>
      <c r="LBZ25" s="19"/>
      <c r="LCA25" s="19"/>
      <c r="LCB25" s="19"/>
      <c r="LCC25" s="19"/>
      <c r="LCD25" s="19"/>
      <c r="LCE25" s="19"/>
      <c r="LCF25" s="19"/>
      <c r="LCG25" s="19"/>
      <c r="LCH25" s="19"/>
      <c r="LCI25" s="19"/>
      <c r="LCJ25" s="19"/>
      <c r="LCK25" s="19"/>
      <c r="LCL25" s="19"/>
      <c r="LCM25" s="19"/>
      <c r="LCN25" s="19"/>
      <c r="LCO25" s="19"/>
      <c r="LCP25" s="19"/>
      <c r="LCQ25" s="19"/>
      <c r="LCR25" s="19"/>
      <c r="LCS25" s="19"/>
      <c r="LCT25" s="19"/>
      <c r="LCU25" s="19"/>
      <c r="LCV25" s="19"/>
      <c r="LCW25" s="19"/>
      <c r="LCX25" s="19"/>
      <c r="LCY25" s="19"/>
      <c r="LCZ25" s="19"/>
      <c r="LDA25" s="19"/>
      <c r="LDB25" s="19"/>
      <c r="LDC25" s="19"/>
      <c r="LDD25" s="19"/>
      <c r="LDE25" s="19"/>
      <c r="LDF25" s="19"/>
      <c r="LDG25" s="19"/>
      <c r="LDH25" s="19"/>
      <c r="LDI25" s="19"/>
      <c r="LDJ25" s="19"/>
      <c r="LDK25" s="19"/>
      <c r="LDL25" s="19"/>
      <c r="LDM25" s="19"/>
      <c r="LDN25" s="19"/>
      <c r="LDO25" s="19"/>
      <c r="LDP25" s="19"/>
      <c r="LDQ25" s="19"/>
      <c r="LDR25" s="19"/>
      <c r="LDS25" s="19"/>
      <c r="LDT25" s="19"/>
      <c r="LDU25" s="19"/>
      <c r="LDV25" s="19"/>
      <c r="LDW25" s="19"/>
      <c r="LDX25" s="19"/>
      <c r="LDY25" s="19"/>
      <c r="LDZ25" s="19"/>
      <c r="LEA25" s="19"/>
      <c r="LEB25" s="19"/>
      <c r="LEC25" s="19"/>
      <c r="LED25" s="19"/>
      <c r="LEE25" s="19"/>
      <c r="LEF25" s="19"/>
      <c r="LEG25" s="19"/>
      <c r="LEH25" s="19"/>
      <c r="LEI25" s="19"/>
      <c r="LEJ25" s="19"/>
      <c r="LEK25" s="19"/>
      <c r="LEL25" s="19"/>
      <c r="LEM25" s="19"/>
      <c r="LEN25" s="19"/>
      <c r="LEO25" s="19"/>
      <c r="LEP25" s="19"/>
      <c r="LEQ25" s="19"/>
      <c r="LER25" s="19"/>
      <c r="LES25" s="19"/>
      <c r="LET25" s="19"/>
      <c r="LEU25" s="19"/>
      <c r="LEV25" s="19"/>
      <c r="LEW25" s="19"/>
      <c r="LEX25" s="19"/>
      <c r="LEY25" s="19"/>
      <c r="LEZ25" s="19"/>
      <c r="LFA25" s="19"/>
      <c r="LFB25" s="19"/>
      <c r="LFC25" s="19"/>
      <c r="LFD25" s="19"/>
      <c r="LFE25" s="19"/>
      <c r="LFF25" s="19"/>
      <c r="LFG25" s="19"/>
      <c r="LFH25" s="19"/>
      <c r="LFI25" s="19"/>
      <c r="LFJ25" s="19"/>
      <c r="LFK25" s="19"/>
      <c r="LFL25" s="19"/>
      <c r="LFM25" s="19"/>
      <c r="LFN25" s="19"/>
      <c r="LFO25" s="19"/>
      <c r="LFP25" s="19"/>
      <c r="LFQ25" s="19"/>
      <c r="LFR25" s="19"/>
      <c r="LFS25" s="19"/>
      <c r="LFT25" s="19"/>
      <c r="LFU25" s="19"/>
      <c r="LFV25" s="19"/>
      <c r="LFW25" s="19"/>
      <c r="LFX25" s="19"/>
      <c r="LFY25" s="19"/>
      <c r="LFZ25" s="19"/>
      <c r="LGA25" s="19"/>
      <c r="LGB25" s="19"/>
      <c r="LGC25" s="19"/>
      <c r="LGD25" s="19"/>
      <c r="LGE25" s="19"/>
      <c r="LGF25" s="19"/>
      <c r="LGG25" s="19"/>
      <c r="LGH25" s="19"/>
      <c r="LGI25" s="19"/>
      <c r="LGJ25" s="19"/>
      <c r="LGK25" s="19"/>
      <c r="LGL25" s="19"/>
      <c r="LGM25" s="19"/>
      <c r="LGN25" s="19"/>
      <c r="LGO25" s="19"/>
      <c r="LGP25" s="19"/>
      <c r="LGQ25" s="19"/>
      <c r="LGR25" s="19"/>
      <c r="LGS25" s="19"/>
      <c r="LGT25" s="19"/>
      <c r="LGU25" s="19"/>
      <c r="LGV25" s="19"/>
      <c r="LGW25" s="19"/>
      <c r="LGX25" s="19"/>
      <c r="LGY25" s="19"/>
      <c r="LGZ25" s="19"/>
      <c r="LHA25" s="19"/>
      <c r="LHB25" s="19"/>
      <c r="LHC25" s="19"/>
      <c r="LHD25" s="19"/>
      <c r="LHE25" s="19"/>
      <c r="LHF25" s="19"/>
      <c r="LHG25" s="19"/>
      <c r="LHH25" s="19"/>
      <c r="LHI25" s="19"/>
      <c r="LHJ25" s="19"/>
      <c r="LHK25" s="19"/>
      <c r="LHL25" s="19"/>
      <c r="LHM25" s="19"/>
      <c r="LHN25" s="19"/>
      <c r="LHO25" s="19"/>
      <c r="LHP25" s="19"/>
      <c r="LHQ25" s="19"/>
      <c r="LHR25" s="19"/>
      <c r="LHS25" s="19"/>
      <c r="LHT25" s="19"/>
      <c r="LHU25" s="19"/>
      <c r="LHV25" s="19"/>
      <c r="LHW25" s="19"/>
      <c r="LHX25" s="19"/>
      <c r="LHY25" s="19"/>
      <c r="LHZ25" s="19"/>
      <c r="LIA25" s="19"/>
      <c r="LIB25" s="19"/>
      <c r="LIC25" s="19"/>
      <c r="LID25" s="19"/>
      <c r="LIE25" s="19"/>
      <c r="LIF25" s="19"/>
      <c r="LIG25" s="19"/>
      <c r="LIH25" s="19"/>
      <c r="LII25" s="19"/>
      <c r="LIJ25" s="19"/>
      <c r="LIK25" s="19"/>
      <c r="LIL25" s="19"/>
      <c r="LIM25" s="19"/>
      <c r="LIN25" s="19"/>
      <c r="LIO25" s="19"/>
      <c r="LIP25" s="19"/>
      <c r="LIQ25" s="19"/>
      <c r="LIR25" s="19"/>
      <c r="LIS25" s="19"/>
      <c r="LIT25" s="19"/>
      <c r="LIU25" s="19"/>
      <c r="LIV25" s="19"/>
      <c r="LIW25" s="19"/>
      <c r="LIX25" s="19"/>
      <c r="LIY25" s="19"/>
      <c r="LIZ25" s="19"/>
      <c r="LJA25" s="19"/>
      <c r="LJB25" s="19"/>
      <c r="LJC25" s="19"/>
      <c r="LJD25" s="19"/>
      <c r="LJE25" s="19"/>
      <c r="LJF25" s="19"/>
      <c r="LJG25" s="19"/>
      <c r="LJH25" s="19"/>
      <c r="LJI25" s="19"/>
      <c r="LJJ25" s="19"/>
      <c r="LJK25" s="19"/>
      <c r="LJL25" s="19"/>
      <c r="LJM25" s="19"/>
      <c r="LJN25" s="19"/>
      <c r="LJO25" s="19"/>
      <c r="LJP25" s="19"/>
      <c r="LJQ25" s="19"/>
      <c r="LJR25" s="19"/>
      <c r="LJS25" s="19"/>
      <c r="LJT25" s="19"/>
      <c r="LJU25" s="19"/>
      <c r="LJV25" s="19"/>
      <c r="LJW25" s="19"/>
      <c r="LJX25" s="19"/>
      <c r="LJY25" s="19"/>
      <c r="LJZ25" s="19"/>
      <c r="LKA25" s="19"/>
      <c r="LKB25" s="19"/>
      <c r="LKC25" s="19"/>
      <c r="LKD25" s="19"/>
      <c r="LKE25" s="19"/>
      <c r="LKF25" s="19"/>
      <c r="LKG25" s="19"/>
      <c r="LKH25" s="19"/>
      <c r="LKI25" s="19"/>
      <c r="LKJ25" s="19"/>
      <c r="LKK25" s="19"/>
      <c r="LKL25" s="19"/>
      <c r="LKM25" s="19"/>
      <c r="LKN25" s="19"/>
      <c r="LKO25" s="19"/>
      <c r="LKP25" s="19"/>
      <c r="LKQ25" s="19"/>
      <c r="LKR25" s="19"/>
      <c r="LKS25" s="19"/>
      <c r="LKT25" s="19"/>
      <c r="LKU25" s="19"/>
      <c r="LKV25" s="19"/>
      <c r="LKW25" s="19"/>
      <c r="LKX25" s="19"/>
      <c r="LKY25" s="19"/>
      <c r="LKZ25" s="19"/>
      <c r="LLA25" s="19"/>
      <c r="LLB25" s="19"/>
      <c r="LLC25" s="19"/>
      <c r="LLD25" s="19"/>
      <c r="LLE25" s="19"/>
      <c r="LLF25" s="19"/>
      <c r="LLG25" s="19"/>
      <c r="LLH25" s="19"/>
      <c r="LLI25" s="19"/>
      <c r="LLJ25" s="19"/>
      <c r="LLK25" s="19"/>
      <c r="LLL25" s="19"/>
      <c r="LLM25" s="19"/>
      <c r="LLN25" s="19"/>
      <c r="LLO25" s="19"/>
      <c r="LLP25" s="19"/>
      <c r="LLQ25" s="19"/>
      <c r="LLR25" s="19"/>
      <c r="LLS25" s="19"/>
      <c r="LLT25" s="19"/>
      <c r="LLU25" s="19"/>
      <c r="LLV25" s="19"/>
      <c r="LLW25" s="19"/>
      <c r="LLX25" s="19"/>
      <c r="LLY25" s="19"/>
      <c r="LLZ25" s="19"/>
      <c r="LMA25" s="19"/>
      <c r="LMB25" s="19"/>
      <c r="LMC25" s="19"/>
      <c r="LMD25" s="19"/>
      <c r="LME25" s="19"/>
      <c r="LMF25" s="19"/>
      <c r="LMG25" s="19"/>
      <c r="LMH25" s="19"/>
      <c r="LMI25" s="19"/>
      <c r="LMJ25" s="19"/>
      <c r="LMK25" s="19"/>
      <c r="LML25" s="19"/>
      <c r="LMM25" s="19"/>
      <c r="LMN25" s="19"/>
      <c r="LMO25" s="19"/>
      <c r="LMP25" s="19"/>
      <c r="LMQ25" s="19"/>
      <c r="LMR25" s="19"/>
      <c r="LMS25" s="19"/>
      <c r="LMT25" s="19"/>
      <c r="LMU25" s="19"/>
      <c r="LMV25" s="19"/>
      <c r="LMW25" s="19"/>
      <c r="LMX25" s="19"/>
      <c r="LMY25" s="19"/>
      <c r="LMZ25" s="19"/>
      <c r="LNA25" s="19"/>
      <c r="LNB25" s="19"/>
      <c r="LNC25" s="19"/>
      <c r="LND25" s="19"/>
      <c r="LNE25" s="19"/>
      <c r="LNF25" s="19"/>
      <c r="LNG25" s="19"/>
      <c r="LNH25" s="19"/>
      <c r="LNI25" s="19"/>
      <c r="LNJ25" s="19"/>
      <c r="LNK25" s="19"/>
      <c r="LNL25" s="19"/>
      <c r="LNM25" s="19"/>
      <c r="LNN25" s="19"/>
      <c r="LNO25" s="19"/>
      <c r="LNP25" s="19"/>
      <c r="LNQ25" s="19"/>
      <c r="LNR25" s="19"/>
      <c r="LNS25" s="19"/>
      <c r="LNT25" s="19"/>
      <c r="LNU25" s="19"/>
      <c r="LNV25" s="19"/>
      <c r="LNW25" s="19"/>
      <c r="LNX25" s="19"/>
      <c r="LNY25" s="19"/>
      <c r="LNZ25" s="19"/>
      <c r="LOA25" s="19"/>
      <c r="LOB25" s="19"/>
      <c r="LOC25" s="19"/>
      <c r="LOD25" s="19"/>
      <c r="LOE25" s="19"/>
      <c r="LOF25" s="19"/>
      <c r="LOG25" s="19"/>
      <c r="LOH25" s="19"/>
      <c r="LOI25" s="19"/>
      <c r="LOJ25" s="19"/>
      <c r="LOK25" s="19"/>
      <c r="LOL25" s="19"/>
      <c r="LOM25" s="19"/>
      <c r="LON25" s="19"/>
      <c r="LOO25" s="19"/>
      <c r="LOP25" s="19"/>
      <c r="LOQ25" s="19"/>
      <c r="LOR25" s="19"/>
      <c r="LOS25" s="19"/>
      <c r="LOT25" s="19"/>
      <c r="LOU25" s="19"/>
      <c r="LOV25" s="19"/>
      <c r="LOW25" s="19"/>
      <c r="LOX25" s="19"/>
      <c r="LOY25" s="19"/>
      <c r="LOZ25" s="19"/>
      <c r="LPA25" s="19"/>
      <c r="LPB25" s="19"/>
      <c r="LPC25" s="19"/>
      <c r="LPD25" s="19"/>
      <c r="LPE25" s="19"/>
      <c r="LPF25" s="19"/>
      <c r="LPG25" s="19"/>
      <c r="LPH25" s="19"/>
      <c r="LPI25" s="19"/>
      <c r="LPJ25" s="19"/>
      <c r="LPK25" s="19"/>
      <c r="LPL25" s="19"/>
      <c r="LPM25" s="19"/>
      <c r="LPN25" s="19"/>
      <c r="LPO25" s="19"/>
      <c r="LPP25" s="19"/>
      <c r="LPQ25" s="19"/>
      <c r="LPR25" s="19"/>
      <c r="LPS25" s="19"/>
      <c r="LPT25" s="19"/>
      <c r="LPU25" s="19"/>
      <c r="LPV25" s="19"/>
      <c r="LPW25" s="19"/>
      <c r="LPX25" s="19"/>
      <c r="LPY25" s="19"/>
      <c r="LPZ25" s="19"/>
      <c r="LQA25" s="19"/>
      <c r="LQB25" s="19"/>
      <c r="LQC25" s="19"/>
      <c r="LQD25" s="19"/>
      <c r="LQE25" s="19"/>
      <c r="LQF25" s="19"/>
      <c r="LQG25" s="19"/>
      <c r="LQH25" s="19"/>
      <c r="LQI25" s="19"/>
      <c r="LQJ25" s="19"/>
      <c r="LQK25" s="19"/>
      <c r="LQL25" s="19"/>
      <c r="LQM25" s="19"/>
      <c r="LQN25" s="19"/>
      <c r="LQO25" s="19"/>
      <c r="LQP25" s="19"/>
      <c r="LQQ25" s="19"/>
      <c r="LQR25" s="19"/>
      <c r="LQS25" s="19"/>
      <c r="LQT25" s="19"/>
      <c r="LQU25" s="19"/>
      <c r="LQV25" s="19"/>
      <c r="LQW25" s="19"/>
      <c r="LQX25" s="19"/>
      <c r="LQY25" s="19"/>
      <c r="LQZ25" s="19"/>
      <c r="LRA25" s="19"/>
      <c r="LRB25" s="19"/>
      <c r="LRC25" s="19"/>
      <c r="LRD25" s="19"/>
      <c r="LRE25" s="19"/>
      <c r="LRF25" s="19"/>
      <c r="LRG25" s="19"/>
      <c r="LRH25" s="19"/>
      <c r="LRI25" s="19"/>
      <c r="LRJ25" s="19"/>
      <c r="LRK25" s="19"/>
      <c r="LRL25" s="19"/>
      <c r="LRM25" s="19"/>
      <c r="LRN25" s="19"/>
      <c r="LRO25" s="19"/>
      <c r="LRP25" s="19"/>
      <c r="LRQ25" s="19"/>
      <c r="LRR25" s="19"/>
      <c r="LRS25" s="19"/>
      <c r="LRT25" s="19"/>
      <c r="LRU25" s="19"/>
      <c r="LRV25" s="19"/>
      <c r="LRW25" s="19"/>
      <c r="LRX25" s="19"/>
      <c r="LRY25" s="19"/>
      <c r="LRZ25" s="19"/>
      <c r="LSA25" s="19"/>
      <c r="LSB25" s="19"/>
      <c r="LSC25" s="19"/>
      <c r="LSD25" s="19"/>
      <c r="LSE25" s="19"/>
      <c r="LSF25" s="19"/>
      <c r="LSG25" s="19"/>
      <c r="LSH25" s="19"/>
      <c r="LSI25" s="19"/>
      <c r="LSJ25" s="19"/>
      <c r="LSK25" s="19"/>
      <c r="LSL25" s="19"/>
      <c r="LSM25" s="19"/>
      <c r="LSN25" s="19"/>
      <c r="LSO25" s="19"/>
      <c r="LSP25" s="19"/>
      <c r="LSQ25" s="19"/>
      <c r="LSR25" s="19"/>
      <c r="LSS25" s="19"/>
      <c r="LST25" s="19"/>
      <c r="LSU25" s="19"/>
      <c r="LSV25" s="19"/>
      <c r="LSW25" s="19"/>
      <c r="LSX25" s="19"/>
      <c r="LSY25" s="19"/>
      <c r="LSZ25" s="19"/>
      <c r="LTA25" s="19"/>
      <c r="LTB25" s="19"/>
      <c r="LTC25" s="19"/>
      <c r="LTD25" s="19"/>
      <c r="LTE25" s="19"/>
      <c r="LTF25" s="19"/>
      <c r="LTG25" s="19"/>
      <c r="LTH25" s="19"/>
      <c r="LTI25" s="19"/>
      <c r="LTJ25" s="19"/>
      <c r="LTK25" s="19"/>
      <c r="LTL25" s="19"/>
      <c r="LTM25" s="19"/>
      <c r="LTN25" s="19"/>
      <c r="LTO25" s="19"/>
      <c r="LTP25" s="19"/>
      <c r="LTQ25" s="19"/>
      <c r="LTR25" s="19"/>
      <c r="LTS25" s="19"/>
      <c r="LTT25" s="19"/>
      <c r="LTU25" s="19"/>
      <c r="LTV25" s="19"/>
      <c r="LTW25" s="19"/>
      <c r="LTX25" s="19"/>
      <c r="LTY25" s="19"/>
      <c r="LTZ25" s="19"/>
      <c r="LUA25" s="19"/>
      <c r="LUB25" s="19"/>
      <c r="LUC25" s="19"/>
      <c r="LUD25" s="19"/>
      <c r="LUE25" s="19"/>
      <c r="LUF25" s="19"/>
      <c r="LUG25" s="19"/>
      <c r="LUH25" s="19"/>
      <c r="LUI25" s="19"/>
      <c r="LUJ25" s="19"/>
      <c r="LUK25" s="19"/>
      <c r="LUL25" s="19"/>
      <c r="LUM25" s="19"/>
      <c r="LUN25" s="19"/>
      <c r="LUO25" s="19"/>
      <c r="LUP25" s="19"/>
      <c r="LUQ25" s="19"/>
      <c r="LUR25" s="19"/>
      <c r="LUS25" s="19"/>
      <c r="LUT25" s="19"/>
      <c r="LUU25" s="19"/>
      <c r="LUV25" s="19"/>
      <c r="LUW25" s="19"/>
      <c r="LUX25" s="19"/>
      <c r="LUY25" s="19"/>
      <c r="LUZ25" s="19"/>
      <c r="LVA25" s="19"/>
      <c r="LVB25" s="19"/>
      <c r="LVC25" s="19"/>
      <c r="LVD25" s="19"/>
      <c r="LVE25" s="19"/>
      <c r="LVF25" s="19"/>
      <c r="LVG25" s="19"/>
      <c r="LVH25" s="19"/>
      <c r="LVI25" s="19"/>
      <c r="LVJ25" s="19"/>
      <c r="LVK25" s="19"/>
      <c r="LVL25" s="19"/>
      <c r="LVM25" s="19"/>
      <c r="LVN25" s="19"/>
      <c r="LVO25" s="19"/>
      <c r="LVP25" s="19"/>
      <c r="LVQ25" s="19"/>
      <c r="LVR25" s="19"/>
      <c r="LVS25" s="19"/>
      <c r="LVT25" s="19"/>
      <c r="LVU25" s="19"/>
      <c r="LVV25" s="19"/>
      <c r="LVW25" s="19"/>
      <c r="LVX25" s="19"/>
      <c r="LVY25" s="19"/>
      <c r="LVZ25" s="19"/>
      <c r="LWA25" s="19"/>
      <c r="LWB25" s="19"/>
      <c r="LWC25" s="19"/>
      <c r="LWD25" s="19"/>
      <c r="LWE25" s="19"/>
      <c r="LWF25" s="19"/>
      <c r="LWG25" s="19"/>
      <c r="LWH25" s="19"/>
      <c r="LWI25" s="19"/>
      <c r="LWJ25" s="19"/>
      <c r="LWK25" s="19"/>
      <c r="LWL25" s="19"/>
      <c r="LWM25" s="19"/>
      <c r="LWN25" s="19"/>
      <c r="LWO25" s="19"/>
      <c r="LWP25" s="19"/>
      <c r="LWQ25" s="19"/>
      <c r="LWR25" s="19"/>
      <c r="LWS25" s="19"/>
      <c r="LWT25" s="19"/>
      <c r="LWU25" s="19"/>
      <c r="LWV25" s="19"/>
      <c r="LWW25" s="19"/>
      <c r="LWX25" s="19"/>
      <c r="LWY25" s="19"/>
      <c r="LWZ25" s="19"/>
      <c r="LXA25" s="19"/>
      <c r="LXB25" s="19"/>
      <c r="LXC25" s="19"/>
      <c r="LXD25" s="19"/>
      <c r="LXE25" s="19"/>
      <c r="LXF25" s="19"/>
      <c r="LXG25" s="19"/>
      <c r="LXH25" s="19"/>
      <c r="LXI25" s="19"/>
      <c r="LXJ25" s="19"/>
      <c r="LXK25" s="19"/>
      <c r="LXL25" s="19"/>
      <c r="LXM25" s="19"/>
      <c r="LXN25" s="19"/>
      <c r="LXO25" s="19"/>
      <c r="LXP25" s="19"/>
      <c r="LXQ25" s="19"/>
      <c r="LXR25" s="19"/>
      <c r="LXS25" s="19"/>
      <c r="LXT25" s="19"/>
      <c r="LXU25" s="19"/>
      <c r="LXV25" s="19"/>
      <c r="LXW25" s="19"/>
      <c r="LXX25" s="19"/>
      <c r="LXY25" s="19"/>
      <c r="LXZ25" s="19"/>
      <c r="LYA25" s="19"/>
      <c r="LYB25" s="19"/>
      <c r="LYC25" s="19"/>
      <c r="LYD25" s="19"/>
      <c r="LYE25" s="19"/>
      <c r="LYF25" s="19"/>
      <c r="LYG25" s="19"/>
      <c r="LYH25" s="19"/>
      <c r="LYI25" s="19"/>
      <c r="LYJ25" s="19"/>
      <c r="LYK25" s="19"/>
      <c r="LYL25" s="19"/>
      <c r="LYM25" s="19"/>
      <c r="LYN25" s="19"/>
      <c r="LYO25" s="19"/>
      <c r="LYP25" s="19"/>
      <c r="LYQ25" s="19"/>
      <c r="LYR25" s="19"/>
      <c r="LYS25" s="19"/>
      <c r="LYT25" s="19"/>
      <c r="LYU25" s="19"/>
      <c r="LYV25" s="19"/>
      <c r="LYW25" s="19"/>
      <c r="LYX25" s="19"/>
      <c r="LYY25" s="19"/>
      <c r="LYZ25" s="19"/>
      <c r="LZA25" s="19"/>
      <c r="LZB25" s="19"/>
      <c r="LZC25" s="19"/>
      <c r="LZD25" s="19"/>
      <c r="LZE25" s="19"/>
      <c r="LZF25" s="19"/>
      <c r="LZG25" s="19"/>
      <c r="LZH25" s="19"/>
      <c r="LZI25" s="19"/>
      <c r="LZJ25" s="19"/>
      <c r="LZK25" s="19"/>
      <c r="LZL25" s="19"/>
      <c r="LZM25" s="19"/>
      <c r="LZN25" s="19"/>
      <c r="LZO25" s="19"/>
      <c r="LZP25" s="19"/>
      <c r="LZQ25" s="19"/>
      <c r="LZR25" s="19"/>
      <c r="LZS25" s="19"/>
      <c r="LZT25" s="19"/>
      <c r="LZU25" s="19"/>
      <c r="LZV25" s="19"/>
      <c r="LZW25" s="19"/>
      <c r="LZX25" s="19"/>
      <c r="LZY25" s="19"/>
      <c r="LZZ25" s="19"/>
      <c r="MAA25" s="19"/>
      <c r="MAB25" s="19"/>
      <c r="MAC25" s="19"/>
      <c r="MAD25" s="19"/>
      <c r="MAE25" s="19"/>
      <c r="MAF25" s="19"/>
      <c r="MAG25" s="19"/>
      <c r="MAH25" s="19"/>
      <c r="MAI25" s="19"/>
      <c r="MAJ25" s="19"/>
      <c r="MAK25" s="19"/>
      <c r="MAL25" s="19"/>
      <c r="MAM25" s="19"/>
      <c r="MAN25" s="19"/>
      <c r="MAO25" s="19"/>
      <c r="MAP25" s="19"/>
      <c r="MAQ25" s="19"/>
      <c r="MAR25" s="19"/>
      <c r="MAS25" s="19"/>
      <c r="MAT25" s="19"/>
      <c r="MAU25" s="19"/>
      <c r="MAV25" s="19"/>
      <c r="MAW25" s="19"/>
      <c r="MAX25" s="19"/>
      <c r="MAY25" s="19"/>
      <c r="MAZ25" s="19"/>
      <c r="MBA25" s="19"/>
      <c r="MBB25" s="19"/>
      <c r="MBC25" s="19"/>
      <c r="MBD25" s="19"/>
      <c r="MBE25" s="19"/>
      <c r="MBF25" s="19"/>
      <c r="MBG25" s="19"/>
      <c r="MBH25" s="19"/>
      <c r="MBI25" s="19"/>
      <c r="MBJ25" s="19"/>
      <c r="MBK25" s="19"/>
      <c r="MBL25" s="19"/>
      <c r="MBM25" s="19"/>
      <c r="MBN25" s="19"/>
      <c r="MBO25" s="19"/>
      <c r="MBP25" s="19"/>
      <c r="MBQ25" s="19"/>
      <c r="MBR25" s="19"/>
      <c r="MBS25" s="19"/>
      <c r="MBT25" s="19"/>
      <c r="MBU25" s="19"/>
      <c r="MBV25" s="19"/>
      <c r="MBW25" s="19"/>
      <c r="MBX25" s="19"/>
      <c r="MBY25" s="19"/>
      <c r="MBZ25" s="19"/>
      <c r="MCA25" s="19"/>
      <c r="MCB25" s="19"/>
      <c r="MCC25" s="19"/>
      <c r="MCD25" s="19"/>
      <c r="MCE25" s="19"/>
      <c r="MCF25" s="19"/>
      <c r="MCG25" s="19"/>
      <c r="MCH25" s="19"/>
      <c r="MCI25" s="19"/>
      <c r="MCJ25" s="19"/>
      <c r="MCK25" s="19"/>
      <c r="MCL25" s="19"/>
      <c r="MCM25" s="19"/>
      <c r="MCN25" s="19"/>
      <c r="MCO25" s="19"/>
      <c r="MCP25" s="19"/>
      <c r="MCQ25" s="19"/>
      <c r="MCR25" s="19"/>
      <c r="MCS25" s="19"/>
      <c r="MCT25" s="19"/>
      <c r="MCU25" s="19"/>
      <c r="MCV25" s="19"/>
      <c r="MCW25" s="19"/>
      <c r="MCX25" s="19"/>
      <c r="MCY25" s="19"/>
      <c r="MCZ25" s="19"/>
      <c r="MDA25" s="19"/>
      <c r="MDB25" s="19"/>
      <c r="MDC25" s="19"/>
      <c r="MDD25" s="19"/>
      <c r="MDE25" s="19"/>
      <c r="MDF25" s="19"/>
      <c r="MDG25" s="19"/>
      <c r="MDH25" s="19"/>
      <c r="MDI25" s="19"/>
      <c r="MDJ25" s="19"/>
      <c r="MDK25" s="19"/>
      <c r="MDL25" s="19"/>
      <c r="MDM25" s="19"/>
      <c r="MDN25" s="19"/>
      <c r="MDO25" s="19"/>
      <c r="MDP25" s="19"/>
      <c r="MDQ25" s="19"/>
      <c r="MDR25" s="19"/>
      <c r="MDS25" s="19"/>
      <c r="MDT25" s="19"/>
      <c r="MDU25" s="19"/>
      <c r="MDV25" s="19"/>
      <c r="MDW25" s="19"/>
      <c r="MDX25" s="19"/>
      <c r="MDY25" s="19"/>
      <c r="MDZ25" s="19"/>
      <c r="MEA25" s="19"/>
      <c r="MEB25" s="19"/>
      <c r="MEC25" s="19"/>
      <c r="MED25" s="19"/>
      <c r="MEE25" s="19"/>
      <c r="MEF25" s="19"/>
      <c r="MEG25" s="19"/>
      <c r="MEH25" s="19"/>
      <c r="MEI25" s="19"/>
      <c r="MEJ25" s="19"/>
      <c r="MEK25" s="19"/>
      <c r="MEL25" s="19"/>
      <c r="MEM25" s="19"/>
      <c r="MEN25" s="19"/>
      <c r="MEO25" s="19"/>
      <c r="MEP25" s="19"/>
      <c r="MEQ25" s="19"/>
      <c r="MER25" s="19"/>
      <c r="MES25" s="19"/>
      <c r="MET25" s="19"/>
      <c r="MEU25" s="19"/>
      <c r="MEV25" s="19"/>
      <c r="MEW25" s="19"/>
      <c r="MEX25" s="19"/>
      <c r="MEY25" s="19"/>
      <c r="MEZ25" s="19"/>
      <c r="MFA25" s="19"/>
      <c r="MFB25" s="19"/>
      <c r="MFC25" s="19"/>
      <c r="MFD25" s="19"/>
      <c r="MFE25" s="19"/>
      <c r="MFF25" s="19"/>
      <c r="MFG25" s="19"/>
      <c r="MFH25" s="19"/>
      <c r="MFI25" s="19"/>
      <c r="MFJ25" s="19"/>
      <c r="MFK25" s="19"/>
      <c r="MFL25" s="19"/>
      <c r="MFM25" s="19"/>
      <c r="MFN25" s="19"/>
      <c r="MFO25" s="19"/>
      <c r="MFP25" s="19"/>
      <c r="MFQ25" s="19"/>
      <c r="MFR25" s="19"/>
      <c r="MFS25" s="19"/>
      <c r="MFT25" s="19"/>
      <c r="MFU25" s="19"/>
      <c r="MFV25" s="19"/>
      <c r="MFW25" s="19"/>
      <c r="MFX25" s="19"/>
      <c r="MFY25" s="19"/>
      <c r="MFZ25" s="19"/>
      <c r="MGA25" s="19"/>
      <c r="MGB25" s="19"/>
      <c r="MGC25" s="19"/>
      <c r="MGD25" s="19"/>
      <c r="MGE25" s="19"/>
      <c r="MGF25" s="19"/>
      <c r="MGG25" s="19"/>
      <c r="MGH25" s="19"/>
      <c r="MGI25" s="19"/>
      <c r="MGJ25" s="19"/>
      <c r="MGK25" s="19"/>
      <c r="MGL25" s="19"/>
      <c r="MGM25" s="19"/>
      <c r="MGN25" s="19"/>
      <c r="MGO25" s="19"/>
      <c r="MGP25" s="19"/>
      <c r="MGQ25" s="19"/>
      <c r="MGR25" s="19"/>
      <c r="MGS25" s="19"/>
      <c r="MGT25" s="19"/>
      <c r="MGU25" s="19"/>
      <c r="MGV25" s="19"/>
      <c r="MGW25" s="19"/>
      <c r="MGX25" s="19"/>
      <c r="MGY25" s="19"/>
      <c r="MGZ25" s="19"/>
      <c r="MHA25" s="19"/>
      <c r="MHB25" s="19"/>
      <c r="MHC25" s="19"/>
      <c r="MHD25" s="19"/>
      <c r="MHE25" s="19"/>
      <c r="MHF25" s="19"/>
      <c r="MHG25" s="19"/>
      <c r="MHH25" s="19"/>
      <c r="MHI25" s="19"/>
      <c r="MHJ25" s="19"/>
      <c r="MHK25" s="19"/>
      <c r="MHL25" s="19"/>
      <c r="MHM25" s="19"/>
      <c r="MHN25" s="19"/>
      <c r="MHO25" s="19"/>
      <c r="MHP25" s="19"/>
      <c r="MHQ25" s="19"/>
      <c r="MHR25" s="19"/>
      <c r="MHS25" s="19"/>
      <c r="MHT25" s="19"/>
      <c r="MHU25" s="19"/>
      <c r="MHV25" s="19"/>
      <c r="MHW25" s="19"/>
      <c r="MHX25" s="19"/>
      <c r="MHY25" s="19"/>
      <c r="MHZ25" s="19"/>
      <c r="MIA25" s="19"/>
      <c r="MIB25" s="19"/>
      <c r="MIC25" s="19"/>
      <c r="MID25" s="19"/>
      <c r="MIE25" s="19"/>
      <c r="MIF25" s="19"/>
      <c r="MIG25" s="19"/>
      <c r="MIH25" s="19"/>
      <c r="MII25" s="19"/>
      <c r="MIJ25" s="19"/>
      <c r="MIK25" s="19"/>
      <c r="MIL25" s="19"/>
      <c r="MIM25" s="19"/>
      <c r="MIN25" s="19"/>
      <c r="MIO25" s="19"/>
      <c r="MIP25" s="19"/>
      <c r="MIQ25" s="19"/>
      <c r="MIR25" s="19"/>
      <c r="MIS25" s="19"/>
      <c r="MIT25" s="19"/>
      <c r="MIU25" s="19"/>
      <c r="MIV25" s="19"/>
      <c r="MIW25" s="19"/>
      <c r="MIX25" s="19"/>
      <c r="MIY25" s="19"/>
      <c r="MIZ25" s="19"/>
      <c r="MJA25" s="19"/>
      <c r="MJB25" s="19"/>
      <c r="MJC25" s="19"/>
      <c r="MJD25" s="19"/>
      <c r="MJE25" s="19"/>
      <c r="MJF25" s="19"/>
      <c r="MJG25" s="19"/>
      <c r="MJH25" s="19"/>
      <c r="MJI25" s="19"/>
      <c r="MJJ25" s="19"/>
      <c r="MJK25" s="19"/>
      <c r="MJL25" s="19"/>
      <c r="MJM25" s="19"/>
      <c r="MJN25" s="19"/>
      <c r="MJO25" s="19"/>
      <c r="MJP25" s="19"/>
      <c r="MJQ25" s="19"/>
      <c r="MJR25" s="19"/>
      <c r="MJS25" s="19"/>
      <c r="MJT25" s="19"/>
      <c r="MJU25" s="19"/>
      <c r="MJV25" s="19"/>
      <c r="MJW25" s="19"/>
      <c r="MJX25" s="19"/>
      <c r="MJY25" s="19"/>
      <c r="MJZ25" s="19"/>
      <c r="MKA25" s="19"/>
      <c r="MKB25" s="19"/>
      <c r="MKC25" s="19"/>
      <c r="MKD25" s="19"/>
      <c r="MKE25" s="19"/>
      <c r="MKF25" s="19"/>
      <c r="MKG25" s="19"/>
      <c r="MKH25" s="19"/>
      <c r="MKI25" s="19"/>
      <c r="MKJ25" s="19"/>
      <c r="MKK25" s="19"/>
      <c r="MKL25" s="19"/>
      <c r="MKM25" s="19"/>
      <c r="MKN25" s="19"/>
      <c r="MKO25" s="19"/>
      <c r="MKP25" s="19"/>
      <c r="MKQ25" s="19"/>
      <c r="MKR25" s="19"/>
      <c r="MKS25" s="19"/>
      <c r="MKT25" s="19"/>
      <c r="MKU25" s="19"/>
      <c r="MKV25" s="19"/>
      <c r="MKW25" s="19"/>
      <c r="MKX25" s="19"/>
      <c r="MKY25" s="19"/>
      <c r="MKZ25" s="19"/>
      <c r="MLA25" s="19"/>
      <c r="MLB25" s="19"/>
      <c r="MLC25" s="19"/>
      <c r="MLD25" s="19"/>
      <c r="MLE25" s="19"/>
      <c r="MLF25" s="19"/>
      <c r="MLG25" s="19"/>
      <c r="MLH25" s="19"/>
      <c r="MLI25" s="19"/>
      <c r="MLJ25" s="19"/>
      <c r="MLK25" s="19"/>
      <c r="MLL25" s="19"/>
      <c r="MLM25" s="19"/>
      <c r="MLN25" s="19"/>
      <c r="MLO25" s="19"/>
      <c r="MLP25" s="19"/>
      <c r="MLQ25" s="19"/>
      <c r="MLR25" s="19"/>
      <c r="MLS25" s="19"/>
      <c r="MLT25" s="19"/>
      <c r="MLU25" s="19"/>
      <c r="MLV25" s="19"/>
      <c r="MLW25" s="19"/>
      <c r="MLX25" s="19"/>
      <c r="MLY25" s="19"/>
      <c r="MLZ25" s="19"/>
      <c r="MMA25" s="19"/>
      <c r="MMB25" s="19"/>
      <c r="MMC25" s="19"/>
      <c r="MMD25" s="19"/>
      <c r="MME25" s="19"/>
      <c r="MMF25" s="19"/>
      <c r="MMG25" s="19"/>
      <c r="MMH25" s="19"/>
      <c r="MMI25" s="19"/>
      <c r="MMJ25" s="19"/>
      <c r="MMK25" s="19"/>
      <c r="MML25" s="19"/>
      <c r="MMM25" s="19"/>
      <c r="MMN25" s="19"/>
      <c r="MMO25" s="19"/>
      <c r="MMP25" s="19"/>
      <c r="MMQ25" s="19"/>
      <c r="MMR25" s="19"/>
      <c r="MMS25" s="19"/>
      <c r="MMT25" s="19"/>
      <c r="MMU25" s="19"/>
      <c r="MMV25" s="19"/>
      <c r="MMW25" s="19"/>
      <c r="MMX25" s="19"/>
      <c r="MMY25" s="19"/>
      <c r="MMZ25" s="19"/>
      <c r="MNA25" s="19"/>
      <c r="MNB25" s="19"/>
      <c r="MNC25" s="19"/>
      <c r="MND25" s="19"/>
      <c r="MNE25" s="19"/>
      <c r="MNF25" s="19"/>
      <c r="MNG25" s="19"/>
      <c r="MNH25" s="19"/>
      <c r="MNI25" s="19"/>
      <c r="MNJ25" s="19"/>
      <c r="MNK25" s="19"/>
      <c r="MNL25" s="19"/>
      <c r="MNM25" s="19"/>
      <c r="MNN25" s="19"/>
      <c r="MNO25" s="19"/>
      <c r="MNP25" s="19"/>
      <c r="MNQ25" s="19"/>
      <c r="MNR25" s="19"/>
      <c r="MNS25" s="19"/>
      <c r="MNT25" s="19"/>
      <c r="MNU25" s="19"/>
      <c r="MNV25" s="19"/>
      <c r="MNW25" s="19"/>
      <c r="MNX25" s="19"/>
      <c r="MNY25" s="19"/>
      <c r="MNZ25" s="19"/>
      <c r="MOA25" s="19"/>
      <c r="MOB25" s="19"/>
      <c r="MOC25" s="19"/>
      <c r="MOD25" s="19"/>
      <c r="MOE25" s="19"/>
      <c r="MOF25" s="19"/>
      <c r="MOG25" s="19"/>
      <c r="MOH25" s="19"/>
      <c r="MOI25" s="19"/>
      <c r="MOJ25" s="19"/>
      <c r="MOK25" s="19"/>
      <c r="MOL25" s="19"/>
      <c r="MOM25" s="19"/>
      <c r="MON25" s="19"/>
      <c r="MOO25" s="19"/>
      <c r="MOP25" s="19"/>
      <c r="MOQ25" s="19"/>
      <c r="MOR25" s="19"/>
      <c r="MOS25" s="19"/>
      <c r="MOT25" s="19"/>
      <c r="MOU25" s="19"/>
      <c r="MOV25" s="19"/>
      <c r="MOW25" s="19"/>
      <c r="MOX25" s="19"/>
      <c r="MOY25" s="19"/>
      <c r="MOZ25" s="19"/>
      <c r="MPA25" s="19"/>
      <c r="MPB25" s="19"/>
      <c r="MPC25" s="19"/>
      <c r="MPD25" s="19"/>
      <c r="MPE25" s="19"/>
      <c r="MPF25" s="19"/>
      <c r="MPG25" s="19"/>
      <c r="MPH25" s="19"/>
      <c r="MPI25" s="19"/>
      <c r="MPJ25" s="19"/>
      <c r="MPK25" s="19"/>
      <c r="MPL25" s="19"/>
      <c r="MPM25" s="19"/>
      <c r="MPN25" s="19"/>
      <c r="MPO25" s="19"/>
      <c r="MPP25" s="19"/>
      <c r="MPQ25" s="19"/>
      <c r="MPR25" s="19"/>
      <c r="MPS25" s="19"/>
      <c r="MPT25" s="19"/>
      <c r="MPU25" s="19"/>
      <c r="MPV25" s="19"/>
      <c r="MPW25" s="19"/>
      <c r="MPX25" s="19"/>
      <c r="MPY25" s="19"/>
      <c r="MPZ25" s="19"/>
      <c r="MQA25" s="19"/>
      <c r="MQB25" s="19"/>
      <c r="MQC25" s="19"/>
      <c r="MQD25" s="19"/>
      <c r="MQE25" s="19"/>
      <c r="MQF25" s="19"/>
      <c r="MQG25" s="19"/>
      <c r="MQH25" s="19"/>
      <c r="MQI25" s="19"/>
      <c r="MQJ25" s="19"/>
      <c r="MQK25" s="19"/>
      <c r="MQL25" s="19"/>
      <c r="MQM25" s="19"/>
      <c r="MQN25" s="19"/>
      <c r="MQO25" s="19"/>
      <c r="MQP25" s="19"/>
      <c r="MQQ25" s="19"/>
      <c r="MQR25" s="19"/>
      <c r="MQS25" s="19"/>
      <c r="MQT25" s="19"/>
      <c r="MQU25" s="19"/>
      <c r="MQV25" s="19"/>
      <c r="MQW25" s="19"/>
      <c r="MQX25" s="19"/>
      <c r="MQY25" s="19"/>
      <c r="MQZ25" s="19"/>
      <c r="MRA25" s="19"/>
      <c r="MRB25" s="19"/>
      <c r="MRC25" s="19"/>
      <c r="MRD25" s="19"/>
      <c r="MRE25" s="19"/>
      <c r="MRF25" s="19"/>
      <c r="MRG25" s="19"/>
      <c r="MRH25" s="19"/>
      <c r="MRI25" s="19"/>
      <c r="MRJ25" s="19"/>
      <c r="MRK25" s="19"/>
      <c r="MRL25" s="19"/>
      <c r="MRM25" s="19"/>
      <c r="MRN25" s="19"/>
      <c r="MRO25" s="19"/>
      <c r="MRP25" s="19"/>
      <c r="MRQ25" s="19"/>
      <c r="MRR25" s="19"/>
      <c r="MRS25" s="19"/>
      <c r="MRT25" s="19"/>
      <c r="MRU25" s="19"/>
      <c r="MRV25" s="19"/>
      <c r="MRW25" s="19"/>
      <c r="MRX25" s="19"/>
      <c r="MRY25" s="19"/>
      <c r="MRZ25" s="19"/>
      <c r="MSA25" s="19"/>
      <c r="MSB25" s="19"/>
      <c r="MSC25" s="19"/>
      <c r="MSD25" s="19"/>
      <c r="MSE25" s="19"/>
      <c r="MSF25" s="19"/>
      <c r="MSG25" s="19"/>
      <c r="MSH25" s="19"/>
      <c r="MSI25" s="19"/>
      <c r="MSJ25" s="19"/>
      <c r="MSK25" s="19"/>
      <c r="MSL25" s="19"/>
      <c r="MSM25" s="19"/>
      <c r="MSN25" s="19"/>
      <c r="MSO25" s="19"/>
      <c r="MSP25" s="19"/>
      <c r="MSQ25" s="19"/>
      <c r="MSR25" s="19"/>
      <c r="MSS25" s="19"/>
      <c r="MST25" s="19"/>
      <c r="MSU25" s="19"/>
      <c r="MSV25" s="19"/>
      <c r="MSW25" s="19"/>
      <c r="MSX25" s="19"/>
      <c r="MSY25" s="19"/>
      <c r="MSZ25" s="19"/>
      <c r="MTA25" s="19"/>
      <c r="MTB25" s="19"/>
      <c r="MTC25" s="19"/>
      <c r="MTD25" s="19"/>
      <c r="MTE25" s="19"/>
      <c r="MTF25" s="19"/>
      <c r="MTG25" s="19"/>
      <c r="MTH25" s="19"/>
      <c r="MTI25" s="19"/>
      <c r="MTJ25" s="19"/>
      <c r="MTK25" s="19"/>
      <c r="MTL25" s="19"/>
      <c r="MTM25" s="19"/>
      <c r="MTN25" s="19"/>
      <c r="MTO25" s="19"/>
      <c r="MTP25" s="19"/>
      <c r="MTQ25" s="19"/>
      <c r="MTR25" s="19"/>
      <c r="MTS25" s="19"/>
      <c r="MTT25" s="19"/>
      <c r="MTU25" s="19"/>
      <c r="MTV25" s="19"/>
      <c r="MTW25" s="19"/>
      <c r="MTX25" s="19"/>
      <c r="MTY25" s="19"/>
      <c r="MTZ25" s="19"/>
      <c r="MUA25" s="19"/>
      <c r="MUB25" s="19"/>
      <c r="MUC25" s="19"/>
      <c r="MUD25" s="19"/>
      <c r="MUE25" s="19"/>
      <c r="MUF25" s="19"/>
      <c r="MUG25" s="19"/>
      <c r="MUH25" s="19"/>
      <c r="MUI25" s="19"/>
      <c r="MUJ25" s="19"/>
      <c r="MUK25" s="19"/>
      <c r="MUL25" s="19"/>
      <c r="MUM25" s="19"/>
      <c r="MUN25" s="19"/>
      <c r="MUO25" s="19"/>
      <c r="MUP25" s="19"/>
      <c r="MUQ25" s="19"/>
      <c r="MUR25" s="19"/>
      <c r="MUS25" s="19"/>
      <c r="MUT25" s="19"/>
      <c r="MUU25" s="19"/>
      <c r="MUV25" s="19"/>
      <c r="MUW25" s="19"/>
      <c r="MUX25" s="19"/>
      <c r="MUY25" s="19"/>
      <c r="MUZ25" s="19"/>
      <c r="MVA25" s="19"/>
      <c r="MVB25" s="19"/>
      <c r="MVC25" s="19"/>
      <c r="MVD25" s="19"/>
      <c r="MVE25" s="19"/>
      <c r="MVF25" s="19"/>
      <c r="MVG25" s="19"/>
      <c r="MVH25" s="19"/>
      <c r="MVI25" s="19"/>
      <c r="MVJ25" s="19"/>
      <c r="MVK25" s="19"/>
      <c r="MVL25" s="19"/>
      <c r="MVM25" s="19"/>
      <c r="MVN25" s="19"/>
      <c r="MVO25" s="19"/>
      <c r="MVP25" s="19"/>
      <c r="MVQ25" s="19"/>
      <c r="MVR25" s="19"/>
      <c r="MVS25" s="19"/>
      <c r="MVT25" s="19"/>
      <c r="MVU25" s="19"/>
      <c r="MVV25" s="19"/>
      <c r="MVW25" s="19"/>
      <c r="MVX25" s="19"/>
      <c r="MVY25" s="19"/>
      <c r="MVZ25" s="19"/>
      <c r="MWA25" s="19"/>
      <c r="MWB25" s="19"/>
      <c r="MWC25" s="19"/>
      <c r="MWD25" s="19"/>
      <c r="MWE25" s="19"/>
      <c r="MWF25" s="19"/>
      <c r="MWG25" s="19"/>
      <c r="MWH25" s="19"/>
      <c r="MWI25" s="19"/>
      <c r="MWJ25" s="19"/>
      <c r="MWK25" s="19"/>
      <c r="MWL25" s="19"/>
      <c r="MWM25" s="19"/>
      <c r="MWN25" s="19"/>
      <c r="MWO25" s="19"/>
      <c r="MWP25" s="19"/>
      <c r="MWQ25" s="19"/>
      <c r="MWR25" s="19"/>
      <c r="MWS25" s="19"/>
      <c r="MWT25" s="19"/>
      <c r="MWU25" s="19"/>
      <c r="MWV25" s="19"/>
      <c r="MWW25" s="19"/>
      <c r="MWX25" s="19"/>
      <c r="MWY25" s="19"/>
      <c r="MWZ25" s="19"/>
      <c r="MXA25" s="19"/>
      <c r="MXB25" s="19"/>
      <c r="MXC25" s="19"/>
      <c r="MXD25" s="19"/>
      <c r="MXE25" s="19"/>
      <c r="MXF25" s="19"/>
      <c r="MXG25" s="19"/>
      <c r="MXH25" s="19"/>
      <c r="MXI25" s="19"/>
      <c r="MXJ25" s="19"/>
      <c r="MXK25" s="19"/>
      <c r="MXL25" s="19"/>
      <c r="MXM25" s="19"/>
      <c r="MXN25" s="19"/>
      <c r="MXO25" s="19"/>
      <c r="MXP25" s="19"/>
      <c r="MXQ25" s="19"/>
      <c r="MXR25" s="19"/>
      <c r="MXS25" s="19"/>
      <c r="MXT25" s="19"/>
      <c r="MXU25" s="19"/>
      <c r="MXV25" s="19"/>
      <c r="MXW25" s="19"/>
      <c r="MXX25" s="19"/>
      <c r="MXY25" s="19"/>
      <c r="MXZ25" s="19"/>
      <c r="MYA25" s="19"/>
      <c r="MYB25" s="19"/>
      <c r="MYC25" s="19"/>
      <c r="MYD25" s="19"/>
      <c r="MYE25" s="19"/>
      <c r="MYF25" s="19"/>
      <c r="MYG25" s="19"/>
      <c r="MYH25" s="19"/>
      <c r="MYI25" s="19"/>
      <c r="MYJ25" s="19"/>
      <c r="MYK25" s="19"/>
      <c r="MYL25" s="19"/>
      <c r="MYM25" s="19"/>
      <c r="MYN25" s="19"/>
      <c r="MYO25" s="19"/>
      <c r="MYP25" s="19"/>
      <c r="MYQ25" s="19"/>
      <c r="MYR25" s="19"/>
      <c r="MYS25" s="19"/>
      <c r="MYT25" s="19"/>
      <c r="MYU25" s="19"/>
      <c r="MYV25" s="19"/>
      <c r="MYW25" s="19"/>
      <c r="MYX25" s="19"/>
      <c r="MYY25" s="19"/>
      <c r="MYZ25" s="19"/>
      <c r="MZA25" s="19"/>
      <c r="MZB25" s="19"/>
      <c r="MZC25" s="19"/>
      <c r="MZD25" s="19"/>
      <c r="MZE25" s="19"/>
      <c r="MZF25" s="19"/>
      <c r="MZG25" s="19"/>
      <c r="MZH25" s="19"/>
      <c r="MZI25" s="19"/>
      <c r="MZJ25" s="19"/>
      <c r="MZK25" s="19"/>
      <c r="MZL25" s="19"/>
      <c r="MZM25" s="19"/>
      <c r="MZN25" s="19"/>
      <c r="MZO25" s="19"/>
      <c r="MZP25" s="19"/>
      <c r="MZQ25" s="19"/>
      <c r="MZR25" s="19"/>
      <c r="MZS25" s="19"/>
      <c r="MZT25" s="19"/>
      <c r="MZU25" s="19"/>
      <c r="MZV25" s="19"/>
      <c r="MZW25" s="19"/>
      <c r="MZX25" s="19"/>
      <c r="MZY25" s="19"/>
      <c r="MZZ25" s="19"/>
      <c r="NAA25" s="19"/>
      <c r="NAB25" s="19"/>
      <c r="NAC25" s="19"/>
      <c r="NAD25" s="19"/>
      <c r="NAE25" s="19"/>
      <c r="NAF25" s="19"/>
      <c r="NAG25" s="19"/>
      <c r="NAH25" s="19"/>
      <c r="NAI25" s="19"/>
      <c r="NAJ25" s="19"/>
      <c r="NAK25" s="19"/>
      <c r="NAL25" s="19"/>
      <c r="NAM25" s="19"/>
      <c r="NAN25" s="19"/>
      <c r="NAO25" s="19"/>
      <c r="NAP25" s="19"/>
      <c r="NAQ25" s="19"/>
      <c r="NAR25" s="19"/>
      <c r="NAS25" s="19"/>
      <c r="NAT25" s="19"/>
      <c r="NAU25" s="19"/>
      <c r="NAV25" s="19"/>
      <c r="NAW25" s="19"/>
      <c r="NAX25" s="19"/>
      <c r="NAY25" s="19"/>
      <c r="NAZ25" s="19"/>
      <c r="NBA25" s="19"/>
      <c r="NBB25" s="19"/>
      <c r="NBC25" s="19"/>
      <c r="NBD25" s="19"/>
      <c r="NBE25" s="19"/>
      <c r="NBF25" s="19"/>
      <c r="NBG25" s="19"/>
      <c r="NBH25" s="19"/>
      <c r="NBI25" s="19"/>
      <c r="NBJ25" s="19"/>
      <c r="NBK25" s="19"/>
      <c r="NBL25" s="19"/>
      <c r="NBM25" s="19"/>
      <c r="NBN25" s="19"/>
      <c r="NBO25" s="19"/>
      <c r="NBP25" s="19"/>
      <c r="NBQ25" s="19"/>
      <c r="NBR25" s="19"/>
      <c r="NBS25" s="19"/>
      <c r="NBT25" s="19"/>
      <c r="NBU25" s="19"/>
      <c r="NBV25" s="19"/>
      <c r="NBW25" s="19"/>
      <c r="NBX25" s="19"/>
      <c r="NBY25" s="19"/>
      <c r="NBZ25" s="19"/>
      <c r="NCA25" s="19"/>
      <c r="NCB25" s="19"/>
      <c r="NCC25" s="19"/>
      <c r="NCD25" s="19"/>
      <c r="NCE25" s="19"/>
      <c r="NCF25" s="19"/>
      <c r="NCG25" s="19"/>
      <c r="NCH25" s="19"/>
      <c r="NCI25" s="19"/>
      <c r="NCJ25" s="19"/>
      <c r="NCK25" s="19"/>
      <c r="NCL25" s="19"/>
      <c r="NCM25" s="19"/>
      <c r="NCN25" s="19"/>
      <c r="NCO25" s="19"/>
      <c r="NCP25" s="19"/>
      <c r="NCQ25" s="19"/>
      <c r="NCR25" s="19"/>
      <c r="NCS25" s="19"/>
      <c r="NCT25" s="19"/>
      <c r="NCU25" s="19"/>
      <c r="NCV25" s="19"/>
      <c r="NCW25" s="19"/>
      <c r="NCX25" s="19"/>
      <c r="NCY25" s="19"/>
      <c r="NCZ25" s="19"/>
      <c r="NDA25" s="19"/>
      <c r="NDB25" s="19"/>
      <c r="NDC25" s="19"/>
      <c r="NDD25" s="19"/>
      <c r="NDE25" s="19"/>
      <c r="NDF25" s="19"/>
      <c r="NDG25" s="19"/>
      <c r="NDH25" s="19"/>
      <c r="NDI25" s="19"/>
      <c r="NDJ25" s="19"/>
      <c r="NDK25" s="19"/>
      <c r="NDL25" s="19"/>
      <c r="NDM25" s="19"/>
      <c r="NDN25" s="19"/>
      <c r="NDO25" s="19"/>
      <c r="NDP25" s="19"/>
      <c r="NDQ25" s="19"/>
      <c r="NDR25" s="19"/>
      <c r="NDS25" s="19"/>
      <c r="NDT25" s="19"/>
      <c r="NDU25" s="19"/>
      <c r="NDV25" s="19"/>
      <c r="NDW25" s="19"/>
      <c r="NDX25" s="19"/>
      <c r="NDY25" s="19"/>
      <c r="NDZ25" s="19"/>
      <c r="NEA25" s="19"/>
      <c r="NEB25" s="19"/>
      <c r="NEC25" s="19"/>
      <c r="NED25" s="19"/>
      <c r="NEE25" s="19"/>
      <c r="NEF25" s="19"/>
      <c r="NEG25" s="19"/>
      <c r="NEH25" s="19"/>
      <c r="NEI25" s="19"/>
      <c r="NEJ25" s="19"/>
      <c r="NEK25" s="19"/>
      <c r="NEL25" s="19"/>
      <c r="NEM25" s="19"/>
      <c r="NEN25" s="19"/>
      <c r="NEO25" s="19"/>
      <c r="NEP25" s="19"/>
      <c r="NEQ25" s="19"/>
      <c r="NER25" s="19"/>
      <c r="NES25" s="19"/>
      <c r="NET25" s="19"/>
      <c r="NEU25" s="19"/>
      <c r="NEV25" s="19"/>
      <c r="NEW25" s="19"/>
      <c r="NEX25" s="19"/>
      <c r="NEY25" s="19"/>
      <c r="NEZ25" s="19"/>
      <c r="NFA25" s="19"/>
      <c r="NFB25" s="19"/>
      <c r="NFC25" s="19"/>
      <c r="NFD25" s="19"/>
      <c r="NFE25" s="19"/>
      <c r="NFF25" s="19"/>
      <c r="NFG25" s="19"/>
      <c r="NFH25" s="19"/>
      <c r="NFI25" s="19"/>
      <c r="NFJ25" s="19"/>
      <c r="NFK25" s="19"/>
      <c r="NFL25" s="19"/>
      <c r="NFM25" s="19"/>
      <c r="NFN25" s="19"/>
      <c r="NFO25" s="19"/>
      <c r="NFP25" s="19"/>
      <c r="NFQ25" s="19"/>
      <c r="NFR25" s="19"/>
      <c r="NFS25" s="19"/>
      <c r="NFT25" s="19"/>
      <c r="NFU25" s="19"/>
      <c r="NFV25" s="19"/>
      <c r="NFW25" s="19"/>
      <c r="NFX25" s="19"/>
      <c r="NFY25" s="19"/>
      <c r="NFZ25" s="19"/>
      <c r="NGA25" s="19"/>
      <c r="NGB25" s="19"/>
      <c r="NGC25" s="19"/>
      <c r="NGD25" s="19"/>
      <c r="NGE25" s="19"/>
      <c r="NGF25" s="19"/>
      <c r="NGG25" s="19"/>
      <c r="NGH25" s="19"/>
      <c r="NGI25" s="19"/>
      <c r="NGJ25" s="19"/>
      <c r="NGK25" s="19"/>
      <c r="NGL25" s="19"/>
      <c r="NGM25" s="19"/>
      <c r="NGN25" s="19"/>
      <c r="NGO25" s="19"/>
      <c r="NGP25" s="19"/>
      <c r="NGQ25" s="19"/>
      <c r="NGR25" s="19"/>
      <c r="NGS25" s="19"/>
      <c r="NGT25" s="19"/>
      <c r="NGU25" s="19"/>
      <c r="NGV25" s="19"/>
      <c r="NGW25" s="19"/>
      <c r="NGX25" s="19"/>
      <c r="NGY25" s="19"/>
      <c r="NGZ25" s="19"/>
      <c r="NHA25" s="19"/>
      <c r="NHB25" s="19"/>
      <c r="NHC25" s="19"/>
      <c r="NHD25" s="19"/>
      <c r="NHE25" s="19"/>
      <c r="NHF25" s="19"/>
      <c r="NHG25" s="19"/>
      <c r="NHH25" s="19"/>
      <c r="NHI25" s="19"/>
      <c r="NHJ25" s="19"/>
      <c r="NHK25" s="19"/>
      <c r="NHL25" s="19"/>
      <c r="NHM25" s="19"/>
      <c r="NHN25" s="19"/>
      <c r="NHO25" s="19"/>
      <c r="NHP25" s="19"/>
      <c r="NHQ25" s="19"/>
      <c r="NHR25" s="19"/>
      <c r="NHS25" s="19"/>
      <c r="NHT25" s="19"/>
      <c r="NHU25" s="19"/>
      <c r="NHV25" s="19"/>
      <c r="NHW25" s="19"/>
      <c r="NHX25" s="19"/>
      <c r="NHY25" s="19"/>
      <c r="NHZ25" s="19"/>
      <c r="NIA25" s="19"/>
      <c r="NIB25" s="19"/>
      <c r="NIC25" s="19"/>
      <c r="NID25" s="19"/>
      <c r="NIE25" s="19"/>
      <c r="NIF25" s="19"/>
      <c r="NIG25" s="19"/>
      <c r="NIH25" s="19"/>
      <c r="NII25" s="19"/>
      <c r="NIJ25" s="19"/>
      <c r="NIK25" s="19"/>
      <c r="NIL25" s="19"/>
      <c r="NIM25" s="19"/>
      <c r="NIN25" s="19"/>
      <c r="NIO25" s="19"/>
      <c r="NIP25" s="19"/>
      <c r="NIQ25" s="19"/>
      <c r="NIR25" s="19"/>
      <c r="NIS25" s="19"/>
      <c r="NIT25" s="19"/>
      <c r="NIU25" s="19"/>
      <c r="NIV25" s="19"/>
      <c r="NIW25" s="19"/>
      <c r="NIX25" s="19"/>
      <c r="NIY25" s="19"/>
      <c r="NIZ25" s="19"/>
      <c r="NJA25" s="19"/>
      <c r="NJB25" s="19"/>
      <c r="NJC25" s="19"/>
      <c r="NJD25" s="19"/>
      <c r="NJE25" s="19"/>
      <c r="NJF25" s="19"/>
      <c r="NJG25" s="19"/>
      <c r="NJH25" s="19"/>
      <c r="NJI25" s="19"/>
      <c r="NJJ25" s="19"/>
      <c r="NJK25" s="19"/>
      <c r="NJL25" s="19"/>
      <c r="NJM25" s="19"/>
      <c r="NJN25" s="19"/>
      <c r="NJO25" s="19"/>
      <c r="NJP25" s="19"/>
      <c r="NJQ25" s="19"/>
      <c r="NJR25" s="19"/>
      <c r="NJS25" s="19"/>
      <c r="NJT25" s="19"/>
      <c r="NJU25" s="19"/>
      <c r="NJV25" s="19"/>
      <c r="NJW25" s="19"/>
      <c r="NJX25" s="19"/>
      <c r="NJY25" s="19"/>
      <c r="NJZ25" s="19"/>
      <c r="NKA25" s="19"/>
      <c r="NKB25" s="19"/>
      <c r="NKC25" s="19"/>
      <c r="NKD25" s="19"/>
      <c r="NKE25" s="19"/>
      <c r="NKF25" s="19"/>
      <c r="NKG25" s="19"/>
      <c r="NKH25" s="19"/>
      <c r="NKI25" s="19"/>
      <c r="NKJ25" s="19"/>
      <c r="NKK25" s="19"/>
      <c r="NKL25" s="19"/>
      <c r="NKM25" s="19"/>
      <c r="NKN25" s="19"/>
      <c r="NKO25" s="19"/>
      <c r="NKP25" s="19"/>
      <c r="NKQ25" s="19"/>
      <c r="NKR25" s="19"/>
      <c r="NKS25" s="19"/>
      <c r="NKT25" s="19"/>
      <c r="NKU25" s="19"/>
      <c r="NKV25" s="19"/>
      <c r="NKW25" s="19"/>
      <c r="NKX25" s="19"/>
      <c r="NKY25" s="19"/>
      <c r="NKZ25" s="19"/>
      <c r="NLA25" s="19"/>
      <c r="NLB25" s="19"/>
      <c r="NLC25" s="19"/>
      <c r="NLD25" s="19"/>
      <c r="NLE25" s="19"/>
      <c r="NLF25" s="19"/>
      <c r="NLG25" s="19"/>
      <c r="NLH25" s="19"/>
      <c r="NLI25" s="19"/>
      <c r="NLJ25" s="19"/>
      <c r="NLK25" s="19"/>
      <c r="NLL25" s="19"/>
      <c r="NLM25" s="19"/>
      <c r="NLN25" s="19"/>
      <c r="NLO25" s="19"/>
      <c r="NLP25" s="19"/>
      <c r="NLQ25" s="19"/>
      <c r="NLR25" s="19"/>
      <c r="NLS25" s="19"/>
      <c r="NLT25" s="19"/>
      <c r="NLU25" s="19"/>
      <c r="NLV25" s="19"/>
      <c r="NLW25" s="19"/>
      <c r="NLX25" s="19"/>
      <c r="NLY25" s="19"/>
      <c r="NLZ25" s="19"/>
      <c r="NMA25" s="19"/>
      <c r="NMB25" s="19"/>
      <c r="NMC25" s="19"/>
      <c r="NMD25" s="19"/>
      <c r="NME25" s="19"/>
      <c r="NMF25" s="19"/>
      <c r="NMG25" s="19"/>
      <c r="NMH25" s="19"/>
      <c r="NMI25" s="19"/>
      <c r="NMJ25" s="19"/>
      <c r="NMK25" s="19"/>
      <c r="NML25" s="19"/>
      <c r="NMM25" s="19"/>
      <c r="NMN25" s="19"/>
      <c r="NMO25" s="19"/>
      <c r="NMP25" s="19"/>
      <c r="NMQ25" s="19"/>
      <c r="NMR25" s="19"/>
      <c r="NMS25" s="19"/>
      <c r="NMT25" s="19"/>
      <c r="NMU25" s="19"/>
      <c r="NMV25" s="19"/>
      <c r="NMW25" s="19"/>
      <c r="NMX25" s="19"/>
      <c r="NMY25" s="19"/>
      <c r="NMZ25" s="19"/>
      <c r="NNA25" s="19"/>
      <c r="NNB25" s="19"/>
      <c r="NNC25" s="19"/>
      <c r="NND25" s="19"/>
      <c r="NNE25" s="19"/>
      <c r="NNF25" s="19"/>
      <c r="NNG25" s="19"/>
      <c r="NNH25" s="19"/>
      <c r="NNI25" s="19"/>
      <c r="NNJ25" s="19"/>
      <c r="NNK25" s="19"/>
      <c r="NNL25" s="19"/>
      <c r="NNM25" s="19"/>
      <c r="NNN25" s="19"/>
      <c r="NNO25" s="19"/>
      <c r="NNP25" s="19"/>
      <c r="NNQ25" s="19"/>
      <c r="NNR25" s="19"/>
      <c r="NNS25" s="19"/>
      <c r="NNT25" s="19"/>
      <c r="NNU25" s="19"/>
      <c r="NNV25" s="19"/>
      <c r="NNW25" s="19"/>
      <c r="NNX25" s="19"/>
      <c r="NNY25" s="19"/>
      <c r="NNZ25" s="19"/>
      <c r="NOA25" s="19"/>
      <c r="NOB25" s="19"/>
      <c r="NOC25" s="19"/>
      <c r="NOD25" s="19"/>
      <c r="NOE25" s="19"/>
      <c r="NOF25" s="19"/>
      <c r="NOG25" s="19"/>
      <c r="NOH25" s="19"/>
      <c r="NOI25" s="19"/>
      <c r="NOJ25" s="19"/>
      <c r="NOK25" s="19"/>
      <c r="NOL25" s="19"/>
      <c r="NOM25" s="19"/>
      <c r="NON25" s="19"/>
      <c r="NOO25" s="19"/>
      <c r="NOP25" s="19"/>
      <c r="NOQ25" s="19"/>
      <c r="NOR25" s="19"/>
      <c r="NOS25" s="19"/>
      <c r="NOT25" s="19"/>
      <c r="NOU25" s="19"/>
      <c r="NOV25" s="19"/>
      <c r="NOW25" s="19"/>
      <c r="NOX25" s="19"/>
      <c r="NOY25" s="19"/>
      <c r="NOZ25" s="19"/>
      <c r="NPA25" s="19"/>
      <c r="NPB25" s="19"/>
      <c r="NPC25" s="19"/>
      <c r="NPD25" s="19"/>
      <c r="NPE25" s="19"/>
      <c r="NPF25" s="19"/>
      <c r="NPG25" s="19"/>
      <c r="NPH25" s="19"/>
      <c r="NPI25" s="19"/>
      <c r="NPJ25" s="19"/>
      <c r="NPK25" s="19"/>
      <c r="NPL25" s="19"/>
      <c r="NPM25" s="19"/>
      <c r="NPN25" s="19"/>
      <c r="NPO25" s="19"/>
      <c r="NPP25" s="19"/>
      <c r="NPQ25" s="19"/>
      <c r="NPR25" s="19"/>
      <c r="NPS25" s="19"/>
      <c r="NPT25" s="19"/>
      <c r="NPU25" s="19"/>
      <c r="NPV25" s="19"/>
      <c r="NPW25" s="19"/>
      <c r="NPX25" s="19"/>
      <c r="NPY25" s="19"/>
      <c r="NPZ25" s="19"/>
      <c r="NQA25" s="19"/>
      <c r="NQB25" s="19"/>
      <c r="NQC25" s="19"/>
      <c r="NQD25" s="19"/>
      <c r="NQE25" s="19"/>
      <c r="NQF25" s="19"/>
      <c r="NQG25" s="19"/>
      <c r="NQH25" s="19"/>
      <c r="NQI25" s="19"/>
      <c r="NQJ25" s="19"/>
      <c r="NQK25" s="19"/>
      <c r="NQL25" s="19"/>
      <c r="NQM25" s="19"/>
      <c r="NQN25" s="19"/>
      <c r="NQO25" s="19"/>
      <c r="NQP25" s="19"/>
      <c r="NQQ25" s="19"/>
      <c r="NQR25" s="19"/>
      <c r="NQS25" s="19"/>
      <c r="NQT25" s="19"/>
      <c r="NQU25" s="19"/>
      <c r="NQV25" s="19"/>
      <c r="NQW25" s="19"/>
      <c r="NQX25" s="19"/>
      <c r="NQY25" s="19"/>
      <c r="NQZ25" s="19"/>
      <c r="NRA25" s="19"/>
      <c r="NRB25" s="19"/>
      <c r="NRC25" s="19"/>
      <c r="NRD25" s="19"/>
      <c r="NRE25" s="19"/>
      <c r="NRF25" s="19"/>
      <c r="NRG25" s="19"/>
      <c r="NRH25" s="19"/>
      <c r="NRI25" s="19"/>
      <c r="NRJ25" s="19"/>
      <c r="NRK25" s="19"/>
      <c r="NRL25" s="19"/>
      <c r="NRM25" s="19"/>
      <c r="NRN25" s="19"/>
      <c r="NRO25" s="19"/>
      <c r="NRP25" s="19"/>
      <c r="NRQ25" s="19"/>
      <c r="NRR25" s="19"/>
      <c r="NRS25" s="19"/>
      <c r="NRT25" s="19"/>
      <c r="NRU25" s="19"/>
      <c r="NRV25" s="19"/>
      <c r="NRW25" s="19"/>
      <c r="NRX25" s="19"/>
      <c r="NRY25" s="19"/>
      <c r="NRZ25" s="19"/>
      <c r="NSA25" s="19"/>
      <c r="NSB25" s="19"/>
      <c r="NSC25" s="19"/>
      <c r="NSD25" s="19"/>
      <c r="NSE25" s="19"/>
      <c r="NSF25" s="19"/>
      <c r="NSG25" s="19"/>
      <c r="NSH25" s="19"/>
      <c r="NSI25" s="19"/>
      <c r="NSJ25" s="19"/>
      <c r="NSK25" s="19"/>
      <c r="NSL25" s="19"/>
      <c r="NSM25" s="19"/>
      <c r="NSN25" s="19"/>
      <c r="NSO25" s="19"/>
      <c r="NSP25" s="19"/>
      <c r="NSQ25" s="19"/>
      <c r="NSR25" s="19"/>
      <c r="NSS25" s="19"/>
      <c r="NST25" s="19"/>
      <c r="NSU25" s="19"/>
      <c r="NSV25" s="19"/>
      <c r="NSW25" s="19"/>
      <c r="NSX25" s="19"/>
      <c r="NSY25" s="19"/>
      <c r="NSZ25" s="19"/>
      <c r="NTA25" s="19"/>
      <c r="NTB25" s="19"/>
      <c r="NTC25" s="19"/>
      <c r="NTD25" s="19"/>
      <c r="NTE25" s="19"/>
      <c r="NTF25" s="19"/>
      <c r="NTG25" s="19"/>
      <c r="NTH25" s="19"/>
      <c r="NTI25" s="19"/>
      <c r="NTJ25" s="19"/>
      <c r="NTK25" s="19"/>
      <c r="NTL25" s="19"/>
      <c r="NTM25" s="19"/>
      <c r="NTN25" s="19"/>
      <c r="NTO25" s="19"/>
      <c r="NTP25" s="19"/>
      <c r="NTQ25" s="19"/>
      <c r="NTR25" s="19"/>
      <c r="NTS25" s="19"/>
      <c r="NTT25" s="19"/>
      <c r="NTU25" s="19"/>
      <c r="NTV25" s="19"/>
      <c r="NTW25" s="19"/>
      <c r="NTX25" s="19"/>
      <c r="NTY25" s="19"/>
      <c r="NTZ25" s="19"/>
      <c r="NUA25" s="19"/>
      <c r="NUB25" s="19"/>
      <c r="NUC25" s="19"/>
      <c r="NUD25" s="19"/>
      <c r="NUE25" s="19"/>
      <c r="NUF25" s="19"/>
      <c r="NUG25" s="19"/>
      <c r="NUH25" s="19"/>
      <c r="NUI25" s="19"/>
      <c r="NUJ25" s="19"/>
      <c r="NUK25" s="19"/>
      <c r="NUL25" s="19"/>
      <c r="NUM25" s="19"/>
      <c r="NUN25" s="19"/>
      <c r="NUO25" s="19"/>
      <c r="NUP25" s="19"/>
      <c r="NUQ25" s="19"/>
      <c r="NUR25" s="19"/>
      <c r="NUS25" s="19"/>
      <c r="NUT25" s="19"/>
      <c r="NUU25" s="19"/>
      <c r="NUV25" s="19"/>
      <c r="NUW25" s="19"/>
      <c r="NUX25" s="19"/>
      <c r="NUY25" s="19"/>
      <c r="NUZ25" s="19"/>
      <c r="NVA25" s="19"/>
      <c r="NVB25" s="19"/>
      <c r="NVC25" s="19"/>
      <c r="NVD25" s="19"/>
      <c r="NVE25" s="19"/>
      <c r="NVF25" s="19"/>
      <c r="NVG25" s="19"/>
      <c r="NVH25" s="19"/>
      <c r="NVI25" s="19"/>
      <c r="NVJ25" s="19"/>
      <c r="NVK25" s="19"/>
      <c r="NVL25" s="19"/>
      <c r="NVM25" s="19"/>
      <c r="NVN25" s="19"/>
      <c r="NVO25" s="19"/>
      <c r="NVP25" s="19"/>
      <c r="NVQ25" s="19"/>
      <c r="NVR25" s="19"/>
      <c r="NVS25" s="19"/>
      <c r="NVT25" s="19"/>
      <c r="NVU25" s="19"/>
      <c r="NVV25" s="19"/>
      <c r="NVW25" s="19"/>
      <c r="NVX25" s="19"/>
      <c r="NVY25" s="19"/>
      <c r="NVZ25" s="19"/>
      <c r="NWA25" s="19"/>
      <c r="NWB25" s="19"/>
      <c r="NWC25" s="19"/>
      <c r="NWD25" s="19"/>
      <c r="NWE25" s="19"/>
      <c r="NWF25" s="19"/>
      <c r="NWG25" s="19"/>
      <c r="NWH25" s="19"/>
      <c r="NWI25" s="19"/>
      <c r="NWJ25" s="19"/>
      <c r="NWK25" s="19"/>
      <c r="NWL25" s="19"/>
      <c r="NWM25" s="19"/>
      <c r="NWN25" s="19"/>
      <c r="NWO25" s="19"/>
      <c r="NWP25" s="19"/>
      <c r="NWQ25" s="19"/>
      <c r="NWR25" s="19"/>
      <c r="NWS25" s="19"/>
      <c r="NWT25" s="19"/>
      <c r="NWU25" s="19"/>
      <c r="NWV25" s="19"/>
      <c r="NWW25" s="19"/>
      <c r="NWX25" s="19"/>
      <c r="NWY25" s="19"/>
      <c r="NWZ25" s="19"/>
      <c r="NXA25" s="19"/>
      <c r="NXB25" s="19"/>
      <c r="NXC25" s="19"/>
      <c r="NXD25" s="19"/>
      <c r="NXE25" s="19"/>
      <c r="NXF25" s="19"/>
      <c r="NXG25" s="19"/>
      <c r="NXH25" s="19"/>
      <c r="NXI25" s="19"/>
      <c r="NXJ25" s="19"/>
      <c r="NXK25" s="19"/>
      <c r="NXL25" s="19"/>
      <c r="NXM25" s="19"/>
      <c r="NXN25" s="19"/>
      <c r="NXO25" s="19"/>
      <c r="NXP25" s="19"/>
      <c r="NXQ25" s="19"/>
      <c r="NXR25" s="19"/>
      <c r="NXS25" s="19"/>
      <c r="NXT25" s="19"/>
      <c r="NXU25" s="19"/>
      <c r="NXV25" s="19"/>
      <c r="NXW25" s="19"/>
      <c r="NXX25" s="19"/>
      <c r="NXY25" s="19"/>
      <c r="NXZ25" s="19"/>
      <c r="NYA25" s="19"/>
      <c r="NYB25" s="19"/>
      <c r="NYC25" s="19"/>
      <c r="NYD25" s="19"/>
      <c r="NYE25" s="19"/>
      <c r="NYF25" s="19"/>
      <c r="NYG25" s="19"/>
      <c r="NYH25" s="19"/>
      <c r="NYI25" s="19"/>
      <c r="NYJ25" s="19"/>
      <c r="NYK25" s="19"/>
      <c r="NYL25" s="19"/>
      <c r="NYM25" s="19"/>
      <c r="NYN25" s="19"/>
      <c r="NYO25" s="19"/>
      <c r="NYP25" s="19"/>
      <c r="NYQ25" s="19"/>
      <c r="NYR25" s="19"/>
      <c r="NYS25" s="19"/>
      <c r="NYT25" s="19"/>
      <c r="NYU25" s="19"/>
      <c r="NYV25" s="19"/>
      <c r="NYW25" s="19"/>
      <c r="NYX25" s="19"/>
      <c r="NYY25" s="19"/>
      <c r="NYZ25" s="19"/>
      <c r="NZA25" s="19"/>
      <c r="NZB25" s="19"/>
      <c r="NZC25" s="19"/>
      <c r="NZD25" s="19"/>
      <c r="NZE25" s="19"/>
      <c r="NZF25" s="19"/>
      <c r="NZG25" s="19"/>
      <c r="NZH25" s="19"/>
      <c r="NZI25" s="19"/>
      <c r="NZJ25" s="19"/>
      <c r="NZK25" s="19"/>
      <c r="NZL25" s="19"/>
      <c r="NZM25" s="19"/>
      <c r="NZN25" s="19"/>
      <c r="NZO25" s="19"/>
      <c r="NZP25" s="19"/>
      <c r="NZQ25" s="19"/>
      <c r="NZR25" s="19"/>
      <c r="NZS25" s="19"/>
      <c r="NZT25" s="19"/>
      <c r="NZU25" s="19"/>
      <c r="NZV25" s="19"/>
      <c r="NZW25" s="19"/>
      <c r="NZX25" s="19"/>
      <c r="NZY25" s="19"/>
      <c r="NZZ25" s="19"/>
      <c r="OAA25" s="19"/>
      <c r="OAB25" s="19"/>
      <c r="OAC25" s="19"/>
      <c r="OAD25" s="19"/>
      <c r="OAE25" s="19"/>
      <c r="OAF25" s="19"/>
      <c r="OAG25" s="19"/>
      <c r="OAH25" s="19"/>
      <c r="OAI25" s="19"/>
      <c r="OAJ25" s="19"/>
      <c r="OAK25" s="19"/>
      <c r="OAL25" s="19"/>
      <c r="OAM25" s="19"/>
      <c r="OAN25" s="19"/>
      <c r="OAO25" s="19"/>
      <c r="OAP25" s="19"/>
      <c r="OAQ25" s="19"/>
      <c r="OAR25" s="19"/>
      <c r="OAS25" s="19"/>
      <c r="OAT25" s="19"/>
      <c r="OAU25" s="19"/>
      <c r="OAV25" s="19"/>
      <c r="OAW25" s="19"/>
      <c r="OAX25" s="19"/>
      <c r="OAY25" s="19"/>
      <c r="OAZ25" s="19"/>
      <c r="OBA25" s="19"/>
      <c r="OBB25" s="19"/>
      <c r="OBC25" s="19"/>
      <c r="OBD25" s="19"/>
      <c r="OBE25" s="19"/>
      <c r="OBF25" s="19"/>
      <c r="OBG25" s="19"/>
      <c r="OBH25" s="19"/>
      <c r="OBI25" s="19"/>
      <c r="OBJ25" s="19"/>
      <c r="OBK25" s="19"/>
      <c r="OBL25" s="19"/>
      <c r="OBM25" s="19"/>
      <c r="OBN25" s="19"/>
      <c r="OBO25" s="19"/>
      <c r="OBP25" s="19"/>
      <c r="OBQ25" s="19"/>
      <c r="OBR25" s="19"/>
      <c r="OBS25" s="19"/>
      <c r="OBT25" s="19"/>
      <c r="OBU25" s="19"/>
      <c r="OBV25" s="19"/>
      <c r="OBW25" s="19"/>
      <c r="OBX25" s="19"/>
      <c r="OBY25" s="19"/>
      <c r="OBZ25" s="19"/>
      <c r="OCA25" s="19"/>
      <c r="OCB25" s="19"/>
      <c r="OCC25" s="19"/>
      <c r="OCD25" s="19"/>
      <c r="OCE25" s="19"/>
      <c r="OCF25" s="19"/>
      <c r="OCG25" s="19"/>
      <c r="OCH25" s="19"/>
      <c r="OCI25" s="19"/>
      <c r="OCJ25" s="19"/>
      <c r="OCK25" s="19"/>
      <c r="OCL25" s="19"/>
      <c r="OCM25" s="19"/>
      <c r="OCN25" s="19"/>
      <c r="OCO25" s="19"/>
      <c r="OCP25" s="19"/>
      <c r="OCQ25" s="19"/>
      <c r="OCR25" s="19"/>
      <c r="OCS25" s="19"/>
      <c r="OCT25" s="19"/>
      <c r="OCU25" s="19"/>
      <c r="OCV25" s="19"/>
      <c r="OCW25" s="19"/>
      <c r="OCX25" s="19"/>
      <c r="OCY25" s="19"/>
      <c r="OCZ25" s="19"/>
      <c r="ODA25" s="19"/>
      <c r="ODB25" s="19"/>
      <c r="ODC25" s="19"/>
      <c r="ODD25" s="19"/>
      <c r="ODE25" s="19"/>
      <c r="ODF25" s="19"/>
      <c r="ODG25" s="19"/>
      <c r="ODH25" s="19"/>
      <c r="ODI25" s="19"/>
      <c r="ODJ25" s="19"/>
      <c r="ODK25" s="19"/>
      <c r="ODL25" s="19"/>
      <c r="ODM25" s="19"/>
      <c r="ODN25" s="19"/>
      <c r="ODO25" s="19"/>
      <c r="ODP25" s="19"/>
      <c r="ODQ25" s="19"/>
      <c r="ODR25" s="19"/>
      <c r="ODS25" s="19"/>
      <c r="ODT25" s="19"/>
      <c r="ODU25" s="19"/>
      <c r="ODV25" s="19"/>
      <c r="ODW25" s="19"/>
      <c r="ODX25" s="19"/>
      <c r="ODY25" s="19"/>
      <c r="ODZ25" s="19"/>
      <c r="OEA25" s="19"/>
      <c r="OEB25" s="19"/>
      <c r="OEC25" s="19"/>
      <c r="OED25" s="19"/>
      <c r="OEE25" s="19"/>
      <c r="OEF25" s="19"/>
      <c r="OEG25" s="19"/>
      <c r="OEH25" s="19"/>
      <c r="OEI25" s="19"/>
      <c r="OEJ25" s="19"/>
      <c r="OEK25" s="19"/>
      <c r="OEL25" s="19"/>
      <c r="OEM25" s="19"/>
      <c r="OEN25" s="19"/>
      <c r="OEO25" s="19"/>
      <c r="OEP25" s="19"/>
      <c r="OEQ25" s="19"/>
      <c r="OER25" s="19"/>
      <c r="OES25" s="19"/>
      <c r="OET25" s="19"/>
      <c r="OEU25" s="19"/>
      <c r="OEV25" s="19"/>
      <c r="OEW25" s="19"/>
      <c r="OEX25" s="19"/>
      <c r="OEY25" s="19"/>
      <c r="OEZ25" s="19"/>
      <c r="OFA25" s="19"/>
      <c r="OFB25" s="19"/>
      <c r="OFC25" s="19"/>
      <c r="OFD25" s="19"/>
      <c r="OFE25" s="19"/>
      <c r="OFF25" s="19"/>
      <c r="OFG25" s="19"/>
      <c r="OFH25" s="19"/>
      <c r="OFI25" s="19"/>
      <c r="OFJ25" s="19"/>
      <c r="OFK25" s="19"/>
      <c r="OFL25" s="19"/>
      <c r="OFM25" s="19"/>
      <c r="OFN25" s="19"/>
      <c r="OFO25" s="19"/>
      <c r="OFP25" s="19"/>
      <c r="OFQ25" s="19"/>
      <c r="OFR25" s="19"/>
      <c r="OFS25" s="19"/>
      <c r="OFT25" s="19"/>
      <c r="OFU25" s="19"/>
      <c r="OFV25" s="19"/>
      <c r="OFW25" s="19"/>
      <c r="OFX25" s="19"/>
      <c r="OFY25" s="19"/>
      <c r="OFZ25" s="19"/>
      <c r="OGA25" s="19"/>
      <c r="OGB25" s="19"/>
      <c r="OGC25" s="19"/>
      <c r="OGD25" s="19"/>
      <c r="OGE25" s="19"/>
      <c r="OGF25" s="19"/>
      <c r="OGG25" s="19"/>
      <c r="OGH25" s="19"/>
      <c r="OGI25" s="19"/>
      <c r="OGJ25" s="19"/>
      <c r="OGK25" s="19"/>
      <c r="OGL25" s="19"/>
      <c r="OGM25" s="19"/>
      <c r="OGN25" s="19"/>
      <c r="OGO25" s="19"/>
      <c r="OGP25" s="19"/>
      <c r="OGQ25" s="19"/>
      <c r="OGR25" s="19"/>
      <c r="OGS25" s="19"/>
      <c r="OGT25" s="19"/>
      <c r="OGU25" s="19"/>
      <c r="OGV25" s="19"/>
      <c r="OGW25" s="19"/>
      <c r="OGX25" s="19"/>
      <c r="OGY25" s="19"/>
      <c r="OGZ25" s="19"/>
      <c r="OHA25" s="19"/>
      <c r="OHB25" s="19"/>
      <c r="OHC25" s="19"/>
      <c r="OHD25" s="19"/>
      <c r="OHE25" s="19"/>
      <c r="OHF25" s="19"/>
      <c r="OHG25" s="19"/>
      <c r="OHH25" s="19"/>
      <c r="OHI25" s="19"/>
      <c r="OHJ25" s="19"/>
      <c r="OHK25" s="19"/>
      <c r="OHL25" s="19"/>
      <c r="OHM25" s="19"/>
      <c r="OHN25" s="19"/>
      <c r="OHO25" s="19"/>
      <c r="OHP25" s="19"/>
      <c r="OHQ25" s="19"/>
      <c r="OHR25" s="19"/>
      <c r="OHS25" s="19"/>
      <c r="OHT25" s="19"/>
      <c r="OHU25" s="19"/>
      <c r="OHV25" s="19"/>
      <c r="OHW25" s="19"/>
      <c r="OHX25" s="19"/>
      <c r="OHY25" s="19"/>
      <c r="OHZ25" s="19"/>
      <c r="OIA25" s="19"/>
      <c r="OIB25" s="19"/>
      <c r="OIC25" s="19"/>
      <c r="OID25" s="19"/>
      <c r="OIE25" s="19"/>
      <c r="OIF25" s="19"/>
      <c r="OIG25" s="19"/>
      <c r="OIH25" s="19"/>
      <c r="OII25" s="19"/>
      <c r="OIJ25" s="19"/>
      <c r="OIK25" s="19"/>
      <c r="OIL25" s="19"/>
      <c r="OIM25" s="19"/>
      <c r="OIN25" s="19"/>
      <c r="OIO25" s="19"/>
      <c r="OIP25" s="19"/>
      <c r="OIQ25" s="19"/>
      <c r="OIR25" s="19"/>
      <c r="OIS25" s="19"/>
      <c r="OIT25" s="19"/>
      <c r="OIU25" s="19"/>
      <c r="OIV25" s="19"/>
      <c r="OIW25" s="19"/>
      <c r="OIX25" s="19"/>
      <c r="OIY25" s="19"/>
      <c r="OIZ25" s="19"/>
      <c r="OJA25" s="19"/>
      <c r="OJB25" s="19"/>
      <c r="OJC25" s="19"/>
      <c r="OJD25" s="19"/>
      <c r="OJE25" s="19"/>
      <c r="OJF25" s="19"/>
      <c r="OJG25" s="19"/>
      <c r="OJH25" s="19"/>
      <c r="OJI25" s="19"/>
      <c r="OJJ25" s="19"/>
      <c r="OJK25" s="19"/>
      <c r="OJL25" s="19"/>
      <c r="OJM25" s="19"/>
      <c r="OJN25" s="19"/>
      <c r="OJO25" s="19"/>
      <c r="OJP25" s="19"/>
      <c r="OJQ25" s="19"/>
      <c r="OJR25" s="19"/>
      <c r="OJS25" s="19"/>
      <c r="OJT25" s="19"/>
      <c r="OJU25" s="19"/>
      <c r="OJV25" s="19"/>
      <c r="OJW25" s="19"/>
      <c r="OJX25" s="19"/>
      <c r="OJY25" s="19"/>
      <c r="OJZ25" s="19"/>
      <c r="OKA25" s="19"/>
      <c r="OKB25" s="19"/>
      <c r="OKC25" s="19"/>
      <c r="OKD25" s="19"/>
      <c r="OKE25" s="19"/>
      <c r="OKF25" s="19"/>
      <c r="OKG25" s="19"/>
      <c r="OKH25" s="19"/>
      <c r="OKI25" s="19"/>
      <c r="OKJ25" s="19"/>
      <c r="OKK25" s="19"/>
      <c r="OKL25" s="19"/>
      <c r="OKM25" s="19"/>
      <c r="OKN25" s="19"/>
      <c r="OKO25" s="19"/>
      <c r="OKP25" s="19"/>
      <c r="OKQ25" s="19"/>
      <c r="OKR25" s="19"/>
      <c r="OKS25" s="19"/>
      <c r="OKT25" s="19"/>
      <c r="OKU25" s="19"/>
      <c r="OKV25" s="19"/>
      <c r="OKW25" s="19"/>
      <c r="OKX25" s="19"/>
      <c r="OKY25" s="19"/>
      <c r="OKZ25" s="19"/>
      <c r="OLA25" s="19"/>
      <c r="OLB25" s="19"/>
      <c r="OLC25" s="19"/>
      <c r="OLD25" s="19"/>
      <c r="OLE25" s="19"/>
      <c r="OLF25" s="19"/>
      <c r="OLG25" s="19"/>
      <c r="OLH25" s="19"/>
      <c r="OLI25" s="19"/>
      <c r="OLJ25" s="19"/>
      <c r="OLK25" s="19"/>
      <c r="OLL25" s="19"/>
      <c r="OLM25" s="19"/>
      <c r="OLN25" s="19"/>
      <c r="OLO25" s="19"/>
      <c r="OLP25" s="19"/>
      <c r="OLQ25" s="19"/>
      <c r="OLR25" s="19"/>
      <c r="OLS25" s="19"/>
      <c r="OLT25" s="19"/>
      <c r="OLU25" s="19"/>
      <c r="OLV25" s="19"/>
      <c r="OLW25" s="19"/>
      <c r="OLX25" s="19"/>
      <c r="OLY25" s="19"/>
      <c r="OLZ25" s="19"/>
      <c r="OMA25" s="19"/>
      <c r="OMB25" s="19"/>
      <c r="OMC25" s="19"/>
      <c r="OMD25" s="19"/>
      <c r="OME25" s="19"/>
      <c r="OMF25" s="19"/>
      <c r="OMG25" s="19"/>
      <c r="OMH25" s="19"/>
      <c r="OMI25" s="19"/>
      <c r="OMJ25" s="19"/>
      <c r="OMK25" s="19"/>
      <c r="OML25" s="19"/>
      <c r="OMM25" s="19"/>
      <c r="OMN25" s="19"/>
      <c r="OMO25" s="19"/>
      <c r="OMP25" s="19"/>
      <c r="OMQ25" s="19"/>
      <c r="OMR25" s="19"/>
      <c r="OMS25" s="19"/>
      <c r="OMT25" s="19"/>
      <c r="OMU25" s="19"/>
      <c r="OMV25" s="19"/>
      <c r="OMW25" s="19"/>
      <c r="OMX25" s="19"/>
      <c r="OMY25" s="19"/>
      <c r="OMZ25" s="19"/>
      <c r="ONA25" s="19"/>
      <c r="ONB25" s="19"/>
      <c r="ONC25" s="19"/>
      <c r="OND25" s="19"/>
      <c r="ONE25" s="19"/>
      <c r="ONF25" s="19"/>
      <c r="ONG25" s="19"/>
      <c r="ONH25" s="19"/>
      <c r="ONI25" s="19"/>
      <c r="ONJ25" s="19"/>
      <c r="ONK25" s="19"/>
      <c r="ONL25" s="19"/>
      <c r="ONM25" s="19"/>
      <c r="ONN25" s="19"/>
      <c r="ONO25" s="19"/>
      <c r="ONP25" s="19"/>
      <c r="ONQ25" s="19"/>
      <c r="ONR25" s="19"/>
      <c r="ONS25" s="19"/>
      <c r="ONT25" s="19"/>
      <c r="ONU25" s="19"/>
      <c r="ONV25" s="19"/>
      <c r="ONW25" s="19"/>
      <c r="ONX25" s="19"/>
      <c r="ONY25" s="19"/>
      <c r="ONZ25" s="19"/>
      <c r="OOA25" s="19"/>
      <c r="OOB25" s="19"/>
      <c r="OOC25" s="19"/>
      <c r="OOD25" s="19"/>
      <c r="OOE25" s="19"/>
      <c r="OOF25" s="19"/>
      <c r="OOG25" s="19"/>
      <c r="OOH25" s="19"/>
      <c r="OOI25" s="19"/>
      <c r="OOJ25" s="19"/>
      <c r="OOK25" s="19"/>
      <c r="OOL25" s="19"/>
      <c r="OOM25" s="19"/>
      <c r="OON25" s="19"/>
      <c r="OOO25" s="19"/>
      <c r="OOP25" s="19"/>
      <c r="OOQ25" s="19"/>
      <c r="OOR25" s="19"/>
      <c r="OOS25" s="19"/>
      <c r="OOT25" s="19"/>
      <c r="OOU25" s="19"/>
      <c r="OOV25" s="19"/>
      <c r="OOW25" s="19"/>
      <c r="OOX25" s="19"/>
      <c r="OOY25" s="19"/>
      <c r="OOZ25" s="19"/>
      <c r="OPA25" s="19"/>
      <c r="OPB25" s="19"/>
      <c r="OPC25" s="19"/>
      <c r="OPD25" s="19"/>
      <c r="OPE25" s="19"/>
      <c r="OPF25" s="19"/>
      <c r="OPG25" s="19"/>
      <c r="OPH25" s="19"/>
      <c r="OPI25" s="19"/>
      <c r="OPJ25" s="19"/>
      <c r="OPK25" s="19"/>
      <c r="OPL25" s="19"/>
      <c r="OPM25" s="19"/>
      <c r="OPN25" s="19"/>
      <c r="OPO25" s="19"/>
      <c r="OPP25" s="19"/>
      <c r="OPQ25" s="19"/>
      <c r="OPR25" s="19"/>
      <c r="OPS25" s="19"/>
      <c r="OPT25" s="19"/>
      <c r="OPU25" s="19"/>
      <c r="OPV25" s="19"/>
      <c r="OPW25" s="19"/>
      <c r="OPX25" s="19"/>
      <c r="OPY25" s="19"/>
      <c r="OPZ25" s="19"/>
      <c r="OQA25" s="19"/>
      <c r="OQB25" s="19"/>
      <c r="OQC25" s="19"/>
      <c r="OQD25" s="19"/>
      <c r="OQE25" s="19"/>
      <c r="OQF25" s="19"/>
      <c r="OQG25" s="19"/>
      <c r="OQH25" s="19"/>
      <c r="OQI25" s="19"/>
      <c r="OQJ25" s="19"/>
      <c r="OQK25" s="19"/>
      <c r="OQL25" s="19"/>
      <c r="OQM25" s="19"/>
      <c r="OQN25" s="19"/>
      <c r="OQO25" s="19"/>
      <c r="OQP25" s="19"/>
      <c r="OQQ25" s="19"/>
      <c r="OQR25" s="19"/>
      <c r="OQS25" s="19"/>
      <c r="OQT25" s="19"/>
      <c r="OQU25" s="19"/>
      <c r="OQV25" s="19"/>
      <c r="OQW25" s="19"/>
      <c r="OQX25" s="19"/>
      <c r="OQY25" s="19"/>
      <c r="OQZ25" s="19"/>
      <c r="ORA25" s="19"/>
      <c r="ORB25" s="19"/>
      <c r="ORC25" s="19"/>
      <c r="ORD25" s="19"/>
      <c r="ORE25" s="19"/>
      <c r="ORF25" s="19"/>
      <c r="ORG25" s="19"/>
      <c r="ORH25" s="19"/>
      <c r="ORI25" s="19"/>
      <c r="ORJ25" s="19"/>
      <c r="ORK25" s="19"/>
      <c r="ORL25" s="19"/>
      <c r="ORM25" s="19"/>
      <c r="ORN25" s="19"/>
      <c r="ORO25" s="19"/>
      <c r="ORP25" s="19"/>
      <c r="ORQ25" s="19"/>
      <c r="ORR25" s="19"/>
      <c r="ORS25" s="19"/>
      <c r="ORT25" s="19"/>
      <c r="ORU25" s="19"/>
      <c r="ORV25" s="19"/>
      <c r="ORW25" s="19"/>
      <c r="ORX25" s="19"/>
      <c r="ORY25" s="19"/>
      <c r="ORZ25" s="19"/>
      <c r="OSA25" s="19"/>
      <c r="OSB25" s="19"/>
      <c r="OSC25" s="19"/>
      <c r="OSD25" s="19"/>
      <c r="OSE25" s="19"/>
      <c r="OSF25" s="19"/>
      <c r="OSG25" s="19"/>
      <c r="OSH25" s="19"/>
      <c r="OSI25" s="19"/>
      <c r="OSJ25" s="19"/>
      <c r="OSK25" s="19"/>
      <c r="OSL25" s="19"/>
      <c r="OSM25" s="19"/>
      <c r="OSN25" s="19"/>
      <c r="OSO25" s="19"/>
      <c r="OSP25" s="19"/>
      <c r="OSQ25" s="19"/>
      <c r="OSR25" s="19"/>
      <c r="OSS25" s="19"/>
      <c r="OST25" s="19"/>
      <c r="OSU25" s="19"/>
      <c r="OSV25" s="19"/>
      <c r="OSW25" s="19"/>
      <c r="OSX25" s="19"/>
      <c r="OSY25" s="19"/>
      <c r="OSZ25" s="19"/>
      <c r="OTA25" s="19"/>
      <c r="OTB25" s="19"/>
      <c r="OTC25" s="19"/>
      <c r="OTD25" s="19"/>
      <c r="OTE25" s="19"/>
      <c r="OTF25" s="19"/>
      <c r="OTG25" s="19"/>
      <c r="OTH25" s="19"/>
      <c r="OTI25" s="19"/>
      <c r="OTJ25" s="19"/>
      <c r="OTK25" s="19"/>
      <c r="OTL25" s="19"/>
      <c r="OTM25" s="19"/>
      <c r="OTN25" s="19"/>
      <c r="OTO25" s="19"/>
      <c r="OTP25" s="19"/>
      <c r="OTQ25" s="19"/>
      <c r="OTR25" s="19"/>
      <c r="OTS25" s="19"/>
      <c r="OTT25" s="19"/>
      <c r="OTU25" s="19"/>
      <c r="OTV25" s="19"/>
      <c r="OTW25" s="19"/>
      <c r="OTX25" s="19"/>
      <c r="OTY25" s="19"/>
      <c r="OTZ25" s="19"/>
      <c r="OUA25" s="19"/>
      <c r="OUB25" s="19"/>
      <c r="OUC25" s="19"/>
      <c r="OUD25" s="19"/>
      <c r="OUE25" s="19"/>
      <c r="OUF25" s="19"/>
      <c r="OUG25" s="19"/>
      <c r="OUH25" s="19"/>
      <c r="OUI25" s="19"/>
      <c r="OUJ25" s="19"/>
      <c r="OUK25" s="19"/>
      <c r="OUL25" s="19"/>
      <c r="OUM25" s="19"/>
      <c r="OUN25" s="19"/>
      <c r="OUO25" s="19"/>
      <c r="OUP25" s="19"/>
      <c r="OUQ25" s="19"/>
      <c r="OUR25" s="19"/>
      <c r="OUS25" s="19"/>
      <c r="OUT25" s="19"/>
      <c r="OUU25" s="19"/>
      <c r="OUV25" s="19"/>
      <c r="OUW25" s="19"/>
      <c r="OUX25" s="19"/>
      <c r="OUY25" s="19"/>
      <c r="OUZ25" s="19"/>
      <c r="OVA25" s="19"/>
      <c r="OVB25" s="19"/>
      <c r="OVC25" s="19"/>
      <c r="OVD25" s="19"/>
      <c r="OVE25" s="19"/>
      <c r="OVF25" s="19"/>
      <c r="OVG25" s="19"/>
      <c r="OVH25" s="19"/>
      <c r="OVI25" s="19"/>
      <c r="OVJ25" s="19"/>
      <c r="OVK25" s="19"/>
      <c r="OVL25" s="19"/>
      <c r="OVM25" s="19"/>
      <c r="OVN25" s="19"/>
      <c r="OVO25" s="19"/>
      <c r="OVP25" s="19"/>
      <c r="OVQ25" s="19"/>
      <c r="OVR25" s="19"/>
      <c r="OVS25" s="19"/>
      <c r="OVT25" s="19"/>
      <c r="OVU25" s="19"/>
      <c r="OVV25" s="19"/>
      <c r="OVW25" s="19"/>
      <c r="OVX25" s="19"/>
      <c r="OVY25" s="19"/>
      <c r="OVZ25" s="19"/>
      <c r="OWA25" s="19"/>
      <c r="OWB25" s="19"/>
      <c r="OWC25" s="19"/>
      <c r="OWD25" s="19"/>
      <c r="OWE25" s="19"/>
      <c r="OWF25" s="19"/>
      <c r="OWG25" s="19"/>
      <c r="OWH25" s="19"/>
      <c r="OWI25" s="19"/>
      <c r="OWJ25" s="19"/>
      <c r="OWK25" s="19"/>
      <c r="OWL25" s="19"/>
      <c r="OWM25" s="19"/>
      <c r="OWN25" s="19"/>
      <c r="OWO25" s="19"/>
      <c r="OWP25" s="19"/>
      <c r="OWQ25" s="19"/>
      <c r="OWR25" s="19"/>
      <c r="OWS25" s="19"/>
      <c r="OWT25" s="19"/>
      <c r="OWU25" s="19"/>
      <c r="OWV25" s="19"/>
      <c r="OWW25" s="19"/>
      <c r="OWX25" s="19"/>
      <c r="OWY25" s="19"/>
      <c r="OWZ25" s="19"/>
      <c r="OXA25" s="19"/>
      <c r="OXB25" s="19"/>
      <c r="OXC25" s="19"/>
      <c r="OXD25" s="19"/>
      <c r="OXE25" s="19"/>
      <c r="OXF25" s="19"/>
      <c r="OXG25" s="19"/>
      <c r="OXH25" s="19"/>
      <c r="OXI25" s="19"/>
      <c r="OXJ25" s="19"/>
      <c r="OXK25" s="19"/>
      <c r="OXL25" s="19"/>
      <c r="OXM25" s="19"/>
      <c r="OXN25" s="19"/>
      <c r="OXO25" s="19"/>
      <c r="OXP25" s="19"/>
      <c r="OXQ25" s="19"/>
      <c r="OXR25" s="19"/>
      <c r="OXS25" s="19"/>
      <c r="OXT25" s="19"/>
      <c r="OXU25" s="19"/>
      <c r="OXV25" s="19"/>
      <c r="OXW25" s="19"/>
      <c r="OXX25" s="19"/>
      <c r="OXY25" s="19"/>
      <c r="OXZ25" s="19"/>
      <c r="OYA25" s="19"/>
      <c r="OYB25" s="19"/>
      <c r="OYC25" s="19"/>
      <c r="OYD25" s="19"/>
      <c r="OYE25" s="19"/>
      <c r="OYF25" s="19"/>
      <c r="OYG25" s="19"/>
      <c r="OYH25" s="19"/>
      <c r="OYI25" s="19"/>
      <c r="OYJ25" s="19"/>
      <c r="OYK25" s="19"/>
      <c r="OYL25" s="19"/>
      <c r="OYM25" s="19"/>
      <c r="OYN25" s="19"/>
      <c r="OYO25" s="19"/>
      <c r="OYP25" s="19"/>
      <c r="OYQ25" s="19"/>
      <c r="OYR25" s="19"/>
      <c r="OYS25" s="19"/>
      <c r="OYT25" s="19"/>
      <c r="OYU25" s="19"/>
      <c r="OYV25" s="19"/>
      <c r="OYW25" s="19"/>
      <c r="OYX25" s="19"/>
      <c r="OYY25" s="19"/>
      <c r="OYZ25" s="19"/>
      <c r="OZA25" s="19"/>
      <c r="OZB25" s="19"/>
      <c r="OZC25" s="19"/>
      <c r="OZD25" s="19"/>
      <c r="OZE25" s="19"/>
      <c r="OZF25" s="19"/>
      <c r="OZG25" s="19"/>
      <c r="OZH25" s="19"/>
      <c r="OZI25" s="19"/>
      <c r="OZJ25" s="19"/>
      <c r="OZK25" s="19"/>
      <c r="OZL25" s="19"/>
      <c r="OZM25" s="19"/>
      <c r="OZN25" s="19"/>
      <c r="OZO25" s="19"/>
      <c r="OZP25" s="19"/>
      <c r="OZQ25" s="19"/>
      <c r="OZR25" s="19"/>
      <c r="OZS25" s="19"/>
      <c r="OZT25" s="19"/>
      <c r="OZU25" s="19"/>
      <c r="OZV25" s="19"/>
      <c r="OZW25" s="19"/>
      <c r="OZX25" s="19"/>
      <c r="OZY25" s="19"/>
      <c r="OZZ25" s="19"/>
      <c r="PAA25" s="19"/>
      <c r="PAB25" s="19"/>
      <c r="PAC25" s="19"/>
      <c r="PAD25" s="19"/>
      <c r="PAE25" s="19"/>
      <c r="PAF25" s="19"/>
      <c r="PAG25" s="19"/>
      <c r="PAH25" s="19"/>
      <c r="PAI25" s="19"/>
      <c r="PAJ25" s="19"/>
      <c r="PAK25" s="19"/>
      <c r="PAL25" s="19"/>
      <c r="PAM25" s="19"/>
      <c r="PAN25" s="19"/>
      <c r="PAO25" s="19"/>
      <c r="PAP25" s="19"/>
      <c r="PAQ25" s="19"/>
      <c r="PAR25" s="19"/>
      <c r="PAS25" s="19"/>
      <c r="PAT25" s="19"/>
      <c r="PAU25" s="19"/>
      <c r="PAV25" s="19"/>
      <c r="PAW25" s="19"/>
      <c r="PAX25" s="19"/>
      <c r="PAY25" s="19"/>
      <c r="PAZ25" s="19"/>
      <c r="PBA25" s="19"/>
      <c r="PBB25" s="19"/>
      <c r="PBC25" s="19"/>
      <c r="PBD25" s="19"/>
      <c r="PBE25" s="19"/>
      <c r="PBF25" s="19"/>
      <c r="PBG25" s="19"/>
      <c r="PBH25" s="19"/>
      <c r="PBI25" s="19"/>
      <c r="PBJ25" s="19"/>
      <c r="PBK25" s="19"/>
      <c r="PBL25" s="19"/>
      <c r="PBM25" s="19"/>
      <c r="PBN25" s="19"/>
      <c r="PBO25" s="19"/>
      <c r="PBP25" s="19"/>
      <c r="PBQ25" s="19"/>
      <c r="PBR25" s="19"/>
      <c r="PBS25" s="19"/>
      <c r="PBT25" s="19"/>
      <c r="PBU25" s="19"/>
      <c r="PBV25" s="19"/>
      <c r="PBW25" s="19"/>
      <c r="PBX25" s="19"/>
      <c r="PBY25" s="19"/>
      <c r="PBZ25" s="19"/>
      <c r="PCA25" s="19"/>
      <c r="PCB25" s="19"/>
      <c r="PCC25" s="19"/>
      <c r="PCD25" s="19"/>
      <c r="PCE25" s="19"/>
      <c r="PCF25" s="19"/>
      <c r="PCG25" s="19"/>
      <c r="PCH25" s="19"/>
      <c r="PCI25" s="19"/>
      <c r="PCJ25" s="19"/>
      <c r="PCK25" s="19"/>
      <c r="PCL25" s="19"/>
      <c r="PCM25" s="19"/>
      <c r="PCN25" s="19"/>
      <c r="PCO25" s="19"/>
      <c r="PCP25" s="19"/>
      <c r="PCQ25" s="19"/>
      <c r="PCR25" s="19"/>
      <c r="PCS25" s="19"/>
      <c r="PCT25" s="19"/>
      <c r="PCU25" s="19"/>
      <c r="PCV25" s="19"/>
      <c r="PCW25" s="19"/>
      <c r="PCX25" s="19"/>
      <c r="PCY25" s="19"/>
      <c r="PCZ25" s="19"/>
      <c r="PDA25" s="19"/>
      <c r="PDB25" s="19"/>
      <c r="PDC25" s="19"/>
      <c r="PDD25" s="19"/>
      <c r="PDE25" s="19"/>
      <c r="PDF25" s="19"/>
      <c r="PDG25" s="19"/>
      <c r="PDH25" s="19"/>
      <c r="PDI25" s="19"/>
      <c r="PDJ25" s="19"/>
      <c r="PDK25" s="19"/>
      <c r="PDL25" s="19"/>
      <c r="PDM25" s="19"/>
      <c r="PDN25" s="19"/>
      <c r="PDO25" s="19"/>
      <c r="PDP25" s="19"/>
      <c r="PDQ25" s="19"/>
      <c r="PDR25" s="19"/>
      <c r="PDS25" s="19"/>
      <c r="PDT25" s="19"/>
      <c r="PDU25" s="19"/>
      <c r="PDV25" s="19"/>
      <c r="PDW25" s="19"/>
      <c r="PDX25" s="19"/>
      <c r="PDY25" s="19"/>
      <c r="PDZ25" s="19"/>
      <c r="PEA25" s="19"/>
      <c r="PEB25" s="19"/>
      <c r="PEC25" s="19"/>
      <c r="PED25" s="19"/>
      <c r="PEE25" s="19"/>
      <c r="PEF25" s="19"/>
      <c r="PEG25" s="19"/>
      <c r="PEH25" s="19"/>
      <c r="PEI25" s="19"/>
      <c r="PEJ25" s="19"/>
      <c r="PEK25" s="19"/>
      <c r="PEL25" s="19"/>
      <c r="PEM25" s="19"/>
      <c r="PEN25" s="19"/>
      <c r="PEO25" s="19"/>
      <c r="PEP25" s="19"/>
      <c r="PEQ25" s="19"/>
      <c r="PER25" s="19"/>
      <c r="PES25" s="19"/>
      <c r="PET25" s="19"/>
      <c r="PEU25" s="19"/>
      <c r="PEV25" s="19"/>
      <c r="PEW25" s="19"/>
      <c r="PEX25" s="19"/>
      <c r="PEY25" s="19"/>
      <c r="PEZ25" s="19"/>
      <c r="PFA25" s="19"/>
      <c r="PFB25" s="19"/>
      <c r="PFC25" s="19"/>
      <c r="PFD25" s="19"/>
      <c r="PFE25" s="19"/>
      <c r="PFF25" s="19"/>
      <c r="PFG25" s="19"/>
      <c r="PFH25" s="19"/>
      <c r="PFI25" s="19"/>
      <c r="PFJ25" s="19"/>
      <c r="PFK25" s="19"/>
      <c r="PFL25" s="19"/>
      <c r="PFM25" s="19"/>
      <c r="PFN25" s="19"/>
      <c r="PFO25" s="19"/>
      <c r="PFP25" s="19"/>
      <c r="PFQ25" s="19"/>
      <c r="PFR25" s="19"/>
      <c r="PFS25" s="19"/>
      <c r="PFT25" s="19"/>
      <c r="PFU25" s="19"/>
      <c r="PFV25" s="19"/>
      <c r="PFW25" s="19"/>
      <c r="PFX25" s="19"/>
      <c r="PFY25" s="19"/>
      <c r="PFZ25" s="19"/>
      <c r="PGA25" s="19"/>
      <c r="PGB25" s="19"/>
      <c r="PGC25" s="19"/>
      <c r="PGD25" s="19"/>
      <c r="PGE25" s="19"/>
      <c r="PGF25" s="19"/>
      <c r="PGG25" s="19"/>
      <c r="PGH25" s="19"/>
      <c r="PGI25" s="19"/>
      <c r="PGJ25" s="19"/>
      <c r="PGK25" s="19"/>
      <c r="PGL25" s="19"/>
      <c r="PGM25" s="19"/>
      <c r="PGN25" s="19"/>
      <c r="PGO25" s="19"/>
      <c r="PGP25" s="19"/>
      <c r="PGQ25" s="19"/>
      <c r="PGR25" s="19"/>
      <c r="PGS25" s="19"/>
      <c r="PGT25" s="19"/>
      <c r="PGU25" s="19"/>
      <c r="PGV25" s="19"/>
      <c r="PGW25" s="19"/>
      <c r="PGX25" s="19"/>
      <c r="PGY25" s="19"/>
      <c r="PGZ25" s="19"/>
      <c r="PHA25" s="19"/>
      <c r="PHB25" s="19"/>
      <c r="PHC25" s="19"/>
      <c r="PHD25" s="19"/>
      <c r="PHE25" s="19"/>
      <c r="PHF25" s="19"/>
      <c r="PHG25" s="19"/>
      <c r="PHH25" s="19"/>
      <c r="PHI25" s="19"/>
      <c r="PHJ25" s="19"/>
      <c r="PHK25" s="19"/>
      <c r="PHL25" s="19"/>
      <c r="PHM25" s="19"/>
      <c r="PHN25" s="19"/>
      <c r="PHO25" s="19"/>
      <c r="PHP25" s="19"/>
      <c r="PHQ25" s="19"/>
      <c r="PHR25" s="19"/>
      <c r="PHS25" s="19"/>
      <c r="PHT25" s="19"/>
      <c r="PHU25" s="19"/>
      <c r="PHV25" s="19"/>
      <c r="PHW25" s="19"/>
      <c r="PHX25" s="19"/>
      <c r="PHY25" s="19"/>
      <c r="PHZ25" s="19"/>
      <c r="PIA25" s="19"/>
      <c r="PIB25" s="19"/>
      <c r="PIC25" s="19"/>
      <c r="PID25" s="19"/>
      <c r="PIE25" s="19"/>
      <c r="PIF25" s="19"/>
      <c r="PIG25" s="19"/>
      <c r="PIH25" s="19"/>
      <c r="PII25" s="19"/>
      <c r="PIJ25" s="19"/>
      <c r="PIK25" s="19"/>
      <c r="PIL25" s="19"/>
      <c r="PIM25" s="19"/>
      <c r="PIN25" s="19"/>
      <c r="PIO25" s="19"/>
      <c r="PIP25" s="19"/>
      <c r="PIQ25" s="19"/>
      <c r="PIR25" s="19"/>
      <c r="PIS25" s="19"/>
      <c r="PIT25" s="19"/>
      <c r="PIU25" s="19"/>
      <c r="PIV25" s="19"/>
      <c r="PIW25" s="19"/>
      <c r="PIX25" s="19"/>
      <c r="PIY25" s="19"/>
      <c r="PIZ25" s="19"/>
      <c r="PJA25" s="19"/>
      <c r="PJB25" s="19"/>
      <c r="PJC25" s="19"/>
      <c r="PJD25" s="19"/>
      <c r="PJE25" s="19"/>
      <c r="PJF25" s="19"/>
      <c r="PJG25" s="19"/>
      <c r="PJH25" s="19"/>
      <c r="PJI25" s="19"/>
      <c r="PJJ25" s="19"/>
      <c r="PJK25" s="19"/>
      <c r="PJL25" s="19"/>
      <c r="PJM25" s="19"/>
      <c r="PJN25" s="19"/>
      <c r="PJO25" s="19"/>
      <c r="PJP25" s="19"/>
      <c r="PJQ25" s="19"/>
      <c r="PJR25" s="19"/>
      <c r="PJS25" s="19"/>
      <c r="PJT25" s="19"/>
      <c r="PJU25" s="19"/>
      <c r="PJV25" s="19"/>
      <c r="PJW25" s="19"/>
      <c r="PJX25" s="19"/>
      <c r="PJY25" s="19"/>
      <c r="PJZ25" s="19"/>
      <c r="PKA25" s="19"/>
      <c r="PKB25" s="19"/>
      <c r="PKC25" s="19"/>
      <c r="PKD25" s="19"/>
      <c r="PKE25" s="19"/>
      <c r="PKF25" s="19"/>
      <c r="PKG25" s="19"/>
      <c r="PKH25" s="19"/>
      <c r="PKI25" s="19"/>
      <c r="PKJ25" s="19"/>
      <c r="PKK25" s="19"/>
      <c r="PKL25" s="19"/>
      <c r="PKM25" s="19"/>
      <c r="PKN25" s="19"/>
      <c r="PKO25" s="19"/>
      <c r="PKP25" s="19"/>
      <c r="PKQ25" s="19"/>
      <c r="PKR25" s="19"/>
      <c r="PKS25" s="19"/>
      <c r="PKT25" s="19"/>
      <c r="PKU25" s="19"/>
      <c r="PKV25" s="19"/>
      <c r="PKW25" s="19"/>
      <c r="PKX25" s="19"/>
      <c r="PKY25" s="19"/>
      <c r="PKZ25" s="19"/>
      <c r="PLA25" s="19"/>
      <c r="PLB25" s="19"/>
      <c r="PLC25" s="19"/>
      <c r="PLD25" s="19"/>
      <c r="PLE25" s="19"/>
      <c r="PLF25" s="19"/>
      <c r="PLG25" s="19"/>
      <c r="PLH25" s="19"/>
      <c r="PLI25" s="19"/>
      <c r="PLJ25" s="19"/>
      <c r="PLK25" s="19"/>
      <c r="PLL25" s="19"/>
      <c r="PLM25" s="19"/>
      <c r="PLN25" s="19"/>
      <c r="PLO25" s="19"/>
      <c r="PLP25" s="19"/>
      <c r="PLQ25" s="19"/>
      <c r="PLR25" s="19"/>
      <c r="PLS25" s="19"/>
      <c r="PLT25" s="19"/>
      <c r="PLU25" s="19"/>
      <c r="PLV25" s="19"/>
      <c r="PLW25" s="19"/>
      <c r="PLX25" s="19"/>
      <c r="PLY25" s="19"/>
      <c r="PLZ25" s="19"/>
      <c r="PMA25" s="19"/>
      <c r="PMB25" s="19"/>
      <c r="PMC25" s="19"/>
      <c r="PMD25" s="19"/>
      <c r="PME25" s="19"/>
      <c r="PMF25" s="19"/>
      <c r="PMG25" s="19"/>
      <c r="PMH25" s="19"/>
      <c r="PMI25" s="19"/>
      <c r="PMJ25" s="19"/>
      <c r="PMK25" s="19"/>
      <c r="PML25" s="19"/>
      <c r="PMM25" s="19"/>
      <c r="PMN25" s="19"/>
      <c r="PMO25" s="19"/>
      <c r="PMP25" s="19"/>
      <c r="PMQ25" s="19"/>
      <c r="PMR25" s="19"/>
      <c r="PMS25" s="19"/>
      <c r="PMT25" s="19"/>
      <c r="PMU25" s="19"/>
      <c r="PMV25" s="19"/>
      <c r="PMW25" s="19"/>
      <c r="PMX25" s="19"/>
      <c r="PMY25" s="19"/>
      <c r="PMZ25" s="19"/>
      <c r="PNA25" s="19"/>
      <c r="PNB25" s="19"/>
      <c r="PNC25" s="19"/>
      <c r="PND25" s="19"/>
      <c r="PNE25" s="19"/>
      <c r="PNF25" s="19"/>
      <c r="PNG25" s="19"/>
      <c r="PNH25" s="19"/>
      <c r="PNI25" s="19"/>
      <c r="PNJ25" s="19"/>
      <c r="PNK25" s="19"/>
      <c r="PNL25" s="19"/>
      <c r="PNM25" s="19"/>
      <c r="PNN25" s="19"/>
      <c r="PNO25" s="19"/>
      <c r="PNP25" s="19"/>
      <c r="PNQ25" s="19"/>
      <c r="PNR25" s="19"/>
      <c r="PNS25" s="19"/>
      <c r="PNT25" s="19"/>
      <c r="PNU25" s="19"/>
      <c r="PNV25" s="19"/>
      <c r="PNW25" s="19"/>
      <c r="PNX25" s="19"/>
      <c r="PNY25" s="19"/>
      <c r="PNZ25" s="19"/>
      <c r="POA25" s="19"/>
      <c r="POB25" s="19"/>
      <c r="POC25" s="19"/>
      <c r="POD25" s="19"/>
      <c r="POE25" s="19"/>
      <c r="POF25" s="19"/>
      <c r="POG25" s="19"/>
      <c r="POH25" s="19"/>
      <c r="POI25" s="19"/>
      <c r="POJ25" s="19"/>
      <c r="POK25" s="19"/>
      <c r="POL25" s="19"/>
      <c r="POM25" s="19"/>
      <c r="PON25" s="19"/>
      <c r="POO25" s="19"/>
      <c r="POP25" s="19"/>
      <c r="POQ25" s="19"/>
      <c r="POR25" s="19"/>
      <c r="POS25" s="19"/>
      <c r="POT25" s="19"/>
      <c r="POU25" s="19"/>
      <c r="POV25" s="19"/>
      <c r="POW25" s="19"/>
      <c r="POX25" s="19"/>
      <c r="POY25" s="19"/>
      <c r="POZ25" s="19"/>
      <c r="PPA25" s="19"/>
      <c r="PPB25" s="19"/>
      <c r="PPC25" s="19"/>
      <c r="PPD25" s="19"/>
      <c r="PPE25" s="19"/>
      <c r="PPF25" s="19"/>
      <c r="PPG25" s="19"/>
      <c r="PPH25" s="19"/>
      <c r="PPI25" s="19"/>
      <c r="PPJ25" s="19"/>
      <c r="PPK25" s="19"/>
      <c r="PPL25" s="19"/>
      <c r="PPM25" s="19"/>
      <c r="PPN25" s="19"/>
      <c r="PPO25" s="19"/>
      <c r="PPP25" s="19"/>
      <c r="PPQ25" s="19"/>
      <c r="PPR25" s="19"/>
      <c r="PPS25" s="19"/>
      <c r="PPT25" s="19"/>
      <c r="PPU25" s="19"/>
      <c r="PPV25" s="19"/>
      <c r="PPW25" s="19"/>
      <c r="PPX25" s="19"/>
      <c r="PPY25" s="19"/>
      <c r="PPZ25" s="19"/>
      <c r="PQA25" s="19"/>
      <c r="PQB25" s="19"/>
      <c r="PQC25" s="19"/>
      <c r="PQD25" s="19"/>
      <c r="PQE25" s="19"/>
      <c r="PQF25" s="19"/>
      <c r="PQG25" s="19"/>
      <c r="PQH25" s="19"/>
      <c r="PQI25" s="19"/>
      <c r="PQJ25" s="19"/>
      <c r="PQK25" s="19"/>
      <c r="PQL25" s="19"/>
      <c r="PQM25" s="19"/>
      <c r="PQN25" s="19"/>
      <c r="PQO25" s="19"/>
      <c r="PQP25" s="19"/>
      <c r="PQQ25" s="19"/>
      <c r="PQR25" s="19"/>
      <c r="PQS25" s="19"/>
      <c r="PQT25" s="19"/>
      <c r="PQU25" s="19"/>
      <c r="PQV25" s="19"/>
      <c r="PQW25" s="19"/>
      <c r="PQX25" s="19"/>
      <c r="PQY25" s="19"/>
      <c r="PQZ25" s="19"/>
      <c r="PRA25" s="19"/>
      <c r="PRB25" s="19"/>
      <c r="PRC25" s="19"/>
      <c r="PRD25" s="19"/>
      <c r="PRE25" s="19"/>
      <c r="PRF25" s="19"/>
      <c r="PRG25" s="19"/>
      <c r="PRH25" s="19"/>
      <c r="PRI25" s="19"/>
      <c r="PRJ25" s="19"/>
      <c r="PRK25" s="19"/>
      <c r="PRL25" s="19"/>
      <c r="PRM25" s="19"/>
      <c r="PRN25" s="19"/>
      <c r="PRO25" s="19"/>
      <c r="PRP25" s="19"/>
      <c r="PRQ25" s="19"/>
      <c r="PRR25" s="19"/>
      <c r="PRS25" s="19"/>
      <c r="PRT25" s="19"/>
      <c r="PRU25" s="19"/>
      <c r="PRV25" s="19"/>
      <c r="PRW25" s="19"/>
      <c r="PRX25" s="19"/>
      <c r="PRY25" s="19"/>
      <c r="PRZ25" s="19"/>
      <c r="PSA25" s="19"/>
      <c r="PSB25" s="19"/>
      <c r="PSC25" s="19"/>
      <c r="PSD25" s="19"/>
      <c r="PSE25" s="19"/>
      <c r="PSF25" s="19"/>
      <c r="PSG25" s="19"/>
      <c r="PSH25" s="19"/>
      <c r="PSI25" s="19"/>
      <c r="PSJ25" s="19"/>
      <c r="PSK25" s="19"/>
      <c r="PSL25" s="19"/>
      <c r="PSM25" s="19"/>
      <c r="PSN25" s="19"/>
      <c r="PSO25" s="19"/>
      <c r="PSP25" s="19"/>
      <c r="PSQ25" s="19"/>
      <c r="PSR25" s="19"/>
      <c r="PSS25" s="19"/>
      <c r="PST25" s="19"/>
      <c r="PSU25" s="19"/>
      <c r="PSV25" s="19"/>
      <c r="PSW25" s="19"/>
      <c r="PSX25" s="19"/>
      <c r="PSY25" s="19"/>
      <c r="PSZ25" s="19"/>
      <c r="PTA25" s="19"/>
      <c r="PTB25" s="19"/>
      <c r="PTC25" s="19"/>
      <c r="PTD25" s="19"/>
      <c r="PTE25" s="19"/>
      <c r="PTF25" s="19"/>
      <c r="PTG25" s="19"/>
      <c r="PTH25" s="19"/>
      <c r="PTI25" s="19"/>
      <c r="PTJ25" s="19"/>
      <c r="PTK25" s="19"/>
      <c r="PTL25" s="19"/>
      <c r="PTM25" s="19"/>
      <c r="PTN25" s="19"/>
      <c r="PTO25" s="19"/>
      <c r="PTP25" s="19"/>
      <c r="PTQ25" s="19"/>
      <c r="PTR25" s="19"/>
      <c r="PTS25" s="19"/>
      <c r="PTT25" s="19"/>
      <c r="PTU25" s="19"/>
      <c r="PTV25" s="19"/>
      <c r="PTW25" s="19"/>
      <c r="PTX25" s="19"/>
      <c r="PTY25" s="19"/>
      <c r="PTZ25" s="19"/>
      <c r="PUA25" s="19"/>
      <c r="PUB25" s="19"/>
      <c r="PUC25" s="19"/>
      <c r="PUD25" s="19"/>
      <c r="PUE25" s="19"/>
      <c r="PUF25" s="19"/>
      <c r="PUG25" s="19"/>
      <c r="PUH25" s="19"/>
      <c r="PUI25" s="19"/>
      <c r="PUJ25" s="19"/>
      <c r="PUK25" s="19"/>
      <c r="PUL25" s="19"/>
      <c r="PUM25" s="19"/>
      <c r="PUN25" s="19"/>
      <c r="PUO25" s="19"/>
      <c r="PUP25" s="19"/>
      <c r="PUQ25" s="19"/>
      <c r="PUR25" s="19"/>
      <c r="PUS25" s="19"/>
      <c r="PUT25" s="19"/>
      <c r="PUU25" s="19"/>
      <c r="PUV25" s="19"/>
      <c r="PUW25" s="19"/>
      <c r="PUX25" s="19"/>
      <c r="PUY25" s="19"/>
      <c r="PUZ25" s="19"/>
      <c r="PVA25" s="19"/>
      <c r="PVB25" s="19"/>
      <c r="PVC25" s="19"/>
      <c r="PVD25" s="19"/>
      <c r="PVE25" s="19"/>
      <c r="PVF25" s="19"/>
      <c r="PVG25" s="19"/>
      <c r="PVH25" s="19"/>
      <c r="PVI25" s="19"/>
      <c r="PVJ25" s="19"/>
      <c r="PVK25" s="19"/>
      <c r="PVL25" s="19"/>
      <c r="PVM25" s="19"/>
      <c r="PVN25" s="19"/>
      <c r="PVO25" s="19"/>
      <c r="PVP25" s="19"/>
      <c r="PVQ25" s="19"/>
      <c r="PVR25" s="19"/>
      <c r="PVS25" s="19"/>
      <c r="PVT25" s="19"/>
      <c r="PVU25" s="19"/>
      <c r="PVV25" s="19"/>
      <c r="PVW25" s="19"/>
      <c r="PVX25" s="19"/>
      <c r="PVY25" s="19"/>
      <c r="PVZ25" s="19"/>
      <c r="PWA25" s="19"/>
      <c r="PWB25" s="19"/>
      <c r="PWC25" s="19"/>
      <c r="PWD25" s="19"/>
      <c r="PWE25" s="19"/>
      <c r="PWF25" s="19"/>
      <c r="PWG25" s="19"/>
      <c r="PWH25" s="19"/>
      <c r="PWI25" s="19"/>
      <c r="PWJ25" s="19"/>
      <c r="PWK25" s="19"/>
      <c r="PWL25" s="19"/>
      <c r="PWM25" s="19"/>
      <c r="PWN25" s="19"/>
      <c r="PWO25" s="19"/>
      <c r="PWP25" s="19"/>
      <c r="PWQ25" s="19"/>
      <c r="PWR25" s="19"/>
      <c r="PWS25" s="19"/>
      <c r="PWT25" s="19"/>
      <c r="PWU25" s="19"/>
      <c r="PWV25" s="19"/>
      <c r="PWW25" s="19"/>
      <c r="PWX25" s="19"/>
      <c r="PWY25" s="19"/>
      <c r="PWZ25" s="19"/>
      <c r="PXA25" s="19"/>
      <c r="PXB25" s="19"/>
      <c r="PXC25" s="19"/>
      <c r="PXD25" s="19"/>
      <c r="PXE25" s="19"/>
      <c r="PXF25" s="19"/>
      <c r="PXG25" s="19"/>
      <c r="PXH25" s="19"/>
      <c r="PXI25" s="19"/>
      <c r="PXJ25" s="19"/>
      <c r="PXK25" s="19"/>
      <c r="PXL25" s="19"/>
      <c r="PXM25" s="19"/>
      <c r="PXN25" s="19"/>
      <c r="PXO25" s="19"/>
      <c r="PXP25" s="19"/>
      <c r="PXQ25" s="19"/>
      <c r="PXR25" s="19"/>
      <c r="PXS25" s="19"/>
      <c r="PXT25" s="19"/>
      <c r="PXU25" s="19"/>
      <c r="PXV25" s="19"/>
      <c r="PXW25" s="19"/>
      <c r="PXX25" s="19"/>
      <c r="PXY25" s="19"/>
      <c r="PXZ25" s="19"/>
      <c r="PYA25" s="19"/>
      <c r="PYB25" s="19"/>
      <c r="PYC25" s="19"/>
      <c r="PYD25" s="19"/>
      <c r="PYE25" s="19"/>
      <c r="PYF25" s="19"/>
      <c r="PYG25" s="19"/>
      <c r="PYH25" s="19"/>
      <c r="PYI25" s="19"/>
      <c r="PYJ25" s="19"/>
      <c r="PYK25" s="19"/>
      <c r="PYL25" s="19"/>
      <c r="PYM25" s="19"/>
      <c r="PYN25" s="19"/>
      <c r="PYO25" s="19"/>
      <c r="PYP25" s="19"/>
      <c r="PYQ25" s="19"/>
      <c r="PYR25" s="19"/>
      <c r="PYS25" s="19"/>
      <c r="PYT25" s="19"/>
      <c r="PYU25" s="19"/>
      <c r="PYV25" s="19"/>
      <c r="PYW25" s="19"/>
      <c r="PYX25" s="19"/>
      <c r="PYY25" s="19"/>
      <c r="PYZ25" s="19"/>
      <c r="PZA25" s="19"/>
      <c r="PZB25" s="19"/>
      <c r="PZC25" s="19"/>
      <c r="PZD25" s="19"/>
      <c r="PZE25" s="19"/>
      <c r="PZF25" s="19"/>
      <c r="PZG25" s="19"/>
      <c r="PZH25" s="19"/>
      <c r="PZI25" s="19"/>
      <c r="PZJ25" s="19"/>
      <c r="PZK25" s="19"/>
      <c r="PZL25" s="19"/>
      <c r="PZM25" s="19"/>
      <c r="PZN25" s="19"/>
      <c r="PZO25" s="19"/>
      <c r="PZP25" s="19"/>
      <c r="PZQ25" s="19"/>
      <c r="PZR25" s="19"/>
      <c r="PZS25" s="19"/>
      <c r="PZT25" s="19"/>
      <c r="PZU25" s="19"/>
      <c r="PZV25" s="19"/>
      <c r="PZW25" s="19"/>
      <c r="PZX25" s="19"/>
      <c r="PZY25" s="19"/>
      <c r="PZZ25" s="19"/>
      <c r="QAA25" s="19"/>
      <c r="QAB25" s="19"/>
      <c r="QAC25" s="19"/>
      <c r="QAD25" s="19"/>
      <c r="QAE25" s="19"/>
      <c r="QAF25" s="19"/>
      <c r="QAG25" s="19"/>
      <c r="QAH25" s="19"/>
      <c r="QAI25" s="19"/>
      <c r="QAJ25" s="19"/>
      <c r="QAK25" s="19"/>
      <c r="QAL25" s="19"/>
      <c r="QAM25" s="19"/>
      <c r="QAN25" s="19"/>
      <c r="QAO25" s="19"/>
      <c r="QAP25" s="19"/>
      <c r="QAQ25" s="19"/>
      <c r="QAR25" s="19"/>
      <c r="QAS25" s="19"/>
      <c r="QAT25" s="19"/>
      <c r="QAU25" s="19"/>
      <c r="QAV25" s="19"/>
      <c r="QAW25" s="19"/>
      <c r="QAX25" s="19"/>
      <c r="QAY25" s="19"/>
      <c r="QAZ25" s="19"/>
      <c r="QBA25" s="19"/>
      <c r="QBB25" s="19"/>
      <c r="QBC25" s="19"/>
      <c r="QBD25" s="19"/>
      <c r="QBE25" s="19"/>
      <c r="QBF25" s="19"/>
      <c r="QBG25" s="19"/>
      <c r="QBH25" s="19"/>
      <c r="QBI25" s="19"/>
      <c r="QBJ25" s="19"/>
      <c r="QBK25" s="19"/>
      <c r="QBL25" s="19"/>
      <c r="QBM25" s="19"/>
      <c r="QBN25" s="19"/>
      <c r="QBO25" s="19"/>
      <c r="QBP25" s="19"/>
      <c r="QBQ25" s="19"/>
      <c r="QBR25" s="19"/>
      <c r="QBS25" s="19"/>
      <c r="QBT25" s="19"/>
      <c r="QBU25" s="19"/>
      <c r="QBV25" s="19"/>
      <c r="QBW25" s="19"/>
      <c r="QBX25" s="19"/>
      <c r="QBY25" s="19"/>
      <c r="QBZ25" s="19"/>
      <c r="QCA25" s="19"/>
      <c r="QCB25" s="19"/>
      <c r="QCC25" s="19"/>
      <c r="QCD25" s="19"/>
      <c r="QCE25" s="19"/>
      <c r="QCF25" s="19"/>
      <c r="QCG25" s="19"/>
      <c r="QCH25" s="19"/>
      <c r="QCI25" s="19"/>
      <c r="QCJ25" s="19"/>
      <c r="QCK25" s="19"/>
      <c r="QCL25" s="19"/>
      <c r="QCM25" s="19"/>
      <c r="QCN25" s="19"/>
      <c r="QCO25" s="19"/>
      <c r="QCP25" s="19"/>
      <c r="QCQ25" s="19"/>
      <c r="QCR25" s="19"/>
      <c r="QCS25" s="19"/>
      <c r="QCT25" s="19"/>
      <c r="QCU25" s="19"/>
      <c r="QCV25" s="19"/>
      <c r="QCW25" s="19"/>
      <c r="QCX25" s="19"/>
      <c r="QCY25" s="19"/>
      <c r="QCZ25" s="19"/>
      <c r="QDA25" s="19"/>
      <c r="QDB25" s="19"/>
      <c r="QDC25" s="19"/>
      <c r="QDD25" s="19"/>
      <c r="QDE25" s="19"/>
      <c r="QDF25" s="19"/>
      <c r="QDG25" s="19"/>
      <c r="QDH25" s="19"/>
      <c r="QDI25" s="19"/>
      <c r="QDJ25" s="19"/>
      <c r="QDK25" s="19"/>
      <c r="QDL25" s="19"/>
      <c r="QDM25" s="19"/>
      <c r="QDN25" s="19"/>
      <c r="QDO25" s="19"/>
      <c r="QDP25" s="19"/>
      <c r="QDQ25" s="19"/>
      <c r="QDR25" s="19"/>
      <c r="QDS25" s="19"/>
      <c r="QDT25" s="19"/>
      <c r="QDU25" s="19"/>
      <c r="QDV25" s="19"/>
      <c r="QDW25" s="19"/>
      <c r="QDX25" s="19"/>
      <c r="QDY25" s="19"/>
      <c r="QDZ25" s="19"/>
      <c r="QEA25" s="19"/>
      <c r="QEB25" s="19"/>
      <c r="QEC25" s="19"/>
      <c r="QED25" s="19"/>
      <c r="QEE25" s="19"/>
      <c r="QEF25" s="19"/>
      <c r="QEG25" s="19"/>
      <c r="QEH25" s="19"/>
      <c r="QEI25" s="19"/>
      <c r="QEJ25" s="19"/>
      <c r="QEK25" s="19"/>
      <c r="QEL25" s="19"/>
      <c r="QEM25" s="19"/>
      <c r="QEN25" s="19"/>
      <c r="QEO25" s="19"/>
      <c r="QEP25" s="19"/>
      <c r="QEQ25" s="19"/>
      <c r="QER25" s="19"/>
      <c r="QES25" s="19"/>
      <c r="QET25" s="19"/>
      <c r="QEU25" s="19"/>
      <c r="QEV25" s="19"/>
      <c r="QEW25" s="19"/>
      <c r="QEX25" s="19"/>
      <c r="QEY25" s="19"/>
      <c r="QEZ25" s="19"/>
      <c r="QFA25" s="19"/>
      <c r="QFB25" s="19"/>
      <c r="QFC25" s="19"/>
      <c r="QFD25" s="19"/>
      <c r="QFE25" s="19"/>
      <c r="QFF25" s="19"/>
      <c r="QFG25" s="19"/>
      <c r="QFH25" s="19"/>
      <c r="QFI25" s="19"/>
      <c r="QFJ25" s="19"/>
      <c r="QFK25" s="19"/>
      <c r="QFL25" s="19"/>
      <c r="QFM25" s="19"/>
      <c r="QFN25" s="19"/>
      <c r="QFO25" s="19"/>
      <c r="QFP25" s="19"/>
      <c r="QFQ25" s="19"/>
      <c r="QFR25" s="19"/>
      <c r="QFS25" s="19"/>
      <c r="QFT25" s="19"/>
      <c r="QFU25" s="19"/>
      <c r="QFV25" s="19"/>
      <c r="QFW25" s="19"/>
      <c r="QFX25" s="19"/>
      <c r="QFY25" s="19"/>
      <c r="QFZ25" s="19"/>
      <c r="QGA25" s="19"/>
      <c r="QGB25" s="19"/>
      <c r="QGC25" s="19"/>
      <c r="QGD25" s="19"/>
      <c r="QGE25" s="19"/>
      <c r="QGF25" s="19"/>
      <c r="QGG25" s="19"/>
      <c r="QGH25" s="19"/>
      <c r="QGI25" s="19"/>
      <c r="QGJ25" s="19"/>
      <c r="QGK25" s="19"/>
      <c r="QGL25" s="19"/>
      <c r="QGM25" s="19"/>
      <c r="QGN25" s="19"/>
      <c r="QGO25" s="19"/>
      <c r="QGP25" s="19"/>
      <c r="QGQ25" s="19"/>
      <c r="QGR25" s="19"/>
      <c r="QGS25" s="19"/>
      <c r="QGT25" s="19"/>
      <c r="QGU25" s="19"/>
      <c r="QGV25" s="19"/>
      <c r="QGW25" s="19"/>
      <c r="QGX25" s="19"/>
      <c r="QGY25" s="19"/>
      <c r="QGZ25" s="19"/>
      <c r="QHA25" s="19"/>
      <c r="QHB25" s="19"/>
      <c r="QHC25" s="19"/>
      <c r="QHD25" s="19"/>
      <c r="QHE25" s="19"/>
      <c r="QHF25" s="19"/>
      <c r="QHG25" s="19"/>
      <c r="QHH25" s="19"/>
      <c r="QHI25" s="19"/>
      <c r="QHJ25" s="19"/>
      <c r="QHK25" s="19"/>
      <c r="QHL25" s="19"/>
      <c r="QHM25" s="19"/>
      <c r="QHN25" s="19"/>
      <c r="QHO25" s="19"/>
      <c r="QHP25" s="19"/>
      <c r="QHQ25" s="19"/>
      <c r="QHR25" s="19"/>
      <c r="QHS25" s="19"/>
      <c r="QHT25" s="19"/>
      <c r="QHU25" s="19"/>
      <c r="QHV25" s="19"/>
      <c r="QHW25" s="19"/>
      <c r="QHX25" s="19"/>
      <c r="QHY25" s="19"/>
      <c r="QHZ25" s="19"/>
      <c r="QIA25" s="19"/>
      <c r="QIB25" s="19"/>
      <c r="QIC25" s="19"/>
      <c r="QID25" s="19"/>
      <c r="QIE25" s="19"/>
      <c r="QIF25" s="19"/>
      <c r="QIG25" s="19"/>
      <c r="QIH25" s="19"/>
      <c r="QII25" s="19"/>
      <c r="QIJ25" s="19"/>
      <c r="QIK25" s="19"/>
      <c r="QIL25" s="19"/>
      <c r="QIM25" s="19"/>
      <c r="QIN25" s="19"/>
      <c r="QIO25" s="19"/>
      <c r="QIP25" s="19"/>
      <c r="QIQ25" s="19"/>
      <c r="QIR25" s="19"/>
      <c r="QIS25" s="19"/>
      <c r="QIT25" s="19"/>
      <c r="QIU25" s="19"/>
      <c r="QIV25" s="19"/>
      <c r="QIW25" s="19"/>
      <c r="QIX25" s="19"/>
      <c r="QIY25" s="19"/>
      <c r="QIZ25" s="19"/>
      <c r="QJA25" s="19"/>
      <c r="QJB25" s="19"/>
      <c r="QJC25" s="19"/>
      <c r="QJD25" s="19"/>
      <c r="QJE25" s="19"/>
      <c r="QJF25" s="19"/>
      <c r="QJG25" s="19"/>
      <c r="QJH25" s="19"/>
      <c r="QJI25" s="19"/>
      <c r="QJJ25" s="19"/>
      <c r="QJK25" s="19"/>
      <c r="QJL25" s="19"/>
      <c r="QJM25" s="19"/>
      <c r="QJN25" s="19"/>
      <c r="QJO25" s="19"/>
      <c r="QJP25" s="19"/>
      <c r="QJQ25" s="19"/>
      <c r="QJR25" s="19"/>
      <c r="QJS25" s="19"/>
      <c r="QJT25" s="19"/>
      <c r="QJU25" s="19"/>
      <c r="QJV25" s="19"/>
      <c r="QJW25" s="19"/>
      <c r="QJX25" s="19"/>
      <c r="QJY25" s="19"/>
      <c r="QJZ25" s="19"/>
      <c r="QKA25" s="19"/>
      <c r="QKB25" s="19"/>
      <c r="QKC25" s="19"/>
      <c r="QKD25" s="19"/>
      <c r="QKE25" s="19"/>
      <c r="QKF25" s="19"/>
      <c r="QKG25" s="19"/>
      <c r="QKH25" s="19"/>
      <c r="QKI25" s="19"/>
      <c r="QKJ25" s="19"/>
      <c r="QKK25" s="19"/>
      <c r="QKL25" s="19"/>
      <c r="QKM25" s="19"/>
      <c r="QKN25" s="19"/>
      <c r="QKO25" s="19"/>
      <c r="QKP25" s="19"/>
      <c r="QKQ25" s="19"/>
      <c r="QKR25" s="19"/>
      <c r="QKS25" s="19"/>
      <c r="QKT25" s="19"/>
      <c r="QKU25" s="19"/>
      <c r="QKV25" s="19"/>
      <c r="QKW25" s="19"/>
      <c r="QKX25" s="19"/>
      <c r="QKY25" s="19"/>
      <c r="QKZ25" s="19"/>
      <c r="QLA25" s="19"/>
      <c r="QLB25" s="19"/>
      <c r="QLC25" s="19"/>
      <c r="QLD25" s="19"/>
      <c r="QLE25" s="19"/>
      <c r="QLF25" s="19"/>
      <c r="QLG25" s="19"/>
      <c r="QLH25" s="19"/>
      <c r="QLI25" s="19"/>
      <c r="QLJ25" s="19"/>
      <c r="QLK25" s="19"/>
      <c r="QLL25" s="19"/>
      <c r="QLM25" s="19"/>
      <c r="QLN25" s="19"/>
      <c r="QLO25" s="19"/>
      <c r="QLP25" s="19"/>
      <c r="QLQ25" s="19"/>
      <c r="QLR25" s="19"/>
      <c r="QLS25" s="19"/>
      <c r="QLT25" s="19"/>
      <c r="QLU25" s="19"/>
      <c r="QLV25" s="19"/>
      <c r="QLW25" s="19"/>
      <c r="QLX25" s="19"/>
      <c r="QLY25" s="19"/>
      <c r="QLZ25" s="19"/>
      <c r="QMA25" s="19"/>
      <c r="QMB25" s="19"/>
      <c r="QMC25" s="19"/>
      <c r="QMD25" s="19"/>
      <c r="QME25" s="19"/>
      <c r="QMF25" s="19"/>
      <c r="QMG25" s="19"/>
      <c r="QMH25" s="19"/>
      <c r="QMI25" s="19"/>
      <c r="QMJ25" s="19"/>
      <c r="QMK25" s="19"/>
      <c r="QML25" s="19"/>
      <c r="QMM25" s="19"/>
      <c r="QMN25" s="19"/>
      <c r="QMO25" s="19"/>
      <c r="QMP25" s="19"/>
      <c r="QMQ25" s="19"/>
      <c r="QMR25" s="19"/>
      <c r="QMS25" s="19"/>
      <c r="QMT25" s="19"/>
      <c r="QMU25" s="19"/>
      <c r="QMV25" s="19"/>
      <c r="QMW25" s="19"/>
      <c r="QMX25" s="19"/>
      <c r="QMY25" s="19"/>
      <c r="QMZ25" s="19"/>
      <c r="QNA25" s="19"/>
      <c r="QNB25" s="19"/>
      <c r="QNC25" s="19"/>
      <c r="QND25" s="19"/>
      <c r="QNE25" s="19"/>
      <c r="QNF25" s="19"/>
      <c r="QNG25" s="19"/>
      <c r="QNH25" s="19"/>
      <c r="QNI25" s="19"/>
      <c r="QNJ25" s="19"/>
      <c r="QNK25" s="19"/>
      <c r="QNL25" s="19"/>
      <c r="QNM25" s="19"/>
      <c r="QNN25" s="19"/>
      <c r="QNO25" s="19"/>
      <c r="QNP25" s="19"/>
      <c r="QNQ25" s="19"/>
      <c r="QNR25" s="19"/>
      <c r="QNS25" s="19"/>
      <c r="QNT25" s="19"/>
      <c r="QNU25" s="19"/>
      <c r="QNV25" s="19"/>
      <c r="QNW25" s="19"/>
      <c r="QNX25" s="19"/>
      <c r="QNY25" s="19"/>
      <c r="QNZ25" s="19"/>
      <c r="QOA25" s="19"/>
      <c r="QOB25" s="19"/>
      <c r="QOC25" s="19"/>
      <c r="QOD25" s="19"/>
      <c r="QOE25" s="19"/>
      <c r="QOF25" s="19"/>
      <c r="QOG25" s="19"/>
      <c r="QOH25" s="19"/>
      <c r="QOI25" s="19"/>
      <c r="QOJ25" s="19"/>
      <c r="QOK25" s="19"/>
      <c r="QOL25" s="19"/>
      <c r="QOM25" s="19"/>
      <c r="QON25" s="19"/>
      <c r="QOO25" s="19"/>
      <c r="QOP25" s="19"/>
      <c r="QOQ25" s="19"/>
      <c r="QOR25" s="19"/>
      <c r="QOS25" s="19"/>
      <c r="QOT25" s="19"/>
      <c r="QOU25" s="19"/>
      <c r="QOV25" s="19"/>
      <c r="QOW25" s="19"/>
      <c r="QOX25" s="19"/>
      <c r="QOY25" s="19"/>
      <c r="QOZ25" s="19"/>
      <c r="QPA25" s="19"/>
      <c r="QPB25" s="19"/>
      <c r="QPC25" s="19"/>
      <c r="QPD25" s="19"/>
      <c r="QPE25" s="19"/>
      <c r="QPF25" s="19"/>
      <c r="QPG25" s="19"/>
      <c r="QPH25" s="19"/>
      <c r="QPI25" s="19"/>
      <c r="QPJ25" s="19"/>
      <c r="QPK25" s="19"/>
      <c r="QPL25" s="19"/>
      <c r="QPM25" s="19"/>
      <c r="QPN25" s="19"/>
      <c r="QPO25" s="19"/>
      <c r="QPP25" s="19"/>
      <c r="QPQ25" s="19"/>
      <c r="QPR25" s="19"/>
      <c r="QPS25" s="19"/>
      <c r="QPT25" s="19"/>
      <c r="QPU25" s="19"/>
      <c r="QPV25" s="19"/>
      <c r="QPW25" s="19"/>
      <c r="QPX25" s="19"/>
      <c r="QPY25" s="19"/>
      <c r="QPZ25" s="19"/>
      <c r="QQA25" s="19"/>
      <c r="QQB25" s="19"/>
      <c r="QQC25" s="19"/>
      <c r="QQD25" s="19"/>
      <c r="QQE25" s="19"/>
      <c r="QQF25" s="19"/>
      <c r="QQG25" s="19"/>
      <c r="QQH25" s="19"/>
      <c r="QQI25" s="19"/>
      <c r="QQJ25" s="19"/>
      <c r="QQK25" s="19"/>
      <c r="QQL25" s="19"/>
      <c r="QQM25" s="19"/>
      <c r="QQN25" s="19"/>
      <c r="QQO25" s="19"/>
      <c r="QQP25" s="19"/>
      <c r="QQQ25" s="19"/>
      <c r="QQR25" s="19"/>
      <c r="QQS25" s="19"/>
      <c r="QQT25" s="19"/>
      <c r="QQU25" s="19"/>
      <c r="QQV25" s="19"/>
      <c r="QQW25" s="19"/>
      <c r="QQX25" s="19"/>
      <c r="QQY25" s="19"/>
      <c r="QQZ25" s="19"/>
      <c r="QRA25" s="19"/>
      <c r="QRB25" s="19"/>
      <c r="QRC25" s="19"/>
      <c r="QRD25" s="19"/>
      <c r="QRE25" s="19"/>
      <c r="QRF25" s="19"/>
      <c r="QRG25" s="19"/>
      <c r="QRH25" s="19"/>
      <c r="QRI25" s="19"/>
      <c r="QRJ25" s="19"/>
      <c r="QRK25" s="19"/>
      <c r="QRL25" s="19"/>
      <c r="QRM25" s="19"/>
      <c r="QRN25" s="19"/>
      <c r="QRO25" s="19"/>
      <c r="QRP25" s="19"/>
      <c r="QRQ25" s="19"/>
      <c r="QRR25" s="19"/>
      <c r="QRS25" s="19"/>
      <c r="QRT25" s="19"/>
      <c r="QRU25" s="19"/>
      <c r="QRV25" s="19"/>
      <c r="QRW25" s="19"/>
      <c r="QRX25" s="19"/>
      <c r="QRY25" s="19"/>
      <c r="QRZ25" s="19"/>
      <c r="QSA25" s="19"/>
      <c r="QSB25" s="19"/>
      <c r="QSC25" s="19"/>
      <c r="QSD25" s="19"/>
      <c r="QSE25" s="19"/>
      <c r="QSF25" s="19"/>
      <c r="QSG25" s="19"/>
      <c r="QSH25" s="19"/>
      <c r="QSI25" s="19"/>
      <c r="QSJ25" s="19"/>
      <c r="QSK25" s="19"/>
      <c r="QSL25" s="19"/>
      <c r="QSM25" s="19"/>
      <c r="QSN25" s="19"/>
      <c r="QSO25" s="19"/>
      <c r="QSP25" s="19"/>
      <c r="QSQ25" s="19"/>
      <c r="QSR25" s="19"/>
      <c r="QSS25" s="19"/>
      <c r="QST25" s="19"/>
      <c r="QSU25" s="19"/>
      <c r="QSV25" s="19"/>
      <c r="QSW25" s="19"/>
      <c r="QSX25" s="19"/>
      <c r="QSY25" s="19"/>
      <c r="QSZ25" s="19"/>
      <c r="QTA25" s="19"/>
      <c r="QTB25" s="19"/>
      <c r="QTC25" s="19"/>
      <c r="QTD25" s="19"/>
      <c r="QTE25" s="19"/>
      <c r="QTF25" s="19"/>
      <c r="QTG25" s="19"/>
      <c r="QTH25" s="19"/>
      <c r="QTI25" s="19"/>
      <c r="QTJ25" s="19"/>
      <c r="QTK25" s="19"/>
      <c r="QTL25" s="19"/>
      <c r="QTM25" s="19"/>
      <c r="QTN25" s="19"/>
      <c r="QTO25" s="19"/>
      <c r="QTP25" s="19"/>
      <c r="QTQ25" s="19"/>
      <c r="QTR25" s="19"/>
      <c r="QTS25" s="19"/>
      <c r="QTT25" s="19"/>
      <c r="QTU25" s="19"/>
      <c r="QTV25" s="19"/>
      <c r="QTW25" s="19"/>
      <c r="QTX25" s="19"/>
      <c r="QTY25" s="19"/>
      <c r="QTZ25" s="19"/>
      <c r="QUA25" s="19"/>
      <c r="QUB25" s="19"/>
      <c r="QUC25" s="19"/>
      <c r="QUD25" s="19"/>
      <c r="QUE25" s="19"/>
      <c r="QUF25" s="19"/>
      <c r="QUG25" s="19"/>
      <c r="QUH25" s="19"/>
      <c r="QUI25" s="19"/>
      <c r="QUJ25" s="19"/>
      <c r="QUK25" s="19"/>
      <c r="QUL25" s="19"/>
      <c r="QUM25" s="19"/>
      <c r="QUN25" s="19"/>
      <c r="QUO25" s="19"/>
      <c r="QUP25" s="19"/>
      <c r="QUQ25" s="19"/>
      <c r="QUR25" s="19"/>
      <c r="QUS25" s="19"/>
      <c r="QUT25" s="19"/>
      <c r="QUU25" s="19"/>
      <c r="QUV25" s="19"/>
      <c r="QUW25" s="19"/>
      <c r="QUX25" s="19"/>
      <c r="QUY25" s="19"/>
      <c r="QUZ25" s="19"/>
      <c r="QVA25" s="19"/>
      <c r="QVB25" s="19"/>
      <c r="QVC25" s="19"/>
      <c r="QVD25" s="19"/>
      <c r="QVE25" s="19"/>
      <c r="QVF25" s="19"/>
      <c r="QVG25" s="19"/>
      <c r="QVH25" s="19"/>
      <c r="QVI25" s="19"/>
      <c r="QVJ25" s="19"/>
      <c r="QVK25" s="19"/>
      <c r="QVL25" s="19"/>
      <c r="QVM25" s="19"/>
      <c r="QVN25" s="19"/>
      <c r="QVO25" s="19"/>
      <c r="QVP25" s="19"/>
      <c r="QVQ25" s="19"/>
      <c r="QVR25" s="19"/>
      <c r="QVS25" s="19"/>
      <c r="QVT25" s="19"/>
      <c r="QVU25" s="19"/>
      <c r="QVV25" s="19"/>
      <c r="QVW25" s="19"/>
      <c r="QVX25" s="19"/>
      <c r="QVY25" s="19"/>
      <c r="QVZ25" s="19"/>
      <c r="QWA25" s="19"/>
      <c r="QWB25" s="19"/>
      <c r="QWC25" s="19"/>
      <c r="QWD25" s="19"/>
      <c r="QWE25" s="19"/>
      <c r="QWF25" s="19"/>
      <c r="QWG25" s="19"/>
      <c r="QWH25" s="19"/>
      <c r="QWI25" s="19"/>
      <c r="QWJ25" s="19"/>
      <c r="QWK25" s="19"/>
      <c r="QWL25" s="19"/>
      <c r="QWM25" s="19"/>
      <c r="QWN25" s="19"/>
      <c r="QWO25" s="19"/>
      <c r="QWP25" s="19"/>
      <c r="QWQ25" s="19"/>
      <c r="QWR25" s="19"/>
      <c r="QWS25" s="19"/>
      <c r="QWT25" s="19"/>
      <c r="QWU25" s="19"/>
      <c r="QWV25" s="19"/>
      <c r="QWW25" s="19"/>
      <c r="QWX25" s="19"/>
      <c r="QWY25" s="19"/>
      <c r="QWZ25" s="19"/>
      <c r="QXA25" s="19"/>
      <c r="QXB25" s="19"/>
      <c r="QXC25" s="19"/>
      <c r="QXD25" s="19"/>
      <c r="QXE25" s="19"/>
      <c r="QXF25" s="19"/>
      <c r="QXG25" s="19"/>
      <c r="QXH25" s="19"/>
      <c r="QXI25" s="19"/>
      <c r="QXJ25" s="19"/>
      <c r="QXK25" s="19"/>
      <c r="QXL25" s="19"/>
      <c r="QXM25" s="19"/>
      <c r="QXN25" s="19"/>
      <c r="QXO25" s="19"/>
      <c r="QXP25" s="19"/>
      <c r="QXQ25" s="19"/>
      <c r="QXR25" s="19"/>
      <c r="QXS25" s="19"/>
      <c r="QXT25" s="19"/>
      <c r="QXU25" s="19"/>
      <c r="QXV25" s="19"/>
      <c r="QXW25" s="19"/>
      <c r="QXX25" s="19"/>
      <c r="QXY25" s="19"/>
      <c r="QXZ25" s="19"/>
      <c r="QYA25" s="19"/>
      <c r="QYB25" s="19"/>
      <c r="QYC25" s="19"/>
      <c r="QYD25" s="19"/>
      <c r="QYE25" s="19"/>
      <c r="QYF25" s="19"/>
      <c r="QYG25" s="19"/>
      <c r="QYH25" s="19"/>
      <c r="QYI25" s="19"/>
      <c r="QYJ25" s="19"/>
      <c r="QYK25" s="19"/>
      <c r="QYL25" s="19"/>
      <c r="QYM25" s="19"/>
      <c r="QYN25" s="19"/>
      <c r="QYO25" s="19"/>
      <c r="QYP25" s="19"/>
      <c r="QYQ25" s="19"/>
      <c r="QYR25" s="19"/>
      <c r="QYS25" s="19"/>
      <c r="QYT25" s="19"/>
      <c r="QYU25" s="19"/>
      <c r="QYV25" s="19"/>
      <c r="QYW25" s="19"/>
      <c r="QYX25" s="19"/>
      <c r="QYY25" s="19"/>
      <c r="QYZ25" s="19"/>
      <c r="QZA25" s="19"/>
      <c r="QZB25" s="19"/>
      <c r="QZC25" s="19"/>
      <c r="QZD25" s="19"/>
      <c r="QZE25" s="19"/>
      <c r="QZF25" s="19"/>
      <c r="QZG25" s="19"/>
      <c r="QZH25" s="19"/>
      <c r="QZI25" s="19"/>
      <c r="QZJ25" s="19"/>
      <c r="QZK25" s="19"/>
      <c r="QZL25" s="19"/>
      <c r="QZM25" s="19"/>
      <c r="QZN25" s="19"/>
      <c r="QZO25" s="19"/>
      <c r="QZP25" s="19"/>
      <c r="QZQ25" s="19"/>
      <c r="QZR25" s="19"/>
      <c r="QZS25" s="19"/>
      <c r="QZT25" s="19"/>
      <c r="QZU25" s="19"/>
      <c r="QZV25" s="19"/>
      <c r="QZW25" s="19"/>
      <c r="QZX25" s="19"/>
      <c r="QZY25" s="19"/>
      <c r="QZZ25" s="19"/>
      <c r="RAA25" s="19"/>
      <c r="RAB25" s="19"/>
      <c r="RAC25" s="19"/>
      <c r="RAD25" s="19"/>
      <c r="RAE25" s="19"/>
      <c r="RAF25" s="19"/>
      <c r="RAG25" s="19"/>
      <c r="RAH25" s="19"/>
      <c r="RAI25" s="19"/>
      <c r="RAJ25" s="19"/>
      <c r="RAK25" s="19"/>
      <c r="RAL25" s="19"/>
      <c r="RAM25" s="19"/>
      <c r="RAN25" s="19"/>
      <c r="RAO25" s="19"/>
      <c r="RAP25" s="19"/>
      <c r="RAQ25" s="19"/>
      <c r="RAR25" s="19"/>
      <c r="RAS25" s="19"/>
      <c r="RAT25" s="19"/>
      <c r="RAU25" s="19"/>
      <c r="RAV25" s="19"/>
      <c r="RAW25" s="19"/>
      <c r="RAX25" s="19"/>
      <c r="RAY25" s="19"/>
      <c r="RAZ25" s="19"/>
      <c r="RBA25" s="19"/>
      <c r="RBB25" s="19"/>
      <c r="RBC25" s="19"/>
      <c r="RBD25" s="19"/>
      <c r="RBE25" s="19"/>
      <c r="RBF25" s="19"/>
      <c r="RBG25" s="19"/>
      <c r="RBH25" s="19"/>
      <c r="RBI25" s="19"/>
      <c r="RBJ25" s="19"/>
      <c r="RBK25" s="19"/>
      <c r="RBL25" s="19"/>
      <c r="RBM25" s="19"/>
      <c r="RBN25" s="19"/>
      <c r="RBO25" s="19"/>
      <c r="RBP25" s="19"/>
      <c r="RBQ25" s="19"/>
      <c r="RBR25" s="19"/>
      <c r="RBS25" s="19"/>
      <c r="RBT25" s="19"/>
      <c r="RBU25" s="19"/>
      <c r="RBV25" s="19"/>
      <c r="RBW25" s="19"/>
      <c r="RBX25" s="19"/>
      <c r="RBY25" s="19"/>
      <c r="RBZ25" s="19"/>
      <c r="RCA25" s="19"/>
      <c r="RCB25" s="19"/>
      <c r="RCC25" s="19"/>
      <c r="RCD25" s="19"/>
      <c r="RCE25" s="19"/>
      <c r="RCF25" s="19"/>
      <c r="RCG25" s="19"/>
      <c r="RCH25" s="19"/>
      <c r="RCI25" s="19"/>
      <c r="RCJ25" s="19"/>
      <c r="RCK25" s="19"/>
      <c r="RCL25" s="19"/>
      <c r="RCM25" s="19"/>
      <c r="RCN25" s="19"/>
      <c r="RCO25" s="19"/>
      <c r="RCP25" s="19"/>
      <c r="RCQ25" s="19"/>
      <c r="RCR25" s="19"/>
      <c r="RCS25" s="19"/>
      <c r="RCT25" s="19"/>
      <c r="RCU25" s="19"/>
      <c r="RCV25" s="19"/>
      <c r="RCW25" s="19"/>
      <c r="RCX25" s="19"/>
      <c r="RCY25" s="19"/>
      <c r="RCZ25" s="19"/>
      <c r="RDA25" s="19"/>
      <c r="RDB25" s="19"/>
      <c r="RDC25" s="19"/>
      <c r="RDD25" s="19"/>
      <c r="RDE25" s="19"/>
      <c r="RDF25" s="19"/>
      <c r="RDG25" s="19"/>
      <c r="RDH25" s="19"/>
      <c r="RDI25" s="19"/>
      <c r="RDJ25" s="19"/>
      <c r="RDK25" s="19"/>
      <c r="RDL25" s="19"/>
      <c r="RDM25" s="19"/>
      <c r="RDN25" s="19"/>
      <c r="RDO25" s="19"/>
      <c r="RDP25" s="19"/>
      <c r="RDQ25" s="19"/>
      <c r="RDR25" s="19"/>
      <c r="RDS25" s="19"/>
      <c r="RDT25" s="19"/>
      <c r="RDU25" s="19"/>
      <c r="RDV25" s="19"/>
      <c r="RDW25" s="19"/>
      <c r="RDX25" s="19"/>
      <c r="RDY25" s="19"/>
      <c r="RDZ25" s="19"/>
      <c r="REA25" s="19"/>
      <c r="REB25" s="19"/>
      <c r="REC25" s="19"/>
      <c r="RED25" s="19"/>
      <c r="REE25" s="19"/>
      <c r="REF25" s="19"/>
      <c r="REG25" s="19"/>
      <c r="REH25" s="19"/>
      <c r="REI25" s="19"/>
      <c r="REJ25" s="19"/>
      <c r="REK25" s="19"/>
      <c r="REL25" s="19"/>
      <c r="REM25" s="19"/>
      <c r="REN25" s="19"/>
      <c r="REO25" s="19"/>
      <c r="REP25" s="19"/>
      <c r="REQ25" s="19"/>
      <c r="RER25" s="19"/>
      <c r="RES25" s="19"/>
      <c r="RET25" s="19"/>
      <c r="REU25" s="19"/>
      <c r="REV25" s="19"/>
      <c r="REW25" s="19"/>
      <c r="REX25" s="19"/>
      <c r="REY25" s="19"/>
      <c r="REZ25" s="19"/>
      <c r="RFA25" s="19"/>
      <c r="RFB25" s="19"/>
      <c r="RFC25" s="19"/>
      <c r="RFD25" s="19"/>
      <c r="RFE25" s="19"/>
      <c r="RFF25" s="19"/>
      <c r="RFG25" s="19"/>
      <c r="RFH25" s="19"/>
      <c r="RFI25" s="19"/>
      <c r="RFJ25" s="19"/>
      <c r="RFK25" s="19"/>
      <c r="RFL25" s="19"/>
      <c r="RFM25" s="19"/>
      <c r="RFN25" s="19"/>
      <c r="RFO25" s="19"/>
      <c r="RFP25" s="19"/>
      <c r="RFQ25" s="19"/>
      <c r="RFR25" s="19"/>
      <c r="RFS25" s="19"/>
      <c r="RFT25" s="19"/>
      <c r="RFU25" s="19"/>
      <c r="RFV25" s="19"/>
      <c r="RFW25" s="19"/>
      <c r="RFX25" s="19"/>
      <c r="RFY25" s="19"/>
      <c r="RFZ25" s="19"/>
      <c r="RGA25" s="19"/>
      <c r="RGB25" s="19"/>
      <c r="RGC25" s="19"/>
      <c r="RGD25" s="19"/>
      <c r="RGE25" s="19"/>
      <c r="RGF25" s="19"/>
      <c r="RGG25" s="19"/>
      <c r="RGH25" s="19"/>
      <c r="RGI25" s="19"/>
      <c r="RGJ25" s="19"/>
      <c r="RGK25" s="19"/>
      <c r="RGL25" s="19"/>
      <c r="RGM25" s="19"/>
      <c r="RGN25" s="19"/>
      <c r="RGO25" s="19"/>
      <c r="RGP25" s="19"/>
      <c r="RGQ25" s="19"/>
      <c r="RGR25" s="19"/>
      <c r="RGS25" s="19"/>
      <c r="RGT25" s="19"/>
      <c r="RGU25" s="19"/>
      <c r="RGV25" s="19"/>
      <c r="RGW25" s="19"/>
      <c r="RGX25" s="19"/>
      <c r="RGY25" s="19"/>
      <c r="RGZ25" s="19"/>
      <c r="RHA25" s="19"/>
      <c r="RHB25" s="19"/>
      <c r="RHC25" s="19"/>
      <c r="RHD25" s="19"/>
      <c r="RHE25" s="19"/>
      <c r="RHF25" s="19"/>
      <c r="RHG25" s="19"/>
      <c r="RHH25" s="19"/>
      <c r="RHI25" s="19"/>
      <c r="RHJ25" s="19"/>
      <c r="RHK25" s="19"/>
      <c r="RHL25" s="19"/>
      <c r="RHM25" s="19"/>
      <c r="RHN25" s="19"/>
      <c r="RHO25" s="19"/>
      <c r="RHP25" s="19"/>
      <c r="RHQ25" s="19"/>
      <c r="RHR25" s="19"/>
      <c r="RHS25" s="19"/>
      <c r="RHT25" s="19"/>
      <c r="RHU25" s="19"/>
      <c r="RHV25" s="19"/>
      <c r="RHW25" s="19"/>
      <c r="RHX25" s="19"/>
      <c r="RHY25" s="19"/>
      <c r="RHZ25" s="19"/>
      <c r="RIA25" s="19"/>
      <c r="RIB25" s="19"/>
      <c r="RIC25" s="19"/>
      <c r="RID25" s="19"/>
      <c r="RIE25" s="19"/>
      <c r="RIF25" s="19"/>
      <c r="RIG25" s="19"/>
      <c r="RIH25" s="19"/>
      <c r="RII25" s="19"/>
      <c r="RIJ25" s="19"/>
      <c r="RIK25" s="19"/>
      <c r="RIL25" s="19"/>
      <c r="RIM25" s="19"/>
      <c r="RIN25" s="19"/>
      <c r="RIO25" s="19"/>
      <c r="RIP25" s="19"/>
      <c r="RIQ25" s="19"/>
      <c r="RIR25" s="19"/>
      <c r="RIS25" s="19"/>
      <c r="RIT25" s="19"/>
      <c r="RIU25" s="19"/>
      <c r="RIV25" s="19"/>
      <c r="RIW25" s="19"/>
      <c r="RIX25" s="19"/>
      <c r="RIY25" s="19"/>
      <c r="RIZ25" s="19"/>
      <c r="RJA25" s="19"/>
      <c r="RJB25" s="19"/>
      <c r="RJC25" s="19"/>
      <c r="RJD25" s="19"/>
      <c r="RJE25" s="19"/>
      <c r="RJF25" s="19"/>
      <c r="RJG25" s="19"/>
      <c r="RJH25" s="19"/>
      <c r="RJI25" s="19"/>
      <c r="RJJ25" s="19"/>
      <c r="RJK25" s="19"/>
      <c r="RJL25" s="19"/>
      <c r="RJM25" s="19"/>
      <c r="RJN25" s="19"/>
      <c r="RJO25" s="19"/>
      <c r="RJP25" s="19"/>
      <c r="RJQ25" s="19"/>
      <c r="RJR25" s="19"/>
      <c r="RJS25" s="19"/>
      <c r="RJT25" s="19"/>
      <c r="RJU25" s="19"/>
      <c r="RJV25" s="19"/>
      <c r="RJW25" s="19"/>
      <c r="RJX25" s="19"/>
      <c r="RJY25" s="19"/>
      <c r="RJZ25" s="19"/>
      <c r="RKA25" s="19"/>
      <c r="RKB25" s="19"/>
      <c r="RKC25" s="19"/>
      <c r="RKD25" s="19"/>
      <c r="RKE25" s="19"/>
      <c r="RKF25" s="19"/>
      <c r="RKG25" s="19"/>
      <c r="RKH25" s="19"/>
      <c r="RKI25" s="19"/>
      <c r="RKJ25" s="19"/>
      <c r="RKK25" s="19"/>
      <c r="RKL25" s="19"/>
      <c r="RKM25" s="19"/>
      <c r="RKN25" s="19"/>
      <c r="RKO25" s="19"/>
      <c r="RKP25" s="19"/>
      <c r="RKQ25" s="19"/>
      <c r="RKR25" s="19"/>
      <c r="RKS25" s="19"/>
      <c r="RKT25" s="19"/>
      <c r="RKU25" s="19"/>
      <c r="RKV25" s="19"/>
      <c r="RKW25" s="19"/>
      <c r="RKX25" s="19"/>
      <c r="RKY25" s="19"/>
      <c r="RKZ25" s="19"/>
      <c r="RLA25" s="19"/>
      <c r="RLB25" s="19"/>
      <c r="RLC25" s="19"/>
      <c r="RLD25" s="19"/>
      <c r="RLE25" s="19"/>
      <c r="RLF25" s="19"/>
      <c r="RLG25" s="19"/>
      <c r="RLH25" s="19"/>
      <c r="RLI25" s="19"/>
      <c r="RLJ25" s="19"/>
      <c r="RLK25" s="19"/>
      <c r="RLL25" s="19"/>
      <c r="RLM25" s="19"/>
      <c r="RLN25" s="19"/>
      <c r="RLO25" s="19"/>
      <c r="RLP25" s="19"/>
      <c r="RLQ25" s="19"/>
      <c r="RLR25" s="19"/>
      <c r="RLS25" s="19"/>
      <c r="RLT25" s="19"/>
      <c r="RLU25" s="19"/>
      <c r="RLV25" s="19"/>
      <c r="RLW25" s="19"/>
      <c r="RLX25" s="19"/>
      <c r="RLY25" s="19"/>
      <c r="RLZ25" s="19"/>
      <c r="RMA25" s="19"/>
      <c r="RMB25" s="19"/>
      <c r="RMC25" s="19"/>
      <c r="RMD25" s="19"/>
      <c r="RME25" s="19"/>
      <c r="RMF25" s="19"/>
      <c r="RMG25" s="19"/>
      <c r="RMH25" s="19"/>
      <c r="RMI25" s="19"/>
      <c r="RMJ25" s="19"/>
      <c r="RMK25" s="19"/>
      <c r="RML25" s="19"/>
      <c r="RMM25" s="19"/>
      <c r="RMN25" s="19"/>
      <c r="RMO25" s="19"/>
      <c r="RMP25" s="19"/>
      <c r="RMQ25" s="19"/>
      <c r="RMR25" s="19"/>
      <c r="RMS25" s="19"/>
      <c r="RMT25" s="19"/>
      <c r="RMU25" s="19"/>
      <c r="RMV25" s="19"/>
      <c r="RMW25" s="19"/>
      <c r="RMX25" s="19"/>
      <c r="RMY25" s="19"/>
      <c r="RMZ25" s="19"/>
      <c r="RNA25" s="19"/>
      <c r="RNB25" s="19"/>
      <c r="RNC25" s="19"/>
      <c r="RND25" s="19"/>
      <c r="RNE25" s="19"/>
      <c r="RNF25" s="19"/>
      <c r="RNG25" s="19"/>
      <c r="RNH25" s="19"/>
      <c r="RNI25" s="19"/>
      <c r="RNJ25" s="19"/>
      <c r="RNK25" s="19"/>
      <c r="RNL25" s="19"/>
      <c r="RNM25" s="19"/>
      <c r="RNN25" s="19"/>
      <c r="RNO25" s="19"/>
      <c r="RNP25" s="19"/>
      <c r="RNQ25" s="19"/>
      <c r="RNR25" s="19"/>
      <c r="RNS25" s="19"/>
      <c r="RNT25" s="19"/>
      <c r="RNU25" s="19"/>
      <c r="RNV25" s="19"/>
      <c r="RNW25" s="19"/>
      <c r="RNX25" s="19"/>
      <c r="RNY25" s="19"/>
      <c r="RNZ25" s="19"/>
      <c r="ROA25" s="19"/>
      <c r="ROB25" s="19"/>
      <c r="ROC25" s="19"/>
      <c r="ROD25" s="19"/>
      <c r="ROE25" s="19"/>
      <c r="ROF25" s="19"/>
      <c r="ROG25" s="19"/>
      <c r="ROH25" s="19"/>
      <c r="ROI25" s="19"/>
      <c r="ROJ25" s="19"/>
      <c r="ROK25" s="19"/>
      <c r="ROL25" s="19"/>
      <c r="ROM25" s="19"/>
      <c r="RON25" s="19"/>
      <c r="ROO25" s="19"/>
      <c r="ROP25" s="19"/>
      <c r="ROQ25" s="19"/>
      <c r="ROR25" s="19"/>
      <c r="ROS25" s="19"/>
      <c r="ROT25" s="19"/>
      <c r="ROU25" s="19"/>
      <c r="ROV25" s="19"/>
      <c r="ROW25" s="19"/>
      <c r="ROX25" s="19"/>
      <c r="ROY25" s="19"/>
      <c r="ROZ25" s="19"/>
      <c r="RPA25" s="19"/>
      <c r="RPB25" s="19"/>
      <c r="RPC25" s="19"/>
      <c r="RPD25" s="19"/>
      <c r="RPE25" s="19"/>
      <c r="RPF25" s="19"/>
      <c r="RPG25" s="19"/>
      <c r="RPH25" s="19"/>
      <c r="RPI25" s="19"/>
      <c r="RPJ25" s="19"/>
      <c r="RPK25" s="19"/>
      <c r="RPL25" s="19"/>
      <c r="RPM25" s="19"/>
      <c r="RPN25" s="19"/>
      <c r="RPO25" s="19"/>
      <c r="RPP25" s="19"/>
      <c r="RPQ25" s="19"/>
      <c r="RPR25" s="19"/>
      <c r="RPS25" s="19"/>
      <c r="RPT25" s="19"/>
      <c r="RPU25" s="19"/>
      <c r="RPV25" s="19"/>
      <c r="RPW25" s="19"/>
      <c r="RPX25" s="19"/>
      <c r="RPY25" s="19"/>
      <c r="RPZ25" s="19"/>
      <c r="RQA25" s="19"/>
      <c r="RQB25" s="19"/>
      <c r="RQC25" s="19"/>
      <c r="RQD25" s="19"/>
      <c r="RQE25" s="19"/>
      <c r="RQF25" s="19"/>
      <c r="RQG25" s="19"/>
      <c r="RQH25" s="19"/>
      <c r="RQI25" s="19"/>
      <c r="RQJ25" s="19"/>
      <c r="RQK25" s="19"/>
      <c r="RQL25" s="19"/>
      <c r="RQM25" s="19"/>
      <c r="RQN25" s="19"/>
      <c r="RQO25" s="19"/>
      <c r="RQP25" s="19"/>
      <c r="RQQ25" s="19"/>
      <c r="RQR25" s="19"/>
      <c r="RQS25" s="19"/>
      <c r="RQT25" s="19"/>
      <c r="RQU25" s="19"/>
      <c r="RQV25" s="19"/>
      <c r="RQW25" s="19"/>
      <c r="RQX25" s="19"/>
      <c r="RQY25" s="19"/>
      <c r="RQZ25" s="19"/>
      <c r="RRA25" s="19"/>
      <c r="RRB25" s="19"/>
      <c r="RRC25" s="19"/>
      <c r="RRD25" s="19"/>
      <c r="RRE25" s="19"/>
      <c r="RRF25" s="19"/>
      <c r="RRG25" s="19"/>
      <c r="RRH25" s="19"/>
      <c r="RRI25" s="19"/>
      <c r="RRJ25" s="19"/>
      <c r="RRK25" s="19"/>
      <c r="RRL25" s="19"/>
      <c r="RRM25" s="19"/>
      <c r="RRN25" s="19"/>
      <c r="RRO25" s="19"/>
      <c r="RRP25" s="19"/>
      <c r="RRQ25" s="19"/>
      <c r="RRR25" s="19"/>
      <c r="RRS25" s="19"/>
      <c r="RRT25" s="19"/>
      <c r="RRU25" s="19"/>
      <c r="RRV25" s="19"/>
      <c r="RRW25" s="19"/>
      <c r="RRX25" s="19"/>
      <c r="RRY25" s="19"/>
      <c r="RRZ25" s="19"/>
      <c r="RSA25" s="19"/>
      <c r="RSB25" s="19"/>
      <c r="RSC25" s="19"/>
      <c r="RSD25" s="19"/>
      <c r="RSE25" s="19"/>
      <c r="RSF25" s="19"/>
      <c r="RSG25" s="19"/>
      <c r="RSH25" s="19"/>
      <c r="RSI25" s="19"/>
      <c r="RSJ25" s="19"/>
      <c r="RSK25" s="19"/>
      <c r="RSL25" s="19"/>
      <c r="RSM25" s="19"/>
      <c r="RSN25" s="19"/>
      <c r="RSO25" s="19"/>
      <c r="RSP25" s="19"/>
      <c r="RSQ25" s="19"/>
      <c r="RSR25" s="19"/>
      <c r="RSS25" s="19"/>
      <c r="RST25" s="19"/>
      <c r="RSU25" s="19"/>
      <c r="RSV25" s="19"/>
      <c r="RSW25" s="19"/>
      <c r="RSX25" s="19"/>
      <c r="RSY25" s="19"/>
      <c r="RSZ25" s="19"/>
      <c r="RTA25" s="19"/>
      <c r="RTB25" s="19"/>
      <c r="RTC25" s="19"/>
      <c r="RTD25" s="19"/>
      <c r="RTE25" s="19"/>
      <c r="RTF25" s="19"/>
      <c r="RTG25" s="19"/>
      <c r="RTH25" s="19"/>
      <c r="RTI25" s="19"/>
      <c r="RTJ25" s="19"/>
      <c r="RTK25" s="19"/>
      <c r="RTL25" s="19"/>
      <c r="RTM25" s="19"/>
      <c r="RTN25" s="19"/>
      <c r="RTO25" s="19"/>
      <c r="RTP25" s="19"/>
      <c r="RTQ25" s="19"/>
      <c r="RTR25" s="19"/>
      <c r="RTS25" s="19"/>
      <c r="RTT25" s="19"/>
      <c r="RTU25" s="19"/>
      <c r="RTV25" s="19"/>
      <c r="RTW25" s="19"/>
      <c r="RTX25" s="19"/>
      <c r="RTY25" s="19"/>
      <c r="RTZ25" s="19"/>
      <c r="RUA25" s="19"/>
      <c r="RUB25" s="19"/>
      <c r="RUC25" s="19"/>
      <c r="RUD25" s="19"/>
      <c r="RUE25" s="19"/>
      <c r="RUF25" s="19"/>
      <c r="RUG25" s="19"/>
      <c r="RUH25" s="19"/>
      <c r="RUI25" s="19"/>
      <c r="RUJ25" s="19"/>
      <c r="RUK25" s="19"/>
      <c r="RUL25" s="19"/>
      <c r="RUM25" s="19"/>
      <c r="RUN25" s="19"/>
      <c r="RUO25" s="19"/>
      <c r="RUP25" s="19"/>
      <c r="RUQ25" s="19"/>
      <c r="RUR25" s="19"/>
      <c r="RUS25" s="19"/>
      <c r="RUT25" s="19"/>
      <c r="RUU25" s="19"/>
      <c r="RUV25" s="19"/>
      <c r="RUW25" s="19"/>
      <c r="RUX25" s="19"/>
      <c r="RUY25" s="19"/>
      <c r="RUZ25" s="19"/>
      <c r="RVA25" s="19"/>
      <c r="RVB25" s="19"/>
      <c r="RVC25" s="19"/>
      <c r="RVD25" s="19"/>
      <c r="RVE25" s="19"/>
      <c r="RVF25" s="19"/>
      <c r="RVG25" s="19"/>
      <c r="RVH25" s="19"/>
      <c r="RVI25" s="19"/>
      <c r="RVJ25" s="19"/>
      <c r="RVK25" s="19"/>
      <c r="RVL25" s="19"/>
      <c r="RVM25" s="19"/>
      <c r="RVN25" s="19"/>
      <c r="RVO25" s="19"/>
      <c r="RVP25" s="19"/>
      <c r="RVQ25" s="19"/>
      <c r="RVR25" s="19"/>
      <c r="RVS25" s="19"/>
      <c r="RVT25" s="19"/>
      <c r="RVU25" s="19"/>
      <c r="RVV25" s="19"/>
      <c r="RVW25" s="19"/>
      <c r="RVX25" s="19"/>
      <c r="RVY25" s="19"/>
      <c r="RVZ25" s="19"/>
      <c r="RWA25" s="19"/>
      <c r="RWB25" s="19"/>
      <c r="RWC25" s="19"/>
      <c r="RWD25" s="19"/>
      <c r="RWE25" s="19"/>
      <c r="RWF25" s="19"/>
      <c r="RWG25" s="19"/>
      <c r="RWH25" s="19"/>
      <c r="RWI25" s="19"/>
      <c r="RWJ25" s="19"/>
      <c r="RWK25" s="19"/>
      <c r="RWL25" s="19"/>
      <c r="RWM25" s="19"/>
      <c r="RWN25" s="19"/>
      <c r="RWO25" s="19"/>
      <c r="RWP25" s="19"/>
      <c r="RWQ25" s="19"/>
      <c r="RWR25" s="19"/>
      <c r="RWS25" s="19"/>
      <c r="RWT25" s="19"/>
      <c r="RWU25" s="19"/>
      <c r="RWV25" s="19"/>
      <c r="RWW25" s="19"/>
      <c r="RWX25" s="19"/>
      <c r="RWY25" s="19"/>
      <c r="RWZ25" s="19"/>
      <c r="RXA25" s="19"/>
      <c r="RXB25" s="19"/>
      <c r="RXC25" s="19"/>
      <c r="RXD25" s="19"/>
      <c r="RXE25" s="19"/>
      <c r="RXF25" s="19"/>
      <c r="RXG25" s="19"/>
      <c r="RXH25" s="19"/>
      <c r="RXI25" s="19"/>
      <c r="RXJ25" s="19"/>
      <c r="RXK25" s="19"/>
      <c r="RXL25" s="19"/>
      <c r="RXM25" s="19"/>
      <c r="RXN25" s="19"/>
      <c r="RXO25" s="19"/>
      <c r="RXP25" s="19"/>
      <c r="RXQ25" s="19"/>
      <c r="RXR25" s="19"/>
      <c r="RXS25" s="19"/>
      <c r="RXT25" s="19"/>
      <c r="RXU25" s="19"/>
      <c r="RXV25" s="19"/>
      <c r="RXW25" s="19"/>
      <c r="RXX25" s="19"/>
      <c r="RXY25" s="19"/>
      <c r="RXZ25" s="19"/>
      <c r="RYA25" s="19"/>
      <c r="RYB25" s="19"/>
      <c r="RYC25" s="19"/>
      <c r="RYD25" s="19"/>
      <c r="RYE25" s="19"/>
      <c r="RYF25" s="19"/>
      <c r="RYG25" s="19"/>
      <c r="RYH25" s="19"/>
      <c r="RYI25" s="19"/>
      <c r="RYJ25" s="19"/>
      <c r="RYK25" s="19"/>
      <c r="RYL25" s="19"/>
      <c r="RYM25" s="19"/>
      <c r="RYN25" s="19"/>
      <c r="RYO25" s="19"/>
      <c r="RYP25" s="19"/>
      <c r="RYQ25" s="19"/>
      <c r="RYR25" s="19"/>
      <c r="RYS25" s="19"/>
      <c r="RYT25" s="19"/>
      <c r="RYU25" s="19"/>
      <c r="RYV25" s="19"/>
      <c r="RYW25" s="19"/>
      <c r="RYX25" s="19"/>
      <c r="RYY25" s="19"/>
      <c r="RYZ25" s="19"/>
      <c r="RZA25" s="19"/>
      <c r="RZB25" s="19"/>
      <c r="RZC25" s="19"/>
      <c r="RZD25" s="19"/>
      <c r="RZE25" s="19"/>
      <c r="RZF25" s="19"/>
      <c r="RZG25" s="19"/>
      <c r="RZH25" s="19"/>
      <c r="RZI25" s="19"/>
      <c r="RZJ25" s="19"/>
      <c r="RZK25" s="19"/>
      <c r="RZL25" s="19"/>
      <c r="RZM25" s="19"/>
      <c r="RZN25" s="19"/>
      <c r="RZO25" s="19"/>
      <c r="RZP25" s="19"/>
      <c r="RZQ25" s="19"/>
      <c r="RZR25" s="19"/>
      <c r="RZS25" s="19"/>
      <c r="RZT25" s="19"/>
      <c r="RZU25" s="19"/>
      <c r="RZV25" s="19"/>
      <c r="RZW25" s="19"/>
      <c r="RZX25" s="19"/>
      <c r="RZY25" s="19"/>
      <c r="RZZ25" s="19"/>
      <c r="SAA25" s="19"/>
      <c r="SAB25" s="19"/>
      <c r="SAC25" s="19"/>
      <c r="SAD25" s="19"/>
      <c r="SAE25" s="19"/>
      <c r="SAF25" s="19"/>
      <c r="SAG25" s="19"/>
      <c r="SAH25" s="19"/>
      <c r="SAI25" s="19"/>
      <c r="SAJ25" s="19"/>
      <c r="SAK25" s="19"/>
      <c r="SAL25" s="19"/>
      <c r="SAM25" s="19"/>
      <c r="SAN25" s="19"/>
      <c r="SAO25" s="19"/>
      <c r="SAP25" s="19"/>
      <c r="SAQ25" s="19"/>
      <c r="SAR25" s="19"/>
      <c r="SAS25" s="19"/>
      <c r="SAT25" s="19"/>
      <c r="SAU25" s="19"/>
      <c r="SAV25" s="19"/>
      <c r="SAW25" s="19"/>
      <c r="SAX25" s="19"/>
      <c r="SAY25" s="19"/>
      <c r="SAZ25" s="19"/>
      <c r="SBA25" s="19"/>
      <c r="SBB25" s="19"/>
      <c r="SBC25" s="19"/>
      <c r="SBD25" s="19"/>
      <c r="SBE25" s="19"/>
      <c r="SBF25" s="19"/>
      <c r="SBG25" s="19"/>
      <c r="SBH25" s="19"/>
      <c r="SBI25" s="19"/>
      <c r="SBJ25" s="19"/>
      <c r="SBK25" s="19"/>
      <c r="SBL25" s="19"/>
      <c r="SBM25" s="19"/>
      <c r="SBN25" s="19"/>
      <c r="SBO25" s="19"/>
      <c r="SBP25" s="19"/>
      <c r="SBQ25" s="19"/>
      <c r="SBR25" s="19"/>
      <c r="SBS25" s="19"/>
      <c r="SBT25" s="19"/>
      <c r="SBU25" s="19"/>
      <c r="SBV25" s="19"/>
      <c r="SBW25" s="19"/>
      <c r="SBX25" s="19"/>
      <c r="SBY25" s="19"/>
      <c r="SBZ25" s="19"/>
      <c r="SCA25" s="19"/>
      <c r="SCB25" s="19"/>
      <c r="SCC25" s="19"/>
      <c r="SCD25" s="19"/>
      <c r="SCE25" s="19"/>
      <c r="SCF25" s="19"/>
      <c r="SCG25" s="19"/>
      <c r="SCH25" s="19"/>
      <c r="SCI25" s="19"/>
      <c r="SCJ25" s="19"/>
      <c r="SCK25" s="19"/>
      <c r="SCL25" s="19"/>
      <c r="SCM25" s="19"/>
      <c r="SCN25" s="19"/>
      <c r="SCO25" s="19"/>
      <c r="SCP25" s="19"/>
      <c r="SCQ25" s="19"/>
      <c r="SCR25" s="19"/>
      <c r="SCS25" s="19"/>
      <c r="SCT25" s="19"/>
      <c r="SCU25" s="19"/>
      <c r="SCV25" s="19"/>
      <c r="SCW25" s="19"/>
      <c r="SCX25" s="19"/>
      <c r="SCY25" s="19"/>
      <c r="SCZ25" s="19"/>
      <c r="SDA25" s="19"/>
      <c r="SDB25" s="19"/>
      <c r="SDC25" s="19"/>
      <c r="SDD25" s="19"/>
      <c r="SDE25" s="19"/>
      <c r="SDF25" s="19"/>
      <c r="SDG25" s="19"/>
      <c r="SDH25" s="19"/>
      <c r="SDI25" s="19"/>
      <c r="SDJ25" s="19"/>
      <c r="SDK25" s="19"/>
      <c r="SDL25" s="19"/>
      <c r="SDM25" s="19"/>
      <c r="SDN25" s="19"/>
      <c r="SDO25" s="19"/>
      <c r="SDP25" s="19"/>
      <c r="SDQ25" s="19"/>
      <c r="SDR25" s="19"/>
      <c r="SDS25" s="19"/>
      <c r="SDT25" s="19"/>
      <c r="SDU25" s="19"/>
      <c r="SDV25" s="19"/>
      <c r="SDW25" s="19"/>
      <c r="SDX25" s="19"/>
      <c r="SDY25" s="19"/>
      <c r="SDZ25" s="19"/>
      <c r="SEA25" s="19"/>
      <c r="SEB25" s="19"/>
      <c r="SEC25" s="19"/>
      <c r="SED25" s="19"/>
      <c r="SEE25" s="19"/>
      <c r="SEF25" s="19"/>
      <c r="SEG25" s="19"/>
      <c r="SEH25" s="19"/>
      <c r="SEI25" s="19"/>
      <c r="SEJ25" s="19"/>
      <c r="SEK25" s="19"/>
      <c r="SEL25" s="19"/>
      <c r="SEM25" s="19"/>
      <c r="SEN25" s="19"/>
      <c r="SEO25" s="19"/>
      <c r="SEP25" s="19"/>
      <c r="SEQ25" s="19"/>
      <c r="SER25" s="19"/>
      <c r="SES25" s="19"/>
      <c r="SET25" s="19"/>
      <c r="SEU25" s="19"/>
      <c r="SEV25" s="19"/>
      <c r="SEW25" s="19"/>
      <c r="SEX25" s="19"/>
      <c r="SEY25" s="19"/>
      <c r="SEZ25" s="19"/>
      <c r="SFA25" s="19"/>
      <c r="SFB25" s="19"/>
      <c r="SFC25" s="19"/>
      <c r="SFD25" s="19"/>
      <c r="SFE25" s="19"/>
      <c r="SFF25" s="19"/>
      <c r="SFG25" s="19"/>
      <c r="SFH25" s="19"/>
      <c r="SFI25" s="19"/>
      <c r="SFJ25" s="19"/>
      <c r="SFK25" s="19"/>
      <c r="SFL25" s="19"/>
      <c r="SFM25" s="19"/>
      <c r="SFN25" s="19"/>
      <c r="SFO25" s="19"/>
      <c r="SFP25" s="19"/>
      <c r="SFQ25" s="19"/>
      <c r="SFR25" s="19"/>
      <c r="SFS25" s="19"/>
      <c r="SFT25" s="19"/>
      <c r="SFU25" s="19"/>
      <c r="SFV25" s="19"/>
      <c r="SFW25" s="19"/>
      <c r="SFX25" s="19"/>
      <c r="SFY25" s="19"/>
      <c r="SFZ25" s="19"/>
      <c r="SGA25" s="19"/>
      <c r="SGB25" s="19"/>
      <c r="SGC25" s="19"/>
      <c r="SGD25" s="19"/>
      <c r="SGE25" s="19"/>
      <c r="SGF25" s="19"/>
      <c r="SGG25" s="19"/>
      <c r="SGH25" s="19"/>
      <c r="SGI25" s="19"/>
      <c r="SGJ25" s="19"/>
      <c r="SGK25" s="19"/>
      <c r="SGL25" s="19"/>
      <c r="SGM25" s="19"/>
      <c r="SGN25" s="19"/>
      <c r="SGO25" s="19"/>
      <c r="SGP25" s="19"/>
      <c r="SGQ25" s="19"/>
      <c r="SGR25" s="19"/>
      <c r="SGS25" s="19"/>
      <c r="SGT25" s="19"/>
      <c r="SGU25" s="19"/>
      <c r="SGV25" s="19"/>
      <c r="SGW25" s="19"/>
      <c r="SGX25" s="19"/>
      <c r="SGY25" s="19"/>
      <c r="SGZ25" s="19"/>
      <c r="SHA25" s="19"/>
      <c r="SHB25" s="19"/>
      <c r="SHC25" s="19"/>
      <c r="SHD25" s="19"/>
      <c r="SHE25" s="19"/>
      <c r="SHF25" s="19"/>
      <c r="SHG25" s="19"/>
      <c r="SHH25" s="19"/>
      <c r="SHI25" s="19"/>
      <c r="SHJ25" s="19"/>
      <c r="SHK25" s="19"/>
      <c r="SHL25" s="19"/>
      <c r="SHM25" s="19"/>
      <c r="SHN25" s="19"/>
      <c r="SHO25" s="19"/>
      <c r="SHP25" s="19"/>
      <c r="SHQ25" s="19"/>
      <c r="SHR25" s="19"/>
      <c r="SHS25" s="19"/>
      <c r="SHT25" s="19"/>
      <c r="SHU25" s="19"/>
      <c r="SHV25" s="19"/>
      <c r="SHW25" s="19"/>
      <c r="SHX25" s="19"/>
      <c r="SHY25" s="19"/>
      <c r="SHZ25" s="19"/>
      <c r="SIA25" s="19"/>
      <c r="SIB25" s="19"/>
      <c r="SIC25" s="19"/>
      <c r="SID25" s="19"/>
      <c r="SIE25" s="19"/>
      <c r="SIF25" s="19"/>
      <c r="SIG25" s="19"/>
      <c r="SIH25" s="19"/>
      <c r="SII25" s="19"/>
      <c r="SIJ25" s="19"/>
      <c r="SIK25" s="19"/>
      <c r="SIL25" s="19"/>
      <c r="SIM25" s="19"/>
      <c r="SIN25" s="19"/>
      <c r="SIO25" s="19"/>
      <c r="SIP25" s="19"/>
      <c r="SIQ25" s="19"/>
      <c r="SIR25" s="19"/>
      <c r="SIS25" s="19"/>
      <c r="SIT25" s="19"/>
      <c r="SIU25" s="19"/>
      <c r="SIV25" s="19"/>
      <c r="SIW25" s="19"/>
      <c r="SIX25" s="19"/>
      <c r="SIY25" s="19"/>
      <c r="SIZ25" s="19"/>
      <c r="SJA25" s="19"/>
      <c r="SJB25" s="19"/>
      <c r="SJC25" s="19"/>
      <c r="SJD25" s="19"/>
      <c r="SJE25" s="19"/>
      <c r="SJF25" s="19"/>
      <c r="SJG25" s="19"/>
      <c r="SJH25" s="19"/>
      <c r="SJI25" s="19"/>
      <c r="SJJ25" s="19"/>
      <c r="SJK25" s="19"/>
      <c r="SJL25" s="19"/>
      <c r="SJM25" s="19"/>
      <c r="SJN25" s="19"/>
      <c r="SJO25" s="19"/>
      <c r="SJP25" s="19"/>
      <c r="SJQ25" s="19"/>
      <c r="SJR25" s="19"/>
      <c r="SJS25" s="19"/>
      <c r="SJT25" s="19"/>
      <c r="SJU25" s="19"/>
      <c r="SJV25" s="19"/>
      <c r="SJW25" s="19"/>
      <c r="SJX25" s="19"/>
      <c r="SJY25" s="19"/>
      <c r="SJZ25" s="19"/>
      <c r="SKA25" s="19"/>
      <c r="SKB25" s="19"/>
      <c r="SKC25" s="19"/>
      <c r="SKD25" s="19"/>
      <c r="SKE25" s="19"/>
      <c r="SKF25" s="19"/>
      <c r="SKG25" s="19"/>
      <c r="SKH25" s="19"/>
      <c r="SKI25" s="19"/>
      <c r="SKJ25" s="19"/>
      <c r="SKK25" s="19"/>
      <c r="SKL25" s="19"/>
      <c r="SKM25" s="19"/>
      <c r="SKN25" s="19"/>
      <c r="SKO25" s="19"/>
      <c r="SKP25" s="19"/>
      <c r="SKQ25" s="19"/>
      <c r="SKR25" s="19"/>
      <c r="SKS25" s="19"/>
      <c r="SKT25" s="19"/>
      <c r="SKU25" s="19"/>
      <c r="SKV25" s="19"/>
      <c r="SKW25" s="19"/>
      <c r="SKX25" s="19"/>
      <c r="SKY25" s="19"/>
      <c r="SKZ25" s="19"/>
      <c r="SLA25" s="19"/>
      <c r="SLB25" s="19"/>
      <c r="SLC25" s="19"/>
      <c r="SLD25" s="19"/>
      <c r="SLE25" s="19"/>
      <c r="SLF25" s="19"/>
      <c r="SLG25" s="19"/>
      <c r="SLH25" s="19"/>
      <c r="SLI25" s="19"/>
      <c r="SLJ25" s="19"/>
      <c r="SLK25" s="19"/>
      <c r="SLL25" s="19"/>
      <c r="SLM25" s="19"/>
      <c r="SLN25" s="19"/>
      <c r="SLO25" s="19"/>
      <c r="SLP25" s="19"/>
      <c r="SLQ25" s="19"/>
      <c r="SLR25" s="19"/>
      <c r="SLS25" s="19"/>
      <c r="SLT25" s="19"/>
      <c r="SLU25" s="19"/>
      <c r="SLV25" s="19"/>
      <c r="SLW25" s="19"/>
      <c r="SLX25" s="19"/>
      <c r="SLY25" s="19"/>
      <c r="SLZ25" s="19"/>
      <c r="SMA25" s="19"/>
      <c r="SMB25" s="19"/>
      <c r="SMC25" s="19"/>
      <c r="SMD25" s="19"/>
      <c r="SME25" s="19"/>
      <c r="SMF25" s="19"/>
      <c r="SMG25" s="19"/>
      <c r="SMH25" s="19"/>
      <c r="SMI25" s="19"/>
      <c r="SMJ25" s="19"/>
      <c r="SMK25" s="19"/>
      <c r="SML25" s="19"/>
      <c r="SMM25" s="19"/>
      <c r="SMN25" s="19"/>
      <c r="SMO25" s="19"/>
      <c r="SMP25" s="19"/>
      <c r="SMQ25" s="19"/>
      <c r="SMR25" s="19"/>
      <c r="SMS25" s="19"/>
      <c r="SMT25" s="19"/>
      <c r="SMU25" s="19"/>
      <c r="SMV25" s="19"/>
      <c r="SMW25" s="19"/>
      <c r="SMX25" s="19"/>
      <c r="SMY25" s="19"/>
      <c r="SMZ25" s="19"/>
      <c r="SNA25" s="19"/>
      <c r="SNB25" s="19"/>
      <c r="SNC25" s="19"/>
      <c r="SND25" s="19"/>
      <c r="SNE25" s="19"/>
      <c r="SNF25" s="19"/>
      <c r="SNG25" s="19"/>
      <c r="SNH25" s="19"/>
      <c r="SNI25" s="19"/>
      <c r="SNJ25" s="19"/>
      <c r="SNK25" s="19"/>
      <c r="SNL25" s="19"/>
      <c r="SNM25" s="19"/>
      <c r="SNN25" s="19"/>
      <c r="SNO25" s="19"/>
      <c r="SNP25" s="19"/>
      <c r="SNQ25" s="19"/>
      <c r="SNR25" s="19"/>
      <c r="SNS25" s="19"/>
      <c r="SNT25" s="19"/>
      <c r="SNU25" s="19"/>
      <c r="SNV25" s="19"/>
      <c r="SNW25" s="19"/>
      <c r="SNX25" s="19"/>
      <c r="SNY25" s="19"/>
      <c r="SNZ25" s="19"/>
      <c r="SOA25" s="19"/>
      <c r="SOB25" s="19"/>
      <c r="SOC25" s="19"/>
      <c r="SOD25" s="19"/>
      <c r="SOE25" s="19"/>
      <c r="SOF25" s="19"/>
      <c r="SOG25" s="19"/>
      <c r="SOH25" s="19"/>
      <c r="SOI25" s="19"/>
      <c r="SOJ25" s="19"/>
      <c r="SOK25" s="19"/>
      <c r="SOL25" s="19"/>
      <c r="SOM25" s="19"/>
      <c r="SON25" s="19"/>
      <c r="SOO25" s="19"/>
      <c r="SOP25" s="19"/>
      <c r="SOQ25" s="19"/>
      <c r="SOR25" s="19"/>
      <c r="SOS25" s="19"/>
      <c r="SOT25" s="19"/>
      <c r="SOU25" s="19"/>
      <c r="SOV25" s="19"/>
      <c r="SOW25" s="19"/>
      <c r="SOX25" s="19"/>
      <c r="SOY25" s="19"/>
      <c r="SOZ25" s="19"/>
      <c r="SPA25" s="19"/>
      <c r="SPB25" s="19"/>
      <c r="SPC25" s="19"/>
      <c r="SPD25" s="19"/>
      <c r="SPE25" s="19"/>
      <c r="SPF25" s="19"/>
      <c r="SPG25" s="19"/>
      <c r="SPH25" s="19"/>
      <c r="SPI25" s="19"/>
      <c r="SPJ25" s="19"/>
      <c r="SPK25" s="19"/>
      <c r="SPL25" s="19"/>
      <c r="SPM25" s="19"/>
      <c r="SPN25" s="19"/>
      <c r="SPO25" s="19"/>
      <c r="SPP25" s="19"/>
      <c r="SPQ25" s="19"/>
      <c r="SPR25" s="19"/>
      <c r="SPS25" s="19"/>
      <c r="SPT25" s="19"/>
      <c r="SPU25" s="19"/>
      <c r="SPV25" s="19"/>
      <c r="SPW25" s="19"/>
      <c r="SPX25" s="19"/>
      <c r="SPY25" s="19"/>
      <c r="SPZ25" s="19"/>
      <c r="SQA25" s="19"/>
      <c r="SQB25" s="19"/>
      <c r="SQC25" s="19"/>
      <c r="SQD25" s="19"/>
      <c r="SQE25" s="19"/>
      <c r="SQF25" s="19"/>
      <c r="SQG25" s="19"/>
      <c r="SQH25" s="19"/>
      <c r="SQI25" s="19"/>
      <c r="SQJ25" s="19"/>
      <c r="SQK25" s="19"/>
      <c r="SQL25" s="19"/>
      <c r="SQM25" s="19"/>
      <c r="SQN25" s="19"/>
      <c r="SQO25" s="19"/>
      <c r="SQP25" s="19"/>
      <c r="SQQ25" s="19"/>
      <c r="SQR25" s="19"/>
      <c r="SQS25" s="19"/>
      <c r="SQT25" s="19"/>
      <c r="SQU25" s="19"/>
      <c r="SQV25" s="19"/>
      <c r="SQW25" s="19"/>
      <c r="SQX25" s="19"/>
      <c r="SQY25" s="19"/>
      <c r="SQZ25" s="19"/>
      <c r="SRA25" s="19"/>
      <c r="SRB25" s="19"/>
      <c r="SRC25" s="19"/>
      <c r="SRD25" s="19"/>
      <c r="SRE25" s="19"/>
      <c r="SRF25" s="19"/>
      <c r="SRG25" s="19"/>
      <c r="SRH25" s="19"/>
      <c r="SRI25" s="19"/>
      <c r="SRJ25" s="19"/>
      <c r="SRK25" s="19"/>
      <c r="SRL25" s="19"/>
      <c r="SRM25" s="19"/>
      <c r="SRN25" s="19"/>
      <c r="SRO25" s="19"/>
      <c r="SRP25" s="19"/>
      <c r="SRQ25" s="19"/>
      <c r="SRR25" s="19"/>
      <c r="SRS25" s="19"/>
      <c r="SRT25" s="19"/>
      <c r="SRU25" s="19"/>
      <c r="SRV25" s="19"/>
      <c r="SRW25" s="19"/>
      <c r="SRX25" s="19"/>
      <c r="SRY25" s="19"/>
      <c r="SRZ25" s="19"/>
      <c r="SSA25" s="19"/>
      <c r="SSB25" s="19"/>
      <c r="SSC25" s="19"/>
      <c r="SSD25" s="19"/>
      <c r="SSE25" s="19"/>
      <c r="SSF25" s="19"/>
      <c r="SSG25" s="19"/>
      <c r="SSH25" s="19"/>
      <c r="SSI25" s="19"/>
      <c r="SSJ25" s="19"/>
      <c r="SSK25" s="19"/>
      <c r="SSL25" s="19"/>
      <c r="SSM25" s="19"/>
      <c r="SSN25" s="19"/>
      <c r="SSO25" s="19"/>
      <c r="SSP25" s="19"/>
      <c r="SSQ25" s="19"/>
      <c r="SSR25" s="19"/>
      <c r="SSS25" s="19"/>
      <c r="SST25" s="19"/>
      <c r="SSU25" s="19"/>
      <c r="SSV25" s="19"/>
      <c r="SSW25" s="19"/>
      <c r="SSX25" s="19"/>
      <c r="SSY25" s="19"/>
      <c r="SSZ25" s="19"/>
      <c r="STA25" s="19"/>
      <c r="STB25" s="19"/>
      <c r="STC25" s="19"/>
      <c r="STD25" s="19"/>
      <c r="STE25" s="19"/>
      <c r="STF25" s="19"/>
      <c r="STG25" s="19"/>
      <c r="STH25" s="19"/>
      <c r="STI25" s="19"/>
      <c r="STJ25" s="19"/>
      <c r="STK25" s="19"/>
      <c r="STL25" s="19"/>
      <c r="STM25" s="19"/>
      <c r="STN25" s="19"/>
      <c r="STO25" s="19"/>
      <c r="STP25" s="19"/>
      <c r="STQ25" s="19"/>
      <c r="STR25" s="19"/>
      <c r="STS25" s="19"/>
      <c r="STT25" s="19"/>
      <c r="STU25" s="19"/>
      <c r="STV25" s="19"/>
      <c r="STW25" s="19"/>
      <c r="STX25" s="19"/>
      <c r="STY25" s="19"/>
      <c r="STZ25" s="19"/>
      <c r="SUA25" s="19"/>
      <c r="SUB25" s="19"/>
      <c r="SUC25" s="19"/>
      <c r="SUD25" s="19"/>
      <c r="SUE25" s="19"/>
      <c r="SUF25" s="19"/>
      <c r="SUG25" s="19"/>
      <c r="SUH25" s="19"/>
      <c r="SUI25" s="19"/>
      <c r="SUJ25" s="19"/>
      <c r="SUK25" s="19"/>
      <c r="SUL25" s="19"/>
      <c r="SUM25" s="19"/>
      <c r="SUN25" s="19"/>
      <c r="SUO25" s="19"/>
      <c r="SUP25" s="19"/>
      <c r="SUQ25" s="19"/>
      <c r="SUR25" s="19"/>
      <c r="SUS25" s="19"/>
      <c r="SUT25" s="19"/>
      <c r="SUU25" s="19"/>
      <c r="SUV25" s="19"/>
      <c r="SUW25" s="19"/>
      <c r="SUX25" s="19"/>
      <c r="SUY25" s="19"/>
      <c r="SUZ25" s="19"/>
      <c r="SVA25" s="19"/>
      <c r="SVB25" s="19"/>
      <c r="SVC25" s="19"/>
      <c r="SVD25" s="19"/>
      <c r="SVE25" s="19"/>
      <c r="SVF25" s="19"/>
      <c r="SVG25" s="19"/>
      <c r="SVH25" s="19"/>
      <c r="SVI25" s="19"/>
      <c r="SVJ25" s="19"/>
      <c r="SVK25" s="19"/>
      <c r="SVL25" s="19"/>
      <c r="SVM25" s="19"/>
      <c r="SVN25" s="19"/>
      <c r="SVO25" s="19"/>
      <c r="SVP25" s="19"/>
      <c r="SVQ25" s="19"/>
      <c r="SVR25" s="19"/>
      <c r="SVS25" s="19"/>
      <c r="SVT25" s="19"/>
      <c r="SVU25" s="19"/>
      <c r="SVV25" s="19"/>
      <c r="SVW25" s="19"/>
      <c r="SVX25" s="19"/>
      <c r="SVY25" s="19"/>
      <c r="SVZ25" s="19"/>
      <c r="SWA25" s="19"/>
      <c r="SWB25" s="19"/>
      <c r="SWC25" s="19"/>
      <c r="SWD25" s="19"/>
      <c r="SWE25" s="19"/>
      <c r="SWF25" s="19"/>
      <c r="SWG25" s="19"/>
      <c r="SWH25" s="19"/>
      <c r="SWI25" s="19"/>
      <c r="SWJ25" s="19"/>
      <c r="SWK25" s="19"/>
      <c r="SWL25" s="19"/>
      <c r="SWM25" s="19"/>
      <c r="SWN25" s="19"/>
      <c r="SWO25" s="19"/>
      <c r="SWP25" s="19"/>
      <c r="SWQ25" s="19"/>
      <c r="SWR25" s="19"/>
      <c r="SWS25" s="19"/>
      <c r="SWT25" s="19"/>
      <c r="SWU25" s="19"/>
      <c r="SWV25" s="19"/>
      <c r="SWW25" s="19"/>
      <c r="SWX25" s="19"/>
      <c r="SWY25" s="19"/>
      <c r="SWZ25" s="19"/>
      <c r="SXA25" s="19"/>
      <c r="SXB25" s="19"/>
      <c r="SXC25" s="19"/>
      <c r="SXD25" s="19"/>
      <c r="SXE25" s="19"/>
      <c r="SXF25" s="19"/>
      <c r="SXG25" s="19"/>
      <c r="SXH25" s="19"/>
      <c r="SXI25" s="19"/>
      <c r="SXJ25" s="19"/>
      <c r="SXK25" s="19"/>
      <c r="SXL25" s="19"/>
      <c r="SXM25" s="19"/>
      <c r="SXN25" s="19"/>
      <c r="SXO25" s="19"/>
      <c r="SXP25" s="19"/>
      <c r="SXQ25" s="19"/>
      <c r="SXR25" s="19"/>
      <c r="SXS25" s="19"/>
      <c r="SXT25" s="19"/>
      <c r="SXU25" s="19"/>
      <c r="SXV25" s="19"/>
      <c r="SXW25" s="19"/>
      <c r="SXX25" s="19"/>
      <c r="SXY25" s="19"/>
      <c r="SXZ25" s="19"/>
      <c r="SYA25" s="19"/>
      <c r="SYB25" s="19"/>
      <c r="SYC25" s="19"/>
      <c r="SYD25" s="19"/>
      <c r="SYE25" s="19"/>
      <c r="SYF25" s="19"/>
      <c r="SYG25" s="19"/>
      <c r="SYH25" s="19"/>
      <c r="SYI25" s="19"/>
      <c r="SYJ25" s="19"/>
      <c r="SYK25" s="19"/>
      <c r="SYL25" s="19"/>
      <c r="SYM25" s="19"/>
      <c r="SYN25" s="19"/>
      <c r="SYO25" s="19"/>
      <c r="SYP25" s="19"/>
      <c r="SYQ25" s="19"/>
      <c r="SYR25" s="19"/>
      <c r="SYS25" s="19"/>
      <c r="SYT25" s="19"/>
      <c r="SYU25" s="19"/>
      <c r="SYV25" s="19"/>
      <c r="SYW25" s="19"/>
      <c r="SYX25" s="19"/>
      <c r="SYY25" s="19"/>
      <c r="SYZ25" s="19"/>
      <c r="SZA25" s="19"/>
      <c r="SZB25" s="19"/>
      <c r="SZC25" s="19"/>
      <c r="SZD25" s="19"/>
      <c r="SZE25" s="19"/>
      <c r="SZF25" s="19"/>
      <c r="SZG25" s="19"/>
      <c r="SZH25" s="19"/>
      <c r="SZI25" s="19"/>
      <c r="SZJ25" s="19"/>
      <c r="SZK25" s="19"/>
      <c r="SZL25" s="19"/>
      <c r="SZM25" s="19"/>
      <c r="SZN25" s="19"/>
      <c r="SZO25" s="19"/>
      <c r="SZP25" s="19"/>
      <c r="SZQ25" s="19"/>
      <c r="SZR25" s="19"/>
      <c r="SZS25" s="19"/>
      <c r="SZT25" s="19"/>
      <c r="SZU25" s="19"/>
      <c r="SZV25" s="19"/>
      <c r="SZW25" s="19"/>
      <c r="SZX25" s="19"/>
      <c r="SZY25" s="19"/>
      <c r="SZZ25" s="19"/>
      <c r="TAA25" s="19"/>
      <c r="TAB25" s="19"/>
      <c r="TAC25" s="19"/>
      <c r="TAD25" s="19"/>
      <c r="TAE25" s="19"/>
      <c r="TAF25" s="19"/>
      <c r="TAG25" s="19"/>
      <c r="TAH25" s="19"/>
      <c r="TAI25" s="19"/>
      <c r="TAJ25" s="19"/>
      <c r="TAK25" s="19"/>
      <c r="TAL25" s="19"/>
      <c r="TAM25" s="19"/>
      <c r="TAN25" s="19"/>
      <c r="TAO25" s="19"/>
      <c r="TAP25" s="19"/>
      <c r="TAQ25" s="19"/>
      <c r="TAR25" s="19"/>
      <c r="TAS25" s="19"/>
      <c r="TAT25" s="19"/>
      <c r="TAU25" s="19"/>
      <c r="TAV25" s="19"/>
      <c r="TAW25" s="19"/>
      <c r="TAX25" s="19"/>
      <c r="TAY25" s="19"/>
      <c r="TAZ25" s="19"/>
      <c r="TBA25" s="19"/>
      <c r="TBB25" s="19"/>
      <c r="TBC25" s="19"/>
      <c r="TBD25" s="19"/>
      <c r="TBE25" s="19"/>
      <c r="TBF25" s="19"/>
      <c r="TBG25" s="19"/>
      <c r="TBH25" s="19"/>
      <c r="TBI25" s="19"/>
      <c r="TBJ25" s="19"/>
      <c r="TBK25" s="19"/>
      <c r="TBL25" s="19"/>
      <c r="TBM25" s="19"/>
      <c r="TBN25" s="19"/>
      <c r="TBO25" s="19"/>
      <c r="TBP25" s="19"/>
      <c r="TBQ25" s="19"/>
      <c r="TBR25" s="19"/>
      <c r="TBS25" s="19"/>
      <c r="TBT25" s="19"/>
      <c r="TBU25" s="19"/>
      <c r="TBV25" s="19"/>
      <c r="TBW25" s="19"/>
      <c r="TBX25" s="19"/>
      <c r="TBY25" s="19"/>
      <c r="TBZ25" s="19"/>
      <c r="TCA25" s="19"/>
      <c r="TCB25" s="19"/>
      <c r="TCC25" s="19"/>
      <c r="TCD25" s="19"/>
      <c r="TCE25" s="19"/>
      <c r="TCF25" s="19"/>
      <c r="TCG25" s="19"/>
      <c r="TCH25" s="19"/>
      <c r="TCI25" s="19"/>
      <c r="TCJ25" s="19"/>
      <c r="TCK25" s="19"/>
      <c r="TCL25" s="19"/>
      <c r="TCM25" s="19"/>
      <c r="TCN25" s="19"/>
      <c r="TCO25" s="19"/>
      <c r="TCP25" s="19"/>
      <c r="TCQ25" s="19"/>
      <c r="TCR25" s="19"/>
      <c r="TCS25" s="19"/>
      <c r="TCT25" s="19"/>
      <c r="TCU25" s="19"/>
      <c r="TCV25" s="19"/>
      <c r="TCW25" s="19"/>
      <c r="TCX25" s="19"/>
      <c r="TCY25" s="19"/>
      <c r="TCZ25" s="19"/>
      <c r="TDA25" s="19"/>
      <c r="TDB25" s="19"/>
      <c r="TDC25" s="19"/>
      <c r="TDD25" s="19"/>
      <c r="TDE25" s="19"/>
      <c r="TDF25" s="19"/>
      <c r="TDG25" s="19"/>
      <c r="TDH25" s="19"/>
      <c r="TDI25" s="19"/>
      <c r="TDJ25" s="19"/>
      <c r="TDK25" s="19"/>
      <c r="TDL25" s="19"/>
      <c r="TDM25" s="19"/>
      <c r="TDN25" s="19"/>
      <c r="TDO25" s="19"/>
      <c r="TDP25" s="19"/>
      <c r="TDQ25" s="19"/>
      <c r="TDR25" s="19"/>
      <c r="TDS25" s="19"/>
      <c r="TDT25" s="19"/>
      <c r="TDU25" s="19"/>
      <c r="TDV25" s="19"/>
      <c r="TDW25" s="19"/>
      <c r="TDX25" s="19"/>
      <c r="TDY25" s="19"/>
      <c r="TDZ25" s="19"/>
      <c r="TEA25" s="19"/>
      <c r="TEB25" s="19"/>
      <c r="TEC25" s="19"/>
      <c r="TED25" s="19"/>
      <c r="TEE25" s="19"/>
      <c r="TEF25" s="19"/>
      <c r="TEG25" s="19"/>
      <c r="TEH25" s="19"/>
      <c r="TEI25" s="19"/>
      <c r="TEJ25" s="19"/>
      <c r="TEK25" s="19"/>
      <c r="TEL25" s="19"/>
      <c r="TEM25" s="19"/>
      <c r="TEN25" s="19"/>
      <c r="TEO25" s="19"/>
      <c r="TEP25" s="19"/>
      <c r="TEQ25" s="19"/>
      <c r="TER25" s="19"/>
      <c r="TES25" s="19"/>
      <c r="TET25" s="19"/>
      <c r="TEU25" s="19"/>
      <c r="TEV25" s="19"/>
      <c r="TEW25" s="19"/>
      <c r="TEX25" s="19"/>
      <c r="TEY25" s="19"/>
      <c r="TEZ25" s="19"/>
      <c r="TFA25" s="19"/>
      <c r="TFB25" s="19"/>
      <c r="TFC25" s="19"/>
      <c r="TFD25" s="19"/>
      <c r="TFE25" s="19"/>
      <c r="TFF25" s="19"/>
      <c r="TFG25" s="19"/>
      <c r="TFH25" s="19"/>
      <c r="TFI25" s="19"/>
      <c r="TFJ25" s="19"/>
      <c r="TFK25" s="19"/>
      <c r="TFL25" s="19"/>
      <c r="TFM25" s="19"/>
      <c r="TFN25" s="19"/>
      <c r="TFO25" s="19"/>
      <c r="TFP25" s="19"/>
      <c r="TFQ25" s="19"/>
      <c r="TFR25" s="19"/>
      <c r="TFS25" s="19"/>
      <c r="TFT25" s="19"/>
      <c r="TFU25" s="19"/>
      <c r="TFV25" s="19"/>
      <c r="TFW25" s="19"/>
      <c r="TFX25" s="19"/>
      <c r="TFY25" s="19"/>
      <c r="TFZ25" s="19"/>
      <c r="TGA25" s="19"/>
      <c r="TGB25" s="19"/>
      <c r="TGC25" s="19"/>
      <c r="TGD25" s="19"/>
      <c r="TGE25" s="19"/>
      <c r="TGF25" s="19"/>
      <c r="TGG25" s="19"/>
      <c r="TGH25" s="19"/>
      <c r="TGI25" s="19"/>
      <c r="TGJ25" s="19"/>
      <c r="TGK25" s="19"/>
      <c r="TGL25" s="19"/>
      <c r="TGM25" s="19"/>
      <c r="TGN25" s="19"/>
      <c r="TGO25" s="19"/>
      <c r="TGP25" s="19"/>
      <c r="TGQ25" s="19"/>
      <c r="TGR25" s="19"/>
      <c r="TGS25" s="19"/>
      <c r="TGT25" s="19"/>
      <c r="TGU25" s="19"/>
      <c r="TGV25" s="19"/>
      <c r="TGW25" s="19"/>
      <c r="TGX25" s="19"/>
      <c r="TGY25" s="19"/>
      <c r="TGZ25" s="19"/>
      <c r="THA25" s="19"/>
      <c r="THB25" s="19"/>
      <c r="THC25" s="19"/>
      <c r="THD25" s="19"/>
      <c r="THE25" s="19"/>
      <c r="THF25" s="19"/>
      <c r="THG25" s="19"/>
      <c r="THH25" s="19"/>
      <c r="THI25" s="19"/>
      <c r="THJ25" s="19"/>
      <c r="THK25" s="19"/>
      <c r="THL25" s="19"/>
      <c r="THM25" s="19"/>
      <c r="THN25" s="19"/>
      <c r="THO25" s="19"/>
      <c r="THP25" s="19"/>
      <c r="THQ25" s="19"/>
      <c r="THR25" s="19"/>
      <c r="THS25" s="19"/>
      <c r="THT25" s="19"/>
      <c r="THU25" s="19"/>
      <c r="THV25" s="19"/>
      <c r="THW25" s="19"/>
      <c r="THX25" s="19"/>
      <c r="THY25" s="19"/>
      <c r="THZ25" s="19"/>
      <c r="TIA25" s="19"/>
      <c r="TIB25" s="19"/>
      <c r="TIC25" s="19"/>
      <c r="TID25" s="19"/>
      <c r="TIE25" s="19"/>
      <c r="TIF25" s="19"/>
      <c r="TIG25" s="19"/>
      <c r="TIH25" s="19"/>
      <c r="TII25" s="19"/>
      <c r="TIJ25" s="19"/>
      <c r="TIK25" s="19"/>
      <c r="TIL25" s="19"/>
      <c r="TIM25" s="19"/>
      <c r="TIN25" s="19"/>
      <c r="TIO25" s="19"/>
      <c r="TIP25" s="19"/>
      <c r="TIQ25" s="19"/>
      <c r="TIR25" s="19"/>
      <c r="TIS25" s="19"/>
      <c r="TIT25" s="19"/>
      <c r="TIU25" s="19"/>
      <c r="TIV25" s="19"/>
      <c r="TIW25" s="19"/>
      <c r="TIX25" s="19"/>
      <c r="TIY25" s="19"/>
      <c r="TIZ25" s="19"/>
      <c r="TJA25" s="19"/>
      <c r="TJB25" s="19"/>
      <c r="TJC25" s="19"/>
      <c r="TJD25" s="19"/>
      <c r="TJE25" s="19"/>
      <c r="TJF25" s="19"/>
      <c r="TJG25" s="19"/>
      <c r="TJH25" s="19"/>
      <c r="TJI25" s="19"/>
      <c r="TJJ25" s="19"/>
      <c r="TJK25" s="19"/>
      <c r="TJL25" s="19"/>
      <c r="TJM25" s="19"/>
      <c r="TJN25" s="19"/>
      <c r="TJO25" s="19"/>
      <c r="TJP25" s="19"/>
      <c r="TJQ25" s="19"/>
      <c r="TJR25" s="19"/>
      <c r="TJS25" s="19"/>
      <c r="TJT25" s="19"/>
      <c r="TJU25" s="19"/>
      <c r="TJV25" s="19"/>
      <c r="TJW25" s="19"/>
      <c r="TJX25" s="19"/>
      <c r="TJY25" s="19"/>
      <c r="TJZ25" s="19"/>
      <c r="TKA25" s="19"/>
      <c r="TKB25" s="19"/>
      <c r="TKC25" s="19"/>
      <c r="TKD25" s="19"/>
      <c r="TKE25" s="19"/>
      <c r="TKF25" s="19"/>
      <c r="TKG25" s="19"/>
      <c r="TKH25" s="19"/>
      <c r="TKI25" s="19"/>
      <c r="TKJ25" s="19"/>
      <c r="TKK25" s="19"/>
      <c r="TKL25" s="19"/>
      <c r="TKM25" s="19"/>
      <c r="TKN25" s="19"/>
      <c r="TKO25" s="19"/>
      <c r="TKP25" s="19"/>
      <c r="TKQ25" s="19"/>
      <c r="TKR25" s="19"/>
      <c r="TKS25" s="19"/>
      <c r="TKT25" s="19"/>
      <c r="TKU25" s="19"/>
      <c r="TKV25" s="19"/>
      <c r="TKW25" s="19"/>
      <c r="TKX25" s="19"/>
      <c r="TKY25" s="19"/>
      <c r="TKZ25" s="19"/>
      <c r="TLA25" s="19"/>
      <c r="TLB25" s="19"/>
      <c r="TLC25" s="19"/>
      <c r="TLD25" s="19"/>
      <c r="TLE25" s="19"/>
      <c r="TLF25" s="19"/>
      <c r="TLG25" s="19"/>
      <c r="TLH25" s="19"/>
      <c r="TLI25" s="19"/>
      <c r="TLJ25" s="19"/>
      <c r="TLK25" s="19"/>
      <c r="TLL25" s="19"/>
      <c r="TLM25" s="19"/>
      <c r="TLN25" s="19"/>
      <c r="TLO25" s="19"/>
      <c r="TLP25" s="19"/>
      <c r="TLQ25" s="19"/>
      <c r="TLR25" s="19"/>
      <c r="TLS25" s="19"/>
      <c r="TLT25" s="19"/>
      <c r="TLU25" s="19"/>
      <c r="TLV25" s="19"/>
      <c r="TLW25" s="19"/>
      <c r="TLX25" s="19"/>
      <c r="TLY25" s="19"/>
      <c r="TLZ25" s="19"/>
      <c r="TMA25" s="19"/>
      <c r="TMB25" s="19"/>
      <c r="TMC25" s="19"/>
      <c r="TMD25" s="19"/>
      <c r="TME25" s="19"/>
      <c r="TMF25" s="19"/>
      <c r="TMG25" s="19"/>
      <c r="TMH25" s="19"/>
      <c r="TMI25" s="19"/>
      <c r="TMJ25" s="19"/>
      <c r="TMK25" s="19"/>
      <c r="TML25" s="19"/>
      <c r="TMM25" s="19"/>
      <c r="TMN25" s="19"/>
      <c r="TMO25" s="19"/>
      <c r="TMP25" s="19"/>
      <c r="TMQ25" s="19"/>
      <c r="TMR25" s="19"/>
      <c r="TMS25" s="19"/>
      <c r="TMT25" s="19"/>
      <c r="TMU25" s="19"/>
      <c r="TMV25" s="19"/>
      <c r="TMW25" s="19"/>
      <c r="TMX25" s="19"/>
      <c r="TMY25" s="19"/>
      <c r="TMZ25" s="19"/>
      <c r="TNA25" s="19"/>
      <c r="TNB25" s="19"/>
      <c r="TNC25" s="19"/>
      <c r="TND25" s="19"/>
      <c r="TNE25" s="19"/>
      <c r="TNF25" s="19"/>
      <c r="TNG25" s="19"/>
      <c r="TNH25" s="19"/>
      <c r="TNI25" s="19"/>
      <c r="TNJ25" s="19"/>
      <c r="TNK25" s="19"/>
      <c r="TNL25" s="19"/>
      <c r="TNM25" s="19"/>
      <c r="TNN25" s="19"/>
      <c r="TNO25" s="19"/>
      <c r="TNP25" s="19"/>
      <c r="TNQ25" s="19"/>
      <c r="TNR25" s="19"/>
      <c r="TNS25" s="19"/>
      <c r="TNT25" s="19"/>
      <c r="TNU25" s="19"/>
      <c r="TNV25" s="19"/>
      <c r="TNW25" s="19"/>
      <c r="TNX25" s="19"/>
      <c r="TNY25" s="19"/>
      <c r="TNZ25" s="19"/>
      <c r="TOA25" s="19"/>
      <c r="TOB25" s="19"/>
      <c r="TOC25" s="19"/>
      <c r="TOD25" s="19"/>
      <c r="TOE25" s="19"/>
      <c r="TOF25" s="19"/>
      <c r="TOG25" s="19"/>
      <c r="TOH25" s="19"/>
      <c r="TOI25" s="19"/>
      <c r="TOJ25" s="19"/>
      <c r="TOK25" s="19"/>
      <c r="TOL25" s="19"/>
      <c r="TOM25" s="19"/>
      <c r="TON25" s="19"/>
      <c r="TOO25" s="19"/>
      <c r="TOP25" s="19"/>
      <c r="TOQ25" s="19"/>
      <c r="TOR25" s="19"/>
      <c r="TOS25" s="19"/>
      <c r="TOT25" s="19"/>
      <c r="TOU25" s="19"/>
      <c r="TOV25" s="19"/>
      <c r="TOW25" s="19"/>
      <c r="TOX25" s="19"/>
      <c r="TOY25" s="19"/>
      <c r="TOZ25" s="19"/>
      <c r="TPA25" s="19"/>
      <c r="TPB25" s="19"/>
      <c r="TPC25" s="19"/>
      <c r="TPD25" s="19"/>
      <c r="TPE25" s="19"/>
      <c r="TPF25" s="19"/>
      <c r="TPG25" s="19"/>
      <c r="TPH25" s="19"/>
      <c r="TPI25" s="19"/>
      <c r="TPJ25" s="19"/>
      <c r="TPK25" s="19"/>
      <c r="TPL25" s="19"/>
      <c r="TPM25" s="19"/>
      <c r="TPN25" s="19"/>
      <c r="TPO25" s="19"/>
      <c r="TPP25" s="19"/>
      <c r="TPQ25" s="19"/>
      <c r="TPR25" s="19"/>
      <c r="TPS25" s="19"/>
      <c r="TPT25" s="19"/>
      <c r="TPU25" s="19"/>
      <c r="TPV25" s="19"/>
      <c r="TPW25" s="19"/>
      <c r="TPX25" s="19"/>
      <c r="TPY25" s="19"/>
      <c r="TPZ25" s="19"/>
      <c r="TQA25" s="19"/>
      <c r="TQB25" s="19"/>
      <c r="TQC25" s="19"/>
      <c r="TQD25" s="19"/>
      <c r="TQE25" s="19"/>
      <c r="TQF25" s="19"/>
      <c r="TQG25" s="19"/>
      <c r="TQH25" s="19"/>
      <c r="TQI25" s="19"/>
      <c r="TQJ25" s="19"/>
      <c r="TQK25" s="19"/>
      <c r="TQL25" s="19"/>
      <c r="TQM25" s="19"/>
      <c r="TQN25" s="19"/>
      <c r="TQO25" s="19"/>
      <c r="TQP25" s="19"/>
      <c r="TQQ25" s="19"/>
      <c r="TQR25" s="19"/>
      <c r="TQS25" s="19"/>
      <c r="TQT25" s="19"/>
      <c r="TQU25" s="19"/>
      <c r="TQV25" s="19"/>
      <c r="TQW25" s="19"/>
      <c r="TQX25" s="19"/>
      <c r="TQY25" s="19"/>
      <c r="TQZ25" s="19"/>
      <c r="TRA25" s="19"/>
      <c r="TRB25" s="19"/>
      <c r="TRC25" s="19"/>
      <c r="TRD25" s="19"/>
      <c r="TRE25" s="19"/>
      <c r="TRF25" s="19"/>
      <c r="TRG25" s="19"/>
      <c r="TRH25" s="19"/>
      <c r="TRI25" s="19"/>
      <c r="TRJ25" s="19"/>
      <c r="TRK25" s="19"/>
      <c r="TRL25" s="19"/>
      <c r="TRM25" s="19"/>
      <c r="TRN25" s="19"/>
      <c r="TRO25" s="19"/>
      <c r="TRP25" s="19"/>
      <c r="TRQ25" s="19"/>
      <c r="TRR25" s="19"/>
      <c r="TRS25" s="19"/>
      <c r="TRT25" s="19"/>
      <c r="TRU25" s="19"/>
      <c r="TRV25" s="19"/>
      <c r="TRW25" s="19"/>
      <c r="TRX25" s="19"/>
      <c r="TRY25" s="19"/>
      <c r="TRZ25" s="19"/>
      <c r="TSA25" s="19"/>
      <c r="TSB25" s="19"/>
      <c r="TSC25" s="19"/>
      <c r="TSD25" s="19"/>
      <c r="TSE25" s="19"/>
      <c r="TSF25" s="19"/>
      <c r="TSG25" s="19"/>
      <c r="TSH25" s="19"/>
      <c r="TSI25" s="19"/>
      <c r="TSJ25" s="19"/>
      <c r="TSK25" s="19"/>
      <c r="TSL25" s="19"/>
      <c r="TSM25" s="19"/>
      <c r="TSN25" s="19"/>
      <c r="TSO25" s="19"/>
      <c r="TSP25" s="19"/>
      <c r="TSQ25" s="19"/>
      <c r="TSR25" s="19"/>
      <c r="TSS25" s="19"/>
      <c r="TST25" s="19"/>
      <c r="TSU25" s="19"/>
      <c r="TSV25" s="19"/>
      <c r="TSW25" s="19"/>
      <c r="TSX25" s="19"/>
      <c r="TSY25" s="19"/>
      <c r="TSZ25" s="19"/>
      <c r="TTA25" s="19"/>
      <c r="TTB25" s="19"/>
      <c r="TTC25" s="19"/>
      <c r="TTD25" s="19"/>
      <c r="TTE25" s="19"/>
      <c r="TTF25" s="19"/>
      <c r="TTG25" s="19"/>
      <c r="TTH25" s="19"/>
      <c r="TTI25" s="19"/>
      <c r="TTJ25" s="19"/>
      <c r="TTK25" s="19"/>
      <c r="TTL25" s="19"/>
      <c r="TTM25" s="19"/>
      <c r="TTN25" s="19"/>
      <c r="TTO25" s="19"/>
      <c r="TTP25" s="19"/>
      <c r="TTQ25" s="19"/>
      <c r="TTR25" s="19"/>
      <c r="TTS25" s="19"/>
      <c r="TTT25" s="19"/>
      <c r="TTU25" s="19"/>
      <c r="TTV25" s="19"/>
      <c r="TTW25" s="19"/>
      <c r="TTX25" s="19"/>
      <c r="TTY25" s="19"/>
      <c r="TTZ25" s="19"/>
      <c r="TUA25" s="19"/>
      <c r="TUB25" s="19"/>
      <c r="TUC25" s="19"/>
      <c r="TUD25" s="19"/>
      <c r="TUE25" s="19"/>
      <c r="TUF25" s="19"/>
      <c r="TUG25" s="19"/>
      <c r="TUH25" s="19"/>
      <c r="TUI25" s="19"/>
      <c r="TUJ25" s="19"/>
      <c r="TUK25" s="19"/>
      <c r="TUL25" s="19"/>
      <c r="TUM25" s="19"/>
      <c r="TUN25" s="19"/>
      <c r="TUO25" s="19"/>
      <c r="TUP25" s="19"/>
      <c r="TUQ25" s="19"/>
      <c r="TUR25" s="19"/>
      <c r="TUS25" s="19"/>
      <c r="TUT25" s="19"/>
      <c r="TUU25" s="19"/>
      <c r="TUV25" s="19"/>
      <c r="TUW25" s="19"/>
      <c r="TUX25" s="19"/>
      <c r="TUY25" s="19"/>
      <c r="TUZ25" s="19"/>
      <c r="TVA25" s="19"/>
      <c r="TVB25" s="19"/>
      <c r="TVC25" s="19"/>
      <c r="TVD25" s="19"/>
      <c r="TVE25" s="19"/>
      <c r="TVF25" s="19"/>
      <c r="TVG25" s="19"/>
      <c r="TVH25" s="19"/>
      <c r="TVI25" s="19"/>
      <c r="TVJ25" s="19"/>
      <c r="TVK25" s="19"/>
      <c r="TVL25" s="19"/>
      <c r="TVM25" s="19"/>
      <c r="TVN25" s="19"/>
      <c r="TVO25" s="19"/>
      <c r="TVP25" s="19"/>
      <c r="TVQ25" s="19"/>
      <c r="TVR25" s="19"/>
      <c r="TVS25" s="19"/>
      <c r="TVT25" s="19"/>
      <c r="TVU25" s="19"/>
      <c r="TVV25" s="19"/>
      <c r="TVW25" s="19"/>
      <c r="TVX25" s="19"/>
      <c r="TVY25" s="19"/>
      <c r="TVZ25" s="19"/>
      <c r="TWA25" s="19"/>
      <c r="TWB25" s="19"/>
      <c r="TWC25" s="19"/>
      <c r="TWD25" s="19"/>
      <c r="TWE25" s="19"/>
      <c r="TWF25" s="19"/>
      <c r="TWG25" s="19"/>
      <c r="TWH25" s="19"/>
      <c r="TWI25" s="19"/>
      <c r="TWJ25" s="19"/>
      <c r="TWK25" s="19"/>
      <c r="TWL25" s="19"/>
      <c r="TWM25" s="19"/>
      <c r="TWN25" s="19"/>
      <c r="TWO25" s="19"/>
      <c r="TWP25" s="19"/>
      <c r="TWQ25" s="19"/>
      <c r="TWR25" s="19"/>
      <c r="TWS25" s="19"/>
      <c r="TWT25" s="19"/>
      <c r="TWU25" s="19"/>
      <c r="TWV25" s="19"/>
      <c r="TWW25" s="19"/>
      <c r="TWX25" s="19"/>
      <c r="TWY25" s="19"/>
      <c r="TWZ25" s="19"/>
      <c r="TXA25" s="19"/>
      <c r="TXB25" s="19"/>
      <c r="TXC25" s="19"/>
      <c r="TXD25" s="19"/>
      <c r="TXE25" s="19"/>
      <c r="TXF25" s="19"/>
      <c r="TXG25" s="19"/>
      <c r="TXH25" s="19"/>
      <c r="TXI25" s="19"/>
      <c r="TXJ25" s="19"/>
      <c r="TXK25" s="19"/>
      <c r="TXL25" s="19"/>
      <c r="TXM25" s="19"/>
      <c r="TXN25" s="19"/>
      <c r="TXO25" s="19"/>
      <c r="TXP25" s="19"/>
      <c r="TXQ25" s="19"/>
      <c r="TXR25" s="19"/>
      <c r="TXS25" s="19"/>
      <c r="TXT25" s="19"/>
      <c r="TXU25" s="19"/>
      <c r="TXV25" s="19"/>
      <c r="TXW25" s="19"/>
      <c r="TXX25" s="19"/>
      <c r="TXY25" s="19"/>
      <c r="TXZ25" s="19"/>
      <c r="TYA25" s="19"/>
      <c r="TYB25" s="19"/>
      <c r="TYC25" s="19"/>
      <c r="TYD25" s="19"/>
      <c r="TYE25" s="19"/>
      <c r="TYF25" s="19"/>
      <c r="TYG25" s="19"/>
      <c r="TYH25" s="19"/>
      <c r="TYI25" s="19"/>
      <c r="TYJ25" s="19"/>
      <c r="TYK25" s="19"/>
      <c r="TYL25" s="19"/>
      <c r="TYM25" s="19"/>
      <c r="TYN25" s="19"/>
      <c r="TYO25" s="19"/>
      <c r="TYP25" s="19"/>
      <c r="TYQ25" s="19"/>
      <c r="TYR25" s="19"/>
      <c r="TYS25" s="19"/>
      <c r="TYT25" s="19"/>
      <c r="TYU25" s="19"/>
      <c r="TYV25" s="19"/>
      <c r="TYW25" s="19"/>
      <c r="TYX25" s="19"/>
      <c r="TYY25" s="19"/>
      <c r="TYZ25" s="19"/>
      <c r="TZA25" s="19"/>
      <c r="TZB25" s="19"/>
      <c r="TZC25" s="19"/>
      <c r="TZD25" s="19"/>
      <c r="TZE25" s="19"/>
      <c r="TZF25" s="19"/>
      <c r="TZG25" s="19"/>
      <c r="TZH25" s="19"/>
      <c r="TZI25" s="19"/>
      <c r="TZJ25" s="19"/>
      <c r="TZK25" s="19"/>
      <c r="TZL25" s="19"/>
      <c r="TZM25" s="19"/>
      <c r="TZN25" s="19"/>
      <c r="TZO25" s="19"/>
      <c r="TZP25" s="19"/>
      <c r="TZQ25" s="19"/>
      <c r="TZR25" s="19"/>
      <c r="TZS25" s="19"/>
      <c r="TZT25" s="19"/>
      <c r="TZU25" s="19"/>
      <c r="TZV25" s="19"/>
      <c r="TZW25" s="19"/>
      <c r="TZX25" s="19"/>
      <c r="TZY25" s="19"/>
      <c r="TZZ25" s="19"/>
      <c r="UAA25" s="19"/>
      <c r="UAB25" s="19"/>
      <c r="UAC25" s="19"/>
      <c r="UAD25" s="19"/>
      <c r="UAE25" s="19"/>
      <c r="UAF25" s="19"/>
      <c r="UAG25" s="19"/>
      <c r="UAH25" s="19"/>
      <c r="UAI25" s="19"/>
      <c r="UAJ25" s="19"/>
      <c r="UAK25" s="19"/>
      <c r="UAL25" s="19"/>
      <c r="UAM25" s="19"/>
      <c r="UAN25" s="19"/>
      <c r="UAO25" s="19"/>
      <c r="UAP25" s="19"/>
      <c r="UAQ25" s="19"/>
      <c r="UAR25" s="19"/>
      <c r="UAS25" s="19"/>
      <c r="UAT25" s="19"/>
      <c r="UAU25" s="19"/>
      <c r="UAV25" s="19"/>
      <c r="UAW25" s="19"/>
      <c r="UAX25" s="19"/>
      <c r="UAY25" s="19"/>
      <c r="UAZ25" s="19"/>
      <c r="UBA25" s="19"/>
      <c r="UBB25" s="19"/>
      <c r="UBC25" s="19"/>
      <c r="UBD25" s="19"/>
      <c r="UBE25" s="19"/>
      <c r="UBF25" s="19"/>
      <c r="UBG25" s="19"/>
      <c r="UBH25" s="19"/>
      <c r="UBI25" s="19"/>
      <c r="UBJ25" s="19"/>
      <c r="UBK25" s="19"/>
      <c r="UBL25" s="19"/>
      <c r="UBM25" s="19"/>
      <c r="UBN25" s="19"/>
      <c r="UBO25" s="19"/>
      <c r="UBP25" s="19"/>
      <c r="UBQ25" s="19"/>
      <c r="UBR25" s="19"/>
      <c r="UBS25" s="19"/>
      <c r="UBT25" s="19"/>
      <c r="UBU25" s="19"/>
      <c r="UBV25" s="19"/>
      <c r="UBW25" s="19"/>
      <c r="UBX25" s="19"/>
      <c r="UBY25" s="19"/>
      <c r="UBZ25" s="19"/>
      <c r="UCA25" s="19"/>
      <c r="UCB25" s="19"/>
      <c r="UCC25" s="19"/>
      <c r="UCD25" s="19"/>
      <c r="UCE25" s="19"/>
      <c r="UCF25" s="19"/>
      <c r="UCG25" s="19"/>
      <c r="UCH25" s="19"/>
      <c r="UCI25" s="19"/>
      <c r="UCJ25" s="19"/>
      <c r="UCK25" s="19"/>
      <c r="UCL25" s="19"/>
      <c r="UCM25" s="19"/>
      <c r="UCN25" s="19"/>
      <c r="UCO25" s="19"/>
      <c r="UCP25" s="19"/>
      <c r="UCQ25" s="19"/>
      <c r="UCR25" s="19"/>
      <c r="UCS25" s="19"/>
      <c r="UCT25" s="19"/>
      <c r="UCU25" s="19"/>
      <c r="UCV25" s="19"/>
      <c r="UCW25" s="19"/>
      <c r="UCX25" s="19"/>
      <c r="UCY25" s="19"/>
      <c r="UCZ25" s="19"/>
      <c r="UDA25" s="19"/>
      <c r="UDB25" s="19"/>
      <c r="UDC25" s="19"/>
      <c r="UDD25" s="19"/>
      <c r="UDE25" s="19"/>
      <c r="UDF25" s="19"/>
      <c r="UDG25" s="19"/>
      <c r="UDH25" s="19"/>
      <c r="UDI25" s="19"/>
      <c r="UDJ25" s="19"/>
      <c r="UDK25" s="19"/>
      <c r="UDL25" s="19"/>
      <c r="UDM25" s="19"/>
      <c r="UDN25" s="19"/>
      <c r="UDO25" s="19"/>
      <c r="UDP25" s="19"/>
      <c r="UDQ25" s="19"/>
      <c r="UDR25" s="19"/>
      <c r="UDS25" s="19"/>
      <c r="UDT25" s="19"/>
      <c r="UDU25" s="19"/>
      <c r="UDV25" s="19"/>
      <c r="UDW25" s="19"/>
      <c r="UDX25" s="19"/>
      <c r="UDY25" s="19"/>
      <c r="UDZ25" s="19"/>
      <c r="UEA25" s="19"/>
      <c r="UEB25" s="19"/>
      <c r="UEC25" s="19"/>
      <c r="UED25" s="19"/>
      <c r="UEE25" s="19"/>
      <c r="UEF25" s="19"/>
      <c r="UEG25" s="19"/>
      <c r="UEH25" s="19"/>
      <c r="UEI25" s="19"/>
      <c r="UEJ25" s="19"/>
      <c r="UEK25" s="19"/>
      <c r="UEL25" s="19"/>
      <c r="UEM25" s="19"/>
      <c r="UEN25" s="19"/>
      <c r="UEO25" s="19"/>
      <c r="UEP25" s="19"/>
      <c r="UEQ25" s="19"/>
      <c r="UER25" s="19"/>
      <c r="UES25" s="19"/>
      <c r="UET25" s="19"/>
      <c r="UEU25" s="19"/>
      <c r="UEV25" s="19"/>
      <c r="UEW25" s="19"/>
      <c r="UEX25" s="19"/>
      <c r="UEY25" s="19"/>
      <c r="UEZ25" s="19"/>
      <c r="UFA25" s="19"/>
      <c r="UFB25" s="19"/>
      <c r="UFC25" s="19"/>
      <c r="UFD25" s="19"/>
      <c r="UFE25" s="19"/>
      <c r="UFF25" s="19"/>
      <c r="UFG25" s="19"/>
      <c r="UFH25" s="19"/>
      <c r="UFI25" s="19"/>
      <c r="UFJ25" s="19"/>
      <c r="UFK25" s="19"/>
      <c r="UFL25" s="19"/>
      <c r="UFM25" s="19"/>
      <c r="UFN25" s="19"/>
      <c r="UFO25" s="19"/>
      <c r="UFP25" s="19"/>
      <c r="UFQ25" s="19"/>
      <c r="UFR25" s="19"/>
      <c r="UFS25" s="19"/>
      <c r="UFT25" s="19"/>
      <c r="UFU25" s="19"/>
      <c r="UFV25" s="19"/>
      <c r="UFW25" s="19"/>
      <c r="UFX25" s="19"/>
      <c r="UFY25" s="19"/>
      <c r="UFZ25" s="19"/>
      <c r="UGA25" s="19"/>
      <c r="UGB25" s="19"/>
      <c r="UGC25" s="19"/>
      <c r="UGD25" s="19"/>
      <c r="UGE25" s="19"/>
      <c r="UGF25" s="19"/>
      <c r="UGG25" s="19"/>
      <c r="UGH25" s="19"/>
      <c r="UGI25" s="19"/>
      <c r="UGJ25" s="19"/>
      <c r="UGK25" s="19"/>
      <c r="UGL25" s="19"/>
      <c r="UGM25" s="19"/>
      <c r="UGN25" s="19"/>
      <c r="UGO25" s="19"/>
      <c r="UGP25" s="19"/>
      <c r="UGQ25" s="19"/>
      <c r="UGR25" s="19"/>
      <c r="UGS25" s="19"/>
      <c r="UGT25" s="19"/>
      <c r="UGU25" s="19"/>
      <c r="UGV25" s="19"/>
      <c r="UGW25" s="19"/>
      <c r="UGX25" s="19"/>
      <c r="UGY25" s="19"/>
      <c r="UGZ25" s="19"/>
      <c r="UHA25" s="19"/>
      <c r="UHB25" s="19"/>
      <c r="UHC25" s="19"/>
      <c r="UHD25" s="19"/>
      <c r="UHE25" s="19"/>
      <c r="UHF25" s="19"/>
      <c r="UHG25" s="19"/>
      <c r="UHH25" s="19"/>
      <c r="UHI25" s="19"/>
      <c r="UHJ25" s="19"/>
      <c r="UHK25" s="19"/>
      <c r="UHL25" s="19"/>
      <c r="UHM25" s="19"/>
      <c r="UHN25" s="19"/>
      <c r="UHO25" s="19"/>
      <c r="UHP25" s="19"/>
      <c r="UHQ25" s="19"/>
      <c r="UHR25" s="19"/>
      <c r="UHS25" s="19"/>
      <c r="UHT25" s="19"/>
      <c r="UHU25" s="19"/>
      <c r="UHV25" s="19"/>
      <c r="UHW25" s="19"/>
      <c r="UHX25" s="19"/>
      <c r="UHY25" s="19"/>
      <c r="UHZ25" s="19"/>
      <c r="UIA25" s="19"/>
      <c r="UIB25" s="19"/>
      <c r="UIC25" s="19"/>
      <c r="UID25" s="19"/>
      <c r="UIE25" s="19"/>
      <c r="UIF25" s="19"/>
      <c r="UIG25" s="19"/>
      <c r="UIH25" s="19"/>
      <c r="UII25" s="19"/>
      <c r="UIJ25" s="19"/>
      <c r="UIK25" s="19"/>
      <c r="UIL25" s="19"/>
      <c r="UIM25" s="19"/>
      <c r="UIN25" s="19"/>
      <c r="UIO25" s="19"/>
      <c r="UIP25" s="19"/>
      <c r="UIQ25" s="19"/>
      <c r="UIR25" s="19"/>
      <c r="UIS25" s="19"/>
      <c r="UIT25" s="19"/>
      <c r="UIU25" s="19"/>
      <c r="UIV25" s="19"/>
      <c r="UIW25" s="19"/>
      <c r="UIX25" s="19"/>
      <c r="UIY25" s="19"/>
      <c r="UIZ25" s="19"/>
      <c r="UJA25" s="19"/>
      <c r="UJB25" s="19"/>
      <c r="UJC25" s="19"/>
      <c r="UJD25" s="19"/>
      <c r="UJE25" s="19"/>
      <c r="UJF25" s="19"/>
      <c r="UJG25" s="19"/>
      <c r="UJH25" s="19"/>
      <c r="UJI25" s="19"/>
      <c r="UJJ25" s="19"/>
      <c r="UJK25" s="19"/>
      <c r="UJL25" s="19"/>
      <c r="UJM25" s="19"/>
      <c r="UJN25" s="19"/>
      <c r="UJO25" s="19"/>
      <c r="UJP25" s="19"/>
      <c r="UJQ25" s="19"/>
      <c r="UJR25" s="19"/>
      <c r="UJS25" s="19"/>
      <c r="UJT25" s="19"/>
      <c r="UJU25" s="19"/>
      <c r="UJV25" s="19"/>
      <c r="UJW25" s="19"/>
      <c r="UJX25" s="19"/>
      <c r="UJY25" s="19"/>
      <c r="UJZ25" s="19"/>
      <c r="UKA25" s="19"/>
      <c r="UKB25" s="19"/>
      <c r="UKC25" s="19"/>
      <c r="UKD25" s="19"/>
      <c r="UKE25" s="19"/>
      <c r="UKF25" s="19"/>
      <c r="UKG25" s="19"/>
      <c r="UKH25" s="19"/>
      <c r="UKI25" s="19"/>
      <c r="UKJ25" s="19"/>
      <c r="UKK25" s="19"/>
      <c r="UKL25" s="19"/>
      <c r="UKM25" s="19"/>
      <c r="UKN25" s="19"/>
      <c r="UKO25" s="19"/>
      <c r="UKP25" s="19"/>
      <c r="UKQ25" s="19"/>
      <c r="UKR25" s="19"/>
      <c r="UKS25" s="19"/>
      <c r="UKT25" s="19"/>
      <c r="UKU25" s="19"/>
      <c r="UKV25" s="19"/>
      <c r="UKW25" s="19"/>
      <c r="UKX25" s="19"/>
      <c r="UKY25" s="19"/>
      <c r="UKZ25" s="19"/>
      <c r="ULA25" s="19"/>
      <c r="ULB25" s="19"/>
      <c r="ULC25" s="19"/>
      <c r="ULD25" s="19"/>
      <c r="ULE25" s="19"/>
      <c r="ULF25" s="19"/>
      <c r="ULG25" s="19"/>
      <c r="ULH25" s="19"/>
      <c r="ULI25" s="19"/>
      <c r="ULJ25" s="19"/>
      <c r="ULK25" s="19"/>
      <c r="ULL25" s="19"/>
      <c r="ULM25" s="19"/>
      <c r="ULN25" s="19"/>
      <c r="ULO25" s="19"/>
      <c r="ULP25" s="19"/>
      <c r="ULQ25" s="19"/>
      <c r="ULR25" s="19"/>
      <c r="ULS25" s="19"/>
      <c r="ULT25" s="19"/>
      <c r="ULU25" s="19"/>
      <c r="ULV25" s="19"/>
      <c r="ULW25" s="19"/>
      <c r="ULX25" s="19"/>
      <c r="ULY25" s="19"/>
      <c r="ULZ25" s="19"/>
      <c r="UMA25" s="19"/>
      <c r="UMB25" s="19"/>
      <c r="UMC25" s="19"/>
      <c r="UMD25" s="19"/>
      <c r="UME25" s="19"/>
      <c r="UMF25" s="19"/>
      <c r="UMG25" s="19"/>
      <c r="UMH25" s="19"/>
      <c r="UMI25" s="19"/>
      <c r="UMJ25" s="19"/>
      <c r="UMK25" s="19"/>
      <c r="UML25" s="19"/>
      <c r="UMM25" s="19"/>
      <c r="UMN25" s="19"/>
      <c r="UMO25" s="19"/>
      <c r="UMP25" s="19"/>
      <c r="UMQ25" s="19"/>
      <c r="UMR25" s="19"/>
      <c r="UMS25" s="19"/>
      <c r="UMT25" s="19"/>
      <c r="UMU25" s="19"/>
      <c r="UMV25" s="19"/>
      <c r="UMW25" s="19"/>
      <c r="UMX25" s="19"/>
      <c r="UMY25" s="19"/>
      <c r="UMZ25" s="19"/>
      <c r="UNA25" s="19"/>
      <c r="UNB25" s="19"/>
      <c r="UNC25" s="19"/>
      <c r="UND25" s="19"/>
      <c r="UNE25" s="19"/>
      <c r="UNF25" s="19"/>
      <c r="UNG25" s="19"/>
      <c r="UNH25" s="19"/>
      <c r="UNI25" s="19"/>
      <c r="UNJ25" s="19"/>
      <c r="UNK25" s="19"/>
      <c r="UNL25" s="19"/>
      <c r="UNM25" s="19"/>
      <c r="UNN25" s="19"/>
      <c r="UNO25" s="19"/>
      <c r="UNP25" s="19"/>
      <c r="UNQ25" s="19"/>
      <c r="UNR25" s="19"/>
      <c r="UNS25" s="19"/>
      <c r="UNT25" s="19"/>
      <c r="UNU25" s="19"/>
      <c r="UNV25" s="19"/>
      <c r="UNW25" s="19"/>
      <c r="UNX25" s="19"/>
      <c r="UNY25" s="19"/>
      <c r="UNZ25" s="19"/>
      <c r="UOA25" s="19"/>
      <c r="UOB25" s="19"/>
      <c r="UOC25" s="19"/>
      <c r="UOD25" s="19"/>
      <c r="UOE25" s="19"/>
      <c r="UOF25" s="19"/>
      <c r="UOG25" s="19"/>
      <c r="UOH25" s="19"/>
      <c r="UOI25" s="19"/>
      <c r="UOJ25" s="19"/>
      <c r="UOK25" s="19"/>
      <c r="UOL25" s="19"/>
      <c r="UOM25" s="19"/>
      <c r="UON25" s="19"/>
      <c r="UOO25" s="19"/>
      <c r="UOP25" s="19"/>
      <c r="UOQ25" s="19"/>
      <c r="UOR25" s="19"/>
      <c r="UOS25" s="19"/>
      <c r="UOT25" s="19"/>
      <c r="UOU25" s="19"/>
      <c r="UOV25" s="19"/>
      <c r="UOW25" s="19"/>
      <c r="UOX25" s="19"/>
      <c r="UOY25" s="19"/>
      <c r="UOZ25" s="19"/>
      <c r="UPA25" s="19"/>
      <c r="UPB25" s="19"/>
      <c r="UPC25" s="19"/>
      <c r="UPD25" s="19"/>
      <c r="UPE25" s="19"/>
      <c r="UPF25" s="19"/>
      <c r="UPG25" s="19"/>
      <c r="UPH25" s="19"/>
      <c r="UPI25" s="19"/>
      <c r="UPJ25" s="19"/>
      <c r="UPK25" s="19"/>
      <c r="UPL25" s="19"/>
      <c r="UPM25" s="19"/>
      <c r="UPN25" s="19"/>
      <c r="UPO25" s="19"/>
      <c r="UPP25" s="19"/>
      <c r="UPQ25" s="19"/>
      <c r="UPR25" s="19"/>
      <c r="UPS25" s="19"/>
      <c r="UPT25" s="19"/>
      <c r="UPU25" s="19"/>
      <c r="UPV25" s="19"/>
      <c r="UPW25" s="19"/>
      <c r="UPX25" s="19"/>
      <c r="UPY25" s="19"/>
      <c r="UPZ25" s="19"/>
      <c r="UQA25" s="19"/>
      <c r="UQB25" s="19"/>
      <c r="UQC25" s="19"/>
      <c r="UQD25" s="19"/>
      <c r="UQE25" s="19"/>
      <c r="UQF25" s="19"/>
      <c r="UQG25" s="19"/>
      <c r="UQH25" s="19"/>
      <c r="UQI25" s="19"/>
      <c r="UQJ25" s="19"/>
      <c r="UQK25" s="19"/>
      <c r="UQL25" s="19"/>
      <c r="UQM25" s="19"/>
      <c r="UQN25" s="19"/>
      <c r="UQO25" s="19"/>
      <c r="UQP25" s="19"/>
      <c r="UQQ25" s="19"/>
      <c r="UQR25" s="19"/>
      <c r="UQS25" s="19"/>
      <c r="UQT25" s="19"/>
      <c r="UQU25" s="19"/>
      <c r="UQV25" s="19"/>
      <c r="UQW25" s="19"/>
      <c r="UQX25" s="19"/>
      <c r="UQY25" s="19"/>
      <c r="UQZ25" s="19"/>
      <c r="URA25" s="19"/>
      <c r="URB25" s="19"/>
      <c r="URC25" s="19"/>
      <c r="URD25" s="19"/>
      <c r="URE25" s="19"/>
      <c r="URF25" s="19"/>
      <c r="URG25" s="19"/>
      <c r="URH25" s="19"/>
      <c r="URI25" s="19"/>
      <c r="URJ25" s="19"/>
      <c r="URK25" s="19"/>
      <c r="URL25" s="19"/>
      <c r="URM25" s="19"/>
      <c r="URN25" s="19"/>
      <c r="URO25" s="19"/>
      <c r="URP25" s="19"/>
      <c r="URQ25" s="19"/>
      <c r="URR25" s="19"/>
      <c r="URS25" s="19"/>
      <c r="URT25" s="19"/>
      <c r="URU25" s="19"/>
      <c r="URV25" s="19"/>
      <c r="URW25" s="19"/>
      <c r="URX25" s="19"/>
      <c r="URY25" s="19"/>
      <c r="URZ25" s="19"/>
      <c r="USA25" s="19"/>
      <c r="USB25" s="19"/>
      <c r="USC25" s="19"/>
      <c r="USD25" s="19"/>
      <c r="USE25" s="19"/>
      <c r="USF25" s="19"/>
      <c r="USG25" s="19"/>
      <c r="USH25" s="19"/>
      <c r="USI25" s="19"/>
      <c r="USJ25" s="19"/>
      <c r="USK25" s="19"/>
      <c r="USL25" s="19"/>
      <c r="USM25" s="19"/>
      <c r="USN25" s="19"/>
      <c r="USO25" s="19"/>
      <c r="USP25" s="19"/>
      <c r="USQ25" s="19"/>
      <c r="USR25" s="19"/>
      <c r="USS25" s="19"/>
      <c r="UST25" s="19"/>
      <c r="USU25" s="19"/>
      <c r="USV25" s="19"/>
      <c r="USW25" s="19"/>
      <c r="USX25" s="19"/>
      <c r="USY25" s="19"/>
      <c r="USZ25" s="19"/>
      <c r="UTA25" s="19"/>
      <c r="UTB25" s="19"/>
      <c r="UTC25" s="19"/>
      <c r="UTD25" s="19"/>
      <c r="UTE25" s="19"/>
      <c r="UTF25" s="19"/>
      <c r="UTG25" s="19"/>
      <c r="UTH25" s="19"/>
      <c r="UTI25" s="19"/>
      <c r="UTJ25" s="19"/>
      <c r="UTK25" s="19"/>
      <c r="UTL25" s="19"/>
      <c r="UTM25" s="19"/>
      <c r="UTN25" s="19"/>
      <c r="UTO25" s="19"/>
      <c r="UTP25" s="19"/>
      <c r="UTQ25" s="19"/>
      <c r="UTR25" s="19"/>
      <c r="UTS25" s="19"/>
      <c r="UTT25" s="19"/>
      <c r="UTU25" s="19"/>
      <c r="UTV25" s="19"/>
      <c r="UTW25" s="19"/>
      <c r="UTX25" s="19"/>
      <c r="UTY25" s="19"/>
      <c r="UTZ25" s="19"/>
      <c r="UUA25" s="19"/>
      <c r="UUB25" s="19"/>
      <c r="UUC25" s="19"/>
      <c r="UUD25" s="19"/>
      <c r="UUE25" s="19"/>
      <c r="UUF25" s="19"/>
      <c r="UUG25" s="19"/>
      <c r="UUH25" s="19"/>
      <c r="UUI25" s="19"/>
      <c r="UUJ25" s="19"/>
      <c r="UUK25" s="19"/>
      <c r="UUL25" s="19"/>
      <c r="UUM25" s="19"/>
      <c r="UUN25" s="19"/>
      <c r="UUO25" s="19"/>
      <c r="UUP25" s="19"/>
      <c r="UUQ25" s="19"/>
      <c r="UUR25" s="19"/>
      <c r="UUS25" s="19"/>
      <c r="UUT25" s="19"/>
      <c r="UUU25" s="19"/>
      <c r="UUV25" s="19"/>
      <c r="UUW25" s="19"/>
      <c r="UUX25" s="19"/>
      <c r="UUY25" s="19"/>
      <c r="UUZ25" s="19"/>
      <c r="UVA25" s="19"/>
      <c r="UVB25" s="19"/>
      <c r="UVC25" s="19"/>
      <c r="UVD25" s="19"/>
      <c r="UVE25" s="19"/>
      <c r="UVF25" s="19"/>
      <c r="UVG25" s="19"/>
      <c r="UVH25" s="19"/>
      <c r="UVI25" s="19"/>
      <c r="UVJ25" s="19"/>
      <c r="UVK25" s="19"/>
      <c r="UVL25" s="19"/>
      <c r="UVM25" s="19"/>
      <c r="UVN25" s="19"/>
      <c r="UVO25" s="19"/>
      <c r="UVP25" s="19"/>
      <c r="UVQ25" s="19"/>
      <c r="UVR25" s="19"/>
      <c r="UVS25" s="19"/>
      <c r="UVT25" s="19"/>
      <c r="UVU25" s="19"/>
      <c r="UVV25" s="19"/>
      <c r="UVW25" s="19"/>
      <c r="UVX25" s="19"/>
      <c r="UVY25" s="19"/>
      <c r="UVZ25" s="19"/>
      <c r="UWA25" s="19"/>
      <c r="UWB25" s="19"/>
      <c r="UWC25" s="19"/>
      <c r="UWD25" s="19"/>
      <c r="UWE25" s="19"/>
      <c r="UWF25" s="19"/>
      <c r="UWG25" s="19"/>
      <c r="UWH25" s="19"/>
      <c r="UWI25" s="19"/>
      <c r="UWJ25" s="19"/>
      <c r="UWK25" s="19"/>
      <c r="UWL25" s="19"/>
      <c r="UWM25" s="19"/>
      <c r="UWN25" s="19"/>
      <c r="UWO25" s="19"/>
      <c r="UWP25" s="19"/>
      <c r="UWQ25" s="19"/>
      <c r="UWR25" s="19"/>
      <c r="UWS25" s="19"/>
      <c r="UWT25" s="19"/>
      <c r="UWU25" s="19"/>
      <c r="UWV25" s="19"/>
      <c r="UWW25" s="19"/>
      <c r="UWX25" s="19"/>
      <c r="UWY25" s="19"/>
      <c r="UWZ25" s="19"/>
      <c r="UXA25" s="19"/>
      <c r="UXB25" s="19"/>
      <c r="UXC25" s="19"/>
      <c r="UXD25" s="19"/>
      <c r="UXE25" s="19"/>
      <c r="UXF25" s="19"/>
      <c r="UXG25" s="19"/>
      <c r="UXH25" s="19"/>
      <c r="UXI25" s="19"/>
      <c r="UXJ25" s="19"/>
      <c r="UXK25" s="19"/>
      <c r="UXL25" s="19"/>
      <c r="UXM25" s="19"/>
      <c r="UXN25" s="19"/>
      <c r="UXO25" s="19"/>
      <c r="UXP25" s="19"/>
      <c r="UXQ25" s="19"/>
      <c r="UXR25" s="19"/>
      <c r="UXS25" s="19"/>
      <c r="UXT25" s="19"/>
      <c r="UXU25" s="19"/>
      <c r="UXV25" s="19"/>
      <c r="UXW25" s="19"/>
      <c r="UXX25" s="19"/>
      <c r="UXY25" s="19"/>
      <c r="UXZ25" s="19"/>
      <c r="UYA25" s="19"/>
      <c r="UYB25" s="19"/>
      <c r="UYC25" s="19"/>
      <c r="UYD25" s="19"/>
      <c r="UYE25" s="19"/>
      <c r="UYF25" s="19"/>
      <c r="UYG25" s="19"/>
      <c r="UYH25" s="19"/>
      <c r="UYI25" s="19"/>
      <c r="UYJ25" s="19"/>
      <c r="UYK25" s="19"/>
      <c r="UYL25" s="19"/>
      <c r="UYM25" s="19"/>
      <c r="UYN25" s="19"/>
      <c r="UYO25" s="19"/>
      <c r="UYP25" s="19"/>
      <c r="UYQ25" s="19"/>
      <c r="UYR25" s="19"/>
      <c r="UYS25" s="19"/>
      <c r="UYT25" s="19"/>
      <c r="UYU25" s="19"/>
      <c r="UYV25" s="19"/>
      <c r="UYW25" s="19"/>
      <c r="UYX25" s="19"/>
      <c r="UYY25" s="19"/>
      <c r="UYZ25" s="19"/>
      <c r="UZA25" s="19"/>
      <c r="UZB25" s="19"/>
      <c r="UZC25" s="19"/>
      <c r="UZD25" s="19"/>
      <c r="UZE25" s="19"/>
      <c r="UZF25" s="19"/>
      <c r="UZG25" s="19"/>
      <c r="UZH25" s="19"/>
      <c r="UZI25" s="19"/>
      <c r="UZJ25" s="19"/>
      <c r="UZK25" s="19"/>
      <c r="UZL25" s="19"/>
      <c r="UZM25" s="19"/>
      <c r="UZN25" s="19"/>
      <c r="UZO25" s="19"/>
      <c r="UZP25" s="19"/>
      <c r="UZQ25" s="19"/>
      <c r="UZR25" s="19"/>
      <c r="UZS25" s="19"/>
      <c r="UZT25" s="19"/>
      <c r="UZU25" s="19"/>
      <c r="UZV25" s="19"/>
      <c r="UZW25" s="19"/>
      <c r="UZX25" s="19"/>
      <c r="UZY25" s="19"/>
      <c r="UZZ25" s="19"/>
      <c r="VAA25" s="19"/>
      <c r="VAB25" s="19"/>
      <c r="VAC25" s="19"/>
      <c r="VAD25" s="19"/>
      <c r="VAE25" s="19"/>
      <c r="VAF25" s="19"/>
      <c r="VAG25" s="19"/>
      <c r="VAH25" s="19"/>
      <c r="VAI25" s="19"/>
      <c r="VAJ25" s="19"/>
      <c r="VAK25" s="19"/>
      <c r="VAL25" s="19"/>
      <c r="VAM25" s="19"/>
      <c r="VAN25" s="19"/>
      <c r="VAO25" s="19"/>
      <c r="VAP25" s="19"/>
      <c r="VAQ25" s="19"/>
      <c r="VAR25" s="19"/>
      <c r="VAS25" s="19"/>
      <c r="VAT25" s="19"/>
      <c r="VAU25" s="19"/>
      <c r="VAV25" s="19"/>
      <c r="VAW25" s="19"/>
      <c r="VAX25" s="19"/>
      <c r="VAY25" s="19"/>
      <c r="VAZ25" s="19"/>
      <c r="VBA25" s="19"/>
      <c r="VBB25" s="19"/>
      <c r="VBC25" s="19"/>
      <c r="VBD25" s="19"/>
      <c r="VBE25" s="19"/>
      <c r="VBF25" s="19"/>
      <c r="VBG25" s="19"/>
      <c r="VBH25" s="19"/>
      <c r="VBI25" s="19"/>
      <c r="VBJ25" s="19"/>
      <c r="VBK25" s="19"/>
      <c r="VBL25" s="19"/>
      <c r="VBM25" s="19"/>
      <c r="VBN25" s="19"/>
      <c r="VBO25" s="19"/>
      <c r="VBP25" s="19"/>
      <c r="VBQ25" s="19"/>
      <c r="VBR25" s="19"/>
      <c r="VBS25" s="19"/>
      <c r="VBT25" s="19"/>
      <c r="VBU25" s="19"/>
      <c r="VBV25" s="19"/>
      <c r="VBW25" s="19"/>
      <c r="VBX25" s="19"/>
      <c r="VBY25" s="19"/>
      <c r="VBZ25" s="19"/>
      <c r="VCA25" s="19"/>
      <c r="VCB25" s="19"/>
      <c r="VCC25" s="19"/>
      <c r="VCD25" s="19"/>
      <c r="VCE25" s="19"/>
      <c r="VCF25" s="19"/>
      <c r="VCG25" s="19"/>
      <c r="VCH25" s="19"/>
      <c r="VCI25" s="19"/>
      <c r="VCJ25" s="19"/>
      <c r="VCK25" s="19"/>
      <c r="VCL25" s="19"/>
      <c r="VCM25" s="19"/>
      <c r="VCN25" s="19"/>
      <c r="VCO25" s="19"/>
      <c r="VCP25" s="19"/>
      <c r="VCQ25" s="19"/>
      <c r="VCR25" s="19"/>
      <c r="VCS25" s="19"/>
      <c r="VCT25" s="19"/>
      <c r="VCU25" s="19"/>
      <c r="VCV25" s="19"/>
      <c r="VCW25" s="19"/>
      <c r="VCX25" s="19"/>
      <c r="VCY25" s="19"/>
      <c r="VCZ25" s="19"/>
      <c r="VDA25" s="19"/>
      <c r="VDB25" s="19"/>
      <c r="VDC25" s="19"/>
      <c r="VDD25" s="19"/>
      <c r="VDE25" s="19"/>
      <c r="VDF25" s="19"/>
      <c r="VDG25" s="19"/>
      <c r="VDH25" s="19"/>
      <c r="VDI25" s="19"/>
      <c r="VDJ25" s="19"/>
      <c r="VDK25" s="19"/>
      <c r="VDL25" s="19"/>
      <c r="VDM25" s="19"/>
      <c r="VDN25" s="19"/>
      <c r="VDO25" s="19"/>
      <c r="VDP25" s="19"/>
      <c r="VDQ25" s="19"/>
      <c r="VDR25" s="19"/>
      <c r="VDS25" s="19"/>
      <c r="VDT25" s="19"/>
      <c r="VDU25" s="19"/>
      <c r="VDV25" s="19"/>
      <c r="VDW25" s="19"/>
      <c r="VDX25" s="19"/>
      <c r="VDY25" s="19"/>
      <c r="VDZ25" s="19"/>
      <c r="VEA25" s="19"/>
      <c r="VEB25" s="19"/>
      <c r="VEC25" s="19"/>
      <c r="VED25" s="19"/>
      <c r="VEE25" s="19"/>
      <c r="VEF25" s="19"/>
      <c r="VEG25" s="19"/>
      <c r="VEH25" s="19"/>
      <c r="VEI25" s="19"/>
      <c r="VEJ25" s="19"/>
      <c r="VEK25" s="19"/>
      <c r="VEL25" s="19"/>
      <c r="VEM25" s="19"/>
      <c r="VEN25" s="19"/>
      <c r="VEO25" s="19"/>
      <c r="VEP25" s="19"/>
      <c r="VEQ25" s="19"/>
      <c r="VER25" s="19"/>
      <c r="VES25" s="19"/>
      <c r="VET25" s="19"/>
      <c r="VEU25" s="19"/>
      <c r="VEV25" s="19"/>
      <c r="VEW25" s="19"/>
      <c r="VEX25" s="19"/>
      <c r="VEY25" s="19"/>
      <c r="VEZ25" s="19"/>
      <c r="VFA25" s="19"/>
      <c r="VFB25" s="19"/>
      <c r="VFC25" s="19"/>
      <c r="VFD25" s="19"/>
      <c r="VFE25" s="19"/>
      <c r="VFF25" s="19"/>
      <c r="VFG25" s="19"/>
      <c r="VFH25" s="19"/>
      <c r="VFI25" s="19"/>
      <c r="VFJ25" s="19"/>
      <c r="VFK25" s="19"/>
      <c r="VFL25" s="19"/>
      <c r="VFM25" s="19"/>
      <c r="VFN25" s="19"/>
      <c r="VFO25" s="19"/>
      <c r="VFP25" s="19"/>
      <c r="VFQ25" s="19"/>
      <c r="VFR25" s="19"/>
      <c r="VFS25" s="19"/>
      <c r="VFT25" s="19"/>
      <c r="VFU25" s="19"/>
      <c r="VFV25" s="19"/>
      <c r="VFW25" s="19"/>
      <c r="VFX25" s="19"/>
      <c r="VFY25" s="19"/>
      <c r="VFZ25" s="19"/>
      <c r="VGA25" s="19"/>
      <c r="VGB25" s="19"/>
      <c r="VGC25" s="19"/>
      <c r="VGD25" s="19"/>
      <c r="VGE25" s="19"/>
      <c r="VGF25" s="19"/>
      <c r="VGG25" s="19"/>
      <c r="VGH25" s="19"/>
      <c r="VGI25" s="19"/>
      <c r="VGJ25" s="19"/>
      <c r="VGK25" s="19"/>
      <c r="VGL25" s="19"/>
      <c r="VGM25" s="19"/>
      <c r="VGN25" s="19"/>
      <c r="VGO25" s="19"/>
      <c r="VGP25" s="19"/>
      <c r="VGQ25" s="19"/>
      <c r="VGR25" s="19"/>
      <c r="VGS25" s="19"/>
      <c r="VGT25" s="19"/>
      <c r="VGU25" s="19"/>
      <c r="VGV25" s="19"/>
      <c r="VGW25" s="19"/>
      <c r="VGX25" s="19"/>
      <c r="VGY25" s="19"/>
      <c r="VGZ25" s="19"/>
      <c r="VHA25" s="19"/>
      <c r="VHB25" s="19"/>
      <c r="VHC25" s="19"/>
      <c r="VHD25" s="19"/>
      <c r="VHE25" s="19"/>
      <c r="VHF25" s="19"/>
      <c r="VHG25" s="19"/>
      <c r="VHH25" s="19"/>
      <c r="VHI25" s="19"/>
      <c r="VHJ25" s="19"/>
      <c r="VHK25" s="19"/>
      <c r="VHL25" s="19"/>
      <c r="VHM25" s="19"/>
      <c r="VHN25" s="19"/>
      <c r="VHO25" s="19"/>
      <c r="VHP25" s="19"/>
      <c r="VHQ25" s="19"/>
      <c r="VHR25" s="19"/>
      <c r="VHS25" s="19"/>
      <c r="VHT25" s="19"/>
      <c r="VHU25" s="19"/>
      <c r="VHV25" s="19"/>
      <c r="VHW25" s="19"/>
      <c r="VHX25" s="19"/>
      <c r="VHY25" s="19"/>
      <c r="VHZ25" s="19"/>
      <c r="VIA25" s="19"/>
      <c r="VIB25" s="19"/>
      <c r="VIC25" s="19"/>
      <c r="VID25" s="19"/>
      <c r="VIE25" s="19"/>
      <c r="VIF25" s="19"/>
      <c r="VIG25" s="19"/>
      <c r="VIH25" s="19"/>
      <c r="VII25" s="19"/>
      <c r="VIJ25" s="19"/>
      <c r="VIK25" s="19"/>
      <c r="VIL25" s="19"/>
      <c r="VIM25" s="19"/>
      <c r="VIN25" s="19"/>
      <c r="VIO25" s="19"/>
      <c r="VIP25" s="19"/>
      <c r="VIQ25" s="19"/>
      <c r="VIR25" s="19"/>
      <c r="VIS25" s="19"/>
      <c r="VIT25" s="19"/>
      <c r="VIU25" s="19"/>
      <c r="VIV25" s="19"/>
      <c r="VIW25" s="19"/>
      <c r="VIX25" s="19"/>
      <c r="VIY25" s="19"/>
      <c r="VIZ25" s="19"/>
      <c r="VJA25" s="19"/>
      <c r="VJB25" s="19"/>
      <c r="VJC25" s="19"/>
      <c r="VJD25" s="19"/>
      <c r="VJE25" s="19"/>
      <c r="VJF25" s="19"/>
      <c r="VJG25" s="19"/>
      <c r="VJH25" s="19"/>
      <c r="VJI25" s="19"/>
      <c r="VJJ25" s="19"/>
      <c r="VJK25" s="19"/>
      <c r="VJL25" s="19"/>
      <c r="VJM25" s="19"/>
      <c r="VJN25" s="19"/>
      <c r="VJO25" s="19"/>
      <c r="VJP25" s="19"/>
      <c r="VJQ25" s="19"/>
      <c r="VJR25" s="19"/>
      <c r="VJS25" s="19"/>
      <c r="VJT25" s="19"/>
      <c r="VJU25" s="19"/>
      <c r="VJV25" s="19"/>
      <c r="VJW25" s="19"/>
      <c r="VJX25" s="19"/>
      <c r="VJY25" s="19"/>
      <c r="VJZ25" s="19"/>
      <c r="VKA25" s="19"/>
      <c r="VKB25" s="19"/>
      <c r="VKC25" s="19"/>
      <c r="VKD25" s="19"/>
      <c r="VKE25" s="19"/>
      <c r="VKF25" s="19"/>
      <c r="VKG25" s="19"/>
      <c r="VKH25" s="19"/>
      <c r="VKI25" s="19"/>
      <c r="VKJ25" s="19"/>
      <c r="VKK25" s="19"/>
      <c r="VKL25" s="19"/>
      <c r="VKM25" s="19"/>
      <c r="VKN25" s="19"/>
      <c r="VKO25" s="19"/>
      <c r="VKP25" s="19"/>
      <c r="VKQ25" s="19"/>
      <c r="VKR25" s="19"/>
      <c r="VKS25" s="19"/>
      <c r="VKT25" s="19"/>
      <c r="VKU25" s="19"/>
      <c r="VKV25" s="19"/>
      <c r="VKW25" s="19"/>
      <c r="VKX25" s="19"/>
      <c r="VKY25" s="19"/>
      <c r="VKZ25" s="19"/>
      <c r="VLA25" s="19"/>
      <c r="VLB25" s="19"/>
      <c r="VLC25" s="19"/>
      <c r="VLD25" s="19"/>
      <c r="VLE25" s="19"/>
      <c r="VLF25" s="19"/>
      <c r="VLG25" s="19"/>
      <c r="VLH25" s="19"/>
      <c r="VLI25" s="19"/>
      <c r="VLJ25" s="19"/>
      <c r="VLK25" s="19"/>
      <c r="VLL25" s="19"/>
      <c r="VLM25" s="19"/>
      <c r="VLN25" s="19"/>
      <c r="VLO25" s="19"/>
      <c r="VLP25" s="19"/>
      <c r="VLQ25" s="19"/>
      <c r="VLR25" s="19"/>
      <c r="VLS25" s="19"/>
      <c r="VLT25" s="19"/>
      <c r="VLU25" s="19"/>
      <c r="VLV25" s="19"/>
      <c r="VLW25" s="19"/>
      <c r="VLX25" s="19"/>
      <c r="VLY25" s="19"/>
      <c r="VLZ25" s="19"/>
      <c r="VMA25" s="19"/>
      <c r="VMB25" s="19"/>
      <c r="VMC25" s="19"/>
      <c r="VMD25" s="19"/>
      <c r="VME25" s="19"/>
      <c r="VMF25" s="19"/>
      <c r="VMG25" s="19"/>
      <c r="VMH25" s="19"/>
      <c r="VMI25" s="19"/>
      <c r="VMJ25" s="19"/>
      <c r="VMK25" s="19"/>
      <c r="VML25" s="19"/>
      <c r="VMM25" s="19"/>
      <c r="VMN25" s="19"/>
      <c r="VMO25" s="19"/>
      <c r="VMP25" s="19"/>
      <c r="VMQ25" s="19"/>
      <c r="VMR25" s="19"/>
      <c r="VMS25" s="19"/>
      <c r="VMT25" s="19"/>
      <c r="VMU25" s="19"/>
      <c r="VMV25" s="19"/>
      <c r="VMW25" s="19"/>
      <c r="VMX25" s="19"/>
      <c r="VMY25" s="19"/>
      <c r="VMZ25" s="19"/>
      <c r="VNA25" s="19"/>
      <c r="VNB25" s="19"/>
      <c r="VNC25" s="19"/>
      <c r="VND25" s="19"/>
      <c r="VNE25" s="19"/>
      <c r="VNF25" s="19"/>
      <c r="VNG25" s="19"/>
      <c r="VNH25" s="19"/>
      <c r="VNI25" s="19"/>
      <c r="VNJ25" s="19"/>
      <c r="VNK25" s="19"/>
      <c r="VNL25" s="19"/>
      <c r="VNM25" s="19"/>
      <c r="VNN25" s="19"/>
      <c r="VNO25" s="19"/>
      <c r="VNP25" s="19"/>
      <c r="VNQ25" s="19"/>
      <c r="VNR25" s="19"/>
      <c r="VNS25" s="19"/>
      <c r="VNT25" s="19"/>
      <c r="VNU25" s="19"/>
      <c r="VNV25" s="19"/>
      <c r="VNW25" s="19"/>
      <c r="VNX25" s="19"/>
      <c r="VNY25" s="19"/>
      <c r="VNZ25" s="19"/>
      <c r="VOA25" s="19"/>
      <c r="VOB25" s="19"/>
      <c r="VOC25" s="19"/>
      <c r="VOD25" s="19"/>
      <c r="VOE25" s="19"/>
      <c r="VOF25" s="19"/>
      <c r="VOG25" s="19"/>
      <c r="VOH25" s="19"/>
      <c r="VOI25" s="19"/>
      <c r="VOJ25" s="19"/>
      <c r="VOK25" s="19"/>
      <c r="VOL25" s="19"/>
      <c r="VOM25" s="19"/>
      <c r="VON25" s="19"/>
      <c r="VOO25" s="19"/>
      <c r="VOP25" s="19"/>
      <c r="VOQ25" s="19"/>
      <c r="VOR25" s="19"/>
      <c r="VOS25" s="19"/>
      <c r="VOT25" s="19"/>
      <c r="VOU25" s="19"/>
      <c r="VOV25" s="19"/>
      <c r="VOW25" s="19"/>
      <c r="VOX25" s="19"/>
      <c r="VOY25" s="19"/>
      <c r="VOZ25" s="19"/>
      <c r="VPA25" s="19"/>
      <c r="VPB25" s="19"/>
      <c r="VPC25" s="19"/>
      <c r="VPD25" s="19"/>
      <c r="VPE25" s="19"/>
      <c r="VPF25" s="19"/>
      <c r="VPG25" s="19"/>
      <c r="VPH25" s="19"/>
      <c r="VPI25" s="19"/>
      <c r="VPJ25" s="19"/>
      <c r="VPK25" s="19"/>
      <c r="VPL25" s="19"/>
      <c r="VPM25" s="19"/>
      <c r="VPN25" s="19"/>
      <c r="VPO25" s="19"/>
      <c r="VPP25" s="19"/>
      <c r="VPQ25" s="19"/>
      <c r="VPR25" s="19"/>
      <c r="VPS25" s="19"/>
      <c r="VPT25" s="19"/>
      <c r="VPU25" s="19"/>
      <c r="VPV25" s="19"/>
      <c r="VPW25" s="19"/>
      <c r="VPX25" s="19"/>
      <c r="VPY25" s="19"/>
      <c r="VPZ25" s="19"/>
      <c r="VQA25" s="19"/>
      <c r="VQB25" s="19"/>
      <c r="VQC25" s="19"/>
      <c r="VQD25" s="19"/>
      <c r="VQE25" s="19"/>
      <c r="VQF25" s="19"/>
      <c r="VQG25" s="19"/>
      <c r="VQH25" s="19"/>
      <c r="VQI25" s="19"/>
      <c r="VQJ25" s="19"/>
      <c r="VQK25" s="19"/>
      <c r="VQL25" s="19"/>
      <c r="VQM25" s="19"/>
      <c r="VQN25" s="19"/>
      <c r="VQO25" s="19"/>
      <c r="VQP25" s="19"/>
      <c r="VQQ25" s="19"/>
      <c r="VQR25" s="19"/>
      <c r="VQS25" s="19"/>
      <c r="VQT25" s="19"/>
      <c r="VQU25" s="19"/>
      <c r="VQV25" s="19"/>
      <c r="VQW25" s="19"/>
      <c r="VQX25" s="19"/>
      <c r="VQY25" s="19"/>
      <c r="VQZ25" s="19"/>
      <c r="VRA25" s="19"/>
      <c r="VRB25" s="19"/>
      <c r="VRC25" s="19"/>
      <c r="VRD25" s="19"/>
      <c r="VRE25" s="19"/>
      <c r="VRF25" s="19"/>
      <c r="VRG25" s="19"/>
      <c r="VRH25" s="19"/>
      <c r="VRI25" s="19"/>
      <c r="VRJ25" s="19"/>
      <c r="VRK25" s="19"/>
      <c r="VRL25" s="19"/>
      <c r="VRM25" s="19"/>
      <c r="VRN25" s="19"/>
      <c r="VRO25" s="19"/>
      <c r="VRP25" s="19"/>
      <c r="VRQ25" s="19"/>
      <c r="VRR25" s="19"/>
      <c r="VRS25" s="19"/>
      <c r="VRT25" s="19"/>
      <c r="VRU25" s="19"/>
      <c r="VRV25" s="19"/>
      <c r="VRW25" s="19"/>
      <c r="VRX25" s="19"/>
      <c r="VRY25" s="19"/>
      <c r="VRZ25" s="19"/>
      <c r="VSA25" s="19"/>
      <c r="VSB25" s="19"/>
      <c r="VSC25" s="19"/>
      <c r="VSD25" s="19"/>
      <c r="VSE25" s="19"/>
      <c r="VSF25" s="19"/>
      <c r="VSG25" s="19"/>
      <c r="VSH25" s="19"/>
      <c r="VSI25" s="19"/>
      <c r="VSJ25" s="19"/>
      <c r="VSK25" s="19"/>
      <c r="VSL25" s="19"/>
      <c r="VSM25" s="19"/>
      <c r="VSN25" s="19"/>
      <c r="VSO25" s="19"/>
      <c r="VSP25" s="19"/>
      <c r="VSQ25" s="19"/>
      <c r="VSR25" s="19"/>
      <c r="VSS25" s="19"/>
      <c r="VST25" s="19"/>
      <c r="VSU25" s="19"/>
      <c r="VSV25" s="19"/>
      <c r="VSW25" s="19"/>
      <c r="VSX25" s="19"/>
      <c r="VSY25" s="19"/>
      <c r="VSZ25" s="19"/>
      <c r="VTA25" s="19"/>
      <c r="VTB25" s="19"/>
      <c r="VTC25" s="19"/>
      <c r="VTD25" s="19"/>
      <c r="VTE25" s="19"/>
      <c r="VTF25" s="19"/>
      <c r="VTG25" s="19"/>
      <c r="VTH25" s="19"/>
      <c r="VTI25" s="19"/>
      <c r="VTJ25" s="19"/>
      <c r="VTK25" s="19"/>
      <c r="VTL25" s="19"/>
      <c r="VTM25" s="19"/>
      <c r="VTN25" s="19"/>
      <c r="VTO25" s="19"/>
      <c r="VTP25" s="19"/>
      <c r="VTQ25" s="19"/>
      <c r="VTR25" s="19"/>
      <c r="VTS25" s="19"/>
      <c r="VTT25" s="19"/>
      <c r="VTU25" s="19"/>
      <c r="VTV25" s="19"/>
      <c r="VTW25" s="19"/>
      <c r="VTX25" s="19"/>
      <c r="VTY25" s="19"/>
      <c r="VTZ25" s="19"/>
      <c r="VUA25" s="19"/>
      <c r="VUB25" s="19"/>
      <c r="VUC25" s="19"/>
      <c r="VUD25" s="19"/>
      <c r="VUE25" s="19"/>
      <c r="VUF25" s="19"/>
      <c r="VUG25" s="19"/>
      <c r="VUH25" s="19"/>
      <c r="VUI25" s="19"/>
      <c r="VUJ25" s="19"/>
      <c r="VUK25" s="19"/>
      <c r="VUL25" s="19"/>
      <c r="VUM25" s="19"/>
      <c r="VUN25" s="19"/>
      <c r="VUO25" s="19"/>
      <c r="VUP25" s="19"/>
      <c r="VUQ25" s="19"/>
      <c r="VUR25" s="19"/>
      <c r="VUS25" s="19"/>
      <c r="VUT25" s="19"/>
      <c r="VUU25" s="19"/>
      <c r="VUV25" s="19"/>
      <c r="VUW25" s="19"/>
      <c r="VUX25" s="19"/>
      <c r="VUY25" s="19"/>
      <c r="VUZ25" s="19"/>
      <c r="VVA25" s="19"/>
      <c r="VVB25" s="19"/>
      <c r="VVC25" s="19"/>
      <c r="VVD25" s="19"/>
      <c r="VVE25" s="19"/>
      <c r="VVF25" s="19"/>
      <c r="VVG25" s="19"/>
      <c r="VVH25" s="19"/>
      <c r="VVI25" s="19"/>
      <c r="VVJ25" s="19"/>
      <c r="VVK25" s="19"/>
      <c r="VVL25" s="19"/>
      <c r="VVM25" s="19"/>
      <c r="VVN25" s="19"/>
      <c r="VVO25" s="19"/>
      <c r="VVP25" s="19"/>
      <c r="VVQ25" s="19"/>
      <c r="VVR25" s="19"/>
      <c r="VVS25" s="19"/>
      <c r="VVT25" s="19"/>
      <c r="VVU25" s="19"/>
      <c r="VVV25" s="19"/>
      <c r="VVW25" s="19"/>
      <c r="VVX25" s="19"/>
      <c r="VVY25" s="19"/>
      <c r="VVZ25" s="19"/>
      <c r="VWA25" s="19"/>
      <c r="VWB25" s="19"/>
      <c r="VWC25" s="19"/>
      <c r="VWD25" s="19"/>
      <c r="VWE25" s="19"/>
      <c r="VWF25" s="19"/>
      <c r="VWG25" s="19"/>
      <c r="VWH25" s="19"/>
      <c r="VWI25" s="19"/>
      <c r="VWJ25" s="19"/>
      <c r="VWK25" s="19"/>
      <c r="VWL25" s="19"/>
      <c r="VWM25" s="19"/>
      <c r="VWN25" s="19"/>
      <c r="VWO25" s="19"/>
      <c r="VWP25" s="19"/>
      <c r="VWQ25" s="19"/>
      <c r="VWR25" s="19"/>
      <c r="VWS25" s="19"/>
      <c r="VWT25" s="19"/>
      <c r="VWU25" s="19"/>
      <c r="VWV25" s="19"/>
      <c r="VWW25" s="19"/>
      <c r="VWX25" s="19"/>
      <c r="VWY25" s="19"/>
      <c r="VWZ25" s="19"/>
      <c r="VXA25" s="19"/>
      <c r="VXB25" s="19"/>
      <c r="VXC25" s="19"/>
      <c r="VXD25" s="19"/>
      <c r="VXE25" s="19"/>
      <c r="VXF25" s="19"/>
      <c r="VXG25" s="19"/>
      <c r="VXH25" s="19"/>
      <c r="VXI25" s="19"/>
      <c r="VXJ25" s="19"/>
      <c r="VXK25" s="19"/>
      <c r="VXL25" s="19"/>
      <c r="VXM25" s="19"/>
      <c r="VXN25" s="19"/>
      <c r="VXO25" s="19"/>
      <c r="VXP25" s="19"/>
      <c r="VXQ25" s="19"/>
      <c r="VXR25" s="19"/>
      <c r="VXS25" s="19"/>
      <c r="VXT25" s="19"/>
      <c r="VXU25" s="19"/>
      <c r="VXV25" s="19"/>
      <c r="VXW25" s="19"/>
      <c r="VXX25" s="19"/>
      <c r="VXY25" s="19"/>
      <c r="VXZ25" s="19"/>
      <c r="VYA25" s="19"/>
      <c r="VYB25" s="19"/>
      <c r="VYC25" s="19"/>
      <c r="VYD25" s="19"/>
      <c r="VYE25" s="19"/>
      <c r="VYF25" s="19"/>
      <c r="VYG25" s="19"/>
      <c r="VYH25" s="19"/>
      <c r="VYI25" s="19"/>
      <c r="VYJ25" s="19"/>
      <c r="VYK25" s="19"/>
      <c r="VYL25" s="19"/>
      <c r="VYM25" s="19"/>
      <c r="VYN25" s="19"/>
      <c r="VYO25" s="19"/>
      <c r="VYP25" s="19"/>
      <c r="VYQ25" s="19"/>
      <c r="VYR25" s="19"/>
      <c r="VYS25" s="19"/>
      <c r="VYT25" s="19"/>
      <c r="VYU25" s="19"/>
      <c r="VYV25" s="19"/>
      <c r="VYW25" s="19"/>
      <c r="VYX25" s="19"/>
      <c r="VYY25" s="19"/>
      <c r="VYZ25" s="19"/>
      <c r="VZA25" s="19"/>
      <c r="VZB25" s="19"/>
      <c r="VZC25" s="19"/>
      <c r="VZD25" s="19"/>
      <c r="VZE25" s="19"/>
      <c r="VZF25" s="19"/>
      <c r="VZG25" s="19"/>
      <c r="VZH25" s="19"/>
      <c r="VZI25" s="19"/>
      <c r="VZJ25" s="19"/>
      <c r="VZK25" s="19"/>
      <c r="VZL25" s="19"/>
      <c r="VZM25" s="19"/>
      <c r="VZN25" s="19"/>
      <c r="VZO25" s="19"/>
      <c r="VZP25" s="19"/>
      <c r="VZQ25" s="19"/>
      <c r="VZR25" s="19"/>
      <c r="VZS25" s="19"/>
      <c r="VZT25" s="19"/>
      <c r="VZU25" s="19"/>
      <c r="VZV25" s="19"/>
      <c r="VZW25" s="19"/>
      <c r="VZX25" s="19"/>
      <c r="VZY25" s="19"/>
      <c r="VZZ25" s="19"/>
      <c r="WAA25" s="19"/>
      <c r="WAB25" s="19"/>
      <c r="WAC25" s="19"/>
      <c r="WAD25" s="19"/>
      <c r="WAE25" s="19"/>
      <c r="WAF25" s="19"/>
      <c r="WAG25" s="19"/>
      <c r="WAH25" s="19"/>
      <c r="WAI25" s="19"/>
      <c r="WAJ25" s="19"/>
      <c r="WAK25" s="19"/>
      <c r="WAL25" s="19"/>
      <c r="WAM25" s="19"/>
      <c r="WAN25" s="19"/>
      <c r="WAO25" s="19"/>
      <c r="WAP25" s="19"/>
      <c r="WAQ25" s="19"/>
      <c r="WAR25" s="19"/>
      <c r="WAS25" s="19"/>
      <c r="WAT25" s="19"/>
      <c r="WAU25" s="19"/>
      <c r="WAV25" s="19"/>
      <c r="WAW25" s="19"/>
      <c r="WAX25" s="19"/>
      <c r="WAY25" s="19"/>
      <c r="WAZ25" s="19"/>
      <c r="WBA25" s="19"/>
      <c r="WBB25" s="19"/>
      <c r="WBC25" s="19"/>
      <c r="WBD25" s="19"/>
      <c r="WBE25" s="19"/>
      <c r="WBF25" s="19"/>
      <c r="WBG25" s="19"/>
      <c r="WBH25" s="19"/>
      <c r="WBI25" s="19"/>
      <c r="WBJ25" s="19"/>
      <c r="WBK25" s="19"/>
      <c r="WBL25" s="19"/>
      <c r="WBM25" s="19"/>
      <c r="WBN25" s="19"/>
      <c r="WBO25" s="19"/>
      <c r="WBP25" s="19"/>
      <c r="WBQ25" s="19"/>
      <c r="WBR25" s="19"/>
      <c r="WBS25" s="19"/>
      <c r="WBT25" s="19"/>
      <c r="WBU25" s="19"/>
      <c r="WBV25" s="19"/>
      <c r="WBW25" s="19"/>
      <c r="WBX25" s="19"/>
      <c r="WBY25" s="19"/>
      <c r="WBZ25" s="19"/>
      <c r="WCA25" s="19"/>
      <c r="WCB25" s="19"/>
      <c r="WCC25" s="19"/>
      <c r="WCD25" s="19"/>
      <c r="WCE25" s="19"/>
      <c r="WCF25" s="19"/>
      <c r="WCG25" s="19"/>
      <c r="WCH25" s="19"/>
      <c r="WCI25" s="19"/>
      <c r="WCJ25" s="19"/>
      <c r="WCK25" s="19"/>
      <c r="WCL25" s="19"/>
      <c r="WCM25" s="19"/>
      <c r="WCN25" s="19"/>
      <c r="WCO25" s="19"/>
      <c r="WCP25" s="19"/>
      <c r="WCQ25" s="19"/>
      <c r="WCR25" s="19"/>
      <c r="WCS25" s="19"/>
      <c r="WCT25" s="19"/>
      <c r="WCU25" s="19"/>
      <c r="WCV25" s="19"/>
      <c r="WCW25" s="19"/>
      <c r="WCX25" s="19"/>
      <c r="WCY25" s="19"/>
      <c r="WCZ25" s="19"/>
      <c r="WDA25" s="19"/>
      <c r="WDB25" s="19"/>
      <c r="WDC25" s="19"/>
      <c r="WDD25" s="19"/>
      <c r="WDE25" s="19"/>
      <c r="WDF25" s="19"/>
      <c r="WDG25" s="19"/>
      <c r="WDH25" s="19"/>
      <c r="WDI25" s="19"/>
      <c r="WDJ25" s="19"/>
      <c r="WDK25" s="19"/>
      <c r="WDL25" s="19"/>
      <c r="WDM25" s="19"/>
      <c r="WDN25" s="19"/>
      <c r="WDO25" s="19"/>
      <c r="WDP25" s="19"/>
      <c r="WDQ25" s="19"/>
      <c r="WDR25" s="19"/>
      <c r="WDS25" s="19"/>
      <c r="WDT25" s="19"/>
      <c r="WDU25" s="19"/>
      <c r="WDV25" s="19"/>
      <c r="WDW25" s="19"/>
      <c r="WDX25" s="19"/>
      <c r="WDY25" s="19"/>
      <c r="WDZ25" s="19"/>
      <c r="WEA25" s="19"/>
      <c r="WEB25" s="19"/>
      <c r="WEC25" s="19"/>
      <c r="WED25" s="19"/>
      <c r="WEE25" s="19"/>
      <c r="WEF25" s="19"/>
      <c r="WEG25" s="19"/>
      <c r="WEH25" s="19"/>
      <c r="WEI25" s="19"/>
      <c r="WEJ25" s="19"/>
      <c r="WEK25" s="19"/>
      <c r="WEL25" s="19"/>
      <c r="WEM25" s="19"/>
      <c r="WEN25" s="19"/>
      <c r="WEO25" s="19"/>
      <c r="WEP25" s="19"/>
      <c r="WEQ25" s="19"/>
      <c r="WER25" s="19"/>
      <c r="WES25" s="19"/>
      <c r="WET25" s="19"/>
      <c r="WEU25" s="19"/>
      <c r="WEV25" s="19"/>
      <c r="WEW25" s="19"/>
      <c r="WEX25" s="19"/>
      <c r="WEY25" s="19"/>
      <c r="WEZ25" s="19"/>
      <c r="WFA25" s="19"/>
      <c r="WFB25" s="19"/>
      <c r="WFC25" s="19"/>
      <c r="WFD25" s="19"/>
      <c r="WFE25" s="19"/>
      <c r="WFF25" s="19"/>
      <c r="WFG25" s="19"/>
      <c r="WFH25" s="19"/>
      <c r="WFI25" s="19"/>
      <c r="WFJ25" s="19"/>
      <c r="WFK25" s="19"/>
      <c r="WFL25" s="19"/>
      <c r="WFM25" s="19"/>
      <c r="WFN25" s="19"/>
      <c r="WFO25" s="19"/>
      <c r="WFP25" s="19"/>
      <c r="WFQ25" s="19"/>
      <c r="WFR25" s="19"/>
      <c r="WFS25" s="19"/>
      <c r="WFT25" s="19"/>
      <c r="WFU25" s="19"/>
      <c r="WFV25" s="19"/>
      <c r="WFW25" s="19"/>
      <c r="WFX25" s="19"/>
      <c r="WFY25" s="19"/>
      <c r="WFZ25" s="19"/>
      <c r="WGA25" s="19"/>
      <c r="WGB25" s="19"/>
      <c r="WGC25" s="19"/>
      <c r="WGD25" s="19"/>
      <c r="WGE25" s="19"/>
      <c r="WGF25" s="19"/>
      <c r="WGG25" s="19"/>
      <c r="WGH25" s="19"/>
      <c r="WGI25" s="19"/>
      <c r="WGJ25" s="19"/>
      <c r="WGK25" s="19"/>
      <c r="WGL25" s="19"/>
      <c r="WGM25" s="19"/>
      <c r="WGN25" s="19"/>
      <c r="WGO25" s="19"/>
      <c r="WGP25" s="19"/>
      <c r="WGQ25" s="19"/>
      <c r="WGR25" s="19"/>
      <c r="WGS25" s="19"/>
      <c r="WGT25" s="19"/>
      <c r="WGU25" s="19"/>
      <c r="WGV25" s="19"/>
      <c r="WGW25" s="19"/>
      <c r="WGX25" s="19"/>
      <c r="WGY25" s="19"/>
      <c r="WGZ25" s="19"/>
      <c r="WHA25" s="19"/>
      <c r="WHB25" s="19"/>
      <c r="WHC25" s="19"/>
      <c r="WHD25" s="19"/>
      <c r="WHE25" s="19"/>
      <c r="WHF25" s="19"/>
      <c r="WHG25" s="19"/>
      <c r="WHH25" s="19"/>
      <c r="WHI25" s="19"/>
      <c r="WHJ25" s="19"/>
      <c r="WHK25" s="19"/>
      <c r="WHL25" s="19"/>
      <c r="WHM25" s="19"/>
      <c r="WHN25" s="19"/>
      <c r="WHO25" s="19"/>
      <c r="WHP25" s="19"/>
      <c r="WHQ25" s="19"/>
      <c r="WHR25" s="19"/>
      <c r="WHS25" s="19"/>
      <c r="WHT25" s="19"/>
      <c r="WHU25" s="19"/>
      <c r="WHV25" s="19"/>
      <c r="WHW25" s="19"/>
      <c r="WHX25" s="19"/>
      <c r="WHY25" s="19"/>
      <c r="WHZ25" s="19"/>
      <c r="WIA25" s="19"/>
      <c r="WIB25" s="19"/>
      <c r="WIC25" s="19"/>
      <c r="WID25" s="19"/>
      <c r="WIE25" s="19"/>
      <c r="WIF25" s="19"/>
      <c r="WIG25" s="19"/>
      <c r="WIH25" s="19"/>
      <c r="WII25" s="19"/>
      <c r="WIJ25" s="19"/>
      <c r="WIK25" s="19"/>
      <c r="WIL25" s="19"/>
      <c r="WIM25" s="19"/>
      <c r="WIN25" s="19"/>
      <c r="WIO25" s="19"/>
      <c r="WIP25" s="19"/>
      <c r="WIQ25" s="19"/>
      <c r="WIR25" s="19"/>
      <c r="WIS25" s="19"/>
      <c r="WIT25" s="19"/>
      <c r="WIU25" s="19"/>
      <c r="WIV25" s="19"/>
      <c r="WIW25" s="19"/>
      <c r="WIX25" s="19"/>
      <c r="WIY25" s="19"/>
      <c r="WIZ25" s="19"/>
      <c r="WJA25" s="19"/>
      <c r="WJB25" s="19"/>
      <c r="WJC25" s="19"/>
      <c r="WJD25" s="19"/>
      <c r="WJE25" s="19"/>
      <c r="WJF25" s="19"/>
      <c r="WJG25" s="19"/>
      <c r="WJH25" s="19"/>
      <c r="WJI25" s="19"/>
      <c r="WJJ25" s="19"/>
      <c r="WJK25" s="19"/>
      <c r="WJL25" s="19"/>
      <c r="WJM25" s="19"/>
      <c r="WJN25" s="19"/>
      <c r="WJO25" s="19"/>
      <c r="WJP25" s="19"/>
      <c r="WJQ25" s="19"/>
      <c r="WJR25" s="19"/>
      <c r="WJS25" s="19"/>
      <c r="WJT25" s="19"/>
      <c r="WJU25" s="19"/>
      <c r="WJV25" s="19"/>
      <c r="WJW25" s="19"/>
      <c r="WJX25" s="19"/>
      <c r="WJY25" s="19"/>
      <c r="WJZ25" s="19"/>
      <c r="WKA25" s="19"/>
      <c r="WKB25" s="19"/>
      <c r="WKC25" s="19"/>
      <c r="WKD25" s="19"/>
      <c r="WKE25" s="19"/>
      <c r="WKF25" s="19"/>
      <c r="WKG25" s="19"/>
      <c r="WKH25" s="19"/>
      <c r="WKI25" s="19"/>
      <c r="WKJ25" s="19"/>
      <c r="WKK25" s="19"/>
      <c r="WKL25" s="19"/>
      <c r="WKM25" s="19"/>
      <c r="WKN25" s="19"/>
      <c r="WKO25" s="19"/>
      <c r="WKP25" s="19"/>
      <c r="WKQ25" s="19"/>
      <c r="WKR25" s="19"/>
      <c r="WKS25" s="19"/>
      <c r="WKT25" s="19"/>
      <c r="WKU25" s="19"/>
      <c r="WKV25" s="19"/>
      <c r="WKW25" s="19"/>
      <c r="WKX25" s="19"/>
      <c r="WKY25" s="19"/>
      <c r="WKZ25" s="19"/>
      <c r="WLA25" s="19"/>
      <c r="WLB25" s="19"/>
      <c r="WLC25" s="19"/>
      <c r="WLD25" s="19"/>
      <c r="WLE25" s="19"/>
      <c r="WLF25" s="19"/>
      <c r="WLG25" s="19"/>
      <c r="WLH25" s="19"/>
      <c r="WLI25" s="19"/>
      <c r="WLJ25" s="19"/>
      <c r="WLK25" s="19"/>
      <c r="WLL25" s="19"/>
      <c r="WLM25" s="19"/>
      <c r="WLN25" s="19"/>
      <c r="WLO25" s="19"/>
      <c r="WLP25" s="19"/>
      <c r="WLQ25" s="19"/>
      <c r="WLR25" s="19"/>
      <c r="WLS25" s="19"/>
      <c r="WLT25" s="19"/>
      <c r="WLU25" s="19"/>
      <c r="WLV25" s="19"/>
      <c r="WLW25" s="19"/>
      <c r="WLX25" s="19"/>
      <c r="WLY25" s="19"/>
      <c r="WLZ25" s="19"/>
      <c r="WMA25" s="19"/>
      <c r="WMB25" s="19"/>
      <c r="WMC25" s="19"/>
      <c r="WMD25" s="19"/>
      <c r="WME25" s="19"/>
      <c r="WMF25" s="19"/>
      <c r="WMG25" s="19"/>
      <c r="WMH25" s="19"/>
      <c r="WMI25" s="19"/>
      <c r="WMJ25" s="19"/>
      <c r="WMK25" s="19"/>
      <c r="WML25" s="19"/>
      <c r="WMM25" s="19"/>
      <c r="WMN25" s="19"/>
      <c r="WMO25" s="19"/>
      <c r="WMP25" s="19"/>
      <c r="WMQ25" s="19"/>
      <c r="WMR25" s="19"/>
      <c r="WMS25" s="19"/>
      <c r="WMT25" s="19"/>
      <c r="WMU25" s="19"/>
      <c r="WMV25" s="19"/>
      <c r="WMW25" s="19"/>
      <c r="WMX25" s="19"/>
      <c r="WMY25" s="19"/>
      <c r="WMZ25" s="19"/>
      <c r="WNA25" s="19"/>
      <c r="WNB25" s="19"/>
      <c r="WNC25" s="19"/>
      <c r="WND25" s="19"/>
      <c r="WNE25" s="19"/>
      <c r="WNF25" s="19"/>
      <c r="WNG25" s="19"/>
      <c r="WNH25" s="19"/>
      <c r="WNI25" s="19"/>
      <c r="WNJ25" s="19"/>
      <c r="WNK25" s="19"/>
      <c r="WNL25" s="19"/>
      <c r="WNM25" s="19"/>
      <c r="WNN25" s="19"/>
      <c r="WNO25" s="19"/>
      <c r="WNP25" s="19"/>
      <c r="WNQ25" s="19"/>
      <c r="WNR25" s="19"/>
      <c r="WNS25" s="19"/>
      <c r="WNT25" s="19"/>
      <c r="WNU25" s="19"/>
      <c r="WNV25" s="19"/>
      <c r="WNW25" s="19"/>
      <c r="WNX25" s="19"/>
      <c r="WNY25" s="19"/>
      <c r="WNZ25" s="19"/>
      <c r="WOA25" s="19"/>
      <c r="WOB25" s="19"/>
      <c r="WOC25" s="19"/>
      <c r="WOD25" s="19"/>
      <c r="WOE25" s="19"/>
      <c r="WOF25" s="19"/>
      <c r="WOG25" s="19"/>
      <c r="WOH25" s="19"/>
      <c r="WOI25" s="19"/>
      <c r="WOJ25" s="19"/>
      <c r="WOK25" s="19"/>
      <c r="WOL25" s="19"/>
      <c r="WOM25" s="19"/>
      <c r="WON25" s="19"/>
      <c r="WOO25" s="19"/>
      <c r="WOP25" s="19"/>
      <c r="WOQ25" s="19"/>
      <c r="WOR25" s="19"/>
      <c r="WOS25" s="19"/>
      <c r="WOT25" s="19"/>
      <c r="WOU25" s="19"/>
      <c r="WOV25" s="19"/>
      <c r="WOW25" s="19"/>
      <c r="WOX25" s="19"/>
      <c r="WOY25" s="19"/>
      <c r="WOZ25" s="19"/>
      <c r="WPA25" s="19"/>
      <c r="WPB25" s="19"/>
      <c r="WPC25" s="19"/>
      <c r="WPD25" s="19"/>
      <c r="WPE25" s="19"/>
      <c r="WPF25" s="19"/>
      <c r="WPG25" s="19"/>
      <c r="WPH25" s="19"/>
      <c r="WPI25" s="19"/>
      <c r="WPJ25" s="19"/>
      <c r="WPK25" s="19"/>
      <c r="WPL25" s="19"/>
      <c r="WPM25" s="19"/>
      <c r="WPN25" s="19"/>
      <c r="WPO25" s="19"/>
      <c r="WPP25" s="19"/>
      <c r="WPQ25" s="19"/>
      <c r="WPR25" s="19"/>
      <c r="WPS25" s="19"/>
      <c r="WPT25" s="19"/>
      <c r="WPU25" s="19"/>
      <c r="WPV25" s="19"/>
      <c r="WPW25" s="19"/>
      <c r="WPX25" s="19"/>
      <c r="WPY25" s="19"/>
      <c r="WPZ25" s="19"/>
      <c r="WQA25" s="19"/>
      <c r="WQB25" s="19"/>
      <c r="WQC25" s="19"/>
      <c r="WQD25" s="19"/>
      <c r="WQE25" s="19"/>
      <c r="WQF25" s="19"/>
      <c r="WQG25" s="19"/>
      <c r="WQH25" s="19"/>
      <c r="WQI25" s="19"/>
      <c r="WQJ25" s="19"/>
      <c r="WQK25" s="19"/>
      <c r="WQL25" s="19"/>
      <c r="WQM25" s="19"/>
      <c r="WQN25" s="19"/>
      <c r="WQO25" s="19"/>
      <c r="WQP25" s="19"/>
      <c r="WQQ25" s="19"/>
      <c r="WQR25" s="19"/>
      <c r="WQS25" s="19"/>
      <c r="WQT25" s="19"/>
      <c r="WQU25" s="19"/>
      <c r="WQV25" s="19"/>
      <c r="WQW25" s="19"/>
      <c r="WQX25" s="19"/>
      <c r="WQY25" s="19"/>
      <c r="WQZ25" s="19"/>
      <c r="WRA25" s="19"/>
      <c r="WRB25" s="19"/>
      <c r="WRC25" s="19"/>
      <c r="WRD25" s="19"/>
      <c r="WRE25" s="19"/>
      <c r="WRF25" s="19"/>
      <c r="WRG25" s="19"/>
      <c r="WRH25" s="19"/>
      <c r="WRI25" s="19"/>
      <c r="WRJ25" s="19"/>
      <c r="WRK25" s="19"/>
      <c r="WRL25" s="19"/>
      <c r="WRM25" s="19"/>
      <c r="WRN25" s="19"/>
      <c r="WRO25" s="19"/>
      <c r="WRP25" s="19"/>
      <c r="WRQ25" s="19"/>
      <c r="WRR25" s="19"/>
      <c r="WRS25" s="19"/>
      <c r="WRT25" s="19"/>
      <c r="WRU25" s="19"/>
      <c r="WRV25" s="19"/>
      <c r="WRW25" s="19"/>
      <c r="WRX25" s="19"/>
      <c r="WRY25" s="19"/>
      <c r="WRZ25" s="19"/>
      <c r="WSA25" s="19"/>
      <c r="WSB25" s="19"/>
      <c r="WSC25" s="19"/>
      <c r="WSD25" s="19"/>
      <c r="WSE25" s="19"/>
      <c r="WSF25" s="19"/>
      <c r="WSG25" s="19"/>
      <c r="WSH25" s="19"/>
      <c r="WSI25" s="19"/>
      <c r="WSJ25" s="19"/>
      <c r="WSK25" s="19"/>
      <c r="WSL25" s="19"/>
      <c r="WSM25" s="19"/>
      <c r="WSN25" s="19"/>
      <c r="WSO25" s="19"/>
      <c r="WSP25" s="19"/>
      <c r="WSQ25" s="19"/>
      <c r="WSR25" s="19"/>
      <c r="WSS25" s="19"/>
      <c r="WST25" s="19"/>
      <c r="WSU25" s="19"/>
      <c r="WSV25" s="19"/>
      <c r="WSW25" s="19"/>
      <c r="WSX25" s="19"/>
      <c r="WSY25" s="19"/>
      <c r="WSZ25" s="19"/>
      <c r="WTA25" s="19"/>
      <c r="WTB25" s="19"/>
      <c r="WTC25" s="19"/>
      <c r="WTD25" s="19"/>
      <c r="WTE25" s="19"/>
      <c r="WTF25" s="19"/>
      <c r="WTG25" s="19"/>
      <c r="WTH25" s="19"/>
      <c r="WTI25" s="19"/>
      <c r="WTJ25" s="19"/>
      <c r="WTK25" s="19"/>
      <c r="WTL25" s="19"/>
      <c r="WTM25" s="19"/>
      <c r="WTN25" s="19"/>
      <c r="WTO25" s="19"/>
      <c r="WTP25" s="19"/>
      <c r="WTQ25" s="19"/>
      <c r="WTR25" s="19"/>
      <c r="WTS25" s="19"/>
      <c r="WTT25" s="19"/>
      <c r="WTU25" s="19"/>
      <c r="WTV25" s="19"/>
      <c r="WTW25" s="19"/>
      <c r="WTX25" s="19"/>
      <c r="WTY25" s="19"/>
      <c r="WTZ25" s="19"/>
      <c r="WUA25" s="19"/>
      <c r="WUB25" s="19"/>
      <c r="WUC25" s="19"/>
      <c r="WUD25" s="19"/>
      <c r="WUE25" s="19"/>
      <c r="WUF25" s="19"/>
      <c r="WUG25" s="19"/>
      <c r="WUH25" s="19"/>
      <c r="WUI25" s="19"/>
      <c r="WUJ25" s="19"/>
      <c r="WUK25" s="19"/>
      <c r="WUL25" s="19"/>
      <c r="WUM25" s="19"/>
      <c r="WUN25" s="19"/>
      <c r="WUO25" s="19"/>
      <c r="WUP25" s="19"/>
      <c r="WUQ25" s="19"/>
      <c r="WUR25" s="19"/>
      <c r="WUS25" s="19"/>
      <c r="WUT25" s="19"/>
      <c r="WUU25" s="19"/>
      <c r="WUV25" s="19"/>
      <c r="WUW25" s="19"/>
      <c r="WUX25" s="19"/>
      <c r="WUY25" s="19"/>
      <c r="WUZ25" s="19"/>
      <c r="WVA25" s="19"/>
      <c r="WVB25" s="19"/>
      <c r="WVC25" s="19"/>
      <c r="WVD25" s="19"/>
      <c r="WVE25" s="19"/>
      <c r="WVF25" s="19"/>
      <c r="WVG25" s="19"/>
      <c r="WVH25" s="19"/>
      <c r="WVI25" s="19"/>
      <c r="WVJ25" s="19"/>
      <c r="WVK25" s="19"/>
      <c r="WVL25" s="19"/>
      <c r="WVM25" s="19"/>
      <c r="WVN25" s="19"/>
      <c r="WVO25" s="19"/>
      <c r="WVP25" s="19"/>
      <c r="WVQ25" s="19"/>
      <c r="WVR25" s="19"/>
      <c r="WVS25" s="19"/>
      <c r="WVT25" s="19"/>
      <c r="WVU25" s="19"/>
      <c r="WVV25" s="19"/>
      <c r="WVW25" s="19"/>
      <c r="WVX25" s="19"/>
      <c r="WVY25" s="19"/>
      <c r="WVZ25" s="19"/>
      <c r="WWA25" s="19"/>
      <c r="WWB25" s="19"/>
      <c r="WWC25" s="19"/>
      <c r="WWD25" s="19"/>
      <c r="WWE25" s="19"/>
      <c r="WWF25" s="19"/>
      <c r="WWG25" s="19"/>
      <c r="WWH25" s="19"/>
      <c r="WWI25" s="19"/>
      <c r="WWJ25" s="19"/>
      <c r="WWK25" s="19"/>
      <c r="WWL25" s="19"/>
      <c r="WWM25" s="19"/>
      <c r="WWN25" s="19"/>
      <c r="WWO25" s="19"/>
      <c r="WWP25" s="19"/>
      <c r="WWQ25" s="19"/>
      <c r="WWR25" s="19"/>
      <c r="WWS25" s="19"/>
      <c r="WWT25" s="19"/>
      <c r="WWU25" s="19"/>
      <c r="WWV25" s="19"/>
      <c r="WWW25" s="19"/>
      <c r="WWX25" s="19"/>
      <c r="WWY25" s="19"/>
      <c r="WWZ25" s="19"/>
      <c r="WXA25" s="19"/>
      <c r="WXB25" s="19"/>
      <c r="WXC25" s="19"/>
      <c r="WXD25" s="19"/>
      <c r="WXE25" s="19"/>
      <c r="WXF25" s="19"/>
      <c r="WXG25" s="19"/>
      <c r="WXH25" s="19"/>
      <c r="WXI25" s="19"/>
      <c r="WXJ25" s="19"/>
      <c r="WXK25" s="19"/>
      <c r="WXL25" s="19"/>
      <c r="WXM25" s="19"/>
      <c r="WXN25" s="19"/>
      <c r="WXO25" s="19"/>
      <c r="WXP25" s="19"/>
      <c r="WXQ25" s="19"/>
      <c r="WXR25" s="19"/>
      <c r="WXS25" s="19"/>
      <c r="WXT25" s="19"/>
      <c r="WXU25" s="19"/>
      <c r="WXV25" s="19"/>
      <c r="WXW25" s="19"/>
      <c r="WXX25" s="19"/>
      <c r="WXY25" s="19"/>
      <c r="WXZ25" s="19"/>
      <c r="WYA25" s="19"/>
      <c r="WYB25" s="19"/>
      <c r="WYC25" s="19"/>
      <c r="WYD25" s="19"/>
      <c r="WYE25" s="19"/>
      <c r="WYF25" s="19"/>
      <c r="WYG25" s="19"/>
      <c r="WYH25" s="19"/>
      <c r="WYI25" s="19"/>
      <c r="WYJ25" s="19"/>
      <c r="WYK25" s="19"/>
      <c r="WYL25" s="19"/>
      <c r="WYM25" s="19"/>
      <c r="WYN25" s="19"/>
      <c r="WYO25" s="19"/>
      <c r="WYP25" s="19"/>
      <c r="WYQ25" s="19"/>
      <c r="WYR25" s="19"/>
      <c r="WYS25" s="19"/>
      <c r="WYT25" s="19"/>
      <c r="WYU25" s="19"/>
      <c r="WYV25" s="19"/>
      <c r="WYW25" s="19"/>
      <c r="WYX25" s="19"/>
      <c r="WYY25" s="19"/>
      <c r="WYZ25" s="19"/>
      <c r="WZA25" s="19"/>
      <c r="WZB25" s="19"/>
      <c r="WZC25" s="19"/>
      <c r="WZD25" s="19"/>
      <c r="WZE25" s="19"/>
      <c r="WZF25" s="19"/>
      <c r="WZG25" s="19"/>
      <c r="WZH25" s="19"/>
      <c r="WZI25" s="19"/>
      <c r="WZJ25" s="19"/>
      <c r="WZK25" s="19"/>
      <c r="WZL25" s="19"/>
      <c r="WZM25" s="19"/>
      <c r="WZN25" s="19"/>
      <c r="WZO25" s="19"/>
      <c r="WZP25" s="19"/>
      <c r="WZQ25" s="19"/>
      <c r="WZR25" s="19"/>
      <c r="WZS25" s="19"/>
      <c r="WZT25" s="19"/>
      <c r="WZU25" s="19"/>
      <c r="WZV25" s="19"/>
      <c r="WZW25" s="19"/>
      <c r="WZX25" s="19"/>
      <c r="WZY25" s="19"/>
      <c r="WZZ25" s="19"/>
      <c r="XAA25" s="19"/>
      <c r="XAB25" s="19"/>
      <c r="XAC25" s="19"/>
      <c r="XAD25" s="19"/>
      <c r="XAE25" s="19"/>
      <c r="XAF25" s="19"/>
      <c r="XAG25" s="19"/>
      <c r="XAH25" s="19"/>
      <c r="XAI25" s="19"/>
      <c r="XAJ25" s="19"/>
      <c r="XAK25" s="19"/>
      <c r="XAL25" s="19"/>
      <c r="XAM25" s="19"/>
      <c r="XAN25" s="19"/>
      <c r="XAO25" s="19"/>
      <c r="XAP25" s="19"/>
      <c r="XAQ25" s="19"/>
      <c r="XAR25" s="19"/>
      <c r="XAS25" s="19"/>
      <c r="XAT25" s="19"/>
      <c r="XAU25" s="19"/>
      <c r="XAV25" s="19"/>
      <c r="XAW25" s="19"/>
      <c r="XAX25" s="19"/>
      <c r="XAY25" s="19"/>
      <c r="XAZ25" s="19"/>
      <c r="XBA25" s="19"/>
      <c r="XBB25" s="19"/>
      <c r="XBC25" s="19"/>
      <c r="XBD25" s="19"/>
      <c r="XBE25" s="19"/>
      <c r="XBF25" s="19"/>
      <c r="XBG25" s="19"/>
      <c r="XBH25" s="19"/>
      <c r="XBI25" s="19"/>
      <c r="XBJ25" s="19"/>
      <c r="XBK25" s="19"/>
      <c r="XBL25" s="19"/>
      <c r="XBM25" s="19"/>
      <c r="XBN25" s="19"/>
      <c r="XBO25" s="19"/>
      <c r="XBP25" s="19"/>
      <c r="XBQ25" s="19"/>
      <c r="XBR25" s="19"/>
      <c r="XBS25" s="19"/>
      <c r="XBT25" s="19"/>
      <c r="XBU25" s="19"/>
      <c r="XBV25" s="19"/>
      <c r="XBW25" s="19"/>
      <c r="XBX25" s="19"/>
      <c r="XBY25" s="19"/>
      <c r="XBZ25" s="19"/>
      <c r="XCA25" s="19"/>
      <c r="XCB25" s="19"/>
      <c r="XCC25" s="19"/>
      <c r="XCD25" s="19"/>
      <c r="XCE25" s="19"/>
      <c r="XCF25" s="19"/>
      <c r="XCG25" s="19"/>
      <c r="XCH25" s="19"/>
      <c r="XCI25" s="19"/>
      <c r="XCJ25" s="19"/>
      <c r="XCK25" s="19"/>
      <c r="XCL25" s="19"/>
      <c r="XCM25" s="19"/>
      <c r="XCN25" s="19"/>
      <c r="XCO25" s="19"/>
      <c r="XCP25" s="19"/>
      <c r="XCQ25" s="19"/>
      <c r="XCR25" s="19"/>
      <c r="XCS25" s="19"/>
      <c r="XCT25" s="19"/>
      <c r="XCU25" s="19"/>
      <c r="XCV25" s="19"/>
      <c r="XCW25" s="19"/>
      <c r="XCX25" s="19"/>
      <c r="XCY25" s="19"/>
      <c r="XCZ25" s="19"/>
      <c r="XDA25" s="19"/>
      <c r="XDB25" s="19"/>
      <c r="XDC25" s="19"/>
      <c r="XDD25" s="19"/>
      <c r="XDE25" s="19"/>
      <c r="XDF25" s="19"/>
      <c r="XDG25" s="19"/>
      <c r="XDH25" s="19"/>
      <c r="XDI25" s="19"/>
      <c r="XDJ25" s="19"/>
      <c r="XDK25" s="19"/>
      <c r="XDL25" s="19"/>
      <c r="XDM25" s="19"/>
      <c r="XDN25" s="19"/>
      <c r="XDO25" s="19"/>
      <c r="XDP25" s="19"/>
      <c r="XDQ25" s="19"/>
      <c r="XDR25" s="19"/>
      <c r="XDS25" s="19"/>
      <c r="XDT25" s="19"/>
      <c r="XDU25" s="19"/>
      <c r="XDV25" s="19"/>
      <c r="XDW25" s="19"/>
      <c r="XDX25" s="19"/>
      <c r="XDY25" s="19"/>
      <c r="XDZ25" s="19"/>
      <c r="XEA25" s="19"/>
      <c r="XEB25" s="19"/>
      <c r="XEC25" s="19"/>
      <c r="XED25" s="19"/>
      <c r="XEE25" s="19"/>
      <c r="XEF25" s="19"/>
      <c r="XEG25" s="19"/>
      <c r="XEH25" s="19"/>
      <c r="XEI25" s="19"/>
      <c r="XEJ25" s="19"/>
      <c r="XEK25" s="19"/>
      <c r="XEL25" s="19"/>
      <c r="XEM25" s="19"/>
      <c r="XEN25" s="19"/>
      <c r="XEO25" s="19"/>
      <c r="XEP25" s="19"/>
      <c r="XEQ25" s="19"/>
      <c r="XER25" s="19"/>
      <c r="XES25" s="19"/>
      <c r="XET25" s="19"/>
      <c r="XEU25" s="19"/>
      <c r="XEV25" s="19"/>
      <c r="XEW25" s="19"/>
      <c r="XEX25" s="19"/>
      <c r="XEY25" s="19"/>
      <c r="XEZ25" s="19"/>
      <c r="XFA25" s="19"/>
      <c r="XFB25" s="19"/>
      <c r="XFC25" s="19"/>
      <c r="XFD25" s="19"/>
    </row>
    <row r="26" spans="1:16384" s="60" customFormat="1">
      <c r="A26" s="86">
        <v>45198</v>
      </c>
      <c r="B26" s="19" t="s">
        <v>322</v>
      </c>
      <c r="C26" s="19">
        <v>44908</v>
      </c>
      <c r="D26" s="20" t="s">
        <v>341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19"/>
      <c r="IV26" s="19"/>
      <c r="IW26" s="19"/>
      <c r="IX26" s="19"/>
      <c r="IY26" s="19"/>
      <c r="IZ26" s="19"/>
      <c r="JA26" s="19"/>
      <c r="JB26" s="19"/>
      <c r="JC26" s="19"/>
      <c r="JD26" s="19"/>
      <c r="JE26" s="19"/>
      <c r="JF26" s="19"/>
      <c r="JG26" s="19"/>
      <c r="JH26" s="19"/>
      <c r="JI26" s="19"/>
      <c r="JJ26" s="19"/>
      <c r="JK26" s="19"/>
      <c r="JL26" s="19"/>
      <c r="JM26" s="19"/>
      <c r="JN26" s="19"/>
      <c r="JO26" s="19"/>
      <c r="JP26" s="19"/>
      <c r="JQ26" s="19"/>
      <c r="JR26" s="19"/>
      <c r="JS26" s="19"/>
      <c r="JT26" s="19"/>
      <c r="JU26" s="19"/>
      <c r="JV26" s="19"/>
      <c r="JW26" s="19"/>
      <c r="JX26" s="19"/>
      <c r="JY26" s="19"/>
      <c r="JZ26" s="19"/>
      <c r="KA26" s="19"/>
      <c r="KB26" s="19"/>
      <c r="KC26" s="19"/>
      <c r="KD26" s="19"/>
      <c r="KE26" s="19"/>
      <c r="KF26" s="19"/>
      <c r="KG26" s="19"/>
      <c r="KH26" s="19"/>
      <c r="KI26" s="19"/>
      <c r="KJ26" s="19"/>
      <c r="KK26" s="19"/>
      <c r="KL26" s="19"/>
      <c r="KM26" s="19"/>
      <c r="KN26" s="19"/>
      <c r="KO26" s="19"/>
      <c r="KP26" s="19"/>
      <c r="KQ26" s="19"/>
      <c r="KR26" s="19"/>
      <c r="KS26" s="19"/>
      <c r="KT26" s="19"/>
      <c r="KU26" s="19"/>
      <c r="KV26" s="19"/>
      <c r="KW26" s="19"/>
      <c r="KX26" s="19"/>
      <c r="KY26" s="19"/>
      <c r="KZ26" s="19"/>
      <c r="LA26" s="19"/>
      <c r="LB26" s="19"/>
      <c r="LC26" s="19"/>
      <c r="LD26" s="19"/>
      <c r="LE26" s="19"/>
      <c r="LF26" s="19"/>
      <c r="LG26" s="19"/>
      <c r="LH26" s="19"/>
      <c r="LI26" s="19"/>
      <c r="LJ26" s="19"/>
      <c r="LK26" s="19"/>
      <c r="LL26" s="19"/>
      <c r="LM26" s="19"/>
      <c r="LN26" s="19"/>
      <c r="LO26" s="19"/>
      <c r="LP26" s="19"/>
      <c r="LQ26" s="19"/>
      <c r="LR26" s="19"/>
      <c r="LS26" s="19"/>
      <c r="LT26" s="19"/>
      <c r="LU26" s="19"/>
      <c r="LV26" s="19"/>
      <c r="LW26" s="19"/>
      <c r="LX26" s="19"/>
      <c r="LY26" s="19"/>
      <c r="LZ26" s="19"/>
      <c r="MA26" s="19"/>
      <c r="MB26" s="19"/>
      <c r="MC26" s="19"/>
      <c r="MD26" s="19"/>
      <c r="ME26" s="19"/>
      <c r="MF26" s="19"/>
      <c r="MG26" s="19"/>
      <c r="MH26" s="19"/>
      <c r="MI26" s="19"/>
      <c r="MJ26" s="19"/>
      <c r="MK26" s="19"/>
      <c r="ML26" s="19"/>
      <c r="MM26" s="19"/>
      <c r="MN26" s="19"/>
      <c r="MO26" s="19"/>
      <c r="MP26" s="19"/>
      <c r="MQ26" s="19"/>
      <c r="MR26" s="19"/>
      <c r="MS26" s="19"/>
      <c r="MT26" s="19"/>
      <c r="MU26" s="19"/>
      <c r="MV26" s="19"/>
      <c r="MW26" s="19"/>
      <c r="MX26" s="19"/>
      <c r="MY26" s="19"/>
      <c r="MZ26" s="19"/>
      <c r="NA26" s="19"/>
      <c r="NB26" s="19"/>
      <c r="NC26" s="19"/>
      <c r="ND26" s="19"/>
      <c r="NE26" s="19"/>
      <c r="NF26" s="19"/>
      <c r="NG26" s="19"/>
      <c r="NH26" s="19"/>
      <c r="NI26" s="19"/>
      <c r="NJ26" s="19"/>
      <c r="NK26" s="19"/>
      <c r="NL26" s="19"/>
      <c r="NM26" s="19"/>
      <c r="NN26" s="19"/>
      <c r="NO26" s="19"/>
      <c r="NP26" s="19"/>
      <c r="NQ26" s="19"/>
      <c r="NR26" s="19"/>
      <c r="NS26" s="19"/>
      <c r="NT26" s="19"/>
      <c r="NU26" s="19"/>
      <c r="NV26" s="19"/>
      <c r="NW26" s="19"/>
      <c r="NX26" s="19"/>
      <c r="NY26" s="19"/>
      <c r="NZ26" s="19"/>
      <c r="OA26" s="19"/>
      <c r="OB26" s="19"/>
      <c r="OC26" s="19"/>
      <c r="OD26" s="19"/>
      <c r="OE26" s="19"/>
      <c r="OF26" s="19"/>
      <c r="OG26" s="19"/>
      <c r="OH26" s="19"/>
      <c r="OI26" s="19"/>
      <c r="OJ26" s="19"/>
      <c r="OK26" s="19"/>
      <c r="OL26" s="19"/>
      <c r="OM26" s="19"/>
      <c r="ON26" s="19"/>
      <c r="OO26" s="19"/>
      <c r="OP26" s="19"/>
      <c r="OQ26" s="19"/>
      <c r="OR26" s="19"/>
      <c r="OS26" s="19"/>
      <c r="OT26" s="19"/>
      <c r="OU26" s="19"/>
      <c r="OV26" s="19"/>
      <c r="OW26" s="19"/>
      <c r="OX26" s="19"/>
      <c r="OY26" s="19"/>
      <c r="OZ26" s="19"/>
      <c r="PA26" s="19"/>
      <c r="PB26" s="19"/>
      <c r="PC26" s="19"/>
      <c r="PD26" s="19"/>
      <c r="PE26" s="19"/>
      <c r="PF26" s="19"/>
      <c r="PG26" s="19"/>
      <c r="PH26" s="19"/>
      <c r="PI26" s="19"/>
      <c r="PJ26" s="19"/>
      <c r="PK26" s="19"/>
      <c r="PL26" s="19"/>
      <c r="PM26" s="19"/>
      <c r="PN26" s="19"/>
      <c r="PO26" s="19"/>
      <c r="PP26" s="19"/>
      <c r="PQ26" s="19"/>
      <c r="PR26" s="19"/>
      <c r="PS26" s="19"/>
      <c r="PT26" s="19"/>
      <c r="PU26" s="19"/>
      <c r="PV26" s="19"/>
      <c r="PW26" s="19"/>
      <c r="PX26" s="19"/>
      <c r="PY26" s="19"/>
      <c r="PZ26" s="19"/>
      <c r="QA26" s="19"/>
      <c r="QB26" s="19"/>
      <c r="QC26" s="19"/>
      <c r="QD26" s="19"/>
      <c r="QE26" s="19"/>
      <c r="QF26" s="19"/>
      <c r="QG26" s="19"/>
      <c r="QH26" s="19"/>
      <c r="QI26" s="19"/>
      <c r="QJ26" s="19"/>
      <c r="QK26" s="19"/>
      <c r="QL26" s="19"/>
      <c r="QM26" s="19"/>
      <c r="QN26" s="19"/>
      <c r="QO26" s="19"/>
      <c r="QP26" s="19"/>
      <c r="QQ26" s="19"/>
      <c r="QR26" s="19"/>
      <c r="QS26" s="19"/>
      <c r="QT26" s="19"/>
      <c r="QU26" s="19"/>
      <c r="QV26" s="19"/>
      <c r="QW26" s="19"/>
      <c r="QX26" s="19"/>
      <c r="QY26" s="19"/>
      <c r="QZ26" s="19"/>
      <c r="RA26" s="19"/>
      <c r="RB26" s="19"/>
      <c r="RC26" s="19"/>
      <c r="RD26" s="19"/>
      <c r="RE26" s="19"/>
      <c r="RF26" s="19"/>
      <c r="RG26" s="19"/>
      <c r="RH26" s="19"/>
      <c r="RI26" s="19"/>
      <c r="RJ26" s="19"/>
      <c r="RK26" s="19"/>
      <c r="RL26" s="19"/>
      <c r="RM26" s="19"/>
      <c r="RN26" s="19"/>
      <c r="RO26" s="19"/>
      <c r="RP26" s="19"/>
      <c r="RQ26" s="19"/>
      <c r="RR26" s="19"/>
      <c r="RS26" s="19"/>
      <c r="RT26" s="19"/>
      <c r="RU26" s="19"/>
      <c r="RV26" s="19"/>
      <c r="RW26" s="19"/>
      <c r="RX26" s="19"/>
      <c r="RY26" s="19"/>
      <c r="RZ26" s="19"/>
      <c r="SA26" s="19"/>
      <c r="SB26" s="19"/>
      <c r="SC26" s="19"/>
      <c r="SD26" s="19"/>
      <c r="SE26" s="19"/>
      <c r="SF26" s="19"/>
      <c r="SG26" s="19"/>
      <c r="SH26" s="19"/>
      <c r="SI26" s="19"/>
      <c r="SJ26" s="19"/>
      <c r="SK26" s="19"/>
      <c r="SL26" s="19"/>
      <c r="SM26" s="19"/>
      <c r="SN26" s="19"/>
      <c r="SO26" s="19"/>
      <c r="SP26" s="19"/>
      <c r="SQ26" s="19"/>
      <c r="SR26" s="19"/>
      <c r="SS26" s="19"/>
      <c r="ST26" s="19"/>
      <c r="SU26" s="19"/>
      <c r="SV26" s="19"/>
      <c r="SW26" s="19"/>
      <c r="SX26" s="19"/>
      <c r="SY26" s="19"/>
      <c r="SZ26" s="19"/>
      <c r="TA26" s="19"/>
      <c r="TB26" s="19"/>
      <c r="TC26" s="19"/>
      <c r="TD26" s="19"/>
      <c r="TE26" s="19"/>
      <c r="TF26" s="19"/>
      <c r="TG26" s="19"/>
      <c r="TH26" s="19"/>
      <c r="TI26" s="19"/>
      <c r="TJ26" s="19"/>
      <c r="TK26" s="19"/>
      <c r="TL26" s="19"/>
      <c r="TM26" s="19"/>
      <c r="TN26" s="19"/>
      <c r="TO26" s="19"/>
      <c r="TP26" s="19"/>
      <c r="TQ26" s="19"/>
      <c r="TR26" s="19"/>
      <c r="TS26" s="19"/>
      <c r="TT26" s="19"/>
      <c r="TU26" s="19"/>
      <c r="TV26" s="19"/>
      <c r="TW26" s="19"/>
      <c r="TX26" s="19"/>
      <c r="TY26" s="19"/>
      <c r="TZ26" s="19"/>
      <c r="UA26" s="19"/>
      <c r="UB26" s="19"/>
      <c r="UC26" s="19"/>
      <c r="UD26" s="19"/>
      <c r="UE26" s="19"/>
      <c r="UF26" s="19"/>
      <c r="UG26" s="19"/>
      <c r="UH26" s="19"/>
      <c r="UI26" s="19"/>
      <c r="UJ26" s="19"/>
      <c r="UK26" s="19"/>
      <c r="UL26" s="19"/>
      <c r="UM26" s="19"/>
      <c r="UN26" s="19"/>
      <c r="UO26" s="19"/>
      <c r="UP26" s="19"/>
      <c r="UQ26" s="19"/>
      <c r="UR26" s="19"/>
      <c r="US26" s="19"/>
      <c r="UT26" s="19"/>
      <c r="UU26" s="19"/>
      <c r="UV26" s="19"/>
      <c r="UW26" s="19"/>
      <c r="UX26" s="19"/>
      <c r="UY26" s="19"/>
      <c r="UZ26" s="19"/>
      <c r="VA26" s="19"/>
      <c r="VB26" s="19"/>
      <c r="VC26" s="19"/>
      <c r="VD26" s="19"/>
      <c r="VE26" s="19"/>
      <c r="VF26" s="19"/>
      <c r="VG26" s="19"/>
      <c r="VH26" s="19"/>
      <c r="VI26" s="19"/>
      <c r="VJ26" s="19"/>
      <c r="VK26" s="19"/>
      <c r="VL26" s="19"/>
      <c r="VM26" s="19"/>
      <c r="VN26" s="19"/>
      <c r="VO26" s="19"/>
      <c r="VP26" s="19"/>
      <c r="VQ26" s="19"/>
      <c r="VR26" s="19"/>
      <c r="VS26" s="19"/>
      <c r="VT26" s="19"/>
      <c r="VU26" s="19"/>
      <c r="VV26" s="19"/>
      <c r="VW26" s="19"/>
      <c r="VX26" s="19"/>
      <c r="VY26" s="19"/>
      <c r="VZ26" s="19"/>
      <c r="WA26" s="19"/>
      <c r="WB26" s="19"/>
      <c r="WC26" s="19"/>
      <c r="WD26" s="19"/>
      <c r="WE26" s="19"/>
      <c r="WF26" s="19"/>
      <c r="WG26" s="19"/>
      <c r="WH26" s="19"/>
      <c r="WI26" s="19"/>
      <c r="WJ26" s="19"/>
      <c r="WK26" s="19"/>
      <c r="WL26" s="19"/>
      <c r="WM26" s="19"/>
      <c r="WN26" s="19"/>
      <c r="WO26" s="19"/>
      <c r="WP26" s="19"/>
      <c r="WQ26" s="19"/>
      <c r="WR26" s="19"/>
      <c r="WS26" s="19"/>
      <c r="WT26" s="19"/>
      <c r="WU26" s="19"/>
      <c r="WV26" s="19"/>
      <c r="WW26" s="19"/>
      <c r="WX26" s="19"/>
      <c r="WY26" s="19"/>
      <c r="WZ26" s="19"/>
      <c r="XA26" s="19"/>
      <c r="XB26" s="19"/>
      <c r="XC26" s="19"/>
      <c r="XD26" s="19"/>
      <c r="XE26" s="19"/>
      <c r="XF26" s="19"/>
      <c r="XG26" s="19"/>
      <c r="XH26" s="19"/>
      <c r="XI26" s="19"/>
      <c r="XJ26" s="19"/>
      <c r="XK26" s="19"/>
      <c r="XL26" s="19"/>
      <c r="XM26" s="19"/>
      <c r="XN26" s="19"/>
      <c r="XO26" s="19"/>
      <c r="XP26" s="19"/>
      <c r="XQ26" s="19"/>
      <c r="XR26" s="19"/>
      <c r="XS26" s="19"/>
      <c r="XT26" s="19"/>
      <c r="XU26" s="19"/>
      <c r="XV26" s="19"/>
      <c r="XW26" s="19"/>
      <c r="XX26" s="19"/>
      <c r="XY26" s="19"/>
      <c r="XZ26" s="19"/>
      <c r="YA26" s="19"/>
      <c r="YB26" s="19"/>
      <c r="YC26" s="19"/>
      <c r="YD26" s="19"/>
      <c r="YE26" s="19"/>
      <c r="YF26" s="19"/>
      <c r="YG26" s="19"/>
      <c r="YH26" s="19"/>
      <c r="YI26" s="19"/>
      <c r="YJ26" s="19"/>
      <c r="YK26" s="19"/>
      <c r="YL26" s="19"/>
      <c r="YM26" s="19"/>
      <c r="YN26" s="19"/>
      <c r="YO26" s="19"/>
      <c r="YP26" s="19"/>
      <c r="YQ26" s="19"/>
      <c r="YR26" s="19"/>
      <c r="YS26" s="19"/>
      <c r="YT26" s="19"/>
      <c r="YU26" s="19"/>
      <c r="YV26" s="19"/>
      <c r="YW26" s="19"/>
      <c r="YX26" s="19"/>
      <c r="YY26" s="19"/>
      <c r="YZ26" s="19"/>
      <c r="ZA26" s="19"/>
      <c r="ZB26" s="19"/>
      <c r="ZC26" s="19"/>
      <c r="ZD26" s="19"/>
      <c r="ZE26" s="19"/>
      <c r="ZF26" s="19"/>
      <c r="ZG26" s="19"/>
      <c r="ZH26" s="19"/>
      <c r="ZI26" s="19"/>
      <c r="ZJ26" s="19"/>
      <c r="ZK26" s="19"/>
      <c r="ZL26" s="19"/>
      <c r="ZM26" s="19"/>
      <c r="ZN26" s="19"/>
      <c r="ZO26" s="19"/>
      <c r="ZP26" s="19"/>
      <c r="ZQ26" s="19"/>
      <c r="ZR26" s="19"/>
      <c r="ZS26" s="19"/>
      <c r="ZT26" s="19"/>
      <c r="ZU26" s="19"/>
      <c r="ZV26" s="19"/>
      <c r="ZW26" s="19"/>
      <c r="ZX26" s="19"/>
      <c r="ZY26" s="19"/>
      <c r="ZZ26" s="19"/>
      <c r="AAA26" s="19"/>
      <c r="AAB26" s="19"/>
      <c r="AAC26" s="19"/>
      <c r="AAD26" s="19"/>
      <c r="AAE26" s="19"/>
      <c r="AAF26" s="19"/>
      <c r="AAG26" s="19"/>
      <c r="AAH26" s="19"/>
      <c r="AAI26" s="19"/>
      <c r="AAJ26" s="19"/>
      <c r="AAK26" s="19"/>
      <c r="AAL26" s="19"/>
      <c r="AAM26" s="19"/>
      <c r="AAN26" s="19"/>
      <c r="AAO26" s="19"/>
      <c r="AAP26" s="19"/>
      <c r="AAQ26" s="19"/>
      <c r="AAR26" s="19"/>
      <c r="AAS26" s="19"/>
      <c r="AAT26" s="19"/>
      <c r="AAU26" s="19"/>
      <c r="AAV26" s="19"/>
      <c r="AAW26" s="19"/>
      <c r="AAX26" s="19"/>
      <c r="AAY26" s="19"/>
      <c r="AAZ26" s="19"/>
      <c r="ABA26" s="19"/>
      <c r="ABB26" s="19"/>
      <c r="ABC26" s="19"/>
      <c r="ABD26" s="19"/>
      <c r="ABE26" s="19"/>
      <c r="ABF26" s="19"/>
      <c r="ABG26" s="19"/>
      <c r="ABH26" s="19"/>
      <c r="ABI26" s="19"/>
      <c r="ABJ26" s="19"/>
      <c r="ABK26" s="19"/>
      <c r="ABL26" s="19"/>
      <c r="ABM26" s="19"/>
      <c r="ABN26" s="19"/>
      <c r="ABO26" s="19"/>
      <c r="ABP26" s="19"/>
      <c r="ABQ26" s="19"/>
      <c r="ABR26" s="19"/>
      <c r="ABS26" s="19"/>
      <c r="ABT26" s="19"/>
      <c r="ABU26" s="19"/>
      <c r="ABV26" s="19"/>
      <c r="ABW26" s="19"/>
      <c r="ABX26" s="19"/>
      <c r="ABY26" s="19"/>
      <c r="ABZ26" s="19"/>
      <c r="ACA26" s="19"/>
      <c r="ACB26" s="19"/>
      <c r="ACC26" s="19"/>
      <c r="ACD26" s="19"/>
      <c r="ACE26" s="19"/>
      <c r="ACF26" s="19"/>
      <c r="ACG26" s="19"/>
      <c r="ACH26" s="19"/>
      <c r="ACI26" s="19"/>
      <c r="ACJ26" s="19"/>
      <c r="ACK26" s="19"/>
      <c r="ACL26" s="19"/>
      <c r="ACM26" s="19"/>
      <c r="ACN26" s="19"/>
      <c r="ACO26" s="19"/>
      <c r="ACP26" s="19"/>
      <c r="ACQ26" s="19"/>
      <c r="ACR26" s="19"/>
      <c r="ACS26" s="19"/>
      <c r="ACT26" s="19"/>
      <c r="ACU26" s="19"/>
      <c r="ACV26" s="19"/>
      <c r="ACW26" s="19"/>
      <c r="ACX26" s="19"/>
      <c r="ACY26" s="19"/>
      <c r="ACZ26" s="19"/>
      <c r="ADA26" s="19"/>
      <c r="ADB26" s="19"/>
      <c r="ADC26" s="19"/>
      <c r="ADD26" s="19"/>
      <c r="ADE26" s="19"/>
      <c r="ADF26" s="19"/>
      <c r="ADG26" s="19"/>
      <c r="ADH26" s="19"/>
      <c r="ADI26" s="19"/>
      <c r="ADJ26" s="19"/>
      <c r="ADK26" s="19"/>
      <c r="ADL26" s="19"/>
      <c r="ADM26" s="19"/>
      <c r="ADN26" s="19"/>
      <c r="ADO26" s="19"/>
      <c r="ADP26" s="19"/>
      <c r="ADQ26" s="19"/>
      <c r="ADR26" s="19"/>
      <c r="ADS26" s="19"/>
      <c r="ADT26" s="19"/>
      <c r="ADU26" s="19"/>
      <c r="ADV26" s="19"/>
      <c r="ADW26" s="19"/>
      <c r="ADX26" s="19"/>
      <c r="ADY26" s="19"/>
      <c r="ADZ26" s="19"/>
      <c r="AEA26" s="19"/>
      <c r="AEB26" s="19"/>
      <c r="AEC26" s="19"/>
      <c r="AED26" s="19"/>
      <c r="AEE26" s="19"/>
      <c r="AEF26" s="19"/>
      <c r="AEG26" s="19"/>
      <c r="AEH26" s="19"/>
      <c r="AEI26" s="19"/>
      <c r="AEJ26" s="19"/>
      <c r="AEK26" s="19"/>
      <c r="AEL26" s="19"/>
      <c r="AEM26" s="19"/>
      <c r="AEN26" s="19"/>
      <c r="AEO26" s="19"/>
      <c r="AEP26" s="19"/>
      <c r="AEQ26" s="19"/>
      <c r="AER26" s="19"/>
      <c r="AES26" s="19"/>
      <c r="AET26" s="19"/>
      <c r="AEU26" s="19"/>
      <c r="AEV26" s="19"/>
      <c r="AEW26" s="19"/>
      <c r="AEX26" s="19"/>
      <c r="AEY26" s="19"/>
      <c r="AEZ26" s="19"/>
      <c r="AFA26" s="19"/>
      <c r="AFB26" s="19"/>
      <c r="AFC26" s="19"/>
      <c r="AFD26" s="19"/>
      <c r="AFE26" s="19"/>
      <c r="AFF26" s="19"/>
      <c r="AFG26" s="19"/>
      <c r="AFH26" s="19"/>
      <c r="AFI26" s="19"/>
      <c r="AFJ26" s="19"/>
      <c r="AFK26" s="19"/>
      <c r="AFL26" s="19"/>
      <c r="AFM26" s="19"/>
      <c r="AFN26" s="19"/>
      <c r="AFO26" s="19"/>
      <c r="AFP26" s="19"/>
      <c r="AFQ26" s="19"/>
      <c r="AFR26" s="19"/>
      <c r="AFS26" s="19"/>
      <c r="AFT26" s="19"/>
      <c r="AFU26" s="19"/>
      <c r="AFV26" s="19"/>
      <c r="AFW26" s="19"/>
      <c r="AFX26" s="19"/>
      <c r="AFY26" s="19"/>
      <c r="AFZ26" s="19"/>
      <c r="AGA26" s="19"/>
      <c r="AGB26" s="19"/>
      <c r="AGC26" s="19"/>
      <c r="AGD26" s="19"/>
      <c r="AGE26" s="19"/>
      <c r="AGF26" s="19"/>
      <c r="AGG26" s="19"/>
      <c r="AGH26" s="19"/>
      <c r="AGI26" s="19"/>
      <c r="AGJ26" s="19"/>
      <c r="AGK26" s="19"/>
      <c r="AGL26" s="19"/>
      <c r="AGM26" s="19"/>
      <c r="AGN26" s="19"/>
      <c r="AGO26" s="19"/>
      <c r="AGP26" s="19"/>
      <c r="AGQ26" s="19"/>
      <c r="AGR26" s="19"/>
      <c r="AGS26" s="19"/>
      <c r="AGT26" s="19"/>
      <c r="AGU26" s="19"/>
      <c r="AGV26" s="19"/>
      <c r="AGW26" s="19"/>
      <c r="AGX26" s="19"/>
      <c r="AGY26" s="19"/>
      <c r="AGZ26" s="19"/>
      <c r="AHA26" s="19"/>
      <c r="AHB26" s="19"/>
      <c r="AHC26" s="19"/>
      <c r="AHD26" s="19"/>
      <c r="AHE26" s="19"/>
      <c r="AHF26" s="19"/>
      <c r="AHG26" s="19"/>
      <c r="AHH26" s="19"/>
      <c r="AHI26" s="19"/>
      <c r="AHJ26" s="19"/>
      <c r="AHK26" s="19"/>
      <c r="AHL26" s="19"/>
      <c r="AHM26" s="19"/>
      <c r="AHN26" s="19"/>
      <c r="AHO26" s="19"/>
      <c r="AHP26" s="19"/>
      <c r="AHQ26" s="19"/>
      <c r="AHR26" s="19"/>
      <c r="AHS26" s="19"/>
      <c r="AHT26" s="19"/>
      <c r="AHU26" s="19"/>
      <c r="AHV26" s="19"/>
      <c r="AHW26" s="19"/>
      <c r="AHX26" s="19"/>
      <c r="AHY26" s="19"/>
      <c r="AHZ26" s="19"/>
      <c r="AIA26" s="19"/>
      <c r="AIB26" s="19"/>
      <c r="AIC26" s="19"/>
      <c r="AID26" s="19"/>
      <c r="AIE26" s="19"/>
      <c r="AIF26" s="19"/>
      <c r="AIG26" s="19"/>
      <c r="AIH26" s="19"/>
      <c r="AII26" s="19"/>
      <c r="AIJ26" s="19"/>
      <c r="AIK26" s="19"/>
      <c r="AIL26" s="19"/>
      <c r="AIM26" s="19"/>
      <c r="AIN26" s="19"/>
      <c r="AIO26" s="19"/>
      <c r="AIP26" s="19"/>
      <c r="AIQ26" s="19"/>
      <c r="AIR26" s="19"/>
      <c r="AIS26" s="19"/>
      <c r="AIT26" s="19"/>
      <c r="AIU26" s="19"/>
      <c r="AIV26" s="19"/>
      <c r="AIW26" s="19"/>
      <c r="AIX26" s="19"/>
      <c r="AIY26" s="19"/>
      <c r="AIZ26" s="19"/>
      <c r="AJA26" s="19"/>
      <c r="AJB26" s="19"/>
      <c r="AJC26" s="19"/>
      <c r="AJD26" s="19"/>
      <c r="AJE26" s="19"/>
      <c r="AJF26" s="19"/>
      <c r="AJG26" s="19"/>
      <c r="AJH26" s="19"/>
      <c r="AJI26" s="19"/>
      <c r="AJJ26" s="19"/>
      <c r="AJK26" s="19"/>
      <c r="AJL26" s="19"/>
      <c r="AJM26" s="19"/>
      <c r="AJN26" s="19"/>
      <c r="AJO26" s="19"/>
      <c r="AJP26" s="19"/>
      <c r="AJQ26" s="19"/>
      <c r="AJR26" s="19"/>
      <c r="AJS26" s="19"/>
      <c r="AJT26" s="19"/>
      <c r="AJU26" s="19"/>
      <c r="AJV26" s="19"/>
      <c r="AJW26" s="19"/>
      <c r="AJX26" s="19"/>
      <c r="AJY26" s="19"/>
      <c r="AJZ26" s="19"/>
      <c r="AKA26" s="19"/>
      <c r="AKB26" s="19"/>
      <c r="AKC26" s="19"/>
      <c r="AKD26" s="19"/>
      <c r="AKE26" s="19"/>
      <c r="AKF26" s="19"/>
      <c r="AKG26" s="19"/>
      <c r="AKH26" s="19"/>
      <c r="AKI26" s="19"/>
      <c r="AKJ26" s="19"/>
      <c r="AKK26" s="19"/>
      <c r="AKL26" s="19"/>
      <c r="AKM26" s="19"/>
      <c r="AKN26" s="19"/>
      <c r="AKO26" s="19"/>
      <c r="AKP26" s="19"/>
      <c r="AKQ26" s="19"/>
      <c r="AKR26" s="19"/>
      <c r="AKS26" s="19"/>
      <c r="AKT26" s="19"/>
      <c r="AKU26" s="19"/>
      <c r="AKV26" s="19"/>
      <c r="AKW26" s="19"/>
      <c r="AKX26" s="19"/>
      <c r="AKY26" s="19"/>
      <c r="AKZ26" s="19"/>
      <c r="ALA26" s="19"/>
      <c r="ALB26" s="19"/>
      <c r="ALC26" s="19"/>
      <c r="ALD26" s="19"/>
      <c r="ALE26" s="19"/>
      <c r="ALF26" s="19"/>
      <c r="ALG26" s="19"/>
      <c r="ALH26" s="19"/>
      <c r="ALI26" s="19"/>
      <c r="ALJ26" s="19"/>
      <c r="ALK26" s="19"/>
      <c r="ALL26" s="19"/>
      <c r="ALM26" s="19"/>
      <c r="ALN26" s="19"/>
      <c r="ALO26" s="19"/>
      <c r="ALP26" s="19"/>
      <c r="ALQ26" s="19"/>
      <c r="ALR26" s="19"/>
      <c r="ALS26" s="19"/>
      <c r="ALT26" s="19"/>
      <c r="ALU26" s="19"/>
      <c r="ALV26" s="19"/>
      <c r="ALW26" s="19"/>
      <c r="ALX26" s="19"/>
      <c r="ALY26" s="19"/>
      <c r="ALZ26" s="19"/>
      <c r="AMA26" s="19"/>
      <c r="AMB26" s="19"/>
      <c r="AMC26" s="19"/>
      <c r="AMD26" s="19"/>
      <c r="AME26" s="19"/>
      <c r="AMF26" s="19"/>
      <c r="AMG26" s="19"/>
      <c r="AMH26" s="19"/>
      <c r="AMI26" s="19"/>
      <c r="AMJ26" s="19"/>
      <c r="AMK26" s="19"/>
      <c r="AML26" s="19"/>
      <c r="AMM26" s="19"/>
      <c r="AMN26" s="19"/>
      <c r="AMO26" s="19"/>
      <c r="AMP26" s="19"/>
      <c r="AMQ26" s="19"/>
      <c r="AMR26" s="19"/>
      <c r="AMS26" s="19"/>
      <c r="AMT26" s="19"/>
      <c r="AMU26" s="19"/>
      <c r="AMV26" s="19"/>
      <c r="AMW26" s="19"/>
      <c r="AMX26" s="19"/>
      <c r="AMY26" s="19"/>
      <c r="AMZ26" s="19"/>
      <c r="ANA26" s="19"/>
      <c r="ANB26" s="19"/>
      <c r="ANC26" s="19"/>
      <c r="AND26" s="19"/>
      <c r="ANE26" s="19"/>
      <c r="ANF26" s="19"/>
      <c r="ANG26" s="19"/>
      <c r="ANH26" s="19"/>
      <c r="ANI26" s="19"/>
      <c r="ANJ26" s="19"/>
      <c r="ANK26" s="19"/>
      <c r="ANL26" s="19"/>
      <c r="ANM26" s="19"/>
      <c r="ANN26" s="19"/>
      <c r="ANO26" s="19"/>
      <c r="ANP26" s="19"/>
      <c r="ANQ26" s="19"/>
      <c r="ANR26" s="19"/>
      <c r="ANS26" s="19"/>
      <c r="ANT26" s="19"/>
      <c r="ANU26" s="19"/>
      <c r="ANV26" s="19"/>
      <c r="ANW26" s="19"/>
      <c r="ANX26" s="19"/>
      <c r="ANY26" s="19"/>
      <c r="ANZ26" s="19"/>
      <c r="AOA26" s="19"/>
      <c r="AOB26" s="19"/>
      <c r="AOC26" s="19"/>
      <c r="AOD26" s="19"/>
      <c r="AOE26" s="19"/>
      <c r="AOF26" s="19"/>
      <c r="AOG26" s="19"/>
      <c r="AOH26" s="19"/>
      <c r="AOI26" s="19"/>
      <c r="AOJ26" s="19"/>
      <c r="AOK26" s="19"/>
      <c r="AOL26" s="19"/>
      <c r="AOM26" s="19"/>
      <c r="AON26" s="19"/>
      <c r="AOO26" s="19"/>
      <c r="AOP26" s="19"/>
      <c r="AOQ26" s="19"/>
      <c r="AOR26" s="19"/>
      <c r="AOS26" s="19"/>
      <c r="AOT26" s="19"/>
      <c r="AOU26" s="19"/>
      <c r="AOV26" s="19"/>
      <c r="AOW26" s="19"/>
      <c r="AOX26" s="19"/>
      <c r="AOY26" s="19"/>
      <c r="AOZ26" s="19"/>
      <c r="APA26" s="19"/>
      <c r="APB26" s="19"/>
      <c r="APC26" s="19"/>
      <c r="APD26" s="19"/>
      <c r="APE26" s="19"/>
      <c r="APF26" s="19"/>
      <c r="APG26" s="19"/>
      <c r="APH26" s="19"/>
      <c r="API26" s="19"/>
      <c r="APJ26" s="19"/>
      <c r="APK26" s="19"/>
      <c r="APL26" s="19"/>
      <c r="APM26" s="19"/>
      <c r="APN26" s="19"/>
      <c r="APO26" s="19"/>
      <c r="APP26" s="19"/>
      <c r="APQ26" s="19"/>
      <c r="APR26" s="19"/>
      <c r="APS26" s="19"/>
      <c r="APT26" s="19"/>
      <c r="APU26" s="19"/>
      <c r="APV26" s="19"/>
      <c r="APW26" s="19"/>
      <c r="APX26" s="19"/>
      <c r="APY26" s="19"/>
      <c r="APZ26" s="19"/>
      <c r="AQA26" s="19"/>
      <c r="AQB26" s="19"/>
      <c r="AQC26" s="19"/>
      <c r="AQD26" s="19"/>
      <c r="AQE26" s="19"/>
      <c r="AQF26" s="19"/>
      <c r="AQG26" s="19"/>
      <c r="AQH26" s="19"/>
      <c r="AQI26" s="19"/>
      <c r="AQJ26" s="19"/>
      <c r="AQK26" s="19"/>
      <c r="AQL26" s="19"/>
      <c r="AQM26" s="19"/>
      <c r="AQN26" s="19"/>
      <c r="AQO26" s="19"/>
      <c r="AQP26" s="19"/>
      <c r="AQQ26" s="19"/>
      <c r="AQR26" s="19"/>
      <c r="AQS26" s="19"/>
      <c r="AQT26" s="19"/>
      <c r="AQU26" s="19"/>
      <c r="AQV26" s="19"/>
      <c r="AQW26" s="19"/>
      <c r="AQX26" s="19"/>
      <c r="AQY26" s="19"/>
      <c r="AQZ26" s="19"/>
      <c r="ARA26" s="19"/>
      <c r="ARB26" s="19"/>
      <c r="ARC26" s="19"/>
      <c r="ARD26" s="19"/>
      <c r="ARE26" s="19"/>
      <c r="ARF26" s="19"/>
      <c r="ARG26" s="19"/>
      <c r="ARH26" s="19"/>
      <c r="ARI26" s="19"/>
      <c r="ARJ26" s="19"/>
      <c r="ARK26" s="19"/>
      <c r="ARL26" s="19"/>
      <c r="ARM26" s="19"/>
      <c r="ARN26" s="19"/>
      <c r="ARO26" s="19"/>
      <c r="ARP26" s="19"/>
      <c r="ARQ26" s="19"/>
      <c r="ARR26" s="19"/>
      <c r="ARS26" s="19"/>
      <c r="ART26" s="19"/>
      <c r="ARU26" s="19"/>
      <c r="ARV26" s="19"/>
      <c r="ARW26" s="19"/>
      <c r="ARX26" s="19"/>
      <c r="ARY26" s="19"/>
      <c r="ARZ26" s="19"/>
      <c r="ASA26" s="19"/>
      <c r="ASB26" s="19"/>
      <c r="ASC26" s="19"/>
      <c r="ASD26" s="19"/>
      <c r="ASE26" s="19"/>
      <c r="ASF26" s="19"/>
      <c r="ASG26" s="19"/>
      <c r="ASH26" s="19"/>
      <c r="ASI26" s="19"/>
      <c r="ASJ26" s="19"/>
      <c r="ASK26" s="19"/>
      <c r="ASL26" s="19"/>
      <c r="ASM26" s="19"/>
      <c r="ASN26" s="19"/>
      <c r="ASO26" s="19"/>
      <c r="ASP26" s="19"/>
      <c r="ASQ26" s="19"/>
      <c r="ASR26" s="19"/>
      <c r="ASS26" s="19"/>
      <c r="AST26" s="19"/>
      <c r="ASU26" s="19"/>
      <c r="ASV26" s="19"/>
      <c r="ASW26" s="19"/>
      <c r="ASX26" s="19"/>
      <c r="ASY26" s="19"/>
      <c r="ASZ26" s="19"/>
      <c r="ATA26" s="19"/>
      <c r="ATB26" s="19"/>
      <c r="ATC26" s="19"/>
      <c r="ATD26" s="19"/>
      <c r="ATE26" s="19"/>
      <c r="ATF26" s="19"/>
      <c r="ATG26" s="19"/>
      <c r="ATH26" s="19"/>
      <c r="ATI26" s="19"/>
      <c r="ATJ26" s="19"/>
      <c r="ATK26" s="19"/>
      <c r="ATL26" s="19"/>
      <c r="ATM26" s="19"/>
      <c r="ATN26" s="19"/>
      <c r="ATO26" s="19"/>
      <c r="ATP26" s="19"/>
      <c r="ATQ26" s="19"/>
      <c r="ATR26" s="19"/>
      <c r="ATS26" s="19"/>
      <c r="ATT26" s="19"/>
      <c r="ATU26" s="19"/>
      <c r="ATV26" s="19"/>
      <c r="ATW26" s="19"/>
      <c r="ATX26" s="19"/>
      <c r="ATY26" s="19"/>
      <c r="ATZ26" s="19"/>
      <c r="AUA26" s="19"/>
      <c r="AUB26" s="19"/>
      <c r="AUC26" s="19"/>
      <c r="AUD26" s="19"/>
      <c r="AUE26" s="19"/>
      <c r="AUF26" s="19"/>
      <c r="AUG26" s="19"/>
      <c r="AUH26" s="19"/>
      <c r="AUI26" s="19"/>
      <c r="AUJ26" s="19"/>
      <c r="AUK26" s="19"/>
      <c r="AUL26" s="19"/>
      <c r="AUM26" s="19"/>
      <c r="AUN26" s="19"/>
      <c r="AUO26" s="19"/>
      <c r="AUP26" s="19"/>
      <c r="AUQ26" s="19"/>
      <c r="AUR26" s="19"/>
      <c r="AUS26" s="19"/>
      <c r="AUT26" s="19"/>
      <c r="AUU26" s="19"/>
      <c r="AUV26" s="19"/>
      <c r="AUW26" s="19"/>
      <c r="AUX26" s="19"/>
      <c r="AUY26" s="19"/>
      <c r="AUZ26" s="19"/>
      <c r="AVA26" s="19"/>
      <c r="AVB26" s="19"/>
      <c r="AVC26" s="19"/>
      <c r="AVD26" s="19"/>
      <c r="AVE26" s="19"/>
      <c r="AVF26" s="19"/>
      <c r="AVG26" s="19"/>
      <c r="AVH26" s="19"/>
      <c r="AVI26" s="19"/>
      <c r="AVJ26" s="19"/>
      <c r="AVK26" s="19"/>
      <c r="AVL26" s="19"/>
      <c r="AVM26" s="19"/>
      <c r="AVN26" s="19"/>
      <c r="AVO26" s="19"/>
      <c r="AVP26" s="19"/>
      <c r="AVQ26" s="19"/>
      <c r="AVR26" s="19"/>
      <c r="AVS26" s="19"/>
      <c r="AVT26" s="19"/>
      <c r="AVU26" s="19"/>
      <c r="AVV26" s="19"/>
      <c r="AVW26" s="19"/>
      <c r="AVX26" s="19"/>
      <c r="AVY26" s="19"/>
      <c r="AVZ26" s="19"/>
      <c r="AWA26" s="19"/>
      <c r="AWB26" s="19"/>
      <c r="AWC26" s="19"/>
      <c r="AWD26" s="19"/>
      <c r="AWE26" s="19"/>
      <c r="AWF26" s="19"/>
      <c r="AWG26" s="19"/>
      <c r="AWH26" s="19"/>
      <c r="AWI26" s="19"/>
      <c r="AWJ26" s="19"/>
      <c r="AWK26" s="19"/>
      <c r="AWL26" s="19"/>
      <c r="AWM26" s="19"/>
      <c r="AWN26" s="19"/>
      <c r="AWO26" s="19"/>
      <c r="AWP26" s="19"/>
      <c r="AWQ26" s="19"/>
      <c r="AWR26" s="19"/>
      <c r="AWS26" s="19"/>
      <c r="AWT26" s="19"/>
      <c r="AWU26" s="19"/>
      <c r="AWV26" s="19"/>
      <c r="AWW26" s="19"/>
      <c r="AWX26" s="19"/>
      <c r="AWY26" s="19"/>
      <c r="AWZ26" s="19"/>
      <c r="AXA26" s="19"/>
      <c r="AXB26" s="19"/>
      <c r="AXC26" s="19"/>
      <c r="AXD26" s="19"/>
      <c r="AXE26" s="19"/>
      <c r="AXF26" s="19"/>
      <c r="AXG26" s="19"/>
      <c r="AXH26" s="19"/>
      <c r="AXI26" s="19"/>
      <c r="AXJ26" s="19"/>
      <c r="AXK26" s="19"/>
      <c r="AXL26" s="19"/>
      <c r="AXM26" s="19"/>
      <c r="AXN26" s="19"/>
      <c r="AXO26" s="19"/>
      <c r="AXP26" s="19"/>
      <c r="AXQ26" s="19"/>
      <c r="AXR26" s="19"/>
      <c r="AXS26" s="19"/>
      <c r="AXT26" s="19"/>
      <c r="AXU26" s="19"/>
      <c r="AXV26" s="19"/>
      <c r="AXW26" s="19"/>
      <c r="AXX26" s="19"/>
      <c r="AXY26" s="19"/>
      <c r="AXZ26" s="19"/>
      <c r="AYA26" s="19"/>
      <c r="AYB26" s="19"/>
      <c r="AYC26" s="19"/>
      <c r="AYD26" s="19"/>
      <c r="AYE26" s="19"/>
      <c r="AYF26" s="19"/>
      <c r="AYG26" s="19"/>
      <c r="AYH26" s="19"/>
      <c r="AYI26" s="19"/>
      <c r="AYJ26" s="19"/>
      <c r="AYK26" s="19"/>
      <c r="AYL26" s="19"/>
      <c r="AYM26" s="19"/>
      <c r="AYN26" s="19"/>
      <c r="AYO26" s="19"/>
      <c r="AYP26" s="19"/>
      <c r="AYQ26" s="19"/>
      <c r="AYR26" s="19"/>
      <c r="AYS26" s="19"/>
      <c r="AYT26" s="19"/>
      <c r="AYU26" s="19"/>
      <c r="AYV26" s="19"/>
      <c r="AYW26" s="19"/>
      <c r="AYX26" s="19"/>
      <c r="AYY26" s="19"/>
      <c r="AYZ26" s="19"/>
      <c r="AZA26" s="19"/>
      <c r="AZB26" s="19"/>
      <c r="AZC26" s="19"/>
      <c r="AZD26" s="19"/>
      <c r="AZE26" s="19"/>
      <c r="AZF26" s="19"/>
      <c r="AZG26" s="19"/>
      <c r="AZH26" s="19"/>
      <c r="AZI26" s="19"/>
      <c r="AZJ26" s="19"/>
      <c r="AZK26" s="19"/>
      <c r="AZL26" s="19"/>
      <c r="AZM26" s="19"/>
      <c r="AZN26" s="19"/>
      <c r="AZO26" s="19"/>
      <c r="AZP26" s="19"/>
      <c r="AZQ26" s="19"/>
      <c r="AZR26" s="19"/>
      <c r="AZS26" s="19"/>
      <c r="AZT26" s="19"/>
      <c r="AZU26" s="19"/>
      <c r="AZV26" s="19"/>
      <c r="AZW26" s="19"/>
      <c r="AZX26" s="19"/>
      <c r="AZY26" s="19"/>
      <c r="AZZ26" s="19"/>
      <c r="BAA26" s="19"/>
      <c r="BAB26" s="19"/>
      <c r="BAC26" s="19"/>
      <c r="BAD26" s="19"/>
      <c r="BAE26" s="19"/>
      <c r="BAF26" s="19"/>
      <c r="BAG26" s="19"/>
      <c r="BAH26" s="19"/>
      <c r="BAI26" s="19"/>
      <c r="BAJ26" s="19"/>
      <c r="BAK26" s="19"/>
      <c r="BAL26" s="19"/>
      <c r="BAM26" s="19"/>
      <c r="BAN26" s="19"/>
      <c r="BAO26" s="19"/>
      <c r="BAP26" s="19"/>
      <c r="BAQ26" s="19"/>
      <c r="BAR26" s="19"/>
      <c r="BAS26" s="19"/>
      <c r="BAT26" s="19"/>
      <c r="BAU26" s="19"/>
      <c r="BAV26" s="19"/>
      <c r="BAW26" s="19"/>
      <c r="BAX26" s="19"/>
      <c r="BAY26" s="19"/>
      <c r="BAZ26" s="19"/>
      <c r="BBA26" s="19"/>
      <c r="BBB26" s="19"/>
      <c r="BBC26" s="19"/>
      <c r="BBD26" s="19"/>
      <c r="BBE26" s="19"/>
      <c r="BBF26" s="19"/>
      <c r="BBG26" s="19"/>
      <c r="BBH26" s="19"/>
      <c r="BBI26" s="19"/>
      <c r="BBJ26" s="19"/>
      <c r="BBK26" s="19"/>
      <c r="BBL26" s="19"/>
      <c r="BBM26" s="19"/>
      <c r="BBN26" s="19"/>
      <c r="BBO26" s="19"/>
      <c r="BBP26" s="19"/>
      <c r="BBQ26" s="19"/>
      <c r="BBR26" s="19"/>
      <c r="BBS26" s="19"/>
      <c r="BBT26" s="19"/>
      <c r="BBU26" s="19"/>
      <c r="BBV26" s="19"/>
      <c r="BBW26" s="19"/>
      <c r="BBX26" s="19"/>
      <c r="BBY26" s="19"/>
      <c r="BBZ26" s="19"/>
      <c r="BCA26" s="19"/>
      <c r="BCB26" s="19"/>
      <c r="BCC26" s="19"/>
      <c r="BCD26" s="19"/>
      <c r="BCE26" s="19"/>
      <c r="BCF26" s="19"/>
      <c r="BCG26" s="19"/>
      <c r="BCH26" s="19"/>
      <c r="BCI26" s="19"/>
      <c r="BCJ26" s="19"/>
      <c r="BCK26" s="19"/>
      <c r="BCL26" s="19"/>
      <c r="BCM26" s="19"/>
      <c r="BCN26" s="19"/>
      <c r="BCO26" s="19"/>
      <c r="BCP26" s="19"/>
      <c r="BCQ26" s="19"/>
      <c r="BCR26" s="19"/>
      <c r="BCS26" s="19"/>
      <c r="BCT26" s="19"/>
      <c r="BCU26" s="19"/>
      <c r="BCV26" s="19"/>
      <c r="BCW26" s="19"/>
      <c r="BCX26" s="19"/>
      <c r="BCY26" s="19"/>
      <c r="BCZ26" s="19"/>
      <c r="BDA26" s="19"/>
      <c r="BDB26" s="19"/>
      <c r="BDC26" s="19"/>
      <c r="BDD26" s="19"/>
      <c r="BDE26" s="19"/>
      <c r="BDF26" s="19"/>
      <c r="BDG26" s="19"/>
      <c r="BDH26" s="19"/>
      <c r="BDI26" s="19"/>
      <c r="BDJ26" s="19"/>
      <c r="BDK26" s="19"/>
      <c r="BDL26" s="19"/>
      <c r="BDM26" s="19"/>
      <c r="BDN26" s="19"/>
      <c r="BDO26" s="19"/>
      <c r="BDP26" s="19"/>
      <c r="BDQ26" s="19"/>
      <c r="BDR26" s="19"/>
      <c r="BDS26" s="19"/>
      <c r="BDT26" s="19"/>
      <c r="BDU26" s="19"/>
      <c r="BDV26" s="19"/>
      <c r="BDW26" s="19"/>
      <c r="BDX26" s="19"/>
      <c r="BDY26" s="19"/>
      <c r="BDZ26" s="19"/>
      <c r="BEA26" s="19"/>
      <c r="BEB26" s="19"/>
      <c r="BEC26" s="19"/>
      <c r="BED26" s="19"/>
      <c r="BEE26" s="19"/>
      <c r="BEF26" s="19"/>
      <c r="BEG26" s="19"/>
      <c r="BEH26" s="19"/>
      <c r="BEI26" s="19"/>
      <c r="BEJ26" s="19"/>
      <c r="BEK26" s="19"/>
      <c r="BEL26" s="19"/>
      <c r="BEM26" s="19"/>
      <c r="BEN26" s="19"/>
      <c r="BEO26" s="19"/>
      <c r="BEP26" s="19"/>
      <c r="BEQ26" s="19"/>
      <c r="BER26" s="19"/>
      <c r="BES26" s="19"/>
      <c r="BET26" s="19"/>
      <c r="BEU26" s="19"/>
      <c r="BEV26" s="19"/>
      <c r="BEW26" s="19"/>
      <c r="BEX26" s="19"/>
      <c r="BEY26" s="19"/>
      <c r="BEZ26" s="19"/>
      <c r="BFA26" s="19"/>
      <c r="BFB26" s="19"/>
      <c r="BFC26" s="19"/>
      <c r="BFD26" s="19"/>
      <c r="BFE26" s="19"/>
      <c r="BFF26" s="19"/>
      <c r="BFG26" s="19"/>
      <c r="BFH26" s="19"/>
      <c r="BFI26" s="19"/>
      <c r="BFJ26" s="19"/>
      <c r="BFK26" s="19"/>
      <c r="BFL26" s="19"/>
      <c r="BFM26" s="19"/>
      <c r="BFN26" s="19"/>
      <c r="BFO26" s="19"/>
      <c r="BFP26" s="19"/>
      <c r="BFQ26" s="19"/>
      <c r="BFR26" s="19"/>
      <c r="BFS26" s="19"/>
      <c r="BFT26" s="19"/>
      <c r="BFU26" s="19"/>
      <c r="BFV26" s="19"/>
      <c r="BFW26" s="19"/>
      <c r="BFX26" s="19"/>
      <c r="BFY26" s="19"/>
      <c r="BFZ26" s="19"/>
      <c r="BGA26" s="19"/>
      <c r="BGB26" s="19"/>
      <c r="BGC26" s="19"/>
      <c r="BGD26" s="19"/>
      <c r="BGE26" s="19"/>
      <c r="BGF26" s="19"/>
      <c r="BGG26" s="19"/>
      <c r="BGH26" s="19"/>
      <c r="BGI26" s="19"/>
      <c r="BGJ26" s="19"/>
      <c r="BGK26" s="19"/>
      <c r="BGL26" s="19"/>
      <c r="BGM26" s="19"/>
      <c r="BGN26" s="19"/>
      <c r="BGO26" s="19"/>
      <c r="BGP26" s="19"/>
      <c r="BGQ26" s="19"/>
      <c r="BGR26" s="19"/>
      <c r="BGS26" s="19"/>
      <c r="BGT26" s="19"/>
      <c r="BGU26" s="19"/>
      <c r="BGV26" s="19"/>
      <c r="BGW26" s="19"/>
      <c r="BGX26" s="19"/>
      <c r="BGY26" s="19"/>
      <c r="BGZ26" s="19"/>
      <c r="BHA26" s="19"/>
      <c r="BHB26" s="19"/>
      <c r="BHC26" s="19"/>
      <c r="BHD26" s="19"/>
      <c r="BHE26" s="19"/>
      <c r="BHF26" s="19"/>
      <c r="BHG26" s="19"/>
      <c r="BHH26" s="19"/>
      <c r="BHI26" s="19"/>
      <c r="BHJ26" s="19"/>
      <c r="BHK26" s="19"/>
      <c r="BHL26" s="19"/>
      <c r="BHM26" s="19"/>
      <c r="BHN26" s="19"/>
      <c r="BHO26" s="19"/>
      <c r="BHP26" s="19"/>
      <c r="BHQ26" s="19"/>
      <c r="BHR26" s="19"/>
      <c r="BHS26" s="19"/>
      <c r="BHT26" s="19"/>
      <c r="BHU26" s="19"/>
      <c r="BHV26" s="19"/>
      <c r="BHW26" s="19"/>
      <c r="BHX26" s="19"/>
      <c r="BHY26" s="19"/>
      <c r="BHZ26" s="19"/>
      <c r="BIA26" s="19"/>
      <c r="BIB26" s="19"/>
      <c r="BIC26" s="19"/>
      <c r="BID26" s="19"/>
      <c r="BIE26" s="19"/>
      <c r="BIF26" s="19"/>
      <c r="BIG26" s="19"/>
      <c r="BIH26" s="19"/>
      <c r="BII26" s="19"/>
      <c r="BIJ26" s="19"/>
      <c r="BIK26" s="19"/>
      <c r="BIL26" s="19"/>
      <c r="BIM26" s="19"/>
      <c r="BIN26" s="19"/>
      <c r="BIO26" s="19"/>
      <c r="BIP26" s="19"/>
      <c r="BIQ26" s="19"/>
      <c r="BIR26" s="19"/>
      <c r="BIS26" s="19"/>
      <c r="BIT26" s="19"/>
      <c r="BIU26" s="19"/>
      <c r="BIV26" s="19"/>
      <c r="BIW26" s="19"/>
      <c r="BIX26" s="19"/>
      <c r="BIY26" s="19"/>
      <c r="BIZ26" s="19"/>
      <c r="BJA26" s="19"/>
      <c r="BJB26" s="19"/>
      <c r="BJC26" s="19"/>
      <c r="BJD26" s="19"/>
      <c r="BJE26" s="19"/>
      <c r="BJF26" s="19"/>
      <c r="BJG26" s="19"/>
      <c r="BJH26" s="19"/>
      <c r="BJI26" s="19"/>
      <c r="BJJ26" s="19"/>
      <c r="BJK26" s="19"/>
      <c r="BJL26" s="19"/>
      <c r="BJM26" s="19"/>
      <c r="BJN26" s="19"/>
      <c r="BJO26" s="19"/>
      <c r="BJP26" s="19"/>
      <c r="BJQ26" s="19"/>
      <c r="BJR26" s="19"/>
      <c r="BJS26" s="19"/>
      <c r="BJT26" s="19"/>
      <c r="BJU26" s="19"/>
      <c r="BJV26" s="19"/>
      <c r="BJW26" s="19"/>
      <c r="BJX26" s="19"/>
      <c r="BJY26" s="19"/>
      <c r="BJZ26" s="19"/>
      <c r="BKA26" s="19"/>
      <c r="BKB26" s="19"/>
      <c r="BKC26" s="19"/>
      <c r="BKD26" s="19"/>
      <c r="BKE26" s="19"/>
      <c r="BKF26" s="19"/>
      <c r="BKG26" s="19"/>
      <c r="BKH26" s="19"/>
      <c r="BKI26" s="19"/>
      <c r="BKJ26" s="19"/>
      <c r="BKK26" s="19"/>
      <c r="BKL26" s="19"/>
      <c r="BKM26" s="19"/>
      <c r="BKN26" s="19"/>
      <c r="BKO26" s="19"/>
      <c r="BKP26" s="19"/>
      <c r="BKQ26" s="19"/>
      <c r="BKR26" s="19"/>
      <c r="BKS26" s="19"/>
      <c r="BKT26" s="19"/>
      <c r="BKU26" s="19"/>
      <c r="BKV26" s="19"/>
      <c r="BKW26" s="19"/>
      <c r="BKX26" s="19"/>
      <c r="BKY26" s="19"/>
      <c r="BKZ26" s="19"/>
      <c r="BLA26" s="19"/>
      <c r="BLB26" s="19"/>
      <c r="BLC26" s="19"/>
      <c r="BLD26" s="19"/>
      <c r="BLE26" s="19"/>
      <c r="BLF26" s="19"/>
      <c r="BLG26" s="19"/>
      <c r="BLH26" s="19"/>
      <c r="BLI26" s="19"/>
      <c r="BLJ26" s="19"/>
      <c r="BLK26" s="19"/>
      <c r="BLL26" s="19"/>
      <c r="BLM26" s="19"/>
      <c r="BLN26" s="19"/>
      <c r="BLO26" s="19"/>
      <c r="BLP26" s="19"/>
      <c r="BLQ26" s="19"/>
      <c r="BLR26" s="19"/>
      <c r="BLS26" s="19"/>
      <c r="BLT26" s="19"/>
      <c r="BLU26" s="19"/>
      <c r="BLV26" s="19"/>
      <c r="BLW26" s="19"/>
      <c r="BLX26" s="19"/>
      <c r="BLY26" s="19"/>
      <c r="BLZ26" s="19"/>
      <c r="BMA26" s="19"/>
      <c r="BMB26" s="19"/>
      <c r="BMC26" s="19"/>
      <c r="BMD26" s="19"/>
      <c r="BME26" s="19"/>
      <c r="BMF26" s="19"/>
      <c r="BMG26" s="19"/>
      <c r="BMH26" s="19"/>
      <c r="BMI26" s="19"/>
      <c r="BMJ26" s="19"/>
      <c r="BMK26" s="19"/>
      <c r="BML26" s="19"/>
      <c r="BMM26" s="19"/>
      <c r="BMN26" s="19"/>
      <c r="BMO26" s="19"/>
      <c r="BMP26" s="19"/>
      <c r="BMQ26" s="19"/>
      <c r="BMR26" s="19"/>
      <c r="BMS26" s="19"/>
      <c r="BMT26" s="19"/>
      <c r="BMU26" s="19"/>
      <c r="BMV26" s="19"/>
      <c r="BMW26" s="19"/>
      <c r="BMX26" s="19"/>
      <c r="BMY26" s="19"/>
      <c r="BMZ26" s="19"/>
      <c r="BNA26" s="19"/>
      <c r="BNB26" s="19"/>
      <c r="BNC26" s="19"/>
      <c r="BND26" s="19"/>
      <c r="BNE26" s="19"/>
      <c r="BNF26" s="19"/>
      <c r="BNG26" s="19"/>
      <c r="BNH26" s="19"/>
      <c r="BNI26" s="19"/>
      <c r="BNJ26" s="19"/>
      <c r="BNK26" s="19"/>
      <c r="BNL26" s="19"/>
      <c r="BNM26" s="19"/>
      <c r="BNN26" s="19"/>
      <c r="BNO26" s="19"/>
      <c r="BNP26" s="19"/>
      <c r="BNQ26" s="19"/>
      <c r="BNR26" s="19"/>
      <c r="BNS26" s="19"/>
      <c r="BNT26" s="19"/>
      <c r="BNU26" s="19"/>
      <c r="BNV26" s="19"/>
      <c r="BNW26" s="19"/>
      <c r="BNX26" s="19"/>
      <c r="BNY26" s="19"/>
      <c r="BNZ26" s="19"/>
      <c r="BOA26" s="19"/>
      <c r="BOB26" s="19"/>
      <c r="BOC26" s="19"/>
      <c r="BOD26" s="19"/>
      <c r="BOE26" s="19"/>
      <c r="BOF26" s="19"/>
      <c r="BOG26" s="19"/>
      <c r="BOH26" s="19"/>
      <c r="BOI26" s="19"/>
      <c r="BOJ26" s="19"/>
      <c r="BOK26" s="19"/>
      <c r="BOL26" s="19"/>
      <c r="BOM26" s="19"/>
      <c r="BON26" s="19"/>
      <c r="BOO26" s="19"/>
      <c r="BOP26" s="19"/>
      <c r="BOQ26" s="19"/>
      <c r="BOR26" s="19"/>
      <c r="BOS26" s="19"/>
      <c r="BOT26" s="19"/>
      <c r="BOU26" s="19"/>
      <c r="BOV26" s="19"/>
      <c r="BOW26" s="19"/>
      <c r="BOX26" s="19"/>
      <c r="BOY26" s="19"/>
      <c r="BOZ26" s="19"/>
      <c r="BPA26" s="19"/>
      <c r="BPB26" s="19"/>
      <c r="BPC26" s="19"/>
      <c r="BPD26" s="19"/>
      <c r="BPE26" s="19"/>
      <c r="BPF26" s="19"/>
      <c r="BPG26" s="19"/>
      <c r="BPH26" s="19"/>
      <c r="BPI26" s="19"/>
      <c r="BPJ26" s="19"/>
      <c r="BPK26" s="19"/>
      <c r="BPL26" s="19"/>
      <c r="BPM26" s="19"/>
      <c r="BPN26" s="19"/>
      <c r="BPO26" s="19"/>
      <c r="BPP26" s="19"/>
      <c r="BPQ26" s="19"/>
      <c r="BPR26" s="19"/>
      <c r="BPS26" s="19"/>
      <c r="BPT26" s="19"/>
      <c r="BPU26" s="19"/>
      <c r="BPV26" s="19"/>
      <c r="BPW26" s="19"/>
      <c r="BPX26" s="19"/>
      <c r="BPY26" s="19"/>
      <c r="BPZ26" s="19"/>
      <c r="BQA26" s="19"/>
      <c r="BQB26" s="19"/>
      <c r="BQC26" s="19"/>
      <c r="BQD26" s="19"/>
      <c r="BQE26" s="19"/>
      <c r="BQF26" s="19"/>
      <c r="BQG26" s="19"/>
      <c r="BQH26" s="19"/>
      <c r="BQI26" s="19"/>
      <c r="BQJ26" s="19"/>
      <c r="BQK26" s="19"/>
      <c r="BQL26" s="19"/>
      <c r="BQM26" s="19"/>
      <c r="BQN26" s="19"/>
      <c r="BQO26" s="19"/>
      <c r="BQP26" s="19"/>
      <c r="BQQ26" s="19"/>
      <c r="BQR26" s="19"/>
      <c r="BQS26" s="19"/>
      <c r="BQT26" s="19"/>
      <c r="BQU26" s="19"/>
      <c r="BQV26" s="19"/>
      <c r="BQW26" s="19"/>
      <c r="BQX26" s="19"/>
      <c r="BQY26" s="19"/>
      <c r="BQZ26" s="19"/>
      <c r="BRA26" s="19"/>
      <c r="BRB26" s="19"/>
      <c r="BRC26" s="19"/>
      <c r="BRD26" s="19"/>
      <c r="BRE26" s="19"/>
      <c r="BRF26" s="19"/>
      <c r="BRG26" s="19"/>
      <c r="BRH26" s="19"/>
      <c r="BRI26" s="19"/>
      <c r="BRJ26" s="19"/>
      <c r="BRK26" s="19"/>
      <c r="BRL26" s="19"/>
      <c r="BRM26" s="19"/>
      <c r="BRN26" s="19"/>
      <c r="BRO26" s="19"/>
      <c r="BRP26" s="19"/>
      <c r="BRQ26" s="19"/>
      <c r="BRR26" s="19"/>
      <c r="BRS26" s="19"/>
      <c r="BRT26" s="19"/>
      <c r="BRU26" s="19"/>
      <c r="BRV26" s="19"/>
      <c r="BRW26" s="19"/>
      <c r="BRX26" s="19"/>
      <c r="BRY26" s="19"/>
      <c r="BRZ26" s="19"/>
      <c r="BSA26" s="19"/>
      <c r="BSB26" s="19"/>
      <c r="BSC26" s="19"/>
      <c r="BSD26" s="19"/>
      <c r="BSE26" s="19"/>
      <c r="BSF26" s="19"/>
      <c r="BSG26" s="19"/>
      <c r="BSH26" s="19"/>
      <c r="BSI26" s="19"/>
      <c r="BSJ26" s="19"/>
      <c r="BSK26" s="19"/>
      <c r="BSL26" s="19"/>
      <c r="BSM26" s="19"/>
      <c r="BSN26" s="19"/>
      <c r="BSO26" s="19"/>
      <c r="BSP26" s="19"/>
      <c r="BSQ26" s="19"/>
      <c r="BSR26" s="19"/>
      <c r="BSS26" s="19"/>
      <c r="BST26" s="19"/>
      <c r="BSU26" s="19"/>
      <c r="BSV26" s="19"/>
      <c r="BSW26" s="19"/>
      <c r="BSX26" s="19"/>
      <c r="BSY26" s="19"/>
      <c r="BSZ26" s="19"/>
      <c r="BTA26" s="19"/>
      <c r="BTB26" s="19"/>
      <c r="BTC26" s="19"/>
      <c r="BTD26" s="19"/>
      <c r="BTE26" s="19"/>
      <c r="BTF26" s="19"/>
      <c r="BTG26" s="19"/>
      <c r="BTH26" s="19"/>
      <c r="BTI26" s="19"/>
      <c r="BTJ26" s="19"/>
      <c r="BTK26" s="19"/>
      <c r="BTL26" s="19"/>
      <c r="BTM26" s="19"/>
      <c r="BTN26" s="19"/>
      <c r="BTO26" s="19"/>
      <c r="BTP26" s="19"/>
      <c r="BTQ26" s="19"/>
      <c r="BTR26" s="19"/>
      <c r="BTS26" s="19"/>
      <c r="BTT26" s="19"/>
      <c r="BTU26" s="19"/>
      <c r="BTV26" s="19"/>
      <c r="BTW26" s="19"/>
      <c r="BTX26" s="19"/>
      <c r="BTY26" s="19"/>
      <c r="BTZ26" s="19"/>
      <c r="BUA26" s="19"/>
      <c r="BUB26" s="19"/>
      <c r="BUC26" s="19"/>
      <c r="BUD26" s="19"/>
      <c r="BUE26" s="19"/>
      <c r="BUF26" s="19"/>
      <c r="BUG26" s="19"/>
      <c r="BUH26" s="19"/>
      <c r="BUI26" s="19"/>
      <c r="BUJ26" s="19"/>
      <c r="BUK26" s="19"/>
      <c r="BUL26" s="19"/>
      <c r="BUM26" s="19"/>
      <c r="BUN26" s="19"/>
      <c r="BUO26" s="19"/>
      <c r="BUP26" s="19"/>
      <c r="BUQ26" s="19"/>
      <c r="BUR26" s="19"/>
      <c r="BUS26" s="19"/>
      <c r="BUT26" s="19"/>
      <c r="BUU26" s="19"/>
      <c r="BUV26" s="19"/>
      <c r="BUW26" s="19"/>
      <c r="BUX26" s="19"/>
      <c r="BUY26" s="19"/>
      <c r="BUZ26" s="19"/>
      <c r="BVA26" s="19"/>
      <c r="BVB26" s="19"/>
      <c r="BVC26" s="19"/>
      <c r="BVD26" s="19"/>
      <c r="BVE26" s="19"/>
      <c r="BVF26" s="19"/>
      <c r="BVG26" s="19"/>
      <c r="BVH26" s="19"/>
      <c r="BVI26" s="19"/>
      <c r="BVJ26" s="19"/>
      <c r="BVK26" s="19"/>
      <c r="BVL26" s="19"/>
      <c r="BVM26" s="19"/>
      <c r="BVN26" s="19"/>
      <c r="BVO26" s="19"/>
      <c r="BVP26" s="19"/>
      <c r="BVQ26" s="19"/>
      <c r="BVR26" s="19"/>
      <c r="BVS26" s="19"/>
      <c r="BVT26" s="19"/>
      <c r="BVU26" s="19"/>
      <c r="BVV26" s="19"/>
      <c r="BVW26" s="19"/>
      <c r="BVX26" s="19"/>
      <c r="BVY26" s="19"/>
      <c r="BVZ26" s="19"/>
      <c r="BWA26" s="19"/>
      <c r="BWB26" s="19"/>
      <c r="BWC26" s="19"/>
      <c r="BWD26" s="19"/>
      <c r="BWE26" s="19"/>
      <c r="BWF26" s="19"/>
      <c r="BWG26" s="19"/>
      <c r="BWH26" s="19"/>
      <c r="BWI26" s="19"/>
      <c r="BWJ26" s="19"/>
      <c r="BWK26" s="19"/>
      <c r="BWL26" s="19"/>
      <c r="BWM26" s="19"/>
      <c r="BWN26" s="19"/>
      <c r="BWO26" s="19"/>
      <c r="BWP26" s="19"/>
      <c r="BWQ26" s="19"/>
      <c r="BWR26" s="19"/>
      <c r="BWS26" s="19"/>
      <c r="BWT26" s="19"/>
      <c r="BWU26" s="19"/>
      <c r="BWV26" s="19"/>
      <c r="BWW26" s="19"/>
      <c r="BWX26" s="19"/>
      <c r="BWY26" s="19"/>
      <c r="BWZ26" s="19"/>
      <c r="BXA26" s="19"/>
      <c r="BXB26" s="19"/>
      <c r="BXC26" s="19"/>
      <c r="BXD26" s="19"/>
      <c r="BXE26" s="19"/>
      <c r="BXF26" s="19"/>
      <c r="BXG26" s="19"/>
      <c r="BXH26" s="19"/>
      <c r="BXI26" s="19"/>
      <c r="BXJ26" s="19"/>
      <c r="BXK26" s="19"/>
      <c r="BXL26" s="19"/>
      <c r="BXM26" s="19"/>
      <c r="BXN26" s="19"/>
      <c r="BXO26" s="19"/>
      <c r="BXP26" s="19"/>
      <c r="BXQ26" s="19"/>
      <c r="BXR26" s="19"/>
      <c r="BXS26" s="19"/>
      <c r="BXT26" s="19"/>
      <c r="BXU26" s="19"/>
      <c r="BXV26" s="19"/>
      <c r="BXW26" s="19"/>
      <c r="BXX26" s="19"/>
      <c r="BXY26" s="19"/>
      <c r="BXZ26" s="19"/>
      <c r="BYA26" s="19"/>
      <c r="BYB26" s="19"/>
      <c r="BYC26" s="19"/>
      <c r="BYD26" s="19"/>
      <c r="BYE26" s="19"/>
      <c r="BYF26" s="19"/>
      <c r="BYG26" s="19"/>
      <c r="BYH26" s="19"/>
      <c r="BYI26" s="19"/>
      <c r="BYJ26" s="19"/>
      <c r="BYK26" s="19"/>
      <c r="BYL26" s="19"/>
      <c r="BYM26" s="19"/>
      <c r="BYN26" s="19"/>
      <c r="BYO26" s="19"/>
      <c r="BYP26" s="19"/>
      <c r="BYQ26" s="19"/>
      <c r="BYR26" s="19"/>
      <c r="BYS26" s="19"/>
      <c r="BYT26" s="19"/>
      <c r="BYU26" s="19"/>
      <c r="BYV26" s="19"/>
      <c r="BYW26" s="19"/>
      <c r="BYX26" s="19"/>
      <c r="BYY26" s="19"/>
      <c r="BYZ26" s="19"/>
      <c r="BZA26" s="19"/>
      <c r="BZB26" s="19"/>
      <c r="BZC26" s="19"/>
      <c r="BZD26" s="19"/>
      <c r="BZE26" s="19"/>
      <c r="BZF26" s="19"/>
      <c r="BZG26" s="19"/>
      <c r="BZH26" s="19"/>
      <c r="BZI26" s="19"/>
      <c r="BZJ26" s="19"/>
      <c r="BZK26" s="19"/>
      <c r="BZL26" s="19"/>
      <c r="BZM26" s="19"/>
      <c r="BZN26" s="19"/>
      <c r="BZO26" s="19"/>
      <c r="BZP26" s="19"/>
      <c r="BZQ26" s="19"/>
      <c r="BZR26" s="19"/>
      <c r="BZS26" s="19"/>
      <c r="BZT26" s="19"/>
      <c r="BZU26" s="19"/>
      <c r="BZV26" s="19"/>
      <c r="BZW26" s="19"/>
      <c r="BZX26" s="19"/>
      <c r="BZY26" s="19"/>
      <c r="BZZ26" s="19"/>
      <c r="CAA26" s="19"/>
      <c r="CAB26" s="19"/>
      <c r="CAC26" s="19"/>
      <c r="CAD26" s="19"/>
      <c r="CAE26" s="19"/>
      <c r="CAF26" s="19"/>
      <c r="CAG26" s="19"/>
      <c r="CAH26" s="19"/>
      <c r="CAI26" s="19"/>
      <c r="CAJ26" s="19"/>
      <c r="CAK26" s="19"/>
      <c r="CAL26" s="19"/>
      <c r="CAM26" s="19"/>
      <c r="CAN26" s="19"/>
      <c r="CAO26" s="19"/>
      <c r="CAP26" s="19"/>
      <c r="CAQ26" s="19"/>
      <c r="CAR26" s="19"/>
      <c r="CAS26" s="19"/>
      <c r="CAT26" s="19"/>
      <c r="CAU26" s="19"/>
      <c r="CAV26" s="19"/>
      <c r="CAW26" s="19"/>
      <c r="CAX26" s="19"/>
      <c r="CAY26" s="19"/>
      <c r="CAZ26" s="19"/>
      <c r="CBA26" s="19"/>
      <c r="CBB26" s="19"/>
      <c r="CBC26" s="19"/>
      <c r="CBD26" s="19"/>
      <c r="CBE26" s="19"/>
      <c r="CBF26" s="19"/>
      <c r="CBG26" s="19"/>
      <c r="CBH26" s="19"/>
      <c r="CBI26" s="19"/>
      <c r="CBJ26" s="19"/>
      <c r="CBK26" s="19"/>
      <c r="CBL26" s="19"/>
      <c r="CBM26" s="19"/>
      <c r="CBN26" s="19"/>
      <c r="CBO26" s="19"/>
      <c r="CBP26" s="19"/>
      <c r="CBQ26" s="19"/>
      <c r="CBR26" s="19"/>
      <c r="CBS26" s="19"/>
      <c r="CBT26" s="19"/>
      <c r="CBU26" s="19"/>
      <c r="CBV26" s="19"/>
      <c r="CBW26" s="19"/>
      <c r="CBX26" s="19"/>
      <c r="CBY26" s="19"/>
      <c r="CBZ26" s="19"/>
      <c r="CCA26" s="19"/>
      <c r="CCB26" s="19"/>
      <c r="CCC26" s="19"/>
      <c r="CCD26" s="19"/>
      <c r="CCE26" s="19"/>
      <c r="CCF26" s="19"/>
      <c r="CCG26" s="19"/>
      <c r="CCH26" s="19"/>
      <c r="CCI26" s="19"/>
      <c r="CCJ26" s="19"/>
      <c r="CCK26" s="19"/>
      <c r="CCL26" s="19"/>
      <c r="CCM26" s="19"/>
      <c r="CCN26" s="19"/>
      <c r="CCO26" s="19"/>
      <c r="CCP26" s="19"/>
      <c r="CCQ26" s="19"/>
      <c r="CCR26" s="19"/>
      <c r="CCS26" s="19"/>
      <c r="CCT26" s="19"/>
      <c r="CCU26" s="19"/>
      <c r="CCV26" s="19"/>
      <c r="CCW26" s="19"/>
      <c r="CCX26" s="19"/>
      <c r="CCY26" s="19"/>
      <c r="CCZ26" s="19"/>
      <c r="CDA26" s="19"/>
      <c r="CDB26" s="19"/>
      <c r="CDC26" s="19"/>
      <c r="CDD26" s="19"/>
      <c r="CDE26" s="19"/>
      <c r="CDF26" s="19"/>
      <c r="CDG26" s="19"/>
      <c r="CDH26" s="19"/>
      <c r="CDI26" s="19"/>
      <c r="CDJ26" s="19"/>
      <c r="CDK26" s="19"/>
      <c r="CDL26" s="19"/>
      <c r="CDM26" s="19"/>
      <c r="CDN26" s="19"/>
      <c r="CDO26" s="19"/>
      <c r="CDP26" s="19"/>
      <c r="CDQ26" s="19"/>
      <c r="CDR26" s="19"/>
      <c r="CDS26" s="19"/>
      <c r="CDT26" s="19"/>
      <c r="CDU26" s="19"/>
      <c r="CDV26" s="19"/>
      <c r="CDW26" s="19"/>
      <c r="CDX26" s="19"/>
      <c r="CDY26" s="19"/>
      <c r="CDZ26" s="19"/>
      <c r="CEA26" s="19"/>
      <c r="CEB26" s="19"/>
      <c r="CEC26" s="19"/>
      <c r="CED26" s="19"/>
      <c r="CEE26" s="19"/>
      <c r="CEF26" s="19"/>
      <c r="CEG26" s="19"/>
      <c r="CEH26" s="19"/>
      <c r="CEI26" s="19"/>
      <c r="CEJ26" s="19"/>
      <c r="CEK26" s="19"/>
      <c r="CEL26" s="19"/>
      <c r="CEM26" s="19"/>
      <c r="CEN26" s="19"/>
      <c r="CEO26" s="19"/>
      <c r="CEP26" s="19"/>
      <c r="CEQ26" s="19"/>
      <c r="CER26" s="19"/>
      <c r="CES26" s="19"/>
      <c r="CET26" s="19"/>
      <c r="CEU26" s="19"/>
      <c r="CEV26" s="19"/>
      <c r="CEW26" s="19"/>
      <c r="CEX26" s="19"/>
      <c r="CEY26" s="19"/>
      <c r="CEZ26" s="19"/>
      <c r="CFA26" s="19"/>
      <c r="CFB26" s="19"/>
      <c r="CFC26" s="19"/>
      <c r="CFD26" s="19"/>
      <c r="CFE26" s="19"/>
      <c r="CFF26" s="19"/>
      <c r="CFG26" s="19"/>
      <c r="CFH26" s="19"/>
      <c r="CFI26" s="19"/>
      <c r="CFJ26" s="19"/>
      <c r="CFK26" s="19"/>
      <c r="CFL26" s="19"/>
      <c r="CFM26" s="19"/>
      <c r="CFN26" s="19"/>
      <c r="CFO26" s="19"/>
      <c r="CFP26" s="19"/>
      <c r="CFQ26" s="19"/>
      <c r="CFR26" s="19"/>
      <c r="CFS26" s="19"/>
      <c r="CFT26" s="19"/>
      <c r="CFU26" s="19"/>
      <c r="CFV26" s="19"/>
      <c r="CFW26" s="19"/>
      <c r="CFX26" s="19"/>
      <c r="CFY26" s="19"/>
      <c r="CFZ26" s="19"/>
      <c r="CGA26" s="19"/>
      <c r="CGB26" s="19"/>
      <c r="CGC26" s="19"/>
      <c r="CGD26" s="19"/>
      <c r="CGE26" s="19"/>
      <c r="CGF26" s="19"/>
      <c r="CGG26" s="19"/>
      <c r="CGH26" s="19"/>
      <c r="CGI26" s="19"/>
      <c r="CGJ26" s="19"/>
      <c r="CGK26" s="19"/>
      <c r="CGL26" s="19"/>
      <c r="CGM26" s="19"/>
      <c r="CGN26" s="19"/>
      <c r="CGO26" s="19"/>
      <c r="CGP26" s="19"/>
      <c r="CGQ26" s="19"/>
      <c r="CGR26" s="19"/>
      <c r="CGS26" s="19"/>
      <c r="CGT26" s="19"/>
      <c r="CGU26" s="19"/>
      <c r="CGV26" s="19"/>
      <c r="CGW26" s="19"/>
      <c r="CGX26" s="19"/>
      <c r="CGY26" s="19"/>
      <c r="CGZ26" s="19"/>
      <c r="CHA26" s="19"/>
      <c r="CHB26" s="19"/>
      <c r="CHC26" s="19"/>
      <c r="CHD26" s="19"/>
      <c r="CHE26" s="19"/>
      <c r="CHF26" s="19"/>
      <c r="CHG26" s="19"/>
      <c r="CHH26" s="19"/>
      <c r="CHI26" s="19"/>
      <c r="CHJ26" s="19"/>
      <c r="CHK26" s="19"/>
      <c r="CHL26" s="19"/>
      <c r="CHM26" s="19"/>
      <c r="CHN26" s="19"/>
      <c r="CHO26" s="19"/>
      <c r="CHP26" s="19"/>
      <c r="CHQ26" s="19"/>
      <c r="CHR26" s="19"/>
      <c r="CHS26" s="19"/>
      <c r="CHT26" s="19"/>
      <c r="CHU26" s="19"/>
      <c r="CHV26" s="19"/>
      <c r="CHW26" s="19"/>
      <c r="CHX26" s="19"/>
      <c r="CHY26" s="19"/>
      <c r="CHZ26" s="19"/>
      <c r="CIA26" s="19"/>
      <c r="CIB26" s="19"/>
      <c r="CIC26" s="19"/>
      <c r="CID26" s="19"/>
      <c r="CIE26" s="19"/>
      <c r="CIF26" s="19"/>
      <c r="CIG26" s="19"/>
      <c r="CIH26" s="19"/>
      <c r="CII26" s="19"/>
      <c r="CIJ26" s="19"/>
      <c r="CIK26" s="19"/>
      <c r="CIL26" s="19"/>
      <c r="CIM26" s="19"/>
      <c r="CIN26" s="19"/>
      <c r="CIO26" s="19"/>
      <c r="CIP26" s="19"/>
      <c r="CIQ26" s="19"/>
      <c r="CIR26" s="19"/>
      <c r="CIS26" s="19"/>
      <c r="CIT26" s="19"/>
      <c r="CIU26" s="19"/>
      <c r="CIV26" s="19"/>
      <c r="CIW26" s="19"/>
      <c r="CIX26" s="19"/>
      <c r="CIY26" s="19"/>
      <c r="CIZ26" s="19"/>
      <c r="CJA26" s="19"/>
      <c r="CJB26" s="19"/>
      <c r="CJC26" s="19"/>
      <c r="CJD26" s="19"/>
      <c r="CJE26" s="19"/>
      <c r="CJF26" s="19"/>
      <c r="CJG26" s="19"/>
      <c r="CJH26" s="19"/>
      <c r="CJI26" s="19"/>
      <c r="CJJ26" s="19"/>
      <c r="CJK26" s="19"/>
      <c r="CJL26" s="19"/>
      <c r="CJM26" s="19"/>
      <c r="CJN26" s="19"/>
      <c r="CJO26" s="19"/>
      <c r="CJP26" s="19"/>
      <c r="CJQ26" s="19"/>
      <c r="CJR26" s="19"/>
      <c r="CJS26" s="19"/>
      <c r="CJT26" s="19"/>
      <c r="CJU26" s="19"/>
      <c r="CJV26" s="19"/>
      <c r="CJW26" s="19"/>
      <c r="CJX26" s="19"/>
      <c r="CJY26" s="19"/>
      <c r="CJZ26" s="19"/>
      <c r="CKA26" s="19"/>
      <c r="CKB26" s="19"/>
      <c r="CKC26" s="19"/>
      <c r="CKD26" s="19"/>
      <c r="CKE26" s="19"/>
      <c r="CKF26" s="19"/>
      <c r="CKG26" s="19"/>
      <c r="CKH26" s="19"/>
      <c r="CKI26" s="19"/>
      <c r="CKJ26" s="19"/>
      <c r="CKK26" s="19"/>
      <c r="CKL26" s="19"/>
      <c r="CKM26" s="19"/>
      <c r="CKN26" s="19"/>
      <c r="CKO26" s="19"/>
      <c r="CKP26" s="19"/>
      <c r="CKQ26" s="19"/>
      <c r="CKR26" s="19"/>
      <c r="CKS26" s="19"/>
      <c r="CKT26" s="19"/>
      <c r="CKU26" s="19"/>
      <c r="CKV26" s="19"/>
      <c r="CKW26" s="19"/>
      <c r="CKX26" s="19"/>
      <c r="CKY26" s="19"/>
      <c r="CKZ26" s="19"/>
      <c r="CLA26" s="19"/>
      <c r="CLB26" s="19"/>
      <c r="CLC26" s="19"/>
      <c r="CLD26" s="19"/>
      <c r="CLE26" s="19"/>
      <c r="CLF26" s="19"/>
      <c r="CLG26" s="19"/>
      <c r="CLH26" s="19"/>
      <c r="CLI26" s="19"/>
      <c r="CLJ26" s="19"/>
      <c r="CLK26" s="19"/>
      <c r="CLL26" s="19"/>
      <c r="CLM26" s="19"/>
      <c r="CLN26" s="19"/>
      <c r="CLO26" s="19"/>
      <c r="CLP26" s="19"/>
      <c r="CLQ26" s="19"/>
      <c r="CLR26" s="19"/>
      <c r="CLS26" s="19"/>
      <c r="CLT26" s="19"/>
      <c r="CLU26" s="19"/>
      <c r="CLV26" s="19"/>
      <c r="CLW26" s="19"/>
      <c r="CLX26" s="19"/>
      <c r="CLY26" s="19"/>
      <c r="CLZ26" s="19"/>
      <c r="CMA26" s="19"/>
      <c r="CMB26" s="19"/>
      <c r="CMC26" s="19"/>
      <c r="CMD26" s="19"/>
      <c r="CME26" s="19"/>
      <c r="CMF26" s="19"/>
      <c r="CMG26" s="19"/>
      <c r="CMH26" s="19"/>
      <c r="CMI26" s="19"/>
      <c r="CMJ26" s="19"/>
      <c r="CMK26" s="19"/>
      <c r="CML26" s="19"/>
      <c r="CMM26" s="19"/>
      <c r="CMN26" s="19"/>
      <c r="CMO26" s="19"/>
      <c r="CMP26" s="19"/>
      <c r="CMQ26" s="19"/>
      <c r="CMR26" s="19"/>
      <c r="CMS26" s="19"/>
      <c r="CMT26" s="19"/>
      <c r="CMU26" s="19"/>
      <c r="CMV26" s="19"/>
      <c r="CMW26" s="19"/>
      <c r="CMX26" s="19"/>
      <c r="CMY26" s="19"/>
      <c r="CMZ26" s="19"/>
      <c r="CNA26" s="19"/>
      <c r="CNB26" s="19"/>
      <c r="CNC26" s="19"/>
      <c r="CND26" s="19"/>
      <c r="CNE26" s="19"/>
      <c r="CNF26" s="19"/>
      <c r="CNG26" s="19"/>
      <c r="CNH26" s="19"/>
      <c r="CNI26" s="19"/>
      <c r="CNJ26" s="19"/>
      <c r="CNK26" s="19"/>
      <c r="CNL26" s="19"/>
      <c r="CNM26" s="19"/>
      <c r="CNN26" s="19"/>
      <c r="CNO26" s="19"/>
      <c r="CNP26" s="19"/>
      <c r="CNQ26" s="19"/>
      <c r="CNR26" s="19"/>
      <c r="CNS26" s="19"/>
      <c r="CNT26" s="19"/>
      <c r="CNU26" s="19"/>
      <c r="CNV26" s="19"/>
      <c r="CNW26" s="19"/>
      <c r="CNX26" s="19"/>
      <c r="CNY26" s="19"/>
      <c r="CNZ26" s="19"/>
      <c r="COA26" s="19"/>
      <c r="COB26" s="19"/>
      <c r="COC26" s="19"/>
      <c r="COD26" s="19"/>
      <c r="COE26" s="19"/>
      <c r="COF26" s="19"/>
      <c r="COG26" s="19"/>
      <c r="COH26" s="19"/>
      <c r="COI26" s="19"/>
      <c r="COJ26" s="19"/>
      <c r="COK26" s="19"/>
      <c r="COL26" s="19"/>
      <c r="COM26" s="19"/>
      <c r="CON26" s="19"/>
      <c r="COO26" s="19"/>
      <c r="COP26" s="19"/>
      <c r="COQ26" s="19"/>
      <c r="COR26" s="19"/>
      <c r="COS26" s="19"/>
      <c r="COT26" s="19"/>
      <c r="COU26" s="19"/>
      <c r="COV26" s="19"/>
      <c r="COW26" s="19"/>
      <c r="COX26" s="19"/>
      <c r="COY26" s="19"/>
      <c r="COZ26" s="19"/>
      <c r="CPA26" s="19"/>
      <c r="CPB26" s="19"/>
      <c r="CPC26" s="19"/>
      <c r="CPD26" s="19"/>
      <c r="CPE26" s="19"/>
      <c r="CPF26" s="19"/>
      <c r="CPG26" s="19"/>
      <c r="CPH26" s="19"/>
      <c r="CPI26" s="19"/>
      <c r="CPJ26" s="19"/>
      <c r="CPK26" s="19"/>
      <c r="CPL26" s="19"/>
      <c r="CPM26" s="19"/>
      <c r="CPN26" s="19"/>
      <c r="CPO26" s="19"/>
      <c r="CPP26" s="19"/>
      <c r="CPQ26" s="19"/>
      <c r="CPR26" s="19"/>
      <c r="CPS26" s="19"/>
      <c r="CPT26" s="19"/>
      <c r="CPU26" s="19"/>
      <c r="CPV26" s="19"/>
      <c r="CPW26" s="19"/>
      <c r="CPX26" s="19"/>
      <c r="CPY26" s="19"/>
      <c r="CPZ26" s="19"/>
      <c r="CQA26" s="19"/>
      <c r="CQB26" s="19"/>
      <c r="CQC26" s="19"/>
      <c r="CQD26" s="19"/>
      <c r="CQE26" s="19"/>
      <c r="CQF26" s="19"/>
      <c r="CQG26" s="19"/>
      <c r="CQH26" s="19"/>
      <c r="CQI26" s="19"/>
      <c r="CQJ26" s="19"/>
      <c r="CQK26" s="19"/>
      <c r="CQL26" s="19"/>
      <c r="CQM26" s="19"/>
      <c r="CQN26" s="19"/>
      <c r="CQO26" s="19"/>
      <c r="CQP26" s="19"/>
      <c r="CQQ26" s="19"/>
      <c r="CQR26" s="19"/>
      <c r="CQS26" s="19"/>
      <c r="CQT26" s="19"/>
      <c r="CQU26" s="19"/>
      <c r="CQV26" s="19"/>
      <c r="CQW26" s="19"/>
      <c r="CQX26" s="19"/>
      <c r="CQY26" s="19"/>
      <c r="CQZ26" s="19"/>
      <c r="CRA26" s="19"/>
      <c r="CRB26" s="19"/>
      <c r="CRC26" s="19"/>
      <c r="CRD26" s="19"/>
      <c r="CRE26" s="19"/>
      <c r="CRF26" s="19"/>
      <c r="CRG26" s="19"/>
      <c r="CRH26" s="19"/>
      <c r="CRI26" s="19"/>
      <c r="CRJ26" s="19"/>
      <c r="CRK26" s="19"/>
      <c r="CRL26" s="19"/>
      <c r="CRM26" s="19"/>
      <c r="CRN26" s="19"/>
      <c r="CRO26" s="19"/>
      <c r="CRP26" s="19"/>
      <c r="CRQ26" s="19"/>
      <c r="CRR26" s="19"/>
      <c r="CRS26" s="19"/>
      <c r="CRT26" s="19"/>
      <c r="CRU26" s="19"/>
      <c r="CRV26" s="19"/>
      <c r="CRW26" s="19"/>
      <c r="CRX26" s="19"/>
      <c r="CRY26" s="19"/>
      <c r="CRZ26" s="19"/>
      <c r="CSA26" s="19"/>
      <c r="CSB26" s="19"/>
      <c r="CSC26" s="19"/>
      <c r="CSD26" s="19"/>
      <c r="CSE26" s="19"/>
      <c r="CSF26" s="19"/>
      <c r="CSG26" s="19"/>
      <c r="CSH26" s="19"/>
      <c r="CSI26" s="19"/>
      <c r="CSJ26" s="19"/>
      <c r="CSK26" s="19"/>
      <c r="CSL26" s="19"/>
      <c r="CSM26" s="19"/>
      <c r="CSN26" s="19"/>
      <c r="CSO26" s="19"/>
      <c r="CSP26" s="19"/>
      <c r="CSQ26" s="19"/>
      <c r="CSR26" s="19"/>
      <c r="CSS26" s="19"/>
      <c r="CST26" s="19"/>
      <c r="CSU26" s="19"/>
      <c r="CSV26" s="19"/>
      <c r="CSW26" s="19"/>
      <c r="CSX26" s="19"/>
      <c r="CSY26" s="19"/>
      <c r="CSZ26" s="19"/>
      <c r="CTA26" s="19"/>
      <c r="CTB26" s="19"/>
      <c r="CTC26" s="19"/>
      <c r="CTD26" s="19"/>
      <c r="CTE26" s="19"/>
      <c r="CTF26" s="19"/>
      <c r="CTG26" s="19"/>
      <c r="CTH26" s="19"/>
      <c r="CTI26" s="19"/>
      <c r="CTJ26" s="19"/>
      <c r="CTK26" s="19"/>
      <c r="CTL26" s="19"/>
      <c r="CTM26" s="19"/>
      <c r="CTN26" s="19"/>
      <c r="CTO26" s="19"/>
      <c r="CTP26" s="19"/>
      <c r="CTQ26" s="19"/>
      <c r="CTR26" s="19"/>
      <c r="CTS26" s="19"/>
      <c r="CTT26" s="19"/>
      <c r="CTU26" s="19"/>
      <c r="CTV26" s="19"/>
      <c r="CTW26" s="19"/>
      <c r="CTX26" s="19"/>
      <c r="CTY26" s="19"/>
      <c r="CTZ26" s="19"/>
      <c r="CUA26" s="19"/>
      <c r="CUB26" s="19"/>
      <c r="CUC26" s="19"/>
      <c r="CUD26" s="19"/>
      <c r="CUE26" s="19"/>
      <c r="CUF26" s="19"/>
      <c r="CUG26" s="19"/>
      <c r="CUH26" s="19"/>
      <c r="CUI26" s="19"/>
      <c r="CUJ26" s="19"/>
      <c r="CUK26" s="19"/>
      <c r="CUL26" s="19"/>
      <c r="CUM26" s="19"/>
      <c r="CUN26" s="19"/>
      <c r="CUO26" s="19"/>
      <c r="CUP26" s="19"/>
      <c r="CUQ26" s="19"/>
      <c r="CUR26" s="19"/>
      <c r="CUS26" s="19"/>
      <c r="CUT26" s="19"/>
      <c r="CUU26" s="19"/>
      <c r="CUV26" s="19"/>
      <c r="CUW26" s="19"/>
      <c r="CUX26" s="19"/>
      <c r="CUY26" s="19"/>
      <c r="CUZ26" s="19"/>
      <c r="CVA26" s="19"/>
      <c r="CVB26" s="19"/>
      <c r="CVC26" s="19"/>
      <c r="CVD26" s="19"/>
      <c r="CVE26" s="19"/>
      <c r="CVF26" s="19"/>
      <c r="CVG26" s="19"/>
      <c r="CVH26" s="19"/>
      <c r="CVI26" s="19"/>
      <c r="CVJ26" s="19"/>
      <c r="CVK26" s="19"/>
      <c r="CVL26" s="19"/>
      <c r="CVM26" s="19"/>
      <c r="CVN26" s="19"/>
      <c r="CVO26" s="19"/>
      <c r="CVP26" s="19"/>
      <c r="CVQ26" s="19"/>
      <c r="CVR26" s="19"/>
      <c r="CVS26" s="19"/>
      <c r="CVT26" s="19"/>
      <c r="CVU26" s="19"/>
      <c r="CVV26" s="19"/>
      <c r="CVW26" s="19"/>
      <c r="CVX26" s="19"/>
      <c r="CVY26" s="19"/>
      <c r="CVZ26" s="19"/>
      <c r="CWA26" s="19"/>
      <c r="CWB26" s="19"/>
      <c r="CWC26" s="19"/>
      <c r="CWD26" s="19"/>
      <c r="CWE26" s="19"/>
      <c r="CWF26" s="19"/>
      <c r="CWG26" s="19"/>
      <c r="CWH26" s="19"/>
      <c r="CWI26" s="19"/>
      <c r="CWJ26" s="19"/>
      <c r="CWK26" s="19"/>
      <c r="CWL26" s="19"/>
      <c r="CWM26" s="19"/>
      <c r="CWN26" s="19"/>
      <c r="CWO26" s="19"/>
      <c r="CWP26" s="19"/>
      <c r="CWQ26" s="19"/>
      <c r="CWR26" s="19"/>
      <c r="CWS26" s="19"/>
      <c r="CWT26" s="19"/>
      <c r="CWU26" s="19"/>
      <c r="CWV26" s="19"/>
      <c r="CWW26" s="19"/>
      <c r="CWX26" s="19"/>
      <c r="CWY26" s="19"/>
      <c r="CWZ26" s="19"/>
      <c r="CXA26" s="19"/>
      <c r="CXB26" s="19"/>
      <c r="CXC26" s="19"/>
      <c r="CXD26" s="19"/>
      <c r="CXE26" s="19"/>
      <c r="CXF26" s="19"/>
      <c r="CXG26" s="19"/>
      <c r="CXH26" s="19"/>
      <c r="CXI26" s="19"/>
      <c r="CXJ26" s="19"/>
      <c r="CXK26" s="19"/>
      <c r="CXL26" s="19"/>
      <c r="CXM26" s="19"/>
      <c r="CXN26" s="19"/>
      <c r="CXO26" s="19"/>
      <c r="CXP26" s="19"/>
      <c r="CXQ26" s="19"/>
      <c r="CXR26" s="19"/>
      <c r="CXS26" s="19"/>
      <c r="CXT26" s="19"/>
      <c r="CXU26" s="19"/>
      <c r="CXV26" s="19"/>
      <c r="CXW26" s="19"/>
      <c r="CXX26" s="19"/>
      <c r="CXY26" s="19"/>
      <c r="CXZ26" s="19"/>
      <c r="CYA26" s="19"/>
      <c r="CYB26" s="19"/>
      <c r="CYC26" s="19"/>
      <c r="CYD26" s="19"/>
      <c r="CYE26" s="19"/>
      <c r="CYF26" s="19"/>
      <c r="CYG26" s="19"/>
      <c r="CYH26" s="19"/>
      <c r="CYI26" s="19"/>
      <c r="CYJ26" s="19"/>
      <c r="CYK26" s="19"/>
      <c r="CYL26" s="19"/>
      <c r="CYM26" s="19"/>
      <c r="CYN26" s="19"/>
      <c r="CYO26" s="19"/>
      <c r="CYP26" s="19"/>
      <c r="CYQ26" s="19"/>
      <c r="CYR26" s="19"/>
      <c r="CYS26" s="19"/>
      <c r="CYT26" s="19"/>
      <c r="CYU26" s="19"/>
      <c r="CYV26" s="19"/>
      <c r="CYW26" s="19"/>
      <c r="CYX26" s="19"/>
      <c r="CYY26" s="19"/>
      <c r="CYZ26" s="19"/>
      <c r="CZA26" s="19"/>
      <c r="CZB26" s="19"/>
      <c r="CZC26" s="19"/>
      <c r="CZD26" s="19"/>
      <c r="CZE26" s="19"/>
      <c r="CZF26" s="19"/>
      <c r="CZG26" s="19"/>
      <c r="CZH26" s="19"/>
      <c r="CZI26" s="19"/>
      <c r="CZJ26" s="19"/>
      <c r="CZK26" s="19"/>
      <c r="CZL26" s="19"/>
      <c r="CZM26" s="19"/>
      <c r="CZN26" s="19"/>
      <c r="CZO26" s="19"/>
      <c r="CZP26" s="19"/>
      <c r="CZQ26" s="19"/>
      <c r="CZR26" s="19"/>
      <c r="CZS26" s="19"/>
      <c r="CZT26" s="19"/>
      <c r="CZU26" s="19"/>
      <c r="CZV26" s="19"/>
      <c r="CZW26" s="19"/>
      <c r="CZX26" s="19"/>
      <c r="CZY26" s="19"/>
      <c r="CZZ26" s="19"/>
      <c r="DAA26" s="19"/>
      <c r="DAB26" s="19"/>
      <c r="DAC26" s="19"/>
      <c r="DAD26" s="19"/>
      <c r="DAE26" s="19"/>
      <c r="DAF26" s="19"/>
      <c r="DAG26" s="19"/>
      <c r="DAH26" s="19"/>
      <c r="DAI26" s="19"/>
      <c r="DAJ26" s="19"/>
      <c r="DAK26" s="19"/>
      <c r="DAL26" s="19"/>
      <c r="DAM26" s="19"/>
      <c r="DAN26" s="19"/>
      <c r="DAO26" s="19"/>
      <c r="DAP26" s="19"/>
      <c r="DAQ26" s="19"/>
      <c r="DAR26" s="19"/>
      <c r="DAS26" s="19"/>
      <c r="DAT26" s="19"/>
      <c r="DAU26" s="19"/>
      <c r="DAV26" s="19"/>
      <c r="DAW26" s="19"/>
      <c r="DAX26" s="19"/>
      <c r="DAY26" s="19"/>
      <c r="DAZ26" s="19"/>
      <c r="DBA26" s="19"/>
      <c r="DBB26" s="19"/>
      <c r="DBC26" s="19"/>
      <c r="DBD26" s="19"/>
      <c r="DBE26" s="19"/>
      <c r="DBF26" s="19"/>
      <c r="DBG26" s="19"/>
      <c r="DBH26" s="19"/>
      <c r="DBI26" s="19"/>
      <c r="DBJ26" s="19"/>
      <c r="DBK26" s="19"/>
      <c r="DBL26" s="19"/>
      <c r="DBM26" s="19"/>
      <c r="DBN26" s="19"/>
      <c r="DBO26" s="19"/>
      <c r="DBP26" s="19"/>
      <c r="DBQ26" s="19"/>
      <c r="DBR26" s="19"/>
      <c r="DBS26" s="19"/>
      <c r="DBT26" s="19"/>
      <c r="DBU26" s="19"/>
      <c r="DBV26" s="19"/>
      <c r="DBW26" s="19"/>
      <c r="DBX26" s="19"/>
      <c r="DBY26" s="19"/>
      <c r="DBZ26" s="19"/>
      <c r="DCA26" s="19"/>
      <c r="DCB26" s="19"/>
      <c r="DCC26" s="19"/>
      <c r="DCD26" s="19"/>
      <c r="DCE26" s="19"/>
      <c r="DCF26" s="19"/>
      <c r="DCG26" s="19"/>
      <c r="DCH26" s="19"/>
      <c r="DCI26" s="19"/>
      <c r="DCJ26" s="19"/>
      <c r="DCK26" s="19"/>
      <c r="DCL26" s="19"/>
      <c r="DCM26" s="19"/>
      <c r="DCN26" s="19"/>
      <c r="DCO26" s="19"/>
      <c r="DCP26" s="19"/>
      <c r="DCQ26" s="19"/>
      <c r="DCR26" s="19"/>
      <c r="DCS26" s="19"/>
      <c r="DCT26" s="19"/>
      <c r="DCU26" s="19"/>
      <c r="DCV26" s="19"/>
      <c r="DCW26" s="19"/>
      <c r="DCX26" s="19"/>
      <c r="DCY26" s="19"/>
      <c r="DCZ26" s="19"/>
      <c r="DDA26" s="19"/>
      <c r="DDB26" s="19"/>
      <c r="DDC26" s="19"/>
      <c r="DDD26" s="19"/>
      <c r="DDE26" s="19"/>
      <c r="DDF26" s="19"/>
      <c r="DDG26" s="19"/>
      <c r="DDH26" s="19"/>
      <c r="DDI26" s="19"/>
      <c r="DDJ26" s="19"/>
      <c r="DDK26" s="19"/>
      <c r="DDL26" s="19"/>
      <c r="DDM26" s="19"/>
      <c r="DDN26" s="19"/>
      <c r="DDO26" s="19"/>
      <c r="DDP26" s="19"/>
      <c r="DDQ26" s="19"/>
      <c r="DDR26" s="19"/>
      <c r="DDS26" s="19"/>
      <c r="DDT26" s="19"/>
      <c r="DDU26" s="19"/>
      <c r="DDV26" s="19"/>
      <c r="DDW26" s="19"/>
      <c r="DDX26" s="19"/>
      <c r="DDY26" s="19"/>
      <c r="DDZ26" s="19"/>
      <c r="DEA26" s="19"/>
      <c r="DEB26" s="19"/>
      <c r="DEC26" s="19"/>
      <c r="DED26" s="19"/>
      <c r="DEE26" s="19"/>
      <c r="DEF26" s="19"/>
      <c r="DEG26" s="19"/>
      <c r="DEH26" s="19"/>
      <c r="DEI26" s="19"/>
      <c r="DEJ26" s="19"/>
      <c r="DEK26" s="19"/>
      <c r="DEL26" s="19"/>
      <c r="DEM26" s="19"/>
      <c r="DEN26" s="19"/>
      <c r="DEO26" s="19"/>
      <c r="DEP26" s="19"/>
      <c r="DEQ26" s="19"/>
      <c r="DER26" s="19"/>
      <c r="DES26" s="19"/>
      <c r="DET26" s="19"/>
      <c r="DEU26" s="19"/>
      <c r="DEV26" s="19"/>
      <c r="DEW26" s="19"/>
      <c r="DEX26" s="19"/>
      <c r="DEY26" s="19"/>
      <c r="DEZ26" s="19"/>
      <c r="DFA26" s="19"/>
      <c r="DFB26" s="19"/>
      <c r="DFC26" s="19"/>
      <c r="DFD26" s="19"/>
      <c r="DFE26" s="19"/>
      <c r="DFF26" s="19"/>
      <c r="DFG26" s="19"/>
      <c r="DFH26" s="19"/>
      <c r="DFI26" s="19"/>
      <c r="DFJ26" s="19"/>
      <c r="DFK26" s="19"/>
      <c r="DFL26" s="19"/>
      <c r="DFM26" s="19"/>
      <c r="DFN26" s="19"/>
      <c r="DFO26" s="19"/>
      <c r="DFP26" s="19"/>
      <c r="DFQ26" s="19"/>
      <c r="DFR26" s="19"/>
      <c r="DFS26" s="19"/>
      <c r="DFT26" s="19"/>
      <c r="DFU26" s="19"/>
      <c r="DFV26" s="19"/>
      <c r="DFW26" s="19"/>
      <c r="DFX26" s="19"/>
      <c r="DFY26" s="19"/>
      <c r="DFZ26" s="19"/>
      <c r="DGA26" s="19"/>
      <c r="DGB26" s="19"/>
      <c r="DGC26" s="19"/>
      <c r="DGD26" s="19"/>
      <c r="DGE26" s="19"/>
      <c r="DGF26" s="19"/>
      <c r="DGG26" s="19"/>
      <c r="DGH26" s="19"/>
      <c r="DGI26" s="19"/>
      <c r="DGJ26" s="19"/>
      <c r="DGK26" s="19"/>
      <c r="DGL26" s="19"/>
      <c r="DGM26" s="19"/>
      <c r="DGN26" s="19"/>
      <c r="DGO26" s="19"/>
      <c r="DGP26" s="19"/>
      <c r="DGQ26" s="19"/>
      <c r="DGR26" s="19"/>
      <c r="DGS26" s="19"/>
      <c r="DGT26" s="19"/>
      <c r="DGU26" s="19"/>
      <c r="DGV26" s="19"/>
      <c r="DGW26" s="19"/>
      <c r="DGX26" s="19"/>
      <c r="DGY26" s="19"/>
      <c r="DGZ26" s="19"/>
      <c r="DHA26" s="19"/>
      <c r="DHB26" s="19"/>
      <c r="DHC26" s="19"/>
      <c r="DHD26" s="19"/>
      <c r="DHE26" s="19"/>
      <c r="DHF26" s="19"/>
      <c r="DHG26" s="19"/>
      <c r="DHH26" s="19"/>
      <c r="DHI26" s="19"/>
      <c r="DHJ26" s="19"/>
      <c r="DHK26" s="19"/>
      <c r="DHL26" s="19"/>
      <c r="DHM26" s="19"/>
      <c r="DHN26" s="19"/>
      <c r="DHO26" s="19"/>
      <c r="DHP26" s="19"/>
      <c r="DHQ26" s="19"/>
      <c r="DHR26" s="19"/>
      <c r="DHS26" s="19"/>
      <c r="DHT26" s="19"/>
      <c r="DHU26" s="19"/>
      <c r="DHV26" s="19"/>
      <c r="DHW26" s="19"/>
      <c r="DHX26" s="19"/>
      <c r="DHY26" s="19"/>
      <c r="DHZ26" s="19"/>
      <c r="DIA26" s="19"/>
      <c r="DIB26" s="19"/>
      <c r="DIC26" s="19"/>
      <c r="DID26" s="19"/>
      <c r="DIE26" s="19"/>
      <c r="DIF26" s="19"/>
      <c r="DIG26" s="19"/>
      <c r="DIH26" s="19"/>
      <c r="DII26" s="19"/>
      <c r="DIJ26" s="19"/>
      <c r="DIK26" s="19"/>
      <c r="DIL26" s="19"/>
      <c r="DIM26" s="19"/>
      <c r="DIN26" s="19"/>
      <c r="DIO26" s="19"/>
      <c r="DIP26" s="19"/>
      <c r="DIQ26" s="19"/>
      <c r="DIR26" s="19"/>
      <c r="DIS26" s="19"/>
      <c r="DIT26" s="19"/>
      <c r="DIU26" s="19"/>
      <c r="DIV26" s="19"/>
      <c r="DIW26" s="19"/>
      <c r="DIX26" s="19"/>
      <c r="DIY26" s="19"/>
      <c r="DIZ26" s="19"/>
      <c r="DJA26" s="19"/>
      <c r="DJB26" s="19"/>
      <c r="DJC26" s="19"/>
      <c r="DJD26" s="19"/>
      <c r="DJE26" s="19"/>
      <c r="DJF26" s="19"/>
      <c r="DJG26" s="19"/>
      <c r="DJH26" s="19"/>
      <c r="DJI26" s="19"/>
      <c r="DJJ26" s="19"/>
      <c r="DJK26" s="19"/>
      <c r="DJL26" s="19"/>
      <c r="DJM26" s="19"/>
      <c r="DJN26" s="19"/>
      <c r="DJO26" s="19"/>
      <c r="DJP26" s="19"/>
      <c r="DJQ26" s="19"/>
      <c r="DJR26" s="19"/>
      <c r="DJS26" s="19"/>
      <c r="DJT26" s="19"/>
      <c r="DJU26" s="19"/>
      <c r="DJV26" s="19"/>
      <c r="DJW26" s="19"/>
      <c r="DJX26" s="19"/>
      <c r="DJY26" s="19"/>
      <c r="DJZ26" s="19"/>
      <c r="DKA26" s="19"/>
      <c r="DKB26" s="19"/>
      <c r="DKC26" s="19"/>
      <c r="DKD26" s="19"/>
      <c r="DKE26" s="19"/>
      <c r="DKF26" s="19"/>
      <c r="DKG26" s="19"/>
      <c r="DKH26" s="19"/>
      <c r="DKI26" s="19"/>
      <c r="DKJ26" s="19"/>
      <c r="DKK26" s="19"/>
      <c r="DKL26" s="19"/>
      <c r="DKM26" s="19"/>
      <c r="DKN26" s="19"/>
      <c r="DKO26" s="19"/>
      <c r="DKP26" s="19"/>
      <c r="DKQ26" s="19"/>
      <c r="DKR26" s="19"/>
      <c r="DKS26" s="19"/>
      <c r="DKT26" s="19"/>
      <c r="DKU26" s="19"/>
      <c r="DKV26" s="19"/>
      <c r="DKW26" s="19"/>
      <c r="DKX26" s="19"/>
      <c r="DKY26" s="19"/>
      <c r="DKZ26" s="19"/>
      <c r="DLA26" s="19"/>
      <c r="DLB26" s="19"/>
      <c r="DLC26" s="19"/>
      <c r="DLD26" s="19"/>
      <c r="DLE26" s="19"/>
      <c r="DLF26" s="19"/>
      <c r="DLG26" s="19"/>
      <c r="DLH26" s="19"/>
      <c r="DLI26" s="19"/>
      <c r="DLJ26" s="19"/>
      <c r="DLK26" s="19"/>
      <c r="DLL26" s="19"/>
      <c r="DLM26" s="19"/>
      <c r="DLN26" s="19"/>
      <c r="DLO26" s="19"/>
      <c r="DLP26" s="19"/>
      <c r="DLQ26" s="19"/>
      <c r="DLR26" s="19"/>
      <c r="DLS26" s="19"/>
      <c r="DLT26" s="19"/>
      <c r="DLU26" s="19"/>
      <c r="DLV26" s="19"/>
      <c r="DLW26" s="19"/>
      <c r="DLX26" s="19"/>
      <c r="DLY26" s="19"/>
      <c r="DLZ26" s="19"/>
      <c r="DMA26" s="19"/>
      <c r="DMB26" s="19"/>
      <c r="DMC26" s="19"/>
      <c r="DMD26" s="19"/>
      <c r="DME26" s="19"/>
      <c r="DMF26" s="19"/>
      <c r="DMG26" s="19"/>
      <c r="DMH26" s="19"/>
      <c r="DMI26" s="19"/>
      <c r="DMJ26" s="19"/>
      <c r="DMK26" s="19"/>
      <c r="DML26" s="19"/>
      <c r="DMM26" s="19"/>
      <c r="DMN26" s="19"/>
      <c r="DMO26" s="19"/>
      <c r="DMP26" s="19"/>
      <c r="DMQ26" s="19"/>
      <c r="DMR26" s="19"/>
      <c r="DMS26" s="19"/>
      <c r="DMT26" s="19"/>
      <c r="DMU26" s="19"/>
      <c r="DMV26" s="19"/>
      <c r="DMW26" s="19"/>
      <c r="DMX26" s="19"/>
      <c r="DMY26" s="19"/>
      <c r="DMZ26" s="19"/>
      <c r="DNA26" s="19"/>
      <c r="DNB26" s="19"/>
      <c r="DNC26" s="19"/>
      <c r="DND26" s="19"/>
      <c r="DNE26" s="19"/>
      <c r="DNF26" s="19"/>
      <c r="DNG26" s="19"/>
      <c r="DNH26" s="19"/>
      <c r="DNI26" s="19"/>
      <c r="DNJ26" s="19"/>
      <c r="DNK26" s="19"/>
      <c r="DNL26" s="19"/>
      <c r="DNM26" s="19"/>
      <c r="DNN26" s="19"/>
      <c r="DNO26" s="19"/>
      <c r="DNP26" s="19"/>
      <c r="DNQ26" s="19"/>
      <c r="DNR26" s="19"/>
      <c r="DNS26" s="19"/>
      <c r="DNT26" s="19"/>
      <c r="DNU26" s="19"/>
      <c r="DNV26" s="19"/>
      <c r="DNW26" s="19"/>
      <c r="DNX26" s="19"/>
      <c r="DNY26" s="19"/>
      <c r="DNZ26" s="19"/>
      <c r="DOA26" s="19"/>
      <c r="DOB26" s="19"/>
      <c r="DOC26" s="19"/>
      <c r="DOD26" s="19"/>
      <c r="DOE26" s="19"/>
      <c r="DOF26" s="19"/>
      <c r="DOG26" s="19"/>
      <c r="DOH26" s="19"/>
      <c r="DOI26" s="19"/>
      <c r="DOJ26" s="19"/>
      <c r="DOK26" s="19"/>
      <c r="DOL26" s="19"/>
      <c r="DOM26" s="19"/>
      <c r="DON26" s="19"/>
      <c r="DOO26" s="19"/>
      <c r="DOP26" s="19"/>
      <c r="DOQ26" s="19"/>
      <c r="DOR26" s="19"/>
      <c r="DOS26" s="19"/>
      <c r="DOT26" s="19"/>
      <c r="DOU26" s="19"/>
      <c r="DOV26" s="19"/>
      <c r="DOW26" s="19"/>
      <c r="DOX26" s="19"/>
      <c r="DOY26" s="19"/>
      <c r="DOZ26" s="19"/>
      <c r="DPA26" s="19"/>
      <c r="DPB26" s="19"/>
      <c r="DPC26" s="19"/>
      <c r="DPD26" s="19"/>
      <c r="DPE26" s="19"/>
      <c r="DPF26" s="19"/>
      <c r="DPG26" s="19"/>
      <c r="DPH26" s="19"/>
      <c r="DPI26" s="19"/>
      <c r="DPJ26" s="19"/>
      <c r="DPK26" s="19"/>
      <c r="DPL26" s="19"/>
      <c r="DPM26" s="19"/>
      <c r="DPN26" s="19"/>
      <c r="DPO26" s="19"/>
      <c r="DPP26" s="19"/>
      <c r="DPQ26" s="19"/>
      <c r="DPR26" s="19"/>
      <c r="DPS26" s="19"/>
      <c r="DPT26" s="19"/>
      <c r="DPU26" s="19"/>
      <c r="DPV26" s="19"/>
      <c r="DPW26" s="19"/>
      <c r="DPX26" s="19"/>
      <c r="DPY26" s="19"/>
      <c r="DPZ26" s="19"/>
      <c r="DQA26" s="19"/>
      <c r="DQB26" s="19"/>
      <c r="DQC26" s="19"/>
      <c r="DQD26" s="19"/>
      <c r="DQE26" s="19"/>
      <c r="DQF26" s="19"/>
      <c r="DQG26" s="19"/>
      <c r="DQH26" s="19"/>
      <c r="DQI26" s="19"/>
      <c r="DQJ26" s="19"/>
      <c r="DQK26" s="19"/>
      <c r="DQL26" s="19"/>
      <c r="DQM26" s="19"/>
      <c r="DQN26" s="19"/>
      <c r="DQO26" s="19"/>
      <c r="DQP26" s="19"/>
      <c r="DQQ26" s="19"/>
      <c r="DQR26" s="19"/>
      <c r="DQS26" s="19"/>
      <c r="DQT26" s="19"/>
      <c r="DQU26" s="19"/>
      <c r="DQV26" s="19"/>
      <c r="DQW26" s="19"/>
      <c r="DQX26" s="19"/>
      <c r="DQY26" s="19"/>
      <c r="DQZ26" s="19"/>
      <c r="DRA26" s="19"/>
      <c r="DRB26" s="19"/>
      <c r="DRC26" s="19"/>
      <c r="DRD26" s="19"/>
      <c r="DRE26" s="19"/>
      <c r="DRF26" s="19"/>
      <c r="DRG26" s="19"/>
      <c r="DRH26" s="19"/>
      <c r="DRI26" s="19"/>
      <c r="DRJ26" s="19"/>
      <c r="DRK26" s="19"/>
      <c r="DRL26" s="19"/>
      <c r="DRM26" s="19"/>
      <c r="DRN26" s="19"/>
      <c r="DRO26" s="19"/>
      <c r="DRP26" s="19"/>
      <c r="DRQ26" s="19"/>
      <c r="DRR26" s="19"/>
      <c r="DRS26" s="19"/>
      <c r="DRT26" s="19"/>
      <c r="DRU26" s="19"/>
      <c r="DRV26" s="19"/>
      <c r="DRW26" s="19"/>
      <c r="DRX26" s="19"/>
      <c r="DRY26" s="19"/>
      <c r="DRZ26" s="19"/>
      <c r="DSA26" s="19"/>
      <c r="DSB26" s="19"/>
      <c r="DSC26" s="19"/>
      <c r="DSD26" s="19"/>
      <c r="DSE26" s="19"/>
      <c r="DSF26" s="19"/>
      <c r="DSG26" s="19"/>
      <c r="DSH26" s="19"/>
      <c r="DSI26" s="19"/>
      <c r="DSJ26" s="19"/>
      <c r="DSK26" s="19"/>
      <c r="DSL26" s="19"/>
      <c r="DSM26" s="19"/>
      <c r="DSN26" s="19"/>
      <c r="DSO26" s="19"/>
      <c r="DSP26" s="19"/>
      <c r="DSQ26" s="19"/>
      <c r="DSR26" s="19"/>
      <c r="DSS26" s="19"/>
      <c r="DST26" s="19"/>
      <c r="DSU26" s="19"/>
      <c r="DSV26" s="19"/>
      <c r="DSW26" s="19"/>
      <c r="DSX26" s="19"/>
      <c r="DSY26" s="19"/>
      <c r="DSZ26" s="19"/>
      <c r="DTA26" s="19"/>
      <c r="DTB26" s="19"/>
      <c r="DTC26" s="19"/>
      <c r="DTD26" s="19"/>
      <c r="DTE26" s="19"/>
      <c r="DTF26" s="19"/>
      <c r="DTG26" s="19"/>
      <c r="DTH26" s="19"/>
      <c r="DTI26" s="19"/>
      <c r="DTJ26" s="19"/>
      <c r="DTK26" s="19"/>
      <c r="DTL26" s="19"/>
      <c r="DTM26" s="19"/>
      <c r="DTN26" s="19"/>
      <c r="DTO26" s="19"/>
      <c r="DTP26" s="19"/>
      <c r="DTQ26" s="19"/>
      <c r="DTR26" s="19"/>
      <c r="DTS26" s="19"/>
      <c r="DTT26" s="19"/>
      <c r="DTU26" s="19"/>
      <c r="DTV26" s="19"/>
      <c r="DTW26" s="19"/>
      <c r="DTX26" s="19"/>
      <c r="DTY26" s="19"/>
      <c r="DTZ26" s="19"/>
      <c r="DUA26" s="19"/>
      <c r="DUB26" s="19"/>
      <c r="DUC26" s="19"/>
      <c r="DUD26" s="19"/>
      <c r="DUE26" s="19"/>
      <c r="DUF26" s="19"/>
      <c r="DUG26" s="19"/>
      <c r="DUH26" s="19"/>
      <c r="DUI26" s="19"/>
      <c r="DUJ26" s="19"/>
      <c r="DUK26" s="19"/>
      <c r="DUL26" s="19"/>
      <c r="DUM26" s="19"/>
      <c r="DUN26" s="19"/>
      <c r="DUO26" s="19"/>
      <c r="DUP26" s="19"/>
      <c r="DUQ26" s="19"/>
      <c r="DUR26" s="19"/>
      <c r="DUS26" s="19"/>
      <c r="DUT26" s="19"/>
      <c r="DUU26" s="19"/>
      <c r="DUV26" s="19"/>
      <c r="DUW26" s="19"/>
      <c r="DUX26" s="19"/>
      <c r="DUY26" s="19"/>
      <c r="DUZ26" s="19"/>
      <c r="DVA26" s="19"/>
      <c r="DVB26" s="19"/>
      <c r="DVC26" s="19"/>
      <c r="DVD26" s="19"/>
      <c r="DVE26" s="19"/>
      <c r="DVF26" s="19"/>
      <c r="DVG26" s="19"/>
      <c r="DVH26" s="19"/>
      <c r="DVI26" s="19"/>
      <c r="DVJ26" s="19"/>
      <c r="DVK26" s="19"/>
      <c r="DVL26" s="19"/>
      <c r="DVM26" s="19"/>
      <c r="DVN26" s="19"/>
      <c r="DVO26" s="19"/>
      <c r="DVP26" s="19"/>
      <c r="DVQ26" s="19"/>
      <c r="DVR26" s="19"/>
      <c r="DVS26" s="19"/>
      <c r="DVT26" s="19"/>
      <c r="DVU26" s="19"/>
      <c r="DVV26" s="19"/>
      <c r="DVW26" s="19"/>
      <c r="DVX26" s="19"/>
      <c r="DVY26" s="19"/>
      <c r="DVZ26" s="19"/>
      <c r="DWA26" s="19"/>
      <c r="DWB26" s="19"/>
      <c r="DWC26" s="19"/>
      <c r="DWD26" s="19"/>
      <c r="DWE26" s="19"/>
      <c r="DWF26" s="19"/>
      <c r="DWG26" s="19"/>
      <c r="DWH26" s="19"/>
      <c r="DWI26" s="19"/>
      <c r="DWJ26" s="19"/>
      <c r="DWK26" s="19"/>
      <c r="DWL26" s="19"/>
      <c r="DWM26" s="19"/>
      <c r="DWN26" s="19"/>
      <c r="DWO26" s="19"/>
      <c r="DWP26" s="19"/>
      <c r="DWQ26" s="19"/>
      <c r="DWR26" s="19"/>
      <c r="DWS26" s="19"/>
      <c r="DWT26" s="19"/>
      <c r="DWU26" s="19"/>
      <c r="DWV26" s="19"/>
      <c r="DWW26" s="19"/>
      <c r="DWX26" s="19"/>
      <c r="DWY26" s="19"/>
      <c r="DWZ26" s="19"/>
      <c r="DXA26" s="19"/>
      <c r="DXB26" s="19"/>
      <c r="DXC26" s="19"/>
      <c r="DXD26" s="19"/>
      <c r="DXE26" s="19"/>
      <c r="DXF26" s="19"/>
      <c r="DXG26" s="19"/>
      <c r="DXH26" s="19"/>
      <c r="DXI26" s="19"/>
      <c r="DXJ26" s="19"/>
      <c r="DXK26" s="19"/>
      <c r="DXL26" s="19"/>
      <c r="DXM26" s="19"/>
      <c r="DXN26" s="19"/>
      <c r="DXO26" s="19"/>
      <c r="DXP26" s="19"/>
      <c r="DXQ26" s="19"/>
      <c r="DXR26" s="19"/>
      <c r="DXS26" s="19"/>
      <c r="DXT26" s="19"/>
      <c r="DXU26" s="19"/>
      <c r="DXV26" s="19"/>
      <c r="DXW26" s="19"/>
      <c r="DXX26" s="19"/>
      <c r="DXY26" s="19"/>
      <c r="DXZ26" s="19"/>
      <c r="DYA26" s="19"/>
      <c r="DYB26" s="19"/>
      <c r="DYC26" s="19"/>
      <c r="DYD26" s="19"/>
      <c r="DYE26" s="19"/>
      <c r="DYF26" s="19"/>
      <c r="DYG26" s="19"/>
      <c r="DYH26" s="19"/>
      <c r="DYI26" s="19"/>
      <c r="DYJ26" s="19"/>
      <c r="DYK26" s="19"/>
      <c r="DYL26" s="19"/>
      <c r="DYM26" s="19"/>
      <c r="DYN26" s="19"/>
      <c r="DYO26" s="19"/>
      <c r="DYP26" s="19"/>
      <c r="DYQ26" s="19"/>
      <c r="DYR26" s="19"/>
      <c r="DYS26" s="19"/>
      <c r="DYT26" s="19"/>
      <c r="DYU26" s="19"/>
      <c r="DYV26" s="19"/>
      <c r="DYW26" s="19"/>
      <c r="DYX26" s="19"/>
      <c r="DYY26" s="19"/>
      <c r="DYZ26" s="19"/>
      <c r="DZA26" s="19"/>
      <c r="DZB26" s="19"/>
      <c r="DZC26" s="19"/>
      <c r="DZD26" s="19"/>
      <c r="DZE26" s="19"/>
      <c r="DZF26" s="19"/>
      <c r="DZG26" s="19"/>
      <c r="DZH26" s="19"/>
      <c r="DZI26" s="19"/>
      <c r="DZJ26" s="19"/>
      <c r="DZK26" s="19"/>
      <c r="DZL26" s="19"/>
      <c r="DZM26" s="19"/>
      <c r="DZN26" s="19"/>
      <c r="DZO26" s="19"/>
      <c r="DZP26" s="19"/>
      <c r="DZQ26" s="19"/>
      <c r="DZR26" s="19"/>
      <c r="DZS26" s="19"/>
      <c r="DZT26" s="19"/>
      <c r="DZU26" s="19"/>
      <c r="DZV26" s="19"/>
      <c r="DZW26" s="19"/>
      <c r="DZX26" s="19"/>
      <c r="DZY26" s="19"/>
      <c r="DZZ26" s="19"/>
      <c r="EAA26" s="19"/>
      <c r="EAB26" s="19"/>
      <c r="EAC26" s="19"/>
      <c r="EAD26" s="19"/>
      <c r="EAE26" s="19"/>
      <c r="EAF26" s="19"/>
      <c r="EAG26" s="19"/>
      <c r="EAH26" s="19"/>
      <c r="EAI26" s="19"/>
      <c r="EAJ26" s="19"/>
      <c r="EAK26" s="19"/>
      <c r="EAL26" s="19"/>
      <c r="EAM26" s="19"/>
      <c r="EAN26" s="19"/>
      <c r="EAO26" s="19"/>
      <c r="EAP26" s="19"/>
      <c r="EAQ26" s="19"/>
      <c r="EAR26" s="19"/>
      <c r="EAS26" s="19"/>
      <c r="EAT26" s="19"/>
      <c r="EAU26" s="19"/>
      <c r="EAV26" s="19"/>
      <c r="EAW26" s="19"/>
      <c r="EAX26" s="19"/>
      <c r="EAY26" s="19"/>
      <c r="EAZ26" s="19"/>
      <c r="EBA26" s="19"/>
      <c r="EBB26" s="19"/>
      <c r="EBC26" s="19"/>
      <c r="EBD26" s="19"/>
      <c r="EBE26" s="19"/>
      <c r="EBF26" s="19"/>
      <c r="EBG26" s="19"/>
      <c r="EBH26" s="19"/>
      <c r="EBI26" s="19"/>
      <c r="EBJ26" s="19"/>
      <c r="EBK26" s="19"/>
      <c r="EBL26" s="19"/>
      <c r="EBM26" s="19"/>
      <c r="EBN26" s="19"/>
      <c r="EBO26" s="19"/>
      <c r="EBP26" s="19"/>
      <c r="EBQ26" s="19"/>
      <c r="EBR26" s="19"/>
      <c r="EBS26" s="19"/>
      <c r="EBT26" s="19"/>
      <c r="EBU26" s="19"/>
      <c r="EBV26" s="19"/>
      <c r="EBW26" s="19"/>
      <c r="EBX26" s="19"/>
      <c r="EBY26" s="19"/>
      <c r="EBZ26" s="19"/>
      <c r="ECA26" s="19"/>
      <c r="ECB26" s="19"/>
      <c r="ECC26" s="19"/>
      <c r="ECD26" s="19"/>
      <c r="ECE26" s="19"/>
      <c r="ECF26" s="19"/>
      <c r="ECG26" s="19"/>
      <c r="ECH26" s="19"/>
      <c r="ECI26" s="19"/>
      <c r="ECJ26" s="19"/>
      <c r="ECK26" s="19"/>
      <c r="ECL26" s="19"/>
      <c r="ECM26" s="19"/>
      <c r="ECN26" s="19"/>
      <c r="ECO26" s="19"/>
      <c r="ECP26" s="19"/>
      <c r="ECQ26" s="19"/>
      <c r="ECR26" s="19"/>
      <c r="ECS26" s="19"/>
      <c r="ECT26" s="19"/>
      <c r="ECU26" s="19"/>
      <c r="ECV26" s="19"/>
      <c r="ECW26" s="19"/>
      <c r="ECX26" s="19"/>
      <c r="ECY26" s="19"/>
      <c r="ECZ26" s="19"/>
      <c r="EDA26" s="19"/>
      <c r="EDB26" s="19"/>
      <c r="EDC26" s="19"/>
      <c r="EDD26" s="19"/>
      <c r="EDE26" s="19"/>
      <c r="EDF26" s="19"/>
      <c r="EDG26" s="19"/>
      <c r="EDH26" s="19"/>
      <c r="EDI26" s="19"/>
      <c r="EDJ26" s="19"/>
      <c r="EDK26" s="19"/>
      <c r="EDL26" s="19"/>
      <c r="EDM26" s="19"/>
      <c r="EDN26" s="19"/>
      <c r="EDO26" s="19"/>
      <c r="EDP26" s="19"/>
      <c r="EDQ26" s="19"/>
      <c r="EDR26" s="19"/>
      <c r="EDS26" s="19"/>
      <c r="EDT26" s="19"/>
      <c r="EDU26" s="19"/>
      <c r="EDV26" s="19"/>
      <c r="EDW26" s="19"/>
      <c r="EDX26" s="19"/>
      <c r="EDY26" s="19"/>
      <c r="EDZ26" s="19"/>
      <c r="EEA26" s="19"/>
      <c r="EEB26" s="19"/>
      <c r="EEC26" s="19"/>
      <c r="EED26" s="19"/>
      <c r="EEE26" s="19"/>
      <c r="EEF26" s="19"/>
      <c r="EEG26" s="19"/>
      <c r="EEH26" s="19"/>
      <c r="EEI26" s="19"/>
      <c r="EEJ26" s="19"/>
      <c r="EEK26" s="19"/>
      <c r="EEL26" s="19"/>
      <c r="EEM26" s="19"/>
      <c r="EEN26" s="19"/>
      <c r="EEO26" s="19"/>
      <c r="EEP26" s="19"/>
      <c r="EEQ26" s="19"/>
      <c r="EER26" s="19"/>
      <c r="EES26" s="19"/>
      <c r="EET26" s="19"/>
      <c r="EEU26" s="19"/>
      <c r="EEV26" s="19"/>
      <c r="EEW26" s="19"/>
      <c r="EEX26" s="19"/>
      <c r="EEY26" s="19"/>
      <c r="EEZ26" s="19"/>
      <c r="EFA26" s="19"/>
      <c r="EFB26" s="19"/>
      <c r="EFC26" s="19"/>
      <c r="EFD26" s="19"/>
      <c r="EFE26" s="19"/>
      <c r="EFF26" s="19"/>
      <c r="EFG26" s="19"/>
      <c r="EFH26" s="19"/>
      <c r="EFI26" s="19"/>
      <c r="EFJ26" s="19"/>
      <c r="EFK26" s="19"/>
      <c r="EFL26" s="19"/>
      <c r="EFM26" s="19"/>
      <c r="EFN26" s="19"/>
      <c r="EFO26" s="19"/>
      <c r="EFP26" s="19"/>
      <c r="EFQ26" s="19"/>
      <c r="EFR26" s="19"/>
      <c r="EFS26" s="19"/>
      <c r="EFT26" s="19"/>
      <c r="EFU26" s="19"/>
      <c r="EFV26" s="19"/>
      <c r="EFW26" s="19"/>
      <c r="EFX26" s="19"/>
      <c r="EFY26" s="19"/>
      <c r="EFZ26" s="19"/>
      <c r="EGA26" s="19"/>
      <c r="EGB26" s="19"/>
      <c r="EGC26" s="19"/>
      <c r="EGD26" s="19"/>
      <c r="EGE26" s="19"/>
      <c r="EGF26" s="19"/>
      <c r="EGG26" s="19"/>
      <c r="EGH26" s="19"/>
      <c r="EGI26" s="19"/>
      <c r="EGJ26" s="19"/>
      <c r="EGK26" s="19"/>
      <c r="EGL26" s="19"/>
      <c r="EGM26" s="19"/>
      <c r="EGN26" s="19"/>
      <c r="EGO26" s="19"/>
      <c r="EGP26" s="19"/>
      <c r="EGQ26" s="19"/>
      <c r="EGR26" s="19"/>
      <c r="EGS26" s="19"/>
      <c r="EGT26" s="19"/>
      <c r="EGU26" s="19"/>
      <c r="EGV26" s="19"/>
      <c r="EGW26" s="19"/>
      <c r="EGX26" s="19"/>
      <c r="EGY26" s="19"/>
      <c r="EGZ26" s="19"/>
      <c r="EHA26" s="19"/>
      <c r="EHB26" s="19"/>
      <c r="EHC26" s="19"/>
      <c r="EHD26" s="19"/>
      <c r="EHE26" s="19"/>
      <c r="EHF26" s="19"/>
      <c r="EHG26" s="19"/>
      <c r="EHH26" s="19"/>
      <c r="EHI26" s="19"/>
      <c r="EHJ26" s="19"/>
      <c r="EHK26" s="19"/>
      <c r="EHL26" s="19"/>
      <c r="EHM26" s="19"/>
      <c r="EHN26" s="19"/>
      <c r="EHO26" s="19"/>
      <c r="EHP26" s="19"/>
      <c r="EHQ26" s="19"/>
      <c r="EHR26" s="19"/>
      <c r="EHS26" s="19"/>
      <c r="EHT26" s="19"/>
      <c r="EHU26" s="19"/>
      <c r="EHV26" s="19"/>
      <c r="EHW26" s="19"/>
      <c r="EHX26" s="19"/>
      <c r="EHY26" s="19"/>
      <c r="EHZ26" s="19"/>
      <c r="EIA26" s="19"/>
      <c r="EIB26" s="19"/>
      <c r="EIC26" s="19"/>
      <c r="EID26" s="19"/>
      <c r="EIE26" s="19"/>
      <c r="EIF26" s="19"/>
      <c r="EIG26" s="19"/>
      <c r="EIH26" s="19"/>
      <c r="EII26" s="19"/>
      <c r="EIJ26" s="19"/>
      <c r="EIK26" s="19"/>
      <c r="EIL26" s="19"/>
      <c r="EIM26" s="19"/>
      <c r="EIN26" s="19"/>
      <c r="EIO26" s="19"/>
      <c r="EIP26" s="19"/>
      <c r="EIQ26" s="19"/>
      <c r="EIR26" s="19"/>
      <c r="EIS26" s="19"/>
      <c r="EIT26" s="19"/>
      <c r="EIU26" s="19"/>
      <c r="EIV26" s="19"/>
      <c r="EIW26" s="19"/>
      <c r="EIX26" s="19"/>
      <c r="EIY26" s="19"/>
      <c r="EIZ26" s="19"/>
      <c r="EJA26" s="19"/>
      <c r="EJB26" s="19"/>
      <c r="EJC26" s="19"/>
      <c r="EJD26" s="19"/>
      <c r="EJE26" s="19"/>
      <c r="EJF26" s="19"/>
      <c r="EJG26" s="19"/>
      <c r="EJH26" s="19"/>
      <c r="EJI26" s="19"/>
      <c r="EJJ26" s="19"/>
      <c r="EJK26" s="19"/>
      <c r="EJL26" s="19"/>
      <c r="EJM26" s="19"/>
      <c r="EJN26" s="19"/>
      <c r="EJO26" s="19"/>
      <c r="EJP26" s="19"/>
      <c r="EJQ26" s="19"/>
      <c r="EJR26" s="19"/>
      <c r="EJS26" s="19"/>
      <c r="EJT26" s="19"/>
      <c r="EJU26" s="19"/>
      <c r="EJV26" s="19"/>
      <c r="EJW26" s="19"/>
      <c r="EJX26" s="19"/>
      <c r="EJY26" s="19"/>
      <c r="EJZ26" s="19"/>
      <c r="EKA26" s="19"/>
      <c r="EKB26" s="19"/>
      <c r="EKC26" s="19"/>
      <c r="EKD26" s="19"/>
      <c r="EKE26" s="19"/>
      <c r="EKF26" s="19"/>
      <c r="EKG26" s="19"/>
      <c r="EKH26" s="19"/>
      <c r="EKI26" s="19"/>
      <c r="EKJ26" s="19"/>
      <c r="EKK26" s="19"/>
      <c r="EKL26" s="19"/>
      <c r="EKM26" s="19"/>
      <c r="EKN26" s="19"/>
      <c r="EKO26" s="19"/>
      <c r="EKP26" s="19"/>
      <c r="EKQ26" s="19"/>
      <c r="EKR26" s="19"/>
      <c r="EKS26" s="19"/>
      <c r="EKT26" s="19"/>
      <c r="EKU26" s="19"/>
      <c r="EKV26" s="19"/>
      <c r="EKW26" s="19"/>
      <c r="EKX26" s="19"/>
      <c r="EKY26" s="19"/>
      <c r="EKZ26" s="19"/>
      <c r="ELA26" s="19"/>
      <c r="ELB26" s="19"/>
      <c r="ELC26" s="19"/>
      <c r="ELD26" s="19"/>
      <c r="ELE26" s="19"/>
      <c r="ELF26" s="19"/>
      <c r="ELG26" s="19"/>
      <c r="ELH26" s="19"/>
      <c r="ELI26" s="19"/>
      <c r="ELJ26" s="19"/>
      <c r="ELK26" s="19"/>
      <c r="ELL26" s="19"/>
      <c r="ELM26" s="19"/>
      <c r="ELN26" s="19"/>
      <c r="ELO26" s="19"/>
      <c r="ELP26" s="19"/>
      <c r="ELQ26" s="19"/>
      <c r="ELR26" s="19"/>
      <c r="ELS26" s="19"/>
      <c r="ELT26" s="19"/>
      <c r="ELU26" s="19"/>
      <c r="ELV26" s="19"/>
      <c r="ELW26" s="19"/>
      <c r="ELX26" s="19"/>
      <c r="ELY26" s="19"/>
      <c r="ELZ26" s="19"/>
      <c r="EMA26" s="19"/>
      <c r="EMB26" s="19"/>
      <c r="EMC26" s="19"/>
      <c r="EMD26" s="19"/>
      <c r="EME26" s="19"/>
      <c r="EMF26" s="19"/>
      <c r="EMG26" s="19"/>
      <c r="EMH26" s="19"/>
      <c r="EMI26" s="19"/>
      <c r="EMJ26" s="19"/>
      <c r="EMK26" s="19"/>
      <c r="EML26" s="19"/>
      <c r="EMM26" s="19"/>
      <c r="EMN26" s="19"/>
      <c r="EMO26" s="19"/>
      <c r="EMP26" s="19"/>
      <c r="EMQ26" s="19"/>
      <c r="EMR26" s="19"/>
      <c r="EMS26" s="19"/>
      <c r="EMT26" s="19"/>
      <c r="EMU26" s="19"/>
      <c r="EMV26" s="19"/>
      <c r="EMW26" s="19"/>
      <c r="EMX26" s="19"/>
      <c r="EMY26" s="19"/>
      <c r="EMZ26" s="19"/>
      <c r="ENA26" s="19"/>
      <c r="ENB26" s="19"/>
      <c r="ENC26" s="19"/>
      <c r="END26" s="19"/>
      <c r="ENE26" s="19"/>
      <c r="ENF26" s="19"/>
      <c r="ENG26" s="19"/>
      <c r="ENH26" s="19"/>
      <c r="ENI26" s="19"/>
      <c r="ENJ26" s="19"/>
      <c r="ENK26" s="19"/>
      <c r="ENL26" s="19"/>
      <c r="ENM26" s="19"/>
      <c r="ENN26" s="19"/>
      <c r="ENO26" s="19"/>
      <c r="ENP26" s="19"/>
      <c r="ENQ26" s="19"/>
      <c r="ENR26" s="19"/>
      <c r="ENS26" s="19"/>
      <c r="ENT26" s="19"/>
      <c r="ENU26" s="19"/>
      <c r="ENV26" s="19"/>
      <c r="ENW26" s="19"/>
      <c r="ENX26" s="19"/>
      <c r="ENY26" s="19"/>
      <c r="ENZ26" s="19"/>
      <c r="EOA26" s="19"/>
      <c r="EOB26" s="19"/>
      <c r="EOC26" s="19"/>
      <c r="EOD26" s="19"/>
      <c r="EOE26" s="19"/>
      <c r="EOF26" s="19"/>
      <c r="EOG26" s="19"/>
      <c r="EOH26" s="19"/>
      <c r="EOI26" s="19"/>
      <c r="EOJ26" s="19"/>
      <c r="EOK26" s="19"/>
      <c r="EOL26" s="19"/>
      <c r="EOM26" s="19"/>
      <c r="EON26" s="19"/>
      <c r="EOO26" s="19"/>
      <c r="EOP26" s="19"/>
      <c r="EOQ26" s="19"/>
      <c r="EOR26" s="19"/>
      <c r="EOS26" s="19"/>
      <c r="EOT26" s="19"/>
      <c r="EOU26" s="19"/>
      <c r="EOV26" s="19"/>
      <c r="EOW26" s="19"/>
      <c r="EOX26" s="19"/>
      <c r="EOY26" s="19"/>
      <c r="EOZ26" s="19"/>
      <c r="EPA26" s="19"/>
      <c r="EPB26" s="19"/>
      <c r="EPC26" s="19"/>
      <c r="EPD26" s="19"/>
      <c r="EPE26" s="19"/>
      <c r="EPF26" s="19"/>
      <c r="EPG26" s="19"/>
      <c r="EPH26" s="19"/>
      <c r="EPI26" s="19"/>
      <c r="EPJ26" s="19"/>
      <c r="EPK26" s="19"/>
      <c r="EPL26" s="19"/>
      <c r="EPM26" s="19"/>
      <c r="EPN26" s="19"/>
      <c r="EPO26" s="19"/>
      <c r="EPP26" s="19"/>
      <c r="EPQ26" s="19"/>
      <c r="EPR26" s="19"/>
      <c r="EPS26" s="19"/>
      <c r="EPT26" s="19"/>
      <c r="EPU26" s="19"/>
      <c r="EPV26" s="19"/>
      <c r="EPW26" s="19"/>
      <c r="EPX26" s="19"/>
      <c r="EPY26" s="19"/>
      <c r="EPZ26" s="19"/>
      <c r="EQA26" s="19"/>
      <c r="EQB26" s="19"/>
      <c r="EQC26" s="19"/>
      <c r="EQD26" s="19"/>
      <c r="EQE26" s="19"/>
      <c r="EQF26" s="19"/>
      <c r="EQG26" s="19"/>
      <c r="EQH26" s="19"/>
      <c r="EQI26" s="19"/>
      <c r="EQJ26" s="19"/>
      <c r="EQK26" s="19"/>
      <c r="EQL26" s="19"/>
      <c r="EQM26" s="19"/>
      <c r="EQN26" s="19"/>
      <c r="EQO26" s="19"/>
      <c r="EQP26" s="19"/>
      <c r="EQQ26" s="19"/>
      <c r="EQR26" s="19"/>
      <c r="EQS26" s="19"/>
      <c r="EQT26" s="19"/>
      <c r="EQU26" s="19"/>
      <c r="EQV26" s="19"/>
      <c r="EQW26" s="19"/>
      <c r="EQX26" s="19"/>
      <c r="EQY26" s="19"/>
      <c r="EQZ26" s="19"/>
      <c r="ERA26" s="19"/>
      <c r="ERB26" s="19"/>
      <c r="ERC26" s="19"/>
      <c r="ERD26" s="19"/>
      <c r="ERE26" s="19"/>
      <c r="ERF26" s="19"/>
      <c r="ERG26" s="19"/>
      <c r="ERH26" s="19"/>
      <c r="ERI26" s="19"/>
      <c r="ERJ26" s="19"/>
      <c r="ERK26" s="19"/>
      <c r="ERL26" s="19"/>
      <c r="ERM26" s="19"/>
      <c r="ERN26" s="19"/>
      <c r="ERO26" s="19"/>
      <c r="ERP26" s="19"/>
      <c r="ERQ26" s="19"/>
      <c r="ERR26" s="19"/>
      <c r="ERS26" s="19"/>
      <c r="ERT26" s="19"/>
      <c r="ERU26" s="19"/>
      <c r="ERV26" s="19"/>
      <c r="ERW26" s="19"/>
      <c r="ERX26" s="19"/>
      <c r="ERY26" s="19"/>
      <c r="ERZ26" s="19"/>
      <c r="ESA26" s="19"/>
      <c r="ESB26" s="19"/>
      <c r="ESC26" s="19"/>
      <c r="ESD26" s="19"/>
      <c r="ESE26" s="19"/>
      <c r="ESF26" s="19"/>
      <c r="ESG26" s="19"/>
      <c r="ESH26" s="19"/>
      <c r="ESI26" s="19"/>
      <c r="ESJ26" s="19"/>
      <c r="ESK26" s="19"/>
      <c r="ESL26" s="19"/>
      <c r="ESM26" s="19"/>
      <c r="ESN26" s="19"/>
      <c r="ESO26" s="19"/>
      <c r="ESP26" s="19"/>
      <c r="ESQ26" s="19"/>
      <c r="ESR26" s="19"/>
      <c r="ESS26" s="19"/>
      <c r="EST26" s="19"/>
      <c r="ESU26" s="19"/>
      <c r="ESV26" s="19"/>
      <c r="ESW26" s="19"/>
      <c r="ESX26" s="19"/>
      <c r="ESY26" s="19"/>
      <c r="ESZ26" s="19"/>
      <c r="ETA26" s="19"/>
      <c r="ETB26" s="19"/>
      <c r="ETC26" s="19"/>
      <c r="ETD26" s="19"/>
      <c r="ETE26" s="19"/>
      <c r="ETF26" s="19"/>
      <c r="ETG26" s="19"/>
      <c r="ETH26" s="19"/>
      <c r="ETI26" s="19"/>
      <c r="ETJ26" s="19"/>
      <c r="ETK26" s="19"/>
      <c r="ETL26" s="19"/>
      <c r="ETM26" s="19"/>
      <c r="ETN26" s="19"/>
      <c r="ETO26" s="19"/>
      <c r="ETP26" s="19"/>
      <c r="ETQ26" s="19"/>
      <c r="ETR26" s="19"/>
      <c r="ETS26" s="19"/>
      <c r="ETT26" s="19"/>
      <c r="ETU26" s="19"/>
      <c r="ETV26" s="19"/>
      <c r="ETW26" s="19"/>
      <c r="ETX26" s="19"/>
      <c r="ETY26" s="19"/>
      <c r="ETZ26" s="19"/>
      <c r="EUA26" s="19"/>
      <c r="EUB26" s="19"/>
      <c r="EUC26" s="19"/>
      <c r="EUD26" s="19"/>
      <c r="EUE26" s="19"/>
      <c r="EUF26" s="19"/>
      <c r="EUG26" s="19"/>
      <c r="EUH26" s="19"/>
      <c r="EUI26" s="19"/>
      <c r="EUJ26" s="19"/>
      <c r="EUK26" s="19"/>
      <c r="EUL26" s="19"/>
      <c r="EUM26" s="19"/>
      <c r="EUN26" s="19"/>
      <c r="EUO26" s="19"/>
      <c r="EUP26" s="19"/>
      <c r="EUQ26" s="19"/>
      <c r="EUR26" s="19"/>
      <c r="EUS26" s="19"/>
      <c r="EUT26" s="19"/>
      <c r="EUU26" s="19"/>
      <c r="EUV26" s="19"/>
      <c r="EUW26" s="19"/>
      <c r="EUX26" s="19"/>
      <c r="EUY26" s="19"/>
      <c r="EUZ26" s="19"/>
      <c r="EVA26" s="19"/>
      <c r="EVB26" s="19"/>
      <c r="EVC26" s="19"/>
      <c r="EVD26" s="19"/>
      <c r="EVE26" s="19"/>
      <c r="EVF26" s="19"/>
      <c r="EVG26" s="19"/>
      <c r="EVH26" s="19"/>
      <c r="EVI26" s="19"/>
      <c r="EVJ26" s="19"/>
      <c r="EVK26" s="19"/>
      <c r="EVL26" s="19"/>
      <c r="EVM26" s="19"/>
      <c r="EVN26" s="19"/>
      <c r="EVO26" s="19"/>
      <c r="EVP26" s="19"/>
      <c r="EVQ26" s="19"/>
      <c r="EVR26" s="19"/>
      <c r="EVS26" s="19"/>
      <c r="EVT26" s="19"/>
      <c r="EVU26" s="19"/>
      <c r="EVV26" s="19"/>
      <c r="EVW26" s="19"/>
      <c r="EVX26" s="19"/>
      <c r="EVY26" s="19"/>
      <c r="EVZ26" s="19"/>
      <c r="EWA26" s="19"/>
      <c r="EWB26" s="19"/>
      <c r="EWC26" s="19"/>
      <c r="EWD26" s="19"/>
      <c r="EWE26" s="19"/>
      <c r="EWF26" s="19"/>
      <c r="EWG26" s="19"/>
      <c r="EWH26" s="19"/>
      <c r="EWI26" s="19"/>
      <c r="EWJ26" s="19"/>
      <c r="EWK26" s="19"/>
      <c r="EWL26" s="19"/>
      <c r="EWM26" s="19"/>
      <c r="EWN26" s="19"/>
      <c r="EWO26" s="19"/>
      <c r="EWP26" s="19"/>
      <c r="EWQ26" s="19"/>
      <c r="EWR26" s="19"/>
      <c r="EWS26" s="19"/>
      <c r="EWT26" s="19"/>
      <c r="EWU26" s="19"/>
      <c r="EWV26" s="19"/>
      <c r="EWW26" s="19"/>
      <c r="EWX26" s="19"/>
      <c r="EWY26" s="19"/>
      <c r="EWZ26" s="19"/>
      <c r="EXA26" s="19"/>
      <c r="EXB26" s="19"/>
      <c r="EXC26" s="19"/>
      <c r="EXD26" s="19"/>
      <c r="EXE26" s="19"/>
      <c r="EXF26" s="19"/>
      <c r="EXG26" s="19"/>
      <c r="EXH26" s="19"/>
      <c r="EXI26" s="19"/>
      <c r="EXJ26" s="19"/>
      <c r="EXK26" s="19"/>
      <c r="EXL26" s="19"/>
      <c r="EXM26" s="19"/>
      <c r="EXN26" s="19"/>
      <c r="EXO26" s="19"/>
      <c r="EXP26" s="19"/>
      <c r="EXQ26" s="19"/>
      <c r="EXR26" s="19"/>
      <c r="EXS26" s="19"/>
      <c r="EXT26" s="19"/>
      <c r="EXU26" s="19"/>
      <c r="EXV26" s="19"/>
      <c r="EXW26" s="19"/>
      <c r="EXX26" s="19"/>
      <c r="EXY26" s="19"/>
      <c r="EXZ26" s="19"/>
      <c r="EYA26" s="19"/>
      <c r="EYB26" s="19"/>
      <c r="EYC26" s="19"/>
      <c r="EYD26" s="19"/>
      <c r="EYE26" s="19"/>
      <c r="EYF26" s="19"/>
      <c r="EYG26" s="19"/>
      <c r="EYH26" s="19"/>
      <c r="EYI26" s="19"/>
      <c r="EYJ26" s="19"/>
      <c r="EYK26" s="19"/>
      <c r="EYL26" s="19"/>
      <c r="EYM26" s="19"/>
      <c r="EYN26" s="19"/>
      <c r="EYO26" s="19"/>
      <c r="EYP26" s="19"/>
      <c r="EYQ26" s="19"/>
      <c r="EYR26" s="19"/>
      <c r="EYS26" s="19"/>
      <c r="EYT26" s="19"/>
      <c r="EYU26" s="19"/>
      <c r="EYV26" s="19"/>
      <c r="EYW26" s="19"/>
      <c r="EYX26" s="19"/>
      <c r="EYY26" s="19"/>
      <c r="EYZ26" s="19"/>
      <c r="EZA26" s="19"/>
      <c r="EZB26" s="19"/>
      <c r="EZC26" s="19"/>
      <c r="EZD26" s="19"/>
      <c r="EZE26" s="19"/>
      <c r="EZF26" s="19"/>
      <c r="EZG26" s="19"/>
      <c r="EZH26" s="19"/>
      <c r="EZI26" s="19"/>
      <c r="EZJ26" s="19"/>
      <c r="EZK26" s="19"/>
      <c r="EZL26" s="19"/>
      <c r="EZM26" s="19"/>
      <c r="EZN26" s="19"/>
      <c r="EZO26" s="19"/>
      <c r="EZP26" s="19"/>
      <c r="EZQ26" s="19"/>
      <c r="EZR26" s="19"/>
      <c r="EZS26" s="19"/>
      <c r="EZT26" s="19"/>
      <c r="EZU26" s="19"/>
      <c r="EZV26" s="19"/>
      <c r="EZW26" s="19"/>
      <c r="EZX26" s="19"/>
      <c r="EZY26" s="19"/>
      <c r="EZZ26" s="19"/>
      <c r="FAA26" s="19"/>
      <c r="FAB26" s="19"/>
      <c r="FAC26" s="19"/>
      <c r="FAD26" s="19"/>
      <c r="FAE26" s="19"/>
      <c r="FAF26" s="19"/>
      <c r="FAG26" s="19"/>
      <c r="FAH26" s="19"/>
      <c r="FAI26" s="19"/>
      <c r="FAJ26" s="19"/>
      <c r="FAK26" s="19"/>
      <c r="FAL26" s="19"/>
      <c r="FAM26" s="19"/>
      <c r="FAN26" s="19"/>
      <c r="FAO26" s="19"/>
      <c r="FAP26" s="19"/>
      <c r="FAQ26" s="19"/>
      <c r="FAR26" s="19"/>
      <c r="FAS26" s="19"/>
      <c r="FAT26" s="19"/>
      <c r="FAU26" s="19"/>
      <c r="FAV26" s="19"/>
      <c r="FAW26" s="19"/>
      <c r="FAX26" s="19"/>
      <c r="FAY26" s="19"/>
      <c r="FAZ26" s="19"/>
      <c r="FBA26" s="19"/>
      <c r="FBB26" s="19"/>
      <c r="FBC26" s="19"/>
      <c r="FBD26" s="19"/>
      <c r="FBE26" s="19"/>
      <c r="FBF26" s="19"/>
      <c r="FBG26" s="19"/>
      <c r="FBH26" s="19"/>
      <c r="FBI26" s="19"/>
      <c r="FBJ26" s="19"/>
      <c r="FBK26" s="19"/>
      <c r="FBL26" s="19"/>
      <c r="FBM26" s="19"/>
      <c r="FBN26" s="19"/>
      <c r="FBO26" s="19"/>
      <c r="FBP26" s="19"/>
      <c r="FBQ26" s="19"/>
      <c r="FBR26" s="19"/>
      <c r="FBS26" s="19"/>
      <c r="FBT26" s="19"/>
      <c r="FBU26" s="19"/>
      <c r="FBV26" s="19"/>
      <c r="FBW26" s="19"/>
      <c r="FBX26" s="19"/>
      <c r="FBY26" s="19"/>
      <c r="FBZ26" s="19"/>
      <c r="FCA26" s="19"/>
      <c r="FCB26" s="19"/>
      <c r="FCC26" s="19"/>
      <c r="FCD26" s="19"/>
      <c r="FCE26" s="19"/>
      <c r="FCF26" s="19"/>
      <c r="FCG26" s="19"/>
      <c r="FCH26" s="19"/>
      <c r="FCI26" s="19"/>
      <c r="FCJ26" s="19"/>
      <c r="FCK26" s="19"/>
      <c r="FCL26" s="19"/>
      <c r="FCM26" s="19"/>
      <c r="FCN26" s="19"/>
      <c r="FCO26" s="19"/>
      <c r="FCP26" s="19"/>
      <c r="FCQ26" s="19"/>
      <c r="FCR26" s="19"/>
      <c r="FCS26" s="19"/>
      <c r="FCT26" s="19"/>
      <c r="FCU26" s="19"/>
      <c r="FCV26" s="19"/>
      <c r="FCW26" s="19"/>
      <c r="FCX26" s="19"/>
      <c r="FCY26" s="19"/>
      <c r="FCZ26" s="19"/>
      <c r="FDA26" s="19"/>
      <c r="FDB26" s="19"/>
      <c r="FDC26" s="19"/>
      <c r="FDD26" s="19"/>
      <c r="FDE26" s="19"/>
      <c r="FDF26" s="19"/>
      <c r="FDG26" s="19"/>
      <c r="FDH26" s="19"/>
      <c r="FDI26" s="19"/>
      <c r="FDJ26" s="19"/>
      <c r="FDK26" s="19"/>
      <c r="FDL26" s="19"/>
      <c r="FDM26" s="19"/>
      <c r="FDN26" s="19"/>
      <c r="FDO26" s="19"/>
      <c r="FDP26" s="19"/>
      <c r="FDQ26" s="19"/>
      <c r="FDR26" s="19"/>
      <c r="FDS26" s="19"/>
      <c r="FDT26" s="19"/>
      <c r="FDU26" s="19"/>
      <c r="FDV26" s="19"/>
      <c r="FDW26" s="19"/>
      <c r="FDX26" s="19"/>
      <c r="FDY26" s="19"/>
      <c r="FDZ26" s="19"/>
      <c r="FEA26" s="19"/>
      <c r="FEB26" s="19"/>
      <c r="FEC26" s="19"/>
      <c r="FED26" s="19"/>
      <c r="FEE26" s="19"/>
      <c r="FEF26" s="19"/>
      <c r="FEG26" s="19"/>
      <c r="FEH26" s="19"/>
      <c r="FEI26" s="19"/>
      <c r="FEJ26" s="19"/>
      <c r="FEK26" s="19"/>
      <c r="FEL26" s="19"/>
      <c r="FEM26" s="19"/>
      <c r="FEN26" s="19"/>
      <c r="FEO26" s="19"/>
      <c r="FEP26" s="19"/>
      <c r="FEQ26" s="19"/>
      <c r="FER26" s="19"/>
      <c r="FES26" s="19"/>
      <c r="FET26" s="19"/>
      <c r="FEU26" s="19"/>
      <c r="FEV26" s="19"/>
      <c r="FEW26" s="19"/>
      <c r="FEX26" s="19"/>
      <c r="FEY26" s="19"/>
      <c r="FEZ26" s="19"/>
      <c r="FFA26" s="19"/>
      <c r="FFB26" s="19"/>
      <c r="FFC26" s="19"/>
      <c r="FFD26" s="19"/>
      <c r="FFE26" s="19"/>
      <c r="FFF26" s="19"/>
      <c r="FFG26" s="19"/>
      <c r="FFH26" s="19"/>
      <c r="FFI26" s="19"/>
      <c r="FFJ26" s="19"/>
      <c r="FFK26" s="19"/>
      <c r="FFL26" s="19"/>
      <c r="FFM26" s="19"/>
      <c r="FFN26" s="19"/>
      <c r="FFO26" s="19"/>
      <c r="FFP26" s="19"/>
      <c r="FFQ26" s="19"/>
      <c r="FFR26" s="19"/>
      <c r="FFS26" s="19"/>
      <c r="FFT26" s="19"/>
      <c r="FFU26" s="19"/>
      <c r="FFV26" s="19"/>
      <c r="FFW26" s="19"/>
      <c r="FFX26" s="19"/>
      <c r="FFY26" s="19"/>
      <c r="FFZ26" s="19"/>
      <c r="FGA26" s="19"/>
      <c r="FGB26" s="19"/>
      <c r="FGC26" s="19"/>
      <c r="FGD26" s="19"/>
      <c r="FGE26" s="19"/>
      <c r="FGF26" s="19"/>
      <c r="FGG26" s="19"/>
      <c r="FGH26" s="19"/>
      <c r="FGI26" s="19"/>
      <c r="FGJ26" s="19"/>
      <c r="FGK26" s="19"/>
      <c r="FGL26" s="19"/>
      <c r="FGM26" s="19"/>
      <c r="FGN26" s="19"/>
      <c r="FGO26" s="19"/>
      <c r="FGP26" s="19"/>
      <c r="FGQ26" s="19"/>
      <c r="FGR26" s="19"/>
      <c r="FGS26" s="19"/>
      <c r="FGT26" s="19"/>
      <c r="FGU26" s="19"/>
      <c r="FGV26" s="19"/>
      <c r="FGW26" s="19"/>
      <c r="FGX26" s="19"/>
      <c r="FGY26" s="19"/>
      <c r="FGZ26" s="19"/>
      <c r="FHA26" s="19"/>
      <c r="FHB26" s="19"/>
      <c r="FHC26" s="19"/>
      <c r="FHD26" s="19"/>
      <c r="FHE26" s="19"/>
      <c r="FHF26" s="19"/>
      <c r="FHG26" s="19"/>
      <c r="FHH26" s="19"/>
      <c r="FHI26" s="19"/>
      <c r="FHJ26" s="19"/>
      <c r="FHK26" s="19"/>
      <c r="FHL26" s="19"/>
      <c r="FHM26" s="19"/>
      <c r="FHN26" s="19"/>
      <c r="FHO26" s="19"/>
      <c r="FHP26" s="19"/>
      <c r="FHQ26" s="19"/>
      <c r="FHR26" s="19"/>
      <c r="FHS26" s="19"/>
      <c r="FHT26" s="19"/>
      <c r="FHU26" s="19"/>
      <c r="FHV26" s="19"/>
      <c r="FHW26" s="19"/>
      <c r="FHX26" s="19"/>
      <c r="FHY26" s="19"/>
      <c r="FHZ26" s="19"/>
      <c r="FIA26" s="19"/>
      <c r="FIB26" s="19"/>
      <c r="FIC26" s="19"/>
      <c r="FID26" s="19"/>
      <c r="FIE26" s="19"/>
      <c r="FIF26" s="19"/>
      <c r="FIG26" s="19"/>
      <c r="FIH26" s="19"/>
      <c r="FII26" s="19"/>
      <c r="FIJ26" s="19"/>
      <c r="FIK26" s="19"/>
      <c r="FIL26" s="19"/>
      <c r="FIM26" s="19"/>
      <c r="FIN26" s="19"/>
      <c r="FIO26" s="19"/>
      <c r="FIP26" s="19"/>
      <c r="FIQ26" s="19"/>
      <c r="FIR26" s="19"/>
      <c r="FIS26" s="19"/>
      <c r="FIT26" s="19"/>
      <c r="FIU26" s="19"/>
      <c r="FIV26" s="19"/>
      <c r="FIW26" s="19"/>
      <c r="FIX26" s="19"/>
      <c r="FIY26" s="19"/>
      <c r="FIZ26" s="19"/>
      <c r="FJA26" s="19"/>
      <c r="FJB26" s="19"/>
      <c r="FJC26" s="19"/>
      <c r="FJD26" s="19"/>
      <c r="FJE26" s="19"/>
      <c r="FJF26" s="19"/>
      <c r="FJG26" s="19"/>
      <c r="FJH26" s="19"/>
      <c r="FJI26" s="19"/>
      <c r="FJJ26" s="19"/>
      <c r="FJK26" s="19"/>
      <c r="FJL26" s="19"/>
      <c r="FJM26" s="19"/>
      <c r="FJN26" s="19"/>
      <c r="FJO26" s="19"/>
      <c r="FJP26" s="19"/>
      <c r="FJQ26" s="19"/>
      <c r="FJR26" s="19"/>
      <c r="FJS26" s="19"/>
      <c r="FJT26" s="19"/>
      <c r="FJU26" s="19"/>
      <c r="FJV26" s="19"/>
      <c r="FJW26" s="19"/>
      <c r="FJX26" s="19"/>
      <c r="FJY26" s="19"/>
      <c r="FJZ26" s="19"/>
      <c r="FKA26" s="19"/>
      <c r="FKB26" s="19"/>
      <c r="FKC26" s="19"/>
      <c r="FKD26" s="19"/>
      <c r="FKE26" s="19"/>
      <c r="FKF26" s="19"/>
      <c r="FKG26" s="19"/>
      <c r="FKH26" s="19"/>
      <c r="FKI26" s="19"/>
      <c r="FKJ26" s="19"/>
      <c r="FKK26" s="19"/>
      <c r="FKL26" s="19"/>
      <c r="FKM26" s="19"/>
      <c r="FKN26" s="19"/>
      <c r="FKO26" s="19"/>
      <c r="FKP26" s="19"/>
      <c r="FKQ26" s="19"/>
      <c r="FKR26" s="19"/>
      <c r="FKS26" s="19"/>
      <c r="FKT26" s="19"/>
      <c r="FKU26" s="19"/>
      <c r="FKV26" s="19"/>
      <c r="FKW26" s="19"/>
      <c r="FKX26" s="19"/>
      <c r="FKY26" s="19"/>
      <c r="FKZ26" s="19"/>
      <c r="FLA26" s="19"/>
      <c r="FLB26" s="19"/>
      <c r="FLC26" s="19"/>
      <c r="FLD26" s="19"/>
      <c r="FLE26" s="19"/>
      <c r="FLF26" s="19"/>
      <c r="FLG26" s="19"/>
      <c r="FLH26" s="19"/>
      <c r="FLI26" s="19"/>
      <c r="FLJ26" s="19"/>
      <c r="FLK26" s="19"/>
      <c r="FLL26" s="19"/>
      <c r="FLM26" s="19"/>
      <c r="FLN26" s="19"/>
      <c r="FLO26" s="19"/>
      <c r="FLP26" s="19"/>
      <c r="FLQ26" s="19"/>
      <c r="FLR26" s="19"/>
      <c r="FLS26" s="19"/>
      <c r="FLT26" s="19"/>
      <c r="FLU26" s="19"/>
      <c r="FLV26" s="19"/>
      <c r="FLW26" s="19"/>
      <c r="FLX26" s="19"/>
      <c r="FLY26" s="19"/>
      <c r="FLZ26" s="19"/>
      <c r="FMA26" s="19"/>
      <c r="FMB26" s="19"/>
      <c r="FMC26" s="19"/>
      <c r="FMD26" s="19"/>
      <c r="FME26" s="19"/>
      <c r="FMF26" s="19"/>
      <c r="FMG26" s="19"/>
      <c r="FMH26" s="19"/>
      <c r="FMI26" s="19"/>
      <c r="FMJ26" s="19"/>
      <c r="FMK26" s="19"/>
      <c r="FML26" s="19"/>
      <c r="FMM26" s="19"/>
      <c r="FMN26" s="19"/>
      <c r="FMO26" s="19"/>
      <c r="FMP26" s="19"/>
      <c r="FMQ26" s="19"/>
      <c r="FMR26" s="19"/>
      <c r="FMS26" s="19"/>
      <c r="FMT26" s="19"/>
      <c r="FMU26" s="19"/>
      <c r="FMV26" s="19"/>
      <c r="FMW26" s="19"/>
      <c r="FMX26" s="19"/>
      <c r="FMY26" s="19"/>
      <c r="FMZ26" s="19"/>
      <c r="FNA26" s="19"/>
      <c r="FNB26" s="19"/>
      <c r="FNC26" s="19"/>
      <c r="FND26" s="19"/>
      <c r="FNE26" s="19"/>
      <c r="FNF26" s="19"/>
      <c r="FNG26" s="19"/>
      <c r="FNH26" s="19"/>
      <c r="FNI26" s="19"/>
      <c r="FNJ26" s="19"/>
      <c r="FNK26" s="19"/>
      <c r="FNL26" s="19"/>
      <c r="FNM26" s="19"/>
      <c r="FNN26" s="19"/>
      <c r="FNO26" s="19"/>
      <c r="FNP26" s="19"/>
      <c r="FNQ26" s="19"/>
      <c r="FNR26" s="19"/>
      <c r="FNS26" s="19"/>
      <c r="FNT26" s="19"/>
      <c r="FNU26" s="19"/>
      <c r="FNV26" s="19"/>
      <c r="FNW26" s="19"/>
      <c r="FNX26" s="19"/>
      <c r="FNY26" s="19"/>
      <c r="FNZ26" s="19"/>
      <c r="FOA26" s="19"/>
      <c r="FOB26" s="19"/>
      <c r="FOC26" s="19"/>
      <c r="FOD26" s="19"/>
      <c r="FOE26" s="19"/>
      <c r="FOF26" s="19"/>
      <c r="FOG26" s="19"/>
      <c r="FOH26" s="19"/>
      <c r="FOI26" s="19"/>
      <c r="FOJ26" s="19"/>
      <c r="FOK26" s="19"/>
      <c r="FOL26" s="19"/>
      <c r="FOM26" s="19"/>
      <c r="FON26" s="19"/>
      <c r="FOO26" s="19"/>
      <c r="FOP26" s="19"/>
      <c r="FOQ26" s="19"/>
      <c r="FOR26" s="19"/>
      <c r="FOS26" s="19"/>
      <c r="FOT26" s="19"/>
      <c r="FOU26" s="19"/>
      <c r="FOV26" s="19"/>
      <c r="FOW26" s="19"/>
      <c r="FOX26" s="19"/>
      <c r="FOY26" s="19"/>
      <c r="FOZ26" s="19"/>
      <c r="FPA26" s="19"/>
      <c r="FPB26" s="19"/>
      <c r="FPC26" s="19"/>
      <c r="FPD26" s="19"/>
      <c r="FPE26" s="19"/>
      <c r="FPF26" s="19"/>
      <c r="FPG26" s="19"/>
      <c r="FPH26" s="19"/>
      <c r="FPI26" s="19"/>
      <c r="FPJ26" s="19"/>
      <c r="FPK26" s="19"/>
      <c r="FPL26" s="19"/>
      <c r="FPM26" s="19"/>
      <c r="FPN26" s="19"/>
      <c r="FPO26" s="19"/>
      <c r="FPP26" s="19"/>
      <c r="FPQ26" s="19"/>
      <c r="FPR26" s="19"/>
      <c r="FPS26" s="19"/>
      <c r="FPT26" s="19"/>
      <c r="FPU26" s="19"/>
      <c r="FPV26" s="19"/>
      <c r="FPW26" s="19"/>
      <c r="FPX26" s="19"/>
      <c r="FPY26" s="19"/>
      <c r="FPZ26" s="19"/>
      <c r="FQA26" s="19"/>
      <c r="FQB26" s="19"/>
      <c r="FQC26" s="19"/>
      <c r="FQD26" s="19"/>
      <c r="FQE26" s="19"/>
      <c r="FQF26" s="19"/>
      <c r="FQG26" s="19"/>
      <c r="FQH26" s="19"/>
      <c r="FQI26" s="19"/>
      <c r="FQJ26" s="19"/>
      <c r="FQK26" s="19"/>
      <c r="FQL26" s="19"/>
      <c r="FQM26" s="19"/>
      <c r="FQN26" s="19"/>
      <c r="FQO26" s="19"/>
      <c r="FQP26" s="19"/>
      <c r="FQQ26" s="19"/>
      <c r="FQR26" s="19"/>
      <c r="FQS26" s="19"/>
      <c r="FQT26" s="19"/>
      <c r="FQU26" s="19"/>
      <c r="FQV26" s="19"/>
      <c r="FQW26" s="19"/>
      <c r="FQX26" s="19"/>
      <c r="FQY26" s="19"/>
      <c r="FQZ26" s="19"/>
      <c r="FRA26" s="19"/>
      <c r="FRB26" s="19"/>
      <c r="FRC26" s="19"/>
      <c r="FRD26" s="19"/>
      <c r="FRE26" s="19"/>
      <c r="FRF26" s="19"/>
      <c r="FRG26" s="19"/>
      <c r="FRH26" s="19"/>
      <c r="FRI26" s="19"/>
      <c r="FRJ26" s="19"/>
      <c r="FRK26" s="19"/>
      <c r="FRL26" s="19"/>
      <c r="FRM26" s="19"/>
      <c r="FRN26" s="19"/>
      <c r="FRO26" s="19"/>
      <c r="FRP26" s="19"/>
      <c r="FRQ26" s="19"/>
      <c r="FRR26" s="19"/>
      <c r="FRS26" s="19"/>
      <c r="FRT26" s="19"/>
      <c r="FRU26" s="19"/>
      <c r="FRV26" s="19"/>
      <c r="FRW26" s="19"/>
      <c r="FRX26" s="19"/>
      <c r="FRY26" s="19"/>
      <c r="FRZ26" s="19"/>
      <c r="FSA26" s="19"/>
      <c r="FSB26" s="19"/>
      <c r="FSC26" s="19"/>
      <c r="FSD26" s="19"/>
      <c r="FSE26" s="19"/>
      <c r="FSF26" s="19"/>
      <c r="FSG26" s="19"/>
      <c r="FSH26" s="19"/>
      <c r="FSI26" s="19"/>
      <c r="FSJ26" s="19"/>
      <c r="FSK26" s="19"/>
      <c r="FSL26" s="19"/>
      <c r="FSM26" s="19"/>
      <c r="FSN26" s="19"/>
      <c r="FSO26" s="19"/>
      <c r="FSP26" s="19"/>
      <c r="FSQ26" s="19"/>
      <c r="FSR26" s="19"/>
      <c r="FSS26" s="19"/>
      <c r="FST26" s="19"/>
      <c r="FSU26" s="19"/>
      <c r="FSV26" s="19"/>
      <c r="FSW26" s="19"/>
      <c r="FSX26" s="19"/>
      <c r="FSY26" s="19"/>
      <c r="FSZ26" s="19"/>
      <c r="FTA26" s="19"/>
      <c r="FTB26" s="19"/>
      <c r="FTC26" s="19"/>
      <c r="FTD26" s="19"/>
      <c r="FTE26" s="19"/>
      <c r="FTF26" s="19"/>
      <c r="FTG26" s="19"/>
      <c r="FTH26" s="19"/>
      <c r="FTI26" s="19"/>
      <c r="FTJ26" s="19"/>
      <c r="FTK26" s="19"/>
      <c r="FTL26" s="19"/>
      <c r="FTM26" s="19"/>
      <c r="FTN26" s="19"/>
      <c r="FTO26" s="19"/>
      <c r="FTP26" s="19"/>
      <c r="FTQ26" s="19"/>
      <c r="FTR26" s="19"/>
      <c r="FTS26" s="19"/>
      <c r="FTT26" s="19"/>
      <c r="FTU26" s="19"/>
      <c r="FTV26" s="19"/>
      <c r="FTW26" s="19"/>
      <c r="FTX26" s="19"/>
      <c r="FTY26" s="19"/>
      <c r="FTZ26" s="19"/>
      <c r="FUA26" s="19"/>
      <c r="FUB26" s="19"/>
      <c r="FUC26" s="19"/>
      <c r="FUD26" s="19"/>
      <c r="FUE26" s="19"/>
      <c r="FUF26" s="19"/>
      <c r="FUG26" s="19"/>
      <c r="FUH26" s="19"/>
      <c r="FUI26" s="19"/>
      <c r="FUJ26" s="19"/>
      <c r="FUK26" s="19"/>
      <c r="FUL26" s="19"/>
      <c r="FUM26" s="19"/>
      <c r="FUN26" s="19"/>
      <c r="FUO26" s="19"/>
      <c r="FUP26" s="19"/>
      <c r="FUQ26" s="19"/>
      <c r="FUR26" s="19"/>
      <c r="FUS26" s="19"/>
      <c r="FUT26" s="19"/>
      <c r="FUU26" s="19"/>
      <c r="FUV26" s="19"/>
      <c r="FUW26" s="19"/>
      <c r="FUX26" s="19"/>
      <c r="FUY26" s="19"/>
      <c r="FUZ26" s="19"/>
      <c r="FVA26" s="19"/>
      <c r="FVB26" s="19"/>
      <c r="FVC26" s="19"/>
      <c r="FVD26" s="19"/>
      <c r="FVE26" s="19"/>
      <c r="FVF26" s="19"/>
      <c r="FVG26" s="19"/>
      <c r="FVH26" s="19"/>
      <c r="FVI26" s="19"/>
      <c r="FVJ26" s="19"/>
      <c r="FVK26" s="19"/>
      <c r="FVL26" s="19"/>
      <c r="FVM26" s="19"/>
      <c r="FVN26" s="19"/>
      <c r="FVO26" s="19"/>
      <c r="FVP26" s="19"/>
      <c r="FVQ26" s="19"/>
      <c r="FVR26" s="19"/>
      <c r="FVS26" s="19"/>
      <c r="FVT26" s="19"/>
      <c r="FVU26" s="19"/>
      <c r="FVV26" s="19"/>
      <c r="FVW26" s="19"/>
      <c r="FVX26" s="19"/>
      <c r="FVY26" s="19"/>
      <c r="FVZ26" s="19"/>
      <c r="FWA26" s="19"/>
      <c r="FWB26" s="19"/>
      <c r="FWC26" s="19"/>
      <c r="FWD26" s="19"/>
      <c r="FWE26" s="19"/>
      <c r="FWF26" s="19"/>
      <c r="FWG26" s="19"/>
      <c r="FWH26" s="19"/>
      <c r="FWI26" s="19"/>
      <c r="FWJ26" s="19"/>
      <c r="FWK26" s="19"/>
      <c r="FWL26" s="19"/>
      <c r="FWM26" s="19"/>
      <c r="FWN26" s="19"/>
      <c r="FWO26" s="19"/>
      <c r="FWP26" s="19"/>
      <c r="FWQ26" s="19"/>
      <c r="FWR26" s="19"/>
      <c r="FWS26" s="19"/>
      <c r="FWT26" s="19"/>
      <c r="FWU26" s="19"/>
      <c r="FWV26" s="19"/>
      <c r="FWW26" s="19"/>
      <c r="FWX26" s="19"/>
      <c r="FWY26" s="19"/>
      <c r="FWZ26" s="19"/>
      <c r="FXA26" s="19"/>
      <c r="FXB26" s="19"/>
      <c r="FXC26" s="19"/>
      <c r="FXD26" s="19"/>
      <c r="FXE26" s="19"/>
      <c r="FXF26" s="19"/>
      <c r="FXG26" s="19"/>
      <c r="FXH26" s="19"/>
      <c r="FXI26" s="19"/>
      <c r="FXJ26" s="19"/>
      <c r="FXK26" s="19"/>
      <c r="FXL26" s="19"/>
      <c r="FXM26" s="19"/>
      <c r="FXN26" s="19"/>
      <c r="FXO26" s="19"/>
      <c r="FXP26" s="19"/>
      <c r="FXQ26" s="19"/>
      <c r="FXR26" s="19"/>
      <c r="FXS26" s="19"/>
      <c r="FXT26" s="19"/>
      <c r="FXU26" s="19"/>
      <c r="FXV26" s="19"/>
      <c r="FXW26" s="19"/>
      <c r="FXX26" s="19"/>
      <c r="FXY26" s="19"/>
      <c r="FXZ26" s="19"/>
      <c r="FYA26" s="19"/>
      <c r="FYB26" s="19"/>
      <c r="FYC26" s="19"/>
      <c r="FYD26" s="19"/>
      <c r="FYE26" s="19"/>
      <c r="FYF26" s="19"/>
      <c r="FYG26" s="19"/>
      <c r="FYH26" s="19"/>
      <c r="FYI26" s="19"/>
      <c r="FYJ26" s="19"/>
      <c r="FYK26" s="19"/>
      <c r="FYL26" s="19"/>
      <c r="FYM26" s="19"/>
      <c r="FYN26" s="19"/>
      <c r="FYO26" s="19"/>
      <c r="FYP26" s="19"/>
      <c r="FYQ26" s="19"/>
      <c r="FYR26" s="19"/>
      <c r="FYS26" s="19"/>
      <c r="FYT26" s="19"/>
      <c r="FYU26" s="19"/>
      <c r="FYV26" s="19"/>
      <c r="FYW26" s="19"/>
      <c r="FYX26" s="19"/>
      <c r="FYY26" s="19"/>
      <c r="FYZ26" s="19"/>
      <c r="FZA26" s="19"/>
      <c r="FZB26" s="19"/>
      <c r="FZC26" s="19"/>
      <c r="FZD26" s="19"/>
      <c r="FZE26" s="19"/>
      <c r="FZF26" s="19"/>
      <c r="FZG26" s="19"/>
      <c r="FZH26" s="19"/>
      <c r="FZI26" s="19"/>
      <c r="FZJ26" s="19"/>
      <c r="FZK26" s="19"/>
      <c r="FZL26" s="19"/>
      <c r="FZM26" s="19"/>
      <c r="FZN26" s="19"/>
      <c r="FZO26" s="19"/>
      <c r="FZP26" s="19"/>
      <c r="FZQ26" s="19"/>
      <c r="FZR26" s="19"/>
      <c r="FZS26" s="19"/>
      <c r="FZT26" s="19"/>
      <c r="FZU26" s="19"/>
      <c r="FZV26" s="19"/>
      <c r="FZW26" s="19"/>
      <c r="FZX26" s="19"/>
      <c r="FZY26" s="19"/>
      <c r="FZZ26" s="19"/>
      <c r="GAA26" s="19"/>
      <c r="GAB26" s="19"/>
      <c r="GAC26" s="19"/>
      <c r="GAD26" s="19"/>
      <c r="GAE26" s="19"/>
      <c r="GAF26" s="19"/>
      <c r="GAG26" s="19"/>
      <c r="GAH26" s="19"/>
      <c r="GAI26" s="19"/>
      <c r="GAJ26" s="19"/>
      <c r="GAK26" s="19"/>
      <c r="GAL26" s="19"/>
      <c r="GAM26" s="19"/>
      <c r="GAN26" s="19"/>
      <c r="GAO26" s="19"/>
      <c r="GAP26" s="19"/>
      <c r="GAQ26" s="19"/>
      <c r="GAR26" s="19"/>
      <c r="GAS26" s="19"/>
      <c r="GAT26" s="19"/>
      <c r="GAU26" s="19"/>
      <c r="GAV26" s="19"/>
      <c r="GAW26" s="19"/>
      <c r="GAX26" s="19"/>
      <c r="GAY26" s="19"/>
      <c r="GAZ26" s="19"/>
      <c r="GBA26" s="19"/>
      <c r="GBB26" s="19"/>
      <c r="GBC26" s="19"/>
      <c r="GBD26" s="19"/>
      <c r="GBE26" s="19"/>
      <c r="GBF26" s="19"/>
      <c r="GBG26" s="19"/>
      <c r="GBH26" s="19"/>
      <c r="GBI26" s="19"/>
      <c r="GBJ26" s="19"/>
      <c r="GBK26" s="19"/>
      <c r="GBL26" s="19"/>
      <c r="GBM26" s="19"/>
      <c r="GBN26" s="19"/>
      <c r="GBO26" s="19"/>
      <c r="GBP26" s="19"/>
      <c r="GBQ26" s="19"/>
      <c r="GBR26" s="19"/>
      <c r="GBS26" s="19"/>
      <c r="GBT26" s="19"/>
      <c r="GBU26" s="19"/>
      <c r="GBV26" s="19"/>
      <c r="GBW26" s="19"/>
      <c r="GBX26" s="19"/>
      <c r="GBY26" s="19"/>
      <c r="GBZ26" s="19"/>
      <c r="GCA26" s="19"/>
      <c r="GCB26" s="19"/>
      <c r="GCC26" s="19"/>
      <c r="GCD26" s="19"/>
      <c r="GCE26" s="19"/>
      <c r="GCF26" s="19"/>
      <c r="GCG26" s="19"/>
      <c r="GCH26" s="19"/>
      <c r="GCI26" s="19"/>
      <c r="GCJ26" s="19"/>
      <c r="GCK26" s="19"/>
      <c r="GCL26" s="19"/>
      <c r="GCM26" s="19"/>
      <c r="GCN26" s="19"/>
      <c r="GCO26" s="19"/>
      <c r="GCP26" s="19"/>
      <c r="GCQ26" s="19"/>
      <c r="GCR26" s="19"/>
      <c r="GCS26" s="19"/>
      <c r="GCT26" s="19"/>
      <c r="GCU26" s="19"/>
      <c r="GCV26" s="19"/>
      <c r="GCW26" s="19"/>
      <c r="GCX26" s="19"/>
      <c r="GCY26" s="19"/>
      <c r="GCZ26" s="19"/>
      <c r="GDA26" s="19"/>
      <c r="GDB26" s="19"/>
      <c r="GDC26" s="19"/>
      <c r="GDD26" s="19"/>
      <c r="GDE26" s="19"/>
      <c r="GDF26" s="19"/>
      <c r="GDG26" s="19"/>
      <c r="GDH26" s="19"/>
      <c r="GDI26" s="19"/>
      <c r="GDJ26" s="19"/>
      <c r="GDK26" s="19"/>
      <c r="GDL26" s="19"/>
      <c r="GDM26" s="19"/>
      <c r="GDN26" s="19"/>
      <c r="GDO26" s="19"/>
      <c r="GDP26" s="19"/>
      <c r="GDQ26" s="19"/>
      <c r="GDR26" s="19"/>
      <c r="GDS26" s="19"/>
      <c r="GDT26" s="19"/>
      <c r="GDU26" s="19"/>
      <c r="GDV26" s="19"/>
      <c r="GDW26" s="19"/>
      <c r="GDX26" s="19"/>
      <c r="GDY26" s="19"/>
      <c r="GDZ26" s="19"/>
      <c r="GEA26" s="19"/>
      <c r="GEB26" s="19"/>
      <c r="GEC26" s="19"/>
      <c r="GED26" s="19"/>
      <c r="GEE26" s="19"/>
      <c r="GEF26" s="19"/>
      <c r="GEG26" s="19"/>
      <c r="GEH26" s="19"/>
      <c r="GEI26" s="19"/>
      <c r="GEJ26" s="19"/>
      <c r="GEK26" s="19"/>
      <c r="GEL26" s="19"/>
      <c r="GEM26" s="19"/>
      <c r="GEN26" s="19"/>
      <c r="GEO26" s="19"/>
      <c r="GEP26" s="19"/>
      <c r="GEQ26" s="19"/>
      <c r="GER26" s="19"/>
      <c r="GES26" s="19"/>
      <c r="GET26" s="19"/>
      <c r="GEU26" s="19"/>
      <c r="GEV26" s="19"/>
      <c r="GEW26" s="19"/>
      <c r="GEX26" s="19"/>
      <c r="GEY26" s="19"/>
      <c r="GEZ26" s="19"/>
      <c r="GFA26" s="19"/>
      <c r="GFB26" s="19"/>
      <c r="GFC26" s="19"/>
      <c r="GFD26" s="19"/>
      <c r="GFE26" s="19"/>
      <c r="GFF26" s="19"/>
      <c r="GFG26" s="19"/>
      <c r="GFH26" s="19"/>
      <c r="GFI26" s="19"/>
      <c r="GFJ26" s="19"/>
      <c r="GFK26" s="19"/>
      <c r="GFL26" s="19"/>
      <c r="GFM26" s="19"/>
      <c r="GFN26" s="19"/>
      <c r="GFO26" s="19"/>
      <c r="GFP26" s="19"/>
      <c r="GFQ26" s="19"/>
      <c r="GFR26" s="19"/>
      <c r="GFS26" s="19"/>
      <c r="GFT26" s="19"/>
      <c r="GFU26" s="19"/>
      <c r="GFV26" s="19"/>
      <c r="GFW26" s="19"/>
      <c r="GFX26" s="19"/>
      <c r="GFY26" s="19"/>
      <c r="GFZ26" s="19"/>
      <c r="GGA26" s="19"/>
      <c r="GGB26" s="19"/>
      <c r="GGC26" s="19"/>
      <c r="GGD26" s="19"/>
      <c r="GGE26" s="19"/>
      <c r="GGF26" s="19"/>
      <c r="GGG26" s="19"/>
      <c r="GGH26" s="19"/>
      <c r="GGI26" s="19"/>
      <c r="GGJ26" s="19"/>
      <c r="GGK26" s="19"/>
      <c r="GGL26" s="19"/>
      <c r="GGM26" s="19"/>
      <c r="GGN26" s="19"/>
      <c r="GGO26" s="19"/>
      <c r="GGP26" s="19"/>
      <c r="GGQ26" s="19"/>
      <c r="GGR26" s="19"/>
      <c r="GGS26" s="19"/>
      <c r="GGT26" s="19"/>
      <c r="GGU26" s="19"/>
      <c r="GGV26" s="19"/>
      <c r="GGW26" s="19"/>
      <c r="GGX26" s="19"/>
      <c r="GGY26" s="19"/>
      <c r="GGZ26" s="19"/>
      <c r="GHA26" s="19"/>
      <c r="GHB26" s="19"/>
      <c r="GHC26" s="19"/>
      <c r="GHD26" s="19"/>
      <c r="GHE26" s="19"/>
      <c r="GHF26" s="19"/>
      <c r="GHG26" s="19"/>
      <c r="GHH26" s="19"/>
      <c r="GHI26" s="19"/>
      <c r="GHJ26" s="19"/>
      <c r="GHK26" s="19"/>
      <c r="GHL26" s="19"/>
      <c r="GHM26" s="19"/>
      <c r="GHN26" s="19"/>
      <c r="GHO26" s="19"/>
      <c r="GHP26" s="19"/>
      <c r="GHQ26" s="19"/>
      <c r="GHR26" s="19"/>
      <c r="GHS26" s="19"/>
      <c r="GHT26" s="19"/>
      <c r="GHU26" s="19"/>
      <c r="GHV26" s="19"/>
      <c r="GHW26" s="19"/>
      <c r="GHX26" s="19"/>
      <c r="GHY26" s="19"/>
      <c r="GHZ26" s="19"/>
      <c r="GIA26" s="19"/>
      <c r="GIB26" s="19"/>
      <c r="GIC26" s="19"/>
      <c r="GID26" s="19"/>
      <c r="GIE26" s="19"/>
      <c r="GIF26" s="19"/>
      <c r="GIG26" s="19"/>
      <c r="GIH26" s="19"/>
      <c r="GII26" s="19"/>
      <c r="GIJ26" s="19"/>
      <c r="GIK26" s="19"/>
      <c r="GIL26" s="19"/>
      <c r="GIM26" s="19"/>
      <c r="GIN26" s="19"/>
      <c r="GIO26" s="19"/>
      <c r="GIP26" s="19"/>
      <c r="GIQ26" s="19"/>
      <c r="GIR26" s="19"/>
      <c r="GIS26" s="19"/>
      <c r="GIT26" s="19"/>
      <c r="GIU26" s="19"/>
      <c r="GIV26" s="19"/>
      <c r="GIW26" s="19"/>
      <c r="GIX26" s="19"/>
      <c r="GIY26" s="19"/>
      <c r="GIZ26" s="19"/>
      <c r="GJA26" s="19"/>
      <c r="GJB26" s="19"/>
      <c r="GJC26" s="19"/>
      <c r="GJD26" s="19"/>
      <c r="GJE26" s="19"/>
      <c r="GJF26" s="19"/>
      <c r="GJG26" s="19"/>
      <c r="GJH26" s="19"/>
      <c r="GJI26" s="19"/>
      <c r="GJJ26" s="19"/>
      <c r="GJK26" s="19"/>
      <c r="GJL26" s="19"/>
      <c r="GJM26" s="19"/>
      <c r="GJN26" s="19"/>
      <c r="GJO26" s="19"/>
      <c r="GJP26" s="19"/>
      <c r="GJQ26" s="19"/>
      <c r="GJR26" s="19"/>
      <c r="GJS26" s="19"/>
      <c r="GJT26" s="19"/>
      <c r="GJU26" s="19"/>
      <c r="GJV26" s="19"/>
      <c r="GJW26" s="19"/>
      <c r="GJX26" s="19"/>
      <c r="GJY26" s="19"/>
      <c r="GJZ26" s="19"/>
      <c r="GKA26" s="19"/>
      <c r="GKB26" s="19"/>
      <c r="GKC26" s="19"/>
      <c r="GKD26" s="19"/>
      <c r="GKE26" s="19"/>
      <c r="GKF26" s="19"/>
      <c r="GKG26" s="19"/>
      <c r="GKH26" s="19"/>
      <c r="GKI26" s="19"/>
      <c r="GKJ26" s="19"/>
      <c r="GKK26" s="19"/>
      <c r="GKL26" s="19"/>
      <c r="GKM26" s="19"/>
      <c r="GKN26" s="19"/>
      <c r="GKO26" s="19"/>
      <c r="GKP26" s="19"/>
      <c r="GKQ26" s="19"/>
      <c r="GKR26" s="19"/>
      <c r="GKS26" s="19"/>
      <c r="GKT26" s="19"/>
      <c r="GKU26" s="19"/>
      <c r="GKV26" s="19"/>
      <c r="GKW26" s="19"/>
      <c r="GKX26" s="19"/>
      <c r="GKY26" s="19"/>
      <c r="GKZ26" s="19"/>
      <c r="GLA26" s="19"/>
      <c r="GLB26" s="19"/>
      <c r="GLC26" s="19"/>
      <c r="GLD26" s="19"/>
      <c r="GLE26" s="19"/>
      <c r="GLF26" s="19"/>
      <c r="GLG26" s="19"/>
      <c r="GLH26" s="19"/>
      <c r="GLI26" s="19"/>
      <c r="GLJ26" s="19"/>
      <c r="GLK26" s="19"/>
      <c r="GLL26" s="19"/>
      <c r="GLM26" s="19"/>
      <c r="GLN26" s="19"/>
      <c r="GLO26" s="19"/>
      <c r="GLP26" s="19"/>
      <c r="GLQ26" s="19"/>
      <c r="GLR26" s="19"/>
      <c r="GLS26" s="19"/>
      <c r="GLT26" s="19"/>
      <c r="GLU26" s="19"/>
      <c r="GLV26" s="19"/>
      <c r="GLW26" s="19"/>
      <c r="GLX26" s="19"/>
      <c r="GLY26" s="19"/>
      <c r="GLZ26" s="19"/>
      <c r="GMA26" s="19"/>
      <c r="GMB26" s="19"/>
      <c r="GMC26" s="19"/>
      <c r="GMD26" s="19"/>
      <c r="GME26" s="19"/>
      <c r="GMF26" s="19"/>
      <c r="GMG26" s="19"/>
      <c r="GMH26" s="19"/>
      <c r="GMI26" s="19"/>
      <c r="GMJ26" s="19"/>
      <c r="GMK26" s="19"/>
      <c r="GML26" s="19"/>
      <c r="GMM26" s="19"/>
      <c r="GMN26" s="19"/>
      <c r="GMO26" s="19"/>
      <c r="GMP26" s="19"/>
      <c r="GMQ26" s="19"/>
      <c r="GMR26" s="19"/>
      <c r="GMS26" s="19"/>
      <c r="GMT26" s="19"/>
      <c r="GMU26" s="19"/>
      <c r="GMV26" s="19"/>
      <c r="GMW26" s="19"/>
      <c r="GMX26" s="19"/>
      <c r="GMY26" s="19"/>
      <c r="GMZ26" s="19"/>
      <c r="GNA26" s="19"/>
      <c r="GNB26" s="19"/>
      <c r="GNC26" s="19"/>
      <c r="GND26" s="19"/>
      <c r="GNE26" s="19"/>
      <c r="GNF26" s="19"/>
      <c r="GNG26" s="19"/>
      <c r="GNH26" s="19"/>
      <c r="GNI26" s="19"/>
      <c r="GNJ26" s="19"/>
      <c r="GNK26" s="19"/>
      <c r="GNL26" s="19"/>
      <c r="GNM26" s="19"/>
      <c r="GNN26" s="19"/>
      <c r="GNO26" s="19"/>
      <c r="GNP26" s="19"/>
      <c r="GNQ26" s="19"/>
      <c r="GNR26" s="19"/>
      <c r="GNS26" s="19"/>
      <c r="GNT26" s="19"/>
      <c r="GNU26" s="19"/>
      <c r="GNV26" s="19"/>
      <c r="GNW26" s="19"/>
      <c r="GNX26" s="19"/>
      <c r="GNY26" s="19"/>
      <c r="GNZ26" s="19"/>
      <c r="GOA26" s="19"/>
      <c r="GOB26" s="19"/>
      <c r="GOC26" s="19"/>
      <c r="GOD26" s="19"/>
      <c r="GOE26" s="19"/>
      <c r="GOF26" s="19"/>
      <c r="GOG26" s="19"/>
      <c r="GOH26" s="19"/>
      <c r="GOI26" s="19"/>
      <c r="GOJ26" s="19"/>
      <c r="GOK26" s="19"/>
      <c r="GOL26" s="19"/>
      <c r="GOM26" s="19"/>
      <c r="GON26" s="19"/>
      <c r="GOO26" s="19"/>
      <c r="GOP26" s="19"/>
      <c r="GOQ26" s="19"/>
      <c r="GOR26" s="19"/>
      <c r="GOS26" s="19"/>
      <c r="GOT26" s="19"/>
      <c r="GOU26" s="19"/>
      <c r="GOV26" s="19"/>
      <c r="GOW26" s="19"/>
      <c r="GOX26" s="19"/>
      <c r="GOY26" s="19"/>
      <c r="GOZ26" s="19"/>
      <c r="GPA26" s="19"/>
      <c r="GPB26" s="19"/>
      <c r="GPC26" s="19"/>
      <c r="GPD26" s="19"/>
      <c r="GPE26" s="19"/>
      <c r="GPF26" s="19"/>
      <c r="GPG26" s="19"/>
      <c r="GPH26" s="19"/>
      <c r="GPI26" s="19"/>
      <c r="GPJ26" s="19"/>
      <c r="GPK26" s="19"/>
      <c r="GPL26" s="19"/>
      <c r="GPM26" s="19"/>
      <c r="GPN26" s="19"/>
      <c r="GPO26" s="19"/>
      <c r="GPP26" s="19"/>
      <c r="GPQ26" s="19"/>
      <c r="GPR26" s="19"/>
      <c r="GPS26" s="19"/>
      <c r="GPT26" s="19"/>
      <c r="GPU26" s="19"/>
      <c r="GPV26" s="19"/>
      <c r="GPW26" s="19"/>
      <c r="GPX26" s="19"/>
      <c r="GPY26" s="19"/>
      <c r="GPZ26" s="19"/>
      <c r="GQA26" s="19"/>
      <c r="GQB26" s="19"/>
      <c r="GQC26" s="19"/>
      <c r="GQD26" s="19"/>
      <c r="GQE26" s="19"/>
      <c r="GQF26" s="19"/>
      <c r="GQG26" s="19"/>
      <c r="GQH26" s="19"/>
      <c r="GQI26" s="19"/>
      <c r="GQJ26" s="19"/>
      <c r="GQK26" s="19"/>
      <c r="GQL26" s="19"/>
      <c r="GQM26" s="19"/>
      <c r="GQN26" s="19"/>
      <c r="GQO26" s="19"/>
      <c r="GQP26" s="19"/>
      <c r="GQQ26" s="19"/>
      <c r="GQR26" s="19"/>
      <c r="GQS26" s="19"/>
      <c r="GQT26" s="19"/>
      <c r="GQU26" s="19"/>
      <c r="GQV26" s="19"/>
      <c r="GQW26" s="19"/>
      <c r="GQX26" s="19"/>
      <c r="GQY26" s="19"/>
      <c r="GQZ26" s="19"/>
      <c r="GRA26" s="19"/>
      <c r="GRB26" s="19"/>
      <c r="GRC26" s="19"/>
      <c r="GRD26" s="19"/>
      <c r="GRE26" s="19"/>
      <c r="GRF26" s="19"/>
      <c r="GRG26" s="19"/>
      <c r="GRH26" s="19"/>
      <c r="GRI26" s="19"/>
      <c r="GRJ26" s="19"/>
      <c r="GRK26" s="19"/>
      <c r="GRL26" s="19"/>
      <c r="GRM26" s="19"/>
      <c r="GRN26" s="19"/>
      <c r="GRO26" s="19"/>
      <c r="GRP26" s="19"/>
      <c r="GRQ26" s="19"/>
      <c r="GRR26" s="19"/>
      <c r="GRS26" s="19"/>
      <c r="GRT26" s="19"/>
      <c r="GRU26" s="19"/>
      <c r="GRV26" s="19"/>
      <c r="GRW26" s="19"/>
      <c r="GRX26" s="19"/>
      <c r="GRY26" s="19"/>
      <c r="GRZ26" s="19"/>
      <c r="GSA26" s="19"/>
      <c r="GSB26" s="19"/>
      <c r="GSC26" s="19"/>
      <c r="GSD26" s="19"/>
      <c r="GSE26" s="19"/>
      <c r="GSF26" s="19"/>
      <c r="GSG26" s="19"/>
      <c r="GSH26" s="19"/>
      <c r="GSI26" s="19"/>
      <c r="GSJ26" s="19"/>
      <c r="GSK26" s="19"/>
      <c r="GSL26" s="19"/>
      <c r="GSM26" s="19"/>
      <c r="GSN26" s="19"/>
      <c r="GSO26" s="19"/>
      <c r="GSP26" s="19"/>
      <c r="GSQ26" s="19"/>
      <c r="GSR26" s="19"/>
      <c r="GSS26" s="19"/>
      <c r="GST26" s="19"/>
      <c r="GSU26" s="19"/>
      <c r="GSV26" s="19"/>
      <c r="GSW26" s="19"/>
      <c r="GSX26" s="19"/>
      <c r="GSY26" s="19"/>
      <c r="GSZ26" s="19"/>
      <c r="GTA26" s="19"/>
      <c r="GTB26" s="19"/>
      <c r="GTC26" s="19"/>
      <c r="GTD26" s="19"/>
      <c r="GTE26" s="19"/>
      <c r="GTF26" s="19"/>
      <c r="GTG26" s="19"/>
      <c r="GTH26" s="19"/>
      <c r="GTI26" s="19"/>
      <c r="GTJ26" s="19"/>
      <c r="GTK26" s="19"/>
      <c r="GTL26" s="19"/>
      <c r="GTM26" s="19"/>
      <c r="GTN26" s="19"/>
      <c r="GTO26" s="19"/>
      <c r="GTP26" s="19"/>
      <c r="GTQ26" s="19"/>
      <c r="GTR26" s="19"/>
      <c r="GTS26" s="19"/>
      <c r="GTT26" s="19"/>
      <c r="GTU26" s="19"/>
      <c r="GTV26" s="19"/>
      <c r="GTW26" s="19"/>
      <c r="GTX26" s="19"/>
      <c r="GTY26" s="19"/>
      <c r="GTZ26" s="19"/>
      <c r="GUA26" s="19"/>
      <c r="GUB26" s="19"/>
      <c r="GUC26" s="19"/>
      <c r="GUD26" s="19"/>
      <c r="GUE26" s="19"/>
      <c r="GUF26" s="19"/>
      <c r="GUG26" s="19"/>
      <c r="GUH26" s="19"/>
      <c r="GUI26" s="19"/>
      <c r="GUJ26" s="19"/>
      <c r="GUK26" s="19"/>
      <c r="GUL26" s="19"/>
      <c r="GUM26" s="19"/>
      <c r="GUN26" s="19"/>
      <c r="GUO26" s="19"/>
      <c r="GUP26" s="19"/>
      <c r="GUQ26" s="19"/>
      <c r="GUR26" s="19"/>
      <c r="GUS26" s="19"/>
      <c r="GUT26" s="19"/>
      <c r="GUU26" s="19"/>
      <c r="GUV26" s="19"/>
      <c r="GUW26" s="19"/>
      <c r="GUX26" s="19"/>
      <c r="GUY26" s="19"/>
      <c r="GUZ26" s="19"/>
      <c r="GVA26" s="19"/>
      <c r="GVB26" s="19"/>
      <c r="GVC26" s="19"/>
      <c r="GVD26" s="19"/>
      <c r="GVE26" s="19"/>
      <c r="GVF26" s="19"/>
      <c r="GVG26" s="19"/>
      <c r="GVH26" s="19"/>
      <c r="GVI26" s="19"/>
      <c r="GVJ26" s="19"/>
      <c r="GVK26" s="19"/>
      <c r="GVL26" s="19"/>
      <c r="GVM26" s="19"/>
      <c r="GVN26" s="19"/>
      <c r="GVO26" s="19"/>
      <c r="GVP26" s="19"/>
      <c r="GVQ26" s="19"/>
      <c r="GVR26" s="19"/>
      <c r="GVS26" s="19"/>
      <c r="GVT26" s="19"/>
      <c r="GVU26" s="19"/>
      <c r="GVV26" s="19"/>
      <c r="GVW26" s="19"/>
      <c r="GVX26" s="19"/>
      <c r="GVY26" s="19"/>
      <c r="GVZ26" s="19"/>
      <c r="GWA26" s="19"/>
      <c r="GWB26" s="19"/>
      <c r="GWC26" s="19"/>
      <c r="GWD26" s="19"/>
      <c r="GWE26" s="19"/>
      <c r="GWF26" s="19"/>
      <c r="GWG26" s="19"/>
      <c r="GWH26" s="19"/>
      <c r="GWI26" s="19"/>
      <c r="GWJ26" s="19"/>
      <c r="GWK26" s="19"/>
      <c r="GWL26" s="19"/>
      <c r="GWM26" s="19"/>
      <c r="GWN26" s="19"/>
      <c r="GWO26" s="19"/>
      <c r="GWP26" s="19"/>
      <c r="GWQ26" s="19"/>
      <c r="GWR26" s="19"/>
      <c r="GWS26" s="19"/>
      <c r="GWT26" s="19"/>
      <c r="GWU26" s="19"/>
      <c r="GWV26" s="19"/>
      <c r="GWW26" s="19"/>
      <c r="GWX26" s="19"/>
      <c r="GWY26" s="19"/>
      <c r="GWZ26" s="19"/>
      <c r="GXA26" s="19"/>
      <c r="GXB26" s="19"/>
      <c r="GXC26" s="19"/>
      <c r="GXD26" s="19"/>
      <c r="GXE26" s="19"/>
      <c r="GXF26" s="19"/>
      <c r="GXG26" s="19"/>
      <c r="GXH26" s="19"/>
      <c r="GXI26" s="19"/>
      <c r="GXJ26" s="19"/>
      <c r="GXK26" s="19"/>
      <c r="GXL26" s="19"/>
      <c r="GXM26" s="19"/>
      <c r="GXN26" s="19"/>
      <c r="GXO26" s="19"/>
      <c r="GXP26" s="19"/>
      <c r="GXQ26" s="19"/>
      <c r="GXR26" s="19"/>
      <c r="GXS26" s="19"/>
      <c r="GXT26" s="19"/>
      <c r="GXU26" s="19"/>
      <c r="GXV26" s="19"/>
      <c r="GXW26" s="19"/>
      <c r="GXX26" s="19"/>
      <c r="GXY26" s="19"/>
      <c r="GXZ26" s="19"/>
      <c r="GYA26" s="19"/>
      <c r="GYB26" s="19"/>
      <c r="GYC26" s="19"/>
      <c r="GYD26" s="19"/>
      <c r="GYE26" s="19"/>
      <c r="GYF26" s="19"/>
      <c r="GYG26" s="19"/>
      <c r="GYH26" s="19"/>
      <c r="GYI26" s="19"/>
      <c r="GYJ26" s="19"/>
      <c r="GYK26" s="19"/>
      <c r="GYL26" s="19"/>
      <c r="GYM26" s="19"/>
      <c r="GYN26" s="19"/>
      <c r="GYO26" s="19"/>
      <c r="GYP26" s="19"/>
      <c r="GYQ26" s="19"/>
      <c r="GYR26" s="19"/>
      <c r="GYS26" s="19"/>
      <c r="GYT26" s="19"/>
      <c r="GYU26" s="19"/>
      <c r="GYV26" s="19"/>
      <c r="GYW26" s="19"/>
      <c r="GYX26" s="19"/>
      <c r="GYY26" s="19"/>
      <c r="GYZ26" s="19"/>
      <c r="GZA26" s="19"/>
      <c r="GZB26" s="19"/>
      <c r="GZC26" s="19"/>
      <c r="GZD26" s="19"/>
      <c r="GZE26" s="19"/>
      <c r="GZF26" s="19"/>
      <c r="GZG26" s="19"/>
      <c r="GZH26" s="19"/>
      <c r="GZI26" s="19"/>
      <c r="GZJ26" s="19"/>
      <c r="GZK26" s="19"/>
      <c r="GZL26" s="19"/>
      <c r="GZM26" s="19"/>
      <c r="GZN26" s="19"/>
      <c r="GZO26" s="19"/>
      <c r="GZP26" s="19"/>
      <c r="GZQ26" s="19"/>
      <c r="GZR26" s="19"/>
      <c r="GZS26" s="19"/>
      <c r="GZT26" s="19"/>
      <c r="GZU26" s="19"/>
      <c r="GZV26" s="19"/>
      <c r="GZW26" s="19"/>
      <c r="GZX26" s="19"/>
      <c r="GZY26" s="19"/>
      <c r="GZZ26" s="19"/>
      <c r="HAA26" s="19"/>
      <c r="HAB26" s="19"/>
      <c r="HAC26" s="19"/>
      <c r="HAD26" s="19"/>
      <c r="HAE26" s="19"/>
      <c r="HAF26" s="19"/>
      <c r="HAG26" s="19"/>
      <c r="HAH26" s="19"/>
      <c r="HAI26" s="19"/>
      <c r="HAJ26" s="19"/>
      <c r="HAK26" s="19"/>
      <c r="HAL26" s="19"/>
      <c r="HAM26" s="19"/>
      <c r="HAN26" s="19"/>
      <c r="HAO26" s="19"/>
      <c r="HAP26" s="19"/>
      <c r="HAQ26" s="19"/>
      <c r="HAR26" s="19"/>
      <c r="HAS26" s="19"/>
      <c r="HAT26" s="19"/>
      <c r="HAU26" s="19"/>
      <c r="HAV26" s="19"/>
      <c r="HAW26" s="19"/>
      <c r="HAX26" s="19"/>
      <c r="HAY26" s="19"/>
      <c r="HAZ26" s="19"/>
      <c r="HBA26" s="19"/>
      <c r="HBB26" s="19"/>
      <c r="HBC26" s="19"/>
      <c r="HBD26" s="19"/>
      <c r="HBE26" s="19"/>
      <c r="HBF26" s="19"/>
      <c r="HBG26" s="19"/>
      <c r="HBH26" s="19"/>
      <c r="HBI26" s="19"/>
      <c r="HBJ26" s="19"/>
      <c r="HBK26" s="19"/>
      <c r="HBL26" s="19"/>
      <c r="HBM26" s="19"/>
      <c r="HBN26" s="19"/>
      <c r="HBO26" s="19"/>
      <c r="HBP26" s="19"/>
      <c r="HBQ26" s="19"/>
      <c r="HBR26" s="19"/>
      <c r="HBS26" s="19"/>
      <c r="HBT26" s="19"/>
      <c r="HBU26" s="19"/>
      <c r="HBV26" s="19"/>
      <c r="HBW26" s="19"/>
      <c r="HBX26" s="19"/>
      <c r="HBY26" s="19"/>
      <c r="HBZ26" s="19"/>
      <c r="HCA26" s="19"/>
      <c r="HCB26" s="19"/>
      <c r="HCC26" s="19"/>
      <c r="HCD26" s="19"/>
      <c r="HCE26" s="19"/>
      <c r="HCF26" s="19"/>
      <c r="HCG26" s="19"/>
      <c r="HCH26" s="19"/>
      <c r="HCI26" s="19"/>
      <c r="HCJ26" s="19"/>
      <c r="HCK26" s="19"/>
      <c r="HCL26" s="19"/>
      <c r="HCM26" s="19"/>
      <c r="HCN26" s="19"/>
      <c r="HCO26" s="19"/>
      <c r="HCP26" s="19"/>
      <c r="HCQ26" s="19"/>
      <c r="HCR26" s="19"/>
      <c r="HCS26" s="19"/>
      <c r="HCT26" s="19"/>
      <c r="HCU26" s="19"/>
      <c r="HCV26" s="19"/>
      <c r="HCW26" s="19"/>
      <c r="HCX26" s="19"/>
      <c r="HCY26" s="19"/>
      <c r="HCZ26" s="19"/>
      <c r="HDA26" s="19"/>
      <c r="HDB26" s="19"/>
      <c r="HDC26" s="19"/>
      <c r="HDD26" s="19"/>
      <c r="HDE26" s="19"/>
      <c r="HDF26" s="19"/>
      <c r="HDG26" s="19"/>
      <c r="HDH26" s="19"/>
      <c r="HDI26" s="19"/>
      <c r="HDJ26" s="19"/>
      <c r="HDK26" s="19"/>
      <c r="HDL26" s="19"/>
      <c r="HDM26" s="19"/>
      <c r="HDN26" s="19"/>
      <c r="HDO26" s="19"/>
      <c r="HDP26" s="19"/>
      <c r="HDQ26" s="19"/>
      <c r="HDR26" s="19"/>
      <c r="HDS26" s="19"/>
      <c r="HDT26" s="19"/>
      <c r="HDU26" s="19"/>
      <c r="HDV26" s="19"/>
      <c r="HDW26" s="19"/>
      <c r="HDX26" s="19"/>
      <c r="HDY26" s="19"/>
      <c r="HDZ26" s="19"/>
      <c r="HEA26" s="19"/>
      <c r="HEB26" s="19"/>
      <c r="HEC26" s="19"/>
      <c r="HED26" s="19"/>
      <c r="HEE26" s="19"/>
      <c r="HEF26" s="19"/>
      <c r="HEG26" s="19"/>
      <c r="HEH26" s="19"/>
      <c r="HEI26" s="19"/>
      <c r="HEJ26" s="19"/>
      <c r="HEK26" s="19"/>
      <c r="HEL26" s="19"/>
      <c r="HEM26" s="19"/>
      <c r="HEN26" s="19"/>
      <c r="HEO26" s="19"/>
      <c r="HEP26" s="19"/>
      <c r="HEQ26" s="19"/>
      <c r="HER26" s="19"/>
      <c r="HES26" s="19"/>
      <c r="HET26" s="19"/>
      <c r="HEU26" s="19"/>
      <c r="HEV26" s="19"/>
      <c r="HEW26" s="19"/>
      <c r="HEX26" s="19"/>
      <c r="HEY26" s="19"/>
      <c r="HEZ26" s="19"/>
      <c r="HFA26" s="19"/>
      <c r="HFB26" s="19"/>
      <c r="HFC26" s="19"/>
      <c r="HFD26" s="19"/>
      <c r="HFE26" s="19"/>
      <c r="HFF26" s="19"/>
      <c r="HFG26" s="19"/>
      <c r="HFH26" s="19"/>
      <c r="HFI26" s="19"/>
      <c r="HFJ26" s="19"/>
      <c r="HFK26" s="19"/>
      <c r="HFL26" s="19"/>
      <c r="HFM26" s="19"/>
      <c r="HFN26" s="19"/>
      <c r="HFO26" s="19"/>
      <c r="HFP26" s="19"/>
      <c r="HFQ26" s="19"/>
      <c r="HFR26" s="19"/>
      <c r="HFS26" s="19"/>
      <c r="HFT26" s="19"/>
      <c r="HFU26" s="19"/>
      <c r="HFV26" s="19"/>
      <c r="HFW26" s="19"/>
      <c r="HFX26" s="19"/>
      <c r="HFY26" s="19"/>
      <c r="HFZ26" s="19"/>
      <c r="HGA26" s="19"/>
      <c r="HGB26" s="19"/>
      <c r="HGC26" s="19"/>
      <c r="HGD26" s="19"/>
      <c r="HGE26" s="19"/>
      <c r="HGF26" s="19"/>
      <c r="HGG26" s="19"/>
      <c r="HGH26" s="19"/>
      <c r="HGI26" s="19"/>
      <c r="HGJ26" s="19"/>
      <c r="HGK26" s="19"/>
      <c r="HGL26" s="19"/>
      <c r="HGM26" s="19"/>
      <c r="HGN26" s="19"/>
      <c r="HGO26" s="19"/>
      <c r="HGP26" s="19"/>
      <c r="HGQ26" s="19"/>
      <c r="HGR26" s="19"/>
      <c r="HGS26" s="19"/>
      <c r="HGT26" s="19"/>
      <c r="HGU26" s="19"/>
      <c r="HGV26" s="19"/>
      <c r="HGW26" s="19"/>
      <c r="HGX26" s="19"/>
      <c r="HGY26" s="19"/>
      <c r="HGZ26" s="19"/>
      <c r="HHA26" s="19"/>
      <c r="HHB26" s="19"/>
      <c r="HHC26" s="19"/>
      <c r="HHD26" s="19"/>
      <c r="HHE26" s="19"/>
      <c r="HHF26" s="19"/>
      <c r="HHG26" s="19"/>
      <c r="HHH26" s="19"/>
      <c r="HHI26" s="19"/>
      <c r="HHJ26" s="19"/>
      <c r="HHK26" s="19"/>
      <c r="HHL26" s="19"/>
      <c r="HHM26" s="19"/>
      <c r="HHN26" s="19"/>
      <c r="HHO26" s="19"/>
      <c r="HHP26" s="19"/>
      <c r="HHQ26" s="19"/>
      <c r="HHR26" s="19"/>
      <c r="HHS26" s="19"/>
      <c r="HHT26" s="19"/>
      <c r="HHU26" s="19"/>
      <c r="HHV26" s="19"/>
      <c r="HHW26" s="19"/>
      <c r="HHX26" s="19"/>
      <c r="HHY26" s="19"/>
      <c r="HHZ26" s="19"/>
      <c r="HIA26" s="19"/>
      <c r="HIB26" s="19"/>
      <c r="HIC26" s="19"/>
      <c r="HID26" s="19"/>
      <c r="HIE26" s="19"/>
      <c r="HIF26" s="19"/>
      <c r="HIG26" s="19"/>
      <c r="HIH26" s="19"/>
      <c r="HII26" s="19"/>
      <c r="HIJ26" s="19"/>
      <c r="HIK26" s="19"/>
      <c r="HIL26" s="19"/>
      <c r="HIM26" s="19"/>
      <c r="HIN26" s="19"/>
      <c r="HIO26" s="19"/>
      <c r="HIP26" s="19"/>
      <c r="HIQ26" s="19"/>
      <c r="HIR26" s="19"/>
      <c r="HIS26" s="19"/>
      <c r="HIT26" s="19"/>
      <c r="HIU26" s="19"/>
      <c r="HIV26" s="19"/>
      <c r="HIW26" s="19"/>
      <c r="HIX26" s="19"/>
      <c r="HIY26" s="19"/>
      <c r="HIZ26" s="19"/>
      <c r="HJA26" s="19"/>
      <c r="HJB26" s="19"/>
      <c r="HJC26" s="19"/>
      <c r="HJD26" s="19"/>
      <c r="HJE26" s="19"/>
      <c r="HJF26" s="19"/>
      <c r="HJG26" s="19"/>
      <c r="HJH26" s="19"/>
      <c r="HJI26" s="19"/>
      <c r="HJJ26" s="19"/>
      <c r="HJK26" s="19"/>
      <c r="HJL26" s="19"/>
      <c r="HJM26" s="19"/>
      <c r="HJN26" s="19"/>
      <c r="HJO26" s="19"/>
      <c r="HJP26" s="19"/>
      <c r="HJQ26" s="19"/>
      <c r="HJR26" s="19"/>
      <c r="HJS26" s="19"/>
      <c r="HJT26" s="19"/>
      <c r="HJU26" s="19"/>
      <c r="HJV26" s="19"/>
      <c r="HJW26" s="19"/>
      <c r="HJX26" s="19"/>
      <c r="HJY26" s="19"/>
      <c r="HJZ26" s="19"/>
      <c r="HKA26" s="19"/>
      <c r="HKB26" s="19"/>
      <c r="HKC26" s="19"/>
      <c r="HKD26" s="19"/>
      <c r="HKE26" s="19"/>
      <c r="HKF26" s="19"/>
      <c r="HKG26" s="19"/>
      <c r="HKH26" s="19"/>
      <c r="HKI26" s="19"/>
      <c r="HKJ26" s="19"/>
      <c r="HKK26" s="19"/>
      <c r="HKL26" s="19"/>
      <c r="HKM26" s="19"/>
      <c r="HKN26" s="19"/>
      <c r="HKO26" s="19"/>
      <c r="HKP26" s="19"/>
      <c r="HKQ26" s="19"/>
      <c r="HKR26" s="19"/>
      <c r="HKS26" s="19"/>
      <c r="HKT26" s="19"/>
      <c r="HKU26" s="19"/>
      <c r="HKV26" s="19"/>
      <c r="HKW26" s="19"/>
      <c r="HKX26" s="19"/>
      <c r="HKY26" s="19"/>
      <c r="HKZ26" s="19"/>
      <c r="HLA26" s="19"/>
      <c r="HLB26" s="19"/>
      <c r="HLC26" s="19"/>
      <c r="HLD26" s="19"/>
      <c r="HLE26" s="19"/>
      <c r="HLF26" s="19"/>
      <c r="HLG26" s="19"/>
      <c r="HLH26" s="19"/>
      <c r="HLI26" s="19"/>
      <c r="HLJ26" s="19"/>
      <c r="HLK26" s="19"/>
      <c r="HLL26" s="19"/>
      <c r="HLM26" s="19"/>
      <c r="HLN26" s="19"/>
      <c r="HLO26" s="19"/>
      <c r="HLP26" s="19"/>
      <c r="HLQ26" s="19"/>
      <c r="HLR26" s="19"/>
      <c r="HLS26" s="19"/>
      <c r="HLT26" s="19"/>
      <c r="HLU26" s="19"/>
      <c r="HLV26" s="19"/>
      <c r="HLW26" s="19"/>
      <c r="HLX26" s="19"/>
      <c r="HLY26" s="19"/>
      <c r="HLZ26" s="19"/>
      <c r="HMA26" s="19"/>
      <c r="HMB26" s="19"/>
      <c r="HMC26" s="19"/>
      <c r="HMD26" s="19"/>
      <c r="HME26" s="19"/>
      <c r="HMF26" s="19"/>
      <c r="HMG26" s="19"/>
      <c r="HMH26" s="19"/>
      <c r="HMI26" s="19"/>
      <c r="HMJ26" s="19"/>
      <c r="HMK26" s="19"/>
      <c r="HML26" s="19"/>
      <c r="HMM26" s="19"/>
      <c r="HMN26" s="19"/>
      <c r="HMO26" s="19"/>
      <c r="HMP26" s="19"/>
      <c r="HMQ26" s="19"/>
      <c r="HMR26" s="19"/>
      <c r="HMS26" s="19"/>
      <c r="HMT26" s="19"/>
      <c r="HMU26" s="19"/>
      <c r="HMV26" s="19"/>
      <c r="HMW26" s="19"/>
      <c r="HMX26" s="19"/>
      <c r="HMY26" s="19"/>
      <c r="HMZ26" s="19"/>
      <c r="HNA26" s="19"/>
      <c r="HNB26" s="19"/>
      <c r="HNC26" s="19"/>
      <c r="HND26" s="19"/>
      <c r="HNE26" s="19"/>
      <c r="HNF26" s="19"/>
      <c r="HNG26" s="19"/>
      <c r="HNH26" s="19"/>
      <c r="HNI26" s="19"/>
      <c r="HNJ26" s="19"/>
      <c r="HNK26" s="19"/>
      <c r="HNL26" s="19"/>
      <c r="HNM26" s="19"/>
      <c r="HNN26" s="19"/>
      <c r="HNO26" s="19"/>
      <c r="HNP26" s="19"/>
      <c r="HNQ26" s="19"/>
      <c r="HNR26" s="19"/>
      <c r="HNS26" s="19"/>
      <c r="HNT26" s="19"/>
      <c r="HNU26" s="19"/>
      <c r="HNV26" s="19"/>
      <c r="HNW26" s="19"/>
      <c r="HNX26" s="19"/>
      <c r="HNY26" s="19"/>
      <c r="HNZ26" s="19"/>
      <c r="HOA26" s="19"/>
      <c r="HOB26" s="19"/>
      <c r="HOC26" s="19"/>
      <c r="HOD26" s="19"/>
      <c r="HOE26" s="19"/>
      <c r="HOF26" s="19"/>
      <c r="HOG26" s="19"/>
      <c r="HOH26" s="19"/>
      <c r="HOI26" s="19"/>
      <c r="HOJ26" s="19"/>
      <c r="HOK26" s="19"/>
      <c r="HOL26" s="19"/>
      <c r="HOM26" s="19"/>
      <c r="HON26" s="19"/>
      <c r="HOO26" s="19"/>
      <c r="HOP26" s="19"/>
      <c r="HOQ26" s="19"/>
      <c r="HOR26" s="19"/>
      <c r="HOS26" s="19"/>
      <c r="HOT26" s="19"/>
      <c r="HOU26" s="19"/>
      <c r="HOV26" s="19"/>
      <c r="HOW26" s="19"/>
      <c r="HOX26" s="19"/>
      <c r="HOY26" s="19"/>
      <c r="HOZ26" s="19"/>
      <c r="HPA26" s="19"/>
      <c r="HPB26" s="19"/>
      <c r="HPC26" s="19"/>
      <c r="HPD26" s="19"/>
      <c r="HPE26" s="19"/>
      <c r="HPF26" s="19"/>
      <c r="HPG26" s="19"/>
      <c r="HPH26" s="19"/>
      <c r="HPI26" s="19"/>
      <c r="HPJ26" s="19"/>
      <c r="HPK26" s="19"/>
      <c r="HPL26" s="19"/>
      <c r="HPM26" s="19"/>
      <c r="HPN26" s="19"/>
      <c r="HPO26" s="19"/>
      <c r="HPP26" s="19"/>
      <c r="HPQ26" s="19"/>
      <c r="HPR26" s="19"/>
      <c r="HPS26" s="19"/>
      <c r="HPT26" s="19"/>
      <c r="HPU26" s="19"/>
      <c r="HPV26" s="19"/>
      <c r="HPW26" s="19"/>
      <c r="HPX26" s="19"/>
      <c r="HPY26" s="19"/>
      <c r="HPZ26" s="19"/>
      <c r="HQA26" s="19"/>
      <c r="HQB26" s="19"/>
      <c r="HQC26" s="19"/>
      <c r="HQD26" s="19"/>
      <c r="HQE26" s="19"/>
      <c r="HQF26" s="19"/>
      <c r="HQG26" s="19"/>
      <c r="HQH26" s="19"/>
      <c r="HQI26" s="19"/>
      <c r="HQJ26" s="19"/>
      <c r="HQK26" s="19"/>
      <c r="HQL26" s="19"/>
      <c r="HQM26" s="19"/>
      <c r="HQN26" s="19"/>
      <c r="HQO26" s="19"/>
      <c r="HQP26" s="19"/>
      <c r="HQQ26" s="19"/>
      <c r="HQR26" s="19"/>
      <c r="HQS26" s="19"/>
      <c r="HQT26" s="19"/>
      <c r="HQU26" s="19"/>
      <c r="HQV26" s="19"/>
      <c r="HQW26" s="19"/>
      <c r="HQX26" s="19"/>
      <c r="HQY26" s="19"/>
      <c r="HQZ26" s="19"/>
      <c r="HRA26" s="19"/>
      <c r="HRB26" s="19"/>
      <c r="HRC26" s="19"/>
      <c r="HRD26" s="19"/>
      <c r="HRE26" s="19"/>
      <c r="HRF26" s="19"/>
      <c r="HRG26" s="19"/>
      <c r="HRH26" s="19"/>
      <c r="HRI26" s="19"/>
      <c r="HRJ26" s="19"/>
      <c r="HRK26" s="19"/>
      <c r="HRL26" s="19"/>
      <c r="HRM26" s="19"/>
      <c r="HRN26" s="19"/>
      <c r="HRO26" s="19"/>
      <c r="HRP26" s="19"/>
      <c r="HRQ26" s="19"/>
      <c r="HRR26" s="19"/>
      <c r="HRS26" s="19"/>
      <c r="HRT26" s="19"/>
      <c r="HRU26" s="19"/>
      <c r="HRV26" s="19"/>
      <c r="HRW26" s="19"/>
      <c r="HRX26" s="19"/>
      <c r="HRY26" s="19"/>
      <c r="HRZ26" s="19"/>
      <c r="HSA26" s="19"/>
      <c r="HSB26" s="19"/>
      <c r="HSC26" s="19"/>
      <c r="HSD26" s="19"/>
      <c r="HSE26" s="19"/>
      <c r="HSF26" s="19"/>
      <c r="HSG26" s="19"/>
      <c r="HSH26" s="19"/>
      <c r="HSI26" s="19"/>
      <c r="HSJ26" s="19"/>
      <c r="HSK26" s="19"/>
      <c r="HSL26" s="19"/>
      <c r="HSM26" s="19"/>
      <c r="HSN26" s="19"/>
      <c r="HSO26" s="19"/>
      <c r="HSP26" s="19"/>
      <c r="HSQ26" s="19"/>
      <c r="HSR26" s="19"/>
      <c r="HSS26" s="19"/>
      <c r="HST26" s="19"/>
      <c r="HSU26" s="19"/>
      <c r="HSV26" s="19"/>
      <c r="HSW26" s="19"/>
      <c r="HSX26" s="19"/>
      <c r="HSY26" s="19"/>
      <c r="HSZ26" s="19"/>
      <c r="HTA26" s="19"/>
      <c r="HTB26" s="19"/>
      <c r="HTC26" s="19"/>
      <c r="HTD26" s="19"/>
      <c r="HTE26" s="19"/>
      <c r="HTF26" s="19"/>
      <c r="HTG26" s="19"/>
      <c r="HTH26" s="19"/>
      <c r="HTI26" s="19"/>
      <c r="HTJ26" s="19"/>
      <c r="HTK26" s="19"/>
      <c r="HTL26" s="19"/>
      <c r="HTM26" s="19"/>
      <c r="HTN26" s="19"/>
      <c r="HTO26" s="19"/>
      <c r="HTP26" s="19"/>
      <c r="HTQ26" s="19"/>
      <c r="HTR26" s="19"/>
      <c r="HTS26" s="19"/>
      <c r="HTT26" s="19"/>
      <c r="HTU26" s="19"/>
      <c r="HTV26" s="19"/>
      <c r="HTW26" s="19"/>
      <c r="HTX26" s="19"/>
      <c r="HTY26" s="19"/>
      <c r="HTZ26" s="19"/>
      <c r="HUA26" s="19"/>
      <c r="HUB26" s="19"/>
      <c r="HUC26" s="19"/>
      <c r="HUD26" s="19"/>
      <c r="HUE26" s="19"/>
      <c r="HUF26" s="19"/>
      <c r="HUG26" s="19"/>
      <c r="HUH26" s="19"/>
      <c r="HUI26" s="19"/>
      <c r="HUJ26" s="19"/>
      <c r="HUK26" s="19"/>
      <c r="HUL26" s="19"/>
      <c r="HUM26" s="19"/>
      <c r="HUN26" s="19"/>
      <c r="HUO26" s="19"/>
      <c r="HUP26" s="19"/>
      <c r="HUQ26" s="19"/>
      <c r="HUR26" s="19"/>
      <c r="HUS26" s="19"/>
      <c r="HUT26" s="19"/>
      <c r="HUU26" s="19"/>
      <c r="HUV26" s="19"/>
      <c r="HUW26" s="19"/>
      <c r="HUX26" s="19"/>
      <c r="HUY26" s="19"/>
      <c r="HUZ26" s="19"/>
      <c r="HVA26" s="19"/>
      <c r="HVB26" s="19"/>
      <c r="HVC26" s="19"/>
      <c r="HVD26" s="19"/>
      <c r="HVE26" s="19"/>
      <c r="HVF26" s="19"/>
      <c r="HVG26" s="19"/>
      <c r="HVH26" s="19"/>
      <c r="HVI26" s="19"/>
      <c r="HVJ26" s="19"/>
      <c r="HVK26" s="19"/>
      <c r="HVL26" s="19"/>
      <c r="HVM26" s="19"/>
      <c r="HVN26" s="19"/>
      <c r="HVO26" s="19"/>
      <c r="HVP26" s="19"/>
      <c r="HVQ26" s="19"/>
      <c r="HVR26" s="19"/>
      <c r="HVS26" s="19"/>
      <c r="HVT26" s="19"/>
      <c r="HVU26" s="19"/>
      <c r="HVV26" s="19"/>
      <c r="HVW26" s="19"/>
      <c r="HVX26" s="19"/>
      <c r="HVY26" s="19"/>
      <c r="HVZ26" s="19"/>
      <c r="HWA26" s="19"/>
      <c r="HWB26" s="19"/>
      <c r="HWC26" s="19"/>
      <c r="HWD26" s="19"/>
      <c r="HWE26" s="19"/>
      <c r="HWF26" s="19"/>
      <c r="HWG26" s="19"/>
      <c r="HWH26" s="19"/>
      <c r="HWI26" s="19"/>
      <c r="HWJ26" s="19"/>
      <c r="HWK26" s="19"/>
      <c r="HWL26" s="19"/>
      <c r="HWM26" s="19"/>
      <c r="HWN26" s="19"/>
      <c r="HWO26" s="19"/>
      <c r="HWP26" s="19"/>
      <c r="HWQ26" s="19"/>
      <c r="HWR26" s="19"/>
      <c r="HWS26" s="19"/>
      <c r="HWT26" s="19"/>
      <c r="HWU26" s="19"/>
      <c r="HWV26" s="19"/>
      <c r="HWW26" s="19"/>
      <c r="HWX26" s="19"/>
      <c r="HWY26" s="19"/>
      <c r="HWZ26" s="19"/>
      <c r="HXA26" s="19"/>
      <c r="HXB26" s="19"/>
      <c r="HXC26" s="19"/>
      <c r="HXD26" s="19"/>
      <c r="HXE26" s="19"/>
      <c r="HXF26" s="19"/>
      <c r="HXG26" s="19"/>
      <c r="HXH26" s="19"/>
      <c r="HXI26" s="19"/>
      <c r="HXJ26" s="19"/>
      <c r="HXK26" s="19"/>
      <c r="HXL26" s="19"/>
      <c r="HXM26" s="19"/>
      <c r="HXN26" s="19"/>
      <c r="HXO26" s="19"/>
      <c r="HXP26" s="19"/>
      <c r="HXQ26" s="19"/>
      <c r="HXR26" s="19"/>
      <c r="HXS26" s="19"/>
      <c r="HXT26" s="19"/>
      <c r="HXU26" s="19"/>
      <c r="HXV26" s="19"/>
      <c r="HXW26" s="19"/>
      <c r="HXX26" s="19"/>
      <c r="HXY26" s="19"/>
      <c r="HXZ26" s="19"/>
      <c r="HYA26" s="19"/>
      <c r="HYB26" s="19"/>
      <c r="HYC26" s="19"/>
      <c r="HYD26" s="19"/>
      <c r="HYE26" s="19"/>
      <c r="HYF26" s="19"/>
      <c r="HYG26" s="19"/>
      <c r="HYH26" s="19"/>
      <c r="HYI26" s="19"/>
      <c r="HYJ26" s="19"/>
      <c r="HYK26" s="19"/>
      <c r="HYL26" s="19"/>
      <c r="HYM26" s="19"/>
      <c r="HYN26" s="19"/>
      <c r="HYO26" s="19"/>
      <c r="HYP26" s="19"/>
      <c r="HYQ26" s="19"/>
      <c r="HYR26" s="19"/>
      <c r="HYS26" s="19"/>
      <c r="HYT26" s="19"/>
      <c r="HYU26" s="19"/>
      <c r="HYV26" s="19"/>
      <c r="HYW26" s="19"/>
      <c r="HYX26" s="19"/>
      <c r="HYY26" s="19"/>
      <c r="HYZ26" s="19"/>
      <c r="HZA26" s="19"/>
      <c r="HZB26" s="19"/>
      <c r="HZC26" s="19"/>
      <c r="HZD26" s="19"/>
      <c r="HZE26" s="19"/>
      <c r="HZF26" s="19"/>
      <c r="HZG26" s="19"/>
      <c r="HZH26" s="19"/>
      <c r="HZI26" s="19"/>
      <c r="HZJ26" s="19"/>
      <c r="HZK26" s="19"/>
      <c r="HZL26" s="19"/>
      <c r="HZM26" s="19"/>
      <c r="HZN26" s="19"/>
      <c r="HZO26" s="19"/>
      <c r="HZP26" s="19"/>
      <c r="HZQ26" s="19"/>
      <c r="HZR26" s="19"/>
      <c r="HZS26" s="19"/>
      <c r="HZT26" s="19"/>
      <c r="HZU26" s="19"/>
      <c r="HZV26" s="19"/>
      <c r="HZW26" s="19"/>
      <c r="HZX26" s="19"/>
      <c r="HZY26" s="19"/>
      <c r="HZZ26" s="19"/>
      <c r="IAA26" s="19"/>
      <c r="IAB26" s="19"/>
      <c r="IAC26" s="19"/>
      <c r="IAD26" s="19"/>
      <c r="IAE26" s="19"/>
      <c r="IAF26" s="19"/>
      <c r="IAG26" s="19"/>
      <c r="IAH26" s="19"/>
      <c r="IAI26" s="19"/>
      <c r="IAJ26" s="19"/>
      <c r="IAK26" s="19"/>
      <c r="IAL26" s="19"/>
      <c r="IAM26" s="19"/>
      <c r="IAN26" s="19"/>
      <c r="IAO26" s="19"/>
      <c r="IAP26" s="19"/>
      <c r="IAQ26" s="19"/>
      <c r="IAR26" s="19"/>
      <c r="IAS26" s="19"/>
      <c r="IAT26" s="19"/>
      <c r="IAU26" s="19"/>
      <c r="IAV26" s="19"/>
      <c r="IAW26" s="19"/>
      <c r="IAX26" s="19"/>
      <c r="IAY26" s="19"/>
      <c r="IAZ26" s="19"/>
      <c r="IBA26" s="19"/>
      <c r="IBB26" s="19"/>
      <c r="IBC26" s="19"/>
      <c r="IBD26" s="19"/>
      <c r="IBE26" s="19"/>
      <c r="IBF26" s="19"/>
      <c r="IBG26" s="19"/>
      <c r="IBH26" s="19"/>
      <c r="IBI26" s="19"/>
      <c r="IBJ26" s="19"/>
      <c r="IBK26" s="19"/>
      <c r="IBL26" s="19"/>
      <c r="IBM26" s="19"/>
      <c r="IBN26" s="19"/>
      <c r="IBO26" s="19"/>
      <c r="IBP26" s="19"/>
      <c r="IBQ26" s="19"/>
      <c r="IBR26" s="19"/>
      <c r="IBS26" s="19"/>
      <c r="IBT26" s="19"/>
      <c r="IBU26" s="19"/>
      <c r="IBV26" s="19"/>
      <c r="IBW26" s="19"/>
      <c r="IBX26" s="19"/>
      <c r="IBY26" s="19"/>
      <c r="IBZ26" s="19"/>
      <c r="ICA26" s="19"/>
      <c r="ICB26" s="19"/>
      <c r="ICC26" s="19"/>
      <c r="ICD26" s="19"/>
      <c r="ICE26" s="19"/>
      <c r="ICF26" s="19"/>
      <c r="ICG26" s="19"/>
      <c r="ICH26" s="19"/>
      <c r="ICI26" s="19"/>
      <c r="ICJ26" s="19"/>
      <c r="ICK26" s="19"/>
      <c r="ICL26" s="19"/>
      <c r="ICM26" s="19"/>
      <c r="ICN26" s="19"/>
      <c r="ICO26" s="19"/>
      <c r="ICP26" s="19"/>
      <c r="ICQ26" s="19"/>
      <c r="ICR26" s="19"/>
      <c r="ICS26" s="19"/>
      <c r="ICT26" s="19"/>
      <c r="ICU26" s="19"/>
      <c r="ICV26" s="19"/>
      <c r="ICW26" s="19"/>
      <c r="ICX26" s="19"/>
      <c r="ICY26" s="19"/>
      <c r="ICZ26" s="19"/>
      <c r="IDA26" s="19"/>
      <c r="IDB26" s="19"/>
      <c r="IDC26" s="19"/>
      <c r="IDD26" s="19"/>
      <c r="IDE26" s="19"/>
      <c r="IDF26" s="19"/>
      <c r="IDG26" s="19"/>
      <c r="IDH26" s="19"/>
      <c r="IDI26" s="19"/>
      <c r="IDJ26" s="19"/>
      <c r="IDK26" s="19"/>
      <c r="IDL26" s="19"/>
      <c r="IDM26" s="19"/>
      <c r="IDN26" s="19"/>
      <c r="IDO26" s="19"/>
      <c r="IDP26" s="19"/>
      <c r="IDQ26" s="19"/>
      <c r="IDR26" s="19"/>
      <c r="IDS26" s="19"/>
      <c r="IDT26" s="19"/>
      <c r="IDU26" s="19"/>
      <c r="IDV26" s="19"/>
      <c r="IDW26" s="19"/>
      <c r="IDX26" s="19"/>
      <c r="IDY26" s="19"/>
      <c r="IDZ26" s="19"/>
      <c r="IEA26" s="19"/>
      <c r="IEB26" s="19"/>
      <c r="IEC26" s="19"/>
      <c r="IED26" s="19"/>
      <c r="IEE26" s="19"/>
      <c r="IEF26" s="19"/>
      <c r="IEG26" s="19"/>
      <c r="IEH26" s="19"/>
      <c r="IEI26" s="19"/>
      <c r="IEJ26" s="19"/>
      <c r="IEK26" s="19"/>
      <c r="IEL26" s="19"/>
      <c r="IEM26" s="19"/>
      <c r="IEN26" s="19"/>
      <c r="IEO26" s="19"/>
      <c r="IEP26" s="19"/>
      <c r="IEQ26" s="19"/>
      <c r="IER26" s="19"/>
      <c r="IES26" s="19"/>
      <c r="IET26" s="19"/>
      <c r="IEU26" s="19"/>
      <c r="IEV26" s="19"/>
      <c r="IEW26" s="19"/>
      <c r="IEX26" s="19"/>
      <c r="IEY26" s="19"/>
      <c r="IEZ26" s="19"/>
      <c r="IFA26" s="19"/>
      <c r="IFB26" s="19"/>
      <c r="IFC26" s="19"/>
      <c r="IFD26" s="19"/>
      <c r="IFE26" s="19"/>
      <c r="IFF26" s="19"/>
      <c r="IFG26" s="19"/>
      <c r="IFH26" s="19"/>
      <c r="IFI26" s="19"/>
      <c r="IFJ26" s="19"/>
      <c r="IFK26" s="19"/>
      <c r="IFL26" s="19"/>
      <c r="IFM26" s="19"/>
      <c r="IFN26" s="19"/>
      <c r="IFO26" s="19"/>
      <c r="IFP26" s="19"/>
      <c r="IFQ26" s="19"/>
      <c r="IFR26" s="19"/>
      <c r="IFS26" s="19"/>
      <c r="IFT26" s="19"/>
      <c r="IFU26" s="19"/>
      <c r="IFV26" s="19"/>
      <c r="IFW26" s="19"/>
      <c r="IFX26" s="19"/>
      <c r="IFY26" s="19"/>
      <c r="IFZ26" s="19"/>
      <c r="IGA26" s="19"/>
      <c r="IGB26" s="19"/>
      <c r="IGC26" s="19"/>
      <c r="IGD26" s="19"/>
      <c r="IGE26" s="19"/>
      <c r="IGF26" s="19"/>
      <c r="IGG26" s="19"/>
      <c r="IGH26" s="19"/>
      <c r="IGI26" s="19"/>
      <c r="IGJ26" s="19"/>
      <c r="IGK26" s="19"/>
      <c r="IGL26" s="19"/>
      <c r="IGM26" s="19"/>
      <c r="IGN26" s="19"/>
      <c r="IGO26" s="19"/>
      <c r="IGP26" s="19"/>
      <c r="IGQ26" s="19"/>
      <c r="IGR26" s="19"/>
      <c r="IGS26" s="19"/>
      <c r="IGT26" s="19"/>
      <c r="IGU26" s="19"/>
      <c r="IGV26" s="19"/>
      <c r="IGW26" s="19"/>
      <c r="IGX26" s="19"/>
      <c r="IGY26" s="19"/>
      <c r="IGZ26" s="19"/>
      <c r="IHA26" s="19"/>
      <c r="IHB26" s="19"/>
      <c r="IHC26" s="19"/>
      <c r="IHD26" s="19"/>
      <c r="IHE26" s="19"/>
      <c r="IHF26" s="19"/>
      <c r="IHG26" s="19"/>
      <c r="IHH26" s="19"/>
      <c r="IHI26" s="19"/>
      <c r="IHJ26" s="19"/>
      <c r="IHK26" s="19"/>
      <c r="IHL26" s="19"/>
      <c r="IHM26" s="19"/>
      <c r="IHN26" s="19"/>
      <c r="IHO26" s="19"/>
      <c r="IHP26" s="19"/>
      <c r="IHQ26" s="19"/>
      <c r="IHR26" s="19"/>
      <c r="IHS26" s="19"/>
      <c r="IHT26" s="19"/>
      <c r="IHU26" s="19"/>
      <c r="IHV26" s="19"/>
      <c r="IHW26" s="19"/>
      <c r="IHX26" s="19"/>
      <c r="IHY26" s="19"/>
      <c r="IHZ26" s="19"/>
      <c r="IIA26" s="19"/>
      <c r="IIB26" s="19"/>
      <c r="IIC26" s="19"/>
      <c r="IID26" s="19"/>
      <c r="IIE26" s="19"/>
      <c r="IIF26" s="19"/>
      <c r="IIG26" s="19"/>
      <c r="IIH26" s="19"/>
      <c r="III26" s="19"/>
      <c r="IIJ26" s="19"/>
      <c r="IIK26" s="19"/>
      <c r="IIL26" s="19"/>
      <c r="IIM26" s="19"/>
      <c r="IIN26" s="19"/>
      <c r="IIO26" s="19"/>
      <c r="IIP26" s="19"/>
      <c r="IIQ26" s="19"/>
      <c r="IIR26" s="19"/>
      <c r="IIS26" s="19"/>
      <c r="IIT26" s="19"/>
      <c r="IIU26" s="19"/>
      <c r="IIV26" s="19"/>
      <c r="IIW26" s="19"/>
      <c r="IIX26" s="19"/>
      <c r="IIY26" s="19"/>
      <c r="IIZ26" s="19"/>
      <c r="IJA26" s="19"/>
      <c r="IJB26" s="19"/>
      <c r="IJC26" s="19"/>
      <c r="IJD26" s="19"/>
      <c r="IJE26" s="19"/>
      <c r="IJF26" s="19"/>
      <c r="IJG26" s="19"/>
      <c r="IJH26" s="19"/>
      <c r="IJI26" s="19"/>
      <c r="IJJ26" s="19"/>
      <c r="IJK26" s="19"/>
      <c r="IJL26" s="19"/>
      <c r="IJM26" s="19"/>
      <c r="IJN26" s="19"/>
      <c r="IJO26" s="19"/>
      <c r="IJP26" s="19"/>
      <c r="IJQ26" s="19"/>
      <c r="IJR26" s="19"/>
      <c r="IJS26" s="19"/>
      <c r="IJT26" s="19"/>
      <c r="IJU26" s="19"/>
      <c r="IJV26" s="19"/>
      <c r="IJW26" s="19"/>
      <c r="IJX26" s="19"/>
      <c r="IJY26" s="19"/>
      <c r="IJZ26" s="19"/>
      <c r="IKA26" s="19"/>
      <c r="IKB26" s="19"/>
      <c r="IKC26" s="19"/>
      <c r="IKD26" s="19"/>
      <c r="IKE26" s="19"/>
      <c r="IKF26" s="19"/>
      <c r="IKG26" s="19"/>
      <c r="IKH26" s="19"/>
      <c r="IKI26" s="19"/>
      <c r="IKJ26" s="19"/>
      <c r="IKK26" s="19"/>
      <c r="IKL26" s="19"/>
      <c r="IKM26" s="19"/>
      <c r="IKN26" s="19"/>
      <c r="IKO26" s="19"/>
      <c r="IKP26" s="19"/>
      <c r="IKQ26" s="19"/>
      <c r="IKR26" s="19"/>
      <c r="IKS26" s="19"/>
      <c r="IKT26" s="19"/>
      <c r="IKU26" s="19"/>
      <c r="IKV26" s="19"/>
      <c r="IKW26" s="19"/>
      <c r="IKX26" s="19"/>
      <c r="IKY26" s="19"/>
      <c r="IKZ26" s="19"/>
      <c r="ILA26" s="19"/>
      <c r="ILB26" s="19"/>
      <c r="ILC26" s="19"/>
      <c r="ILD26" s="19"/>
      <c r="ILE26" s="19"/>
      <c r="ILF26" s="19"/>
      <c r="ILG26" s="19"/>
      <c r="ILH26" s="19"/>
      <c r="ILI26" s="19"/>
      <c r="ILJ26" s="19"/>
      <c r="ILK26" s="19"/>
      <c r="ILL26" s="19"/>
      <c r="ILM26" s="19"/>
      <c r="ILN26" s="19"/>
      <c r="ILO26" s="19"/>
      <c r="ILP26" s="19"/>
      <c r="ILQ26" s="19"/>
      <c r="ILR26" s="19"/>
      <c r="ILS26" s="19"/>
      <c r="ILT26" s="19"/>
      <c r="ILU26" s="19"/>
      <c r="ILV26" s="19"/>
      <c r="ILW26" s="19"/>
      <c r="ILX26" s="19"/>
      <c r="ILY26" s="19"/>
      <c r="ILZ26" s="19"/>
      <c r="IMA26" s="19"/>
      <c r="IMB26" s="19"/>
      <c r="IMC26" s="19"/>
      <c r="IMD26" s="19"/>
      <c r="IME26" s="19"/>
      <c r="IMF26" s="19"/>
      <c r="IMG26" s="19"/>
      <c r="IMH26" s="19"/>
      <c r="IMI26" s="19"/>
      <c r="IMJ26" s="19"/>
      <c r="IMK26" s="19"/>
      <c r="IML26" s="19"/>
      <c r="IMM26" s="19"/>
      <c r="IMN26" s="19"/>
      <c r="IMO26" s="19"/>
      <c r="IMP26" s="19"/>
      <c r="IMQ26" s="19"/>
      <c r="IMR26" s="19"/>
      <c r="IMS26" s="19"/>
      <c r="IMT26" s="19"/>
      <c r="IMU26" s="19"/>
      <c r="IMV26" s="19"/>
      <c r="IMW26" s="19"/>
      <c r="IMX26" s="19"/>
      <c r="IMY26" s="19"/>
      <c r="IMZ26" s="19"/>
      <c r="INA26" s="19"/>
      <c r="INB26" s="19"/>
      <c r="INC26" s="19"/>
      <c r="IND26" s="19"/>
      <c r="INE26" s="19"/>
      <c r="INF26" s="19"/>
      <c r="ING26" s="19"/>
      <c r="INH26" s="19"/>
      <c r="INI26" s="19"/>
      <c r="INJ26" s="19"/>
      <c r="INK26" s="19"/>
      <c r="INL26" s="19"/>
      <c r="INM26" s="19"/>
      <c r="INN26" s="19"/>
      <c r="INO26" s="19"/>
      <c r="INP26" s="19"/>
      <c r="INQ26" s="19"/>
      <c r="INR26" s="19"/>
      <c r="INS26" s="19"/>
      <c r="INT26" s="19"/>
      <c r="INU26" s="19"/>
      <c r="INV26" s="19"/>
      <c r="INW26" s="19"/>
      <c r="INX26" s="19"/>
      <c r="INY26" s="19"/>
      <c r="INZ26" s="19"/>
      <c r="IOA26" s="19"/>
      <c r="IOB26" s="19"/>
      <c r="IOC26" s="19"/>
      <c r="IOD26" s="19"/>
      <c r="IOE26" s="19"/>
      <c r="IOF26" s="19"/>
      <c r="IOG26" s="19"/>
      <c r="IOH26" s="19"/>
      <c r="IOI26" s="19"/>
      <c r="IOJ26" s="19"/>
      <c r="IOK26" s="19"/>
      <c r="IOL26" s="19"/>
      <c r="IOM26" s="19"/>
      <c r="ION26" s="19"/>
      <c r="IOO26" s="19"/>
      <c r="IOP26" s="19"/>
      <c r="IOQ26" s="19"/>
      <c r="IOR26" s="19"/>
      <c r="IOS26" s="19"/>
      <c r="IOT26" s="19"/>
      <c r="IOU26" s="19"/>
      <c r="IOV26" s="19"/>
      <c r="IOW26" s="19"/>
      <c r="IOX26" s="19"/>
      <c r="IOY26" s="19"/>
      <c r="IOZ26" s="19"/>
      <c r="IPA26" s="19"/>
      <c r="IPB26" s="19"/>
      <c r="IPC26" s="19"/>
      <c r="IPD26" s="19"/>
      <c r="IPE26" s="19"/>
      <c r="IPF26" s="19"/>
      <c r="IPG26" s="19"/>
      <c r="IPH26" s="19"/>
      <c r="IPI26" s="19"/>
      <c r="IPJ26" s="19"/>
      <c r="IPK26" s="19"/>
      <c r="IPL26" s="19"/>
      <c r="IPM26" s="19"/>
      <c r="IPN26" s="19"/>
      <c r="IPO26" s="19"/>
      <c r="IPP26" s="19"/>
      <c r="IPQ26" s="19"/>
      <c r="IPR26" s="19"/>
      <c r="IPS26" s="19"/>
      <c r="IPT26" s="19"/>
      <c r="IPU26" s="19"/>
      <c r="IPV26" s="19"/>
      <c r="IPW26" s="19"/>
      <c r="IPX26" s="19"/>
      <c r="IPY26" s="19"/>
      <c r="IPZ26" s="19"/>
      <c r="IQA26" s="19"/>
      <c r="IQB26" s="19"/>
      <c r="IQC26" s="19"/>
      <c r="IQD26" s="19"/>
      <c r="IQE26" s="19"/>
      <c r="IQF26" s="19"/>
      <c r="IQG26" s="19"/>
      <c r="IQH26" s="19"/>
      <c r="IQI26" s="19"/>
      <c r="IQJ26" s="19"/>
      <c r="IQK26" s="19"/>
      <c r="IQL26" s="19"/>
      <c r="IQM26" s="19"/>
      <c r="IQN26" s="19"/>
      <c r="IQO26" s="19"/>
      <c r="IQP26" s="19"/>
      <c r="IQQ26" s="19"/>
      <c r="IQR26" s="19"/>
      <c r="IQS26" s="19"/>
      <c r="IQT26" s="19"/>
      <c r="IQU26" s="19"/>
      <c r="IQV26" s="19"/>
      <c r="IQW26" s="19"/>
      <c r="IQX26" s="19"/>
      <c r="IQY26" s="19"/>
      <c r="IQZ26" s="19"/>
      <c r="IRA26" s="19"/>
      <c r="IRB26" s="19"/>
      <c r="IRC26" s="19"/>
      <c r="IRD26" s="19"/>
      <c r="IRE26" s="19"/>
      <c r="IRF26" s="19"/>
      <c r="IRG26" s="19"/>
      <c r="IRH26" s="19"/>
      <c r="IRI26" s="19"/>
      <c r="IRJ26" s="19"/>
      <c r="IRK26" s="19"/>
      <c r="IRL26" s="19"/>
      <c r="IRM26" s="19"/>
      <c r="IRN26" s="19"/>
      <c r="IRO26" s="19"/>
      <c r="IRP26" s="19"/>
      <c r="IRQ26" s="19"/>
      <c r="IRR26" s="19"/>
      <c r="IRS26" s="19"/>
      <c r="IRT26" s="19"/>
      <c r="IRU26" s="19"/>
      <c r="IRV26" s="19"/>
      <c r="IRW26" s="19"/>
      <c r="IRX26" s="19"/>
      <c r="IRY26" s="19"/>
      <c r="IRZ26" s="19"/>
      <c r="ISA26" s="19"/>
      <c r="ISB26" s="19"/>
      <c r="ISC26" s="19"/>
      <c r="ISD26" s="19"/>
      <c r="ISE26" s="19"/>
      <c r="ISF26" s="19"/>
      <c r="ISG26" s="19"/>
      <c r="ISH26" s="19"/>
      <c r="ISI26" s="19"/>
      <c r="ISJ26" s="19"/>
      <c r="ISK26" s="19"/>
      <c r="ISL26" s="19"/>
      <c r="ISM26" s="19"/>
      <c r="ISN26" s="19"/>
      <c r="ISO26" s="19"/>
      <c r="ISP26" s="19"/>
      <c r="ISQ26" s="19"/>
      <c r="ISR26" s="19"/>
      <c r="ISS26" s="19"/>
      <c r="IST26" s="19"/>
      <c r="ISU26" s="19"/>
      <c r="ISV26" s="19"/>
      <c r="ISW26" s="19"/>
      <c r="ISX26" s="19"/>
      <c r="ISY26" s="19"/>
      <c r="ISZ26" s="19"/>
      <c r="ITA26" s="19"/>
      <c r="ITB26" s="19"/>
      <c r="ITC26" s="19"/>
      <c r="ITD26" s="19"/>
      <c r="ITE26" s="19"/>
      <c r="ITF26" s="19"/>
      <c r="ITG26" s="19"/>
      <c r="ITH26" s="19"/>
      <c r="ITI26" s="19"/>
      <c r="ITJ26" s="19"/>
      <c r="ITK26" s="19"/>
      <c r="ITL26" s="19"/>
      <c r="ITM26" s="19"/>
      <c r="ITN26" s="19"/>
      <c r="ITO26" s="19"/>
      <c r="ITP26" s="19"/>
      <c r="ITQ26" s="19"/>
      <c r="ITR26" s="19"/>
      <c r="ITS26" s="19"/>
      <c r="ITT26" s="19"/>
      <c r="ITU26" s="19"/>
      <c r="ITV26" s="19"/>
      <c r="ITW26" s="19"/>
      <c r="ITX26" s="19"/>
      <c r="ITY26" s="19"/>
      <c r="ITZ26" s="19"/>
      <c r="IUA26" s="19"/>
      <c r="IUB26" s="19"/>
      <c r="IUC26" s="19"/>
      <c r="IUD26" s="19"/>
      <c r="IUE26" s="19"/>
      <c r="IUF26" s="19"/>
      <c r="IUG26" s="19"/>
      <c r="IUH26" s="19"/>
      <c r="IUI26" s="19"/>
      <c r="IUJ26" s="19"/>
      <c r="IUK26" s="19"/>
      <c r="IUL26" s="19"/>
      <c r="IUM26" s="19"/>
      <c r="IUN26" s="19"/>
      <c r="IUO26" s="19"/>
      <c r="IUP26" s="19"/>
      <c r="IUQ26" s="19"/>
      <c r="IUR26" s="19"/>
      <c r="IUS26" s="19"/>
      <c r="IUT26" s="19"/>
      <c r="IUU26" s="19"/>
      <c r="IUV26" s="19"/>
      <c r="IUW26" s="19"/>
      <c r="IUX26" s="19"/>
      <c r="IUY26" s="19"/>
      <c r="IUZ26" s="19"/>
      <c r="IVA26" s="19"/>
      <c r="IVB26" s="19"/>
      <c r="IVC26" s="19"/>
      <c r="IVD26" s="19"/>
      <c r="IVE26" s="19"/>
      <c r="IVF26" s="19"/>
      <c r="IVG26" s="19"/>
      <c r="IVH26" s="19"/>
      <c r="IVI26" s="19"/>
      <c r="IVJ26" s="19"/>
      <c r="IVK26" s="19"/>
      <c r="IVL26" s="19"/>
      <c r="IVM26" s="19"/>
      <c r="IVN26" s="19"/>
      <c r="IVO26" s="19"/>
      <c r="IVP26" s="19"/>
      <c r="IVQ26" s="19"/>
      <c r="IVR26" s="19"/>
      <c r="IVS26" s="19"/>
      <c r="IVT26" s="19"/>
      <c r="IVU26" s="19"/>
      <c r="IVV26" s="19"/>
      <c r="IVW26" s="19"/>
      <c r="IVX26" s="19"/>
      <c r="IVY26" s="19"/>
      <c r="IVZ26" s="19"/>
      <c r="IWA26" s="19"/>
      <c r="IWB26" s="19"/>
      <c r="IWC26" s="19"/>
      <c r="IWD26" s="19"/>
      <c r="IWE26" s="19"/>
      <c r="IWF26" s="19"/>
      <c r="IWG26" s="19"/>
      <c r="IWH26" s="19"/>
      <c r="IWI26" s="19"/>
      <c r="IWJ26" s="19"/>
      <c r="IWK26" s="19"/>
      <c r="IWL26" s="19"/>
      <c r="IWM26" s="19"/>
      <c r="IWN26" s="19"/>
      <c r="IWO26" s="19"/>
      <c r="IWP26" s="19"/>
      <c r="IWQ26" s="19"/>
      <c r="IWR26" s="19"/>
      <c r="IWS26" s="19"/>
      <c r="IWT26" s="19"/>
      <c r="IWU26" s="19"/>
      <c r="IWV26" s="19"/>
      <c r="IWW26" s="19"/>
      <c r="IWX26" s="19"/>
      <c r="IWY26" s="19"/>
      <c r="IWZ26" s="19"/>
      <c r="IXA26" s="19"/>
      <c r="IXB26" s="19"/>
      <c r="IXC26" s="19"/>
      <c r="IXD26" s="19"/>
      <c r="IXE26" s="19"/>
      <c r="IXF26" s="19"/>
      <c r="IXG26" s="19"/>
      <c r="IXH26" s="19"/>
      <c r="IXI26" s="19"/>
      <c r="IXJ26" s="19"/>
      <c r="IXK26" s="19"/>
      <c r="IXL26" s="19"/>
      <c r="IXM26" s="19"/>
      <c r="IXN26" s="19"/>
      <c r="IXO26" s="19"/>
      <c r="IXP26" s="19"/>
      <c r="IXQ26" s="19"/>
      <c r="IXR26" s="19"/>
      <c r="IXS26" s="19"/>
      <c r="IXT26" s="19"/>
      <c r="IXU26" s="19"/>
      <c r="IXV26" s="19"/>
      <c r="IXW26" s="19"/>
      <c r="IXX26" s="19"/>
      <c r="IXY26" s="19"/>
      <c r="IXZ26" s="19"/>
      <c r="IYA26" s="19"/>
      <c r="IYB26" s="19"/>
      <c r="IYC26" s="19"/>
      <c r="IYD26" s="19"/>
      <c r="IYE26" s="19"/>
      <c r="IYF26" s="19"/>
      <c r="IYG26" s="19"/>
      <c r="IYH26" s="19"/>
      <c r="IYI26" s="19"/>
      <c r="IYJ26" s="19"/>
      <c r="IYK26" s="19"/>
      <c r="IYL26" s="19"/>
      <c r="IYM26" s="19"/>
      <c r="IYN26" s="19"/>
      <c r="IYO26" s="19"/>
      <c r="IYP26" s="19"/>
      <c r="IYQ26" s="19"/>
      <c r="IYR26" s="19"/>
      <c r="IYS26" s="19"/>
      <c r="IYT26" s="19"/>
      <c r="IYU26" s="19"/>
      <c r="IYV26" s="19"/>
      <c r="IYW26" s="19"/>
      <c r="IYX26" s="19"/>
      <c r="IYY26" s="19"/>
      <c r="IYZ26" s="19"/>
      <c r="IZA26" s="19"/>
      <c r="IZB26" s="19"/>
      <c r="IZC26" s="19"/>
      <c r="IZD26" s="19"/>
      <c r="IZE26" s="19"/>
      <c r="IZF26" s="19"/>
      <c r="IZG26" s="19"/>
      <c r="IZH26" s="19"/>
      <c r="IZI26" s="19"/>
      <c r="IZJ26" s="19"/>
      <c r="IZK26" s="19"/>
      <c r="IZL26" s="19"/>
      <c r="IZM26" s="19"/>
      <c r="IZN26" s="19"/>
      <c r="IZO26" s="19"/>
      <c r="IZP26" s="19"/>
      <c r="IZQ26" s="19"/>
      <c r="IZR26" s="19"/>
      <c r="IZS26" s="19"/>
      <c r="IZT26" s="19"/>
      <c r="IZU26" s="19"/>
      <c r="IZV26" s="19"/>
      <c r="IZW26" s="19"/>
      <c r="IZX26" s="19"/>
      <c r="IZY26" s="19"/>
      <c r="IZZ26" s="19"/>
      <c r="JAA26" s="19"/>
      <c r="JAB26" s="19"/>
      <c r="JAC26" s="19"/>
      <c r="JAD26" s="19"/>
      <c r="JAE26" s="19"/>
      <c r="JAF26" s="19"/>
      <c r="JAG26" s="19"/>
      <c r="JAH26" s="19"/>
      <c r="JAI26" s="19"/>
      <c r="JAJ26" s="19"/>
      <c r="JAK26" s="19"/>
      <c r="JAL26" s="19"/>
      <c r="JAM26" s="19"/>
      <c r="JAN26" s="19"/>
      <c r="JAO26" s="19"/>
      <c r="JAP26" s="19"/>
      <c r="JAQ26" s="19"/>
      <c r="JAR26" s="19"/>
      <c r="JAS26" s="19"/>
      <c r="JAT26" s="19"/>
      <c r="JAU26" s="19"/>
      <c r="JAV26" s="19"/>
      <c r="JAW26" s="19"/>
      <c r="JAX26" s="19"/>
      <c r="JAY26" s="19"/>
      <c r="JAZ26" s="19"/>
      <c r="JBA26" s="19"/>
      <c r="JBB26" s="19"/>
      <c r="JBC26" s="19"/>
      <c r="JBD26" s="19"/>
      <c r="JBE26" s="19"/>
      <c r="JBF26" s="19"/>
      <c r="JBG26" s="19"/>
      <c r="JBH26" s="19"/>
      <c r="JBI26" s="19"/>
      <c r="JBJ26" s="19"/>
      <c r="JBK26" s="19"/>
      <c r="JBL26" s="19"/>
      <c r="JBM26" s="19"/>
      <c r="JBN26" s="19"/>
      <c r="JBO26" s="19"/>
      <c r="JBP26" s="19"/>
      <c r="JBQ26" s="19"/>
      <c r="JBR26" s="19"/>
      <c r="JBS26" s="19"/>
      <c r="JBT26" s="19"/>
      <c r="JBU26" s="19"/>
      <c r="JBV26" s="19"/>
      <c r="JBW26" s="19"/>
      <c r="JBX26" s="19"/>
      <c r="JBY26" s="19"/>
      <c r="JBZ26" s="19"/>
      <c r="JCA26" s="19"/>
      <c r="JCB26" s="19"/>
      <c r="JCC26" s="19"/>
      <c r="JCD26" s="19"/>
      <c r="JCE26" s="19"/>
      <c r="JCF26" s="19"/>
      <c r="JCG26" s="19"/>
      <c r="JCH26" s="19"/>
      <c r="JCI26" s="19"/>
      <c r="JCJ26" s="19"/>
      <c r="JCK26" s="19"/>
      <c r="JCL26" s="19"/>
      <c r="JCM26" s="19"/>
      <c r="JCN26" s="19"/>
      <c r="JCO26" s="19"/>
      <c r="JCP26" s="19"/>
      <c r="JCQ26" s="19"/>
      <c r="JCR26" s="19"/>
      <c r="JCS26" s="19"/>
      <c r="JCT26" s="19"/>
      <c r="JCU26" s="19"/>
      <c r="JCV26" s="19"/>
      <c r="JCW26" s="19"/>
      <c r="JCX26" s="19"/>
      <c r="JCY26" s="19"/>
      <c r="JCZ26" s="19"/>
      <c r="JDA26" s="19"/>
      <c r="JDB26" s="19"/>
      <c r="JDC26" s="19"/>
      <c r="JDD26" s="19"/>
      <c r="JDE26" s="19"/>
      <c r="JDF26" s="19"/>
      <c r="JDG26" s="19"/>
      <c r="JDH26" s="19"/>
      <c r="JDI26" s="19"/>
      <c r="JDJ26" s="19"/>
      <c r="JDK26" s="19"/>
      <c r="JDL26" s="19"/>
      <c r="JDM26" s="19"/>
      <c r="JDN26" s="19"/>
      <c r="JDO26" s="19"/>
      <c r="JDP26" s="19"/>
      <c r="JDQ26" s="19"/>
      <c r="JDR26" s="19"/>
      <c r="JDS26" s="19"/>
      <c r="JDT26" s="19"/>
      <c r="JDU26" s="19"/>
      <c r="JDV26" s="19"/>
      <c r="JDW26" s="19"/>
      <c r="JDX26" s="19"/>
      <c r="JDY26" s="19"/>
      <c r="JDZ26" s="19"/>
      <c r="JEA26" s="19"/>
      <c r="JEB26" s="19"/>
      <c r="JEC26" s="19"/>
      <c r="JED26" s="19"/>
      <c r="JEE26" s="19"/>
      <c r="JEF26" s="19"/>
      <c r="JEG26" s="19"/>
      <c r="JEH26" s="19"/>
      <c r="JEI26" s="19"/>
      <c r="JEJ26" s="19"/>
      <c r="JEK26" s="19"/>
      <c r="JEL26" s="19"/>
      <c r="JEM26" s="19"/>
      <c r="JEN26" s="19"/>
      <c r="JEO26" s="19"/>
      <c r="JEP26" s="19"/>
      <c r="JEQ26" s="19"/>
      <c r="JER26" s="19"/>
      <c r="JES26" s="19"/>
      <c r="JET26" s="19"/>
      <c r="JEU26" s="19"/>
      <c r="JEV26" s="19"/>
      <c r="JEW26" s="19"/>
      <c r="JEX26" s="19"/>
      <c r="JEY26" s="19"/>
      <c r="JEZ26" s="19"/>
      <c r="JFA26" s="19"/>
      <c r="JFB26" s="19"/>
      <c r="JFC26" s="19"/>
      <c r="JFD26" s="19"/>
      <c r="JFE26" s="19"/>
      <c r="JFF26" s="19"/>
      <c r="JFG26" s="19"/>
      <c r="JFH26" s="19"/>
      <c r="JFI26" s="19"/>
      <c r="JFJ26" s="19"/>
      <c r="JFK26" s="19"/>
      <c r="JFL26" s="19"/>
      <c r="JFM26" s="19"/>
      <c r="JFN26" s="19"/>
      <c r="JFO26" s="19"/>
      <c r="JFP26" s="19"/>
      <c r="JFQ26" s="19"/>
      <c r="JFR26" s="19"/>
      <c r="JFS26" s="19"/>
      <c r="JFT26" s="19"/>
      <c r="JFU26" s="19"/>
      <c r="JFV26" s="19"/>
      <c r="JFW26" s="19"/>
      <c r="JFX26" s="19"/>
      <c r="JFY26" s="19"/>
      <c r="JFZ26" s="19"/>
      <c r="JGA26" s="19"/>
      <c r="JGB26" s="19"/>
      <c r="JGC26" s="19"/>
      <c r="JGD26" s="19"/>
      <c r="JGE26" s="19"/>
      <c r="JGF26" s="19"/>
      <c r="JGG26" s="19"/>
      <c r="JGH26" s="19"/>
      <c r="JGI26" s="19"/>
      <c r="JGJ26" s="19"/>
      <c r="JGK26" s="19"/>
      <c r="JGL26" s="19"/>
      <c r="JGM26" s="19"/>
      <c r="JGN26" s="19"/>
      <c r="JGO26" s="19"/>
      <c r="JGP26" s="19"/>
      <c r="JGQ26" s="19"/>
      <c r="JGR26" s="19"/>
      <c r="JGS26" s="19"/>
      <c r="JGT26" s="19"/>
      <c r="JGU26" s="19"/>
      <c r="JGV26" s="19"/>
      <c r="JGW26" s="19"/>
      <c r="JGX26" s="19"/>
      <c r="JGY26" s="19"/>
      <c r="JGZ26" s="19"/>
      <c r="JHA26" s="19"/>
      <c r="JHB26" s="19"/>
      <c r="JHC26" s="19"/>
      <c r="JHD26" s="19"/>
      <c r="JHE26" s="19"/>
      <c r="JHF26" s="19"/>
      <c r="JHG26" s="19"/>
      <c r="JHH26" s="19"/>
      <c r="JHI26" s="19"/>
      <c r="JHJ26" s="19"/>
      <c r="JHK26" s="19"/>
      <c r="JHL26" s="19"/>
      <c r="JHM26" s="19"/>
      <c r="JHN26" s="19"/>
      <c r="JHO26" s="19"/>
      <c r="JHP26" s="19"/>
      <c r="JHQ26" s="19"/>
      <c r="JHR26" s="19"/>
      <c r="JHS26" s="19"/>
      <c r="JHT26" s="19"/>
      <c r="JHU26" s="19"/>
      <c r="JHV26" s="19"/>
      <c r="JHW26" s="19"/>
      <c r="JHX26" s="19"/>
      <c r="JHY26" s="19"/>
      <c r="JHZ26" s="19"/>
      <c r="JIA26" s="19"/>
      <c r="JIB26" s="19"/>
      <c r="JIC26" s="19"/>
      <c r="JID26" s="19"/>
      <c r="JIE26" s="19"/>
      <c r="JIF26" s="19"/>
      <c r="JIG26" s="19"/>
      <c r="JIH26" s="19"/>
      <c r="JII26" s="19"/>
      <c r="JIJ26" s="19"/>
      <c r="JIK26" s="19"/>
      <c r="JIL26" s="19"/>
      <c r="JIM26" s="19"/>
      <c r="JIN26" s="19"/>
      <c r="JIO26" s="19"/>
      <c r="JIP26" s="19"/>
      <c r="JIQ26" s="19"/>
      <c r="JIR26" s="19"/>
      <c r="JIS26" s="19"/>
      <c r="JIT26" s="19"/>
      <c r="JIU26" s="19"/>
      <c r="JIV26" s="19"/>
      <c r="JIW26" s="19"/>
      <c r="JIX26" s="19"/>
      <c r="JIY26" s="19"/>
      <c r="JIZ26" s="19"/>
      <c r="JJA26" s="19"/>
      <c r="JJB26" s="19"/>
      <c r="JJC26" s="19"/>
      <c r="JJD26" s="19"/>
      <c r="JJE26" s="19"/>
      <c r="JJF26" s="19"/>
      <c r="JJG26" s="19"/>
      <c r="JJH26" s="19"/>
      <c r="JJI26" s="19"/>
      <c r="JJJ26" s="19"/>
      <c r="JJK26" s="19"/>
      <c r="JJL26" s="19"/>
      <c r="JJM26" s="19"/>
      <c r="JJN26" s="19"/>
      <c r="JJO26" s="19"/>
      <c r="JJP26" s="19"/>
      <c r="JJQ26" s="19"/>
      <c r="JJR26" s="19"/>
      <c r="JJS26" s="19"/>
      <c r="JJT26" s="19"/>
      <c r="JJU26" s="19"/>
      <c r="JJV26" s="19"/>
      <c r="JJW26" s="19"/>
      <c r="JJX26" s="19"/>
      <c r="JJY26" s="19"/>
      <c r="JJZ26" s="19"/>
      <c r="JKA26" s="19"/>
      <c r="JKB26" s="19"/>
      <c r="JKC26" s="19"/>
      <c r="JKD26" s="19"/>
      <c r="JKE26" s="19"/>
      <c r="JKF26" s="19"/>
      <c r="JKG26" s="19"/>
      <c r="JKH26" s="19"/>
      <c r="JKI26" s="19"/>
      <c r="JKJ26" s="19"/>
      <c r="JKK26" s="19"/>
      <c r="JKL26" s="19"/>
      <c r="JKM26" s="19"/>
      <c r="JKN26" s="19"/>
      <c r="JKO26" s="19"/>
      <c r="JKP26" s="19"/>
      <c r="JKQ26" s="19"/>
      <c r="JKR26" s="19"/>
      <c r="JKS26" s="19"/>
      <c r="JKT26" s="19"/>
      <c r="JKU26" s="19"/>
      <c r="JKV26" s="19"/>
      <c r="JKW26" s="19"/>
      <c r="JKX26" s="19"/>
      <c r="JKY26" s="19"/>
      <c r="JKZ26" s="19"/>
      <c r="JLA26" s="19"/>
      <c r="JLB26" s="19"/>
      <c r="JLC26" s="19"/>
      <c r="JLD26" s="19"/>
      <c r="JLE26" s="19"/>
      <c r="JLF26" s="19"/>
      <c r="JLG26" s="19"/>
      <c r="JLH26" s="19"/>
      <c r="JLI26" s="19"/>
      <c r="JLJ26" s="19"/>
      <c r="JLK26" s="19"/>
      <c r="JLL26" s="19"/>
      <c r="JLM26" s="19"/>
      <c r="JLN26" s="19"/>
      <c r="JLO26" s="19"/>
      <c r="JLP26" s="19"/>
      <c r="JLQ26" s="19"/>
      <c r="JLR26" s="19"/>
      <c r="JLS26" s="19"/>
      <c r="JLT26" s="19"/>
      <c r="JLU26" s="19"/>
      <c r="JLV26" s="19"/>
      <c r="JLW26" s="19"/>
      <c r="JLX26" s="19"/>
      <c r="JLY26" s="19"/>
      <c r="JLZ26" s="19"/>
      <c r="JMA26" s="19"/>
      <c r="JMB26" s="19"/>
      <c r="JMC26" s="19"/>
      <c r="JMD26" s="19"/>
      <c r="JME26" s="19"/>
      <c r="JMF26" s="19"/>
      <c r="JMG26" s="19"/>
      <c r="JMH26" s="19"/>
      <c r="JMI26" s="19"/>
      <c r="JMJ26" s="19"/>
      <c r="JMK26" s="19"/>
      <c r="JML26" s="19"/>
      <c r="JMM26" s="19"/>
      <c r="JMN26" s="19"/>
      <c r="JMO26" s="19"/>
      <c r="JMP26" s="19"/>
      <c r="JMQ26" s="19"/>
      <c r="JMR26" s="19"/>
      <c r="JMS26" s="19"/>
      <c r="JMT26" s="19"/>
      <c r="JMU26" s="19"/>
      <c r="JMV26" s="19"/>
      <c r="JMW26" s="19"/>
      <c r="JMX26" s="19"/>
      <c r="JMY26" s="19"/>
      <c r="JMZ26" s="19"/>
      <c r="JNA26" s="19"/>
      <c r="JNB26" s="19"/>
      <c r="JNC26" s="19"/>
      <c r="JND26" s="19"/>
      <c r="JNE26" s="19"/>
      <c r="JNF26" s="19"/>
      <c r="JNG26" s="19"/>
      <c r="JNH26" s="19"/>
      <c r="JNI26" s="19"/>
      <c r="JNJ26" s="19"/>
      <c r="JNK26" s="19"/>
      <c r="JNL26" s="19"/>
      <c r="JNM26" s="19"/>
      <c r="JNN26" s="19"/>
      <c r="JNO26" s="19"/>
      <c r="JNP26" s="19"/>
      <c r="JNQ26" s="19"/>
      <c r="JNR26" s="19"/>
      <c r="JNS26" s="19"/>
      <c r="JNT26" s="19"/>
      <c r="JNU26" s="19"/>
      <c r="JNV26" s="19"/>
      <c r="JNW26" s="19"/>
      <c r="JNX26" s="19"/>
      <c r="JNY26" s="19"/>
      <c r="JNZ26" s="19"/>
      <c r="JOA26" s="19"/>
      <c r="JOB26" s="19"/>
      <c r="JOC26" s="19"/>
      <c r="JOD26" s="19"/>
      <c r="JOE26" s="19"/>
      <c r="JOF26" s="19"/>
      <c r="JOG26" s="19"/>
      <c r="JOH26" s="19"/>
      <c r="JOI26" s="19"/>
      <c r="JOJ26" s="19"/>
      <c r="JOK26" s="19"/>
      <c r="JOL26" s="19"/>
      <c r="JOM26" s="19"/>
      <c r="JON26" s="19"/>
      <c r="JOO26" s="19"/>
      <c r="JOP26" s="19"/>
      <c r="JOQ26" s="19"/>
      <c r="JOR26" s="19"/>
      <c r="JOS26" s="19"/>
      <c r="JOT26" s="19"/>
      <c r="JOU26" s="19"/>
      <c r="JOV26" s="19"/>
      <c r="JOW26" s="19"/>
      <c r="JOX26" s="19"/>
      <c r="JOY26" s="19"/>
      <c r="JOZ26" s="19"/>
      <c r="JPA26" s="19"/>
      <c r="JPB26" s="19"/>
      <c r="JPC26" s="19"/>
      <c r="JPD26" s="19"/>
      <c r="JPE26" s="19"/>
      <c r="JPF26" s="19"/>
      <c r="JPG26" s="19"/>
      <c r="JPH26" s="19"/>
      <c r="JPI26" s="19"/>
      <c r="JPJ26" s="19"/>
      <c r="JPK26" s="19"/>
      <c r="JPL26" s="19"/>
      <c r="JPM26" s="19"/>
      <c r="JPN26" s="19"/>
      <c r="JPO26" s="19"/>
      <c r="JPP26" s="19"/>
      <c r="JPQ26" s="19"/>
      <c r="JPR26" s="19"/>
      <c r="JPS26" s="19"/>
      <c r="JPT26" s="19"/>
      <c r="JPU26" s="19"/>
      <c r="JPV26" s="19"/>
      <c r="JPW26" s="19"/>
      <c r="JPX26" s="19"/>
      <c r="JPY26" s="19"/>
      <c r="JPZ26" s="19"/>
      <c r="JQA26" s="19"/>
      <c r="JQB26" s="19"/>
      <c r="JQC26" s="19"/>
      <c r="JQD26" s="19"/>
      <c r="JQE26" s="19"/>
      <c r="JQF26" s="19"/>
      <c r="JQG26" s="19"/>
      <c r="JQH26" s="19"/>
      <c r="JQI26" s="19"/>
      <c r="JQJ26" s="19"/>
      <c r="JQK26" s="19"/>
      <c r="JQL26" s="19"/>
      <c r="JQM26" s="19"/>
      <c r="JQN26" s="19"/>
      <c r="JQO26" s="19"/>
      <c r="JQP26" s="19"/>
      <c r="JQQ26" s="19"/>
      <c r="JQR26" s="19"/>
      <c r="JQS26" s="19"/>
      <c r="JQT26" s="19"/>
      <c r="JQU26" s="19"/>
      <c r="JQV26" s="19"/>
      <c r="JQW26" s="19"/>
      <c r="JQX26" s="19"/>
      <c r="JQY26" s="19"/>
      <c r="JQZ26" s="19"/>
      <c r="JRA26" s="19"/>
      <c r="JRB26" s="19"/>
      <c r="JRC26" s="19"/>
      <c r="JRD26" s="19"/>
      <c r="JRE26" s="19"/>
      <c r="JRF26" s="19"/>
      <c r="JRG26" s="19"/>
      <c r="JRH26" s="19"/>
      <c r="JRI26" s="19"/>
      <c r="JRJ26" s="19"/>
      <c r="JRK26" s="19"/>
      <c r="JRL26" s="19"/>
      <c r="JRM26" s="19"/>
      <c r="JRN26" s="19"/>
      <c r="JRO26" s="19"/>
      <c r="JRP26" s="19"/>
      <c r="JRQ26" s="19"/>
      <c r="JRR26" s="19"/>
      <c r="JRS26" s="19"/>
      <c r="JRT26" s="19"/>
      <c r="JRU26" s="19"/>
      <c r="JRV26" s="19"/>
      <c r="JRW26" s="19"/>
      <c r="JRX26" s="19"/>
      <c r="JRY26" s="19"/>
      <c r="JRZ26" s="19"/>
      <c r="JSA26" s="19"/>
      <c r="JSB26" s="19"/>
      <c r="JSC26" s="19"/>
      <c r="JSD26" s="19"/>
      <c r="JSE26" s="19"/>
      <c r="JSF26" s="19"/>
      <c r="JSG26" s="19"/>
      <c r="JSH26" s="19"/>
      <c r="JSI26" s="19"/>
      <c r="JSJ26" s="19"/>
      <c r="JSK26" s="19"/>
      <c r="JSL26" s="19"/>
      <c r="JSM26" s="19"/>
      <c r="JSN26" s="19"/>
      <c r="JSO26" s="19"/>
      <c r="JSP26" s="19"/>
      <c r="JSQ26" s="19"/>
      <c r="JSR26" s="19"/>
      <c r="JSS26" s="19"/>
      <c r="JST26" s="19"/>
      <c r="JSU26" s="19"/>
      <c r="JSV26" s="19"/>
      <c r="JSW26" s="19"/>
      <c r="JSX26" s="19"/>
      <c r="JSY26" s="19"/>
      <c r="JSZ26" s="19"/>
      <c r="JTA26" s="19"/>
      <c r="JTB26" s="19"/>
      <c r="JTC26" s="19"/>
      <c r="JTD26" s="19"/>
      <c r="JTE26" s="19"/>
      <c r="JTF26" s="19"/>
      <c r="JTG26" s="19"/>
      <c r="JTH26" s="19"/>
      <c r="JTI26" s="19"/>
      <c r="JTJ26" s="19"/>
      <c r="JTK26" s="19"/>
      <c r="JTL26" s="19"/>
      <c r="JTM26" s="19"/>
      <c r="JTN26" s="19"/>
      <c r="JTO26" s="19"/>
      <c r="JTP26" s="19"/>
      <c r="JTQ26" s="19"/>
      <c r="JTR26" s="19"/>
      <c r="JTS26" s="19"/>
      <c r="JTT26" s="19"/>
      <c r="JTU26" s="19"/>
      <c r="JTV26" s="19"/>
      <c r="JTW26" s="19"/>
      <c r="JTX26" s="19"/>
      <c r="JTY26" s="19"/>
      <c r="JTZ26" s="19"/>
      <c r="JUA26" s="19"/>
      <c r="JUB26" s="19"/>
      <c r="JUC26" s="19"/>
      <c r="JUD26" s="19"/>
      <c r="JUE26" s="19"/>
      <c r="JUF26" s="19"/>
      <c r="JUG26" s="19"/>
      <c r="JUH26" s="19"/>
      <c r="JUI26" s="19"/>
      <c r="JUJ26" s="19"/>
      <c r="JUK26" s="19"/>
      <c r="JUL26" s="19"/>
      <c r="JUM26" s="19"/>
      <c r="JUN26" s="19"/>
      <c r="JUO26" s="19"/>
      <c r="JUP26" s="19"/>
      <c r="JUQ26" s="19"/>
      <c r="JUR26" s="19"/>
      <c r="JUS26" s="19"/>
      <c r="JUT26" s="19"/>
      <c r="JUU26" s="19"/>
      <c r="JUV26" s="19"/>
      <c r="JUW26" s="19"/>
      <c r="JUX26" s="19"/>
      <c r="JUY26" s="19"/>
      <c r="JUZ26" s="19"/>
      <c r="JVA26" s="19"/>
      <c r="JVB26" s="19"/>
      <c r="JVC26" s="19"/>
      <c r="JVD26" s="19"/>
      <c r="JVE26" s="19"/>
      <c r="JVF26" s="19"/>
      <c r="JVG26" s="19"/>
      <c r="JVH26" s="19"/>
      <c r="JVI26" s="19"/>
      <c r="JVJ26" s="19"/>
      <c r="JVK26" s="19"/>
      <c r="JVL26" s="19"/>
      <c r="JVM26" s="19"/>
      <c r="JVN26" s="19"/>
      <c r="JVO26" s="19"/>
      <c r="JVP26" s="19"/>
      <c r="JVQ26" s="19"/>
      <c r="JVR26" s="19"/>
      <c r="JVS26" s="19"/>
      <c r="JVT26" s="19"/>
      <c r="JVU26" s="19"/>
      <c r="JVV26" s="19"/>
      <c r="JVW26" s="19"/>
      <c r="JVX26" s="19"/>
      <c r="JVY26" s="19"/>
      <c r="JVZ26" s="19"/>
      <c r="JWA26" s="19"/>
      <c r="JWB26" s="19"/>
      <c r="JWC26" s="19"/>
      <c r="JWD26" s="19"/>
      <c r="JWE26" s="19"/>
      <c r="JWF26" s="19"/>
      <c r="JWG26" s="19"/>
      <c r="JWH26" s="19"/>
      <c r="JWI26" s="19"/>
      <c r="JWJ26" s="19"/>
      <c r="JWK26" s="19"/>
      <c r="JWL26" s="19"/>
      <c r="JWM26" s="19"/>
      <c r="JWN26" s="19"/>
      <c r="JWO26" s="19"/>
      <c r="JWP26" s="19"/>
      <c r="JWQ26" s="19"/>
      <c r="JWR26" s="19"/>
      <c r="JWS26" s="19"/>
      <c r="JWT26" s="19"/>
      <c r="JWU26" s="19"/>
      <c r="JWV26" s="19"/>
      <c r="JWW26" s="19"/>
      <c r="JWX26" s="19"/>
      <c r="JWY26" s="19"/>
      <c r="JWZ26" s="19"/>
      <c r="JXA26" s="19"/>
      <c r="JXB26" s="19"/>
      <c r="JXC26" s="19"/>
      <c r="JXD26" s="19"/>
      <c r="JXE26" s="19"/>
      <c r="JXF26" s="19"/>
      <c r="JXG26" s="19"/>
      <c r="JXH26" s="19"/>
      <c r="JXI26" s="19"/>
      <c r="JXJ26" s="19"/>
      <c r="JXK26" s="19"/>
      <c r="JXL26" s="19"/>
      <c r="JXM26" s="19"/>
      <c r="JXN26" s="19"/>
      <c r="JXO26" s="19"/>
      <c r="JXP26" s="19"/>
      <c r="JXQ26" s="19"/>
      <c r="JXR26" s="19"/>
      <c r="JXS26" s="19"/>
      <c r="JXT26" s="19"/>
      <c r="JXU26" s="19"/>
      <c r="JXV26" s="19"/>
      <c r="JXW26" s="19"/>
      <c r="JXX26" s="19"/>
      <c r="JXY26" s="19"/>
      <c r="JXZ26" s="19"/>
      <c r="JYA26" s="19"/>
      <c r="JYB26" s="19"/>
      <c r="JYC26" s="19"/>
      <c r="JYD26" s="19"/>
      <c r="JYE26" s="19"/>
      <c r="JYF26" s="19"/>
      <c r="JYG26" s="19"/>
      <c r="JYH26" s="19"/>
      <c r="JYI26" s="19"/>
      <c r="JYJ26" s="19"/>
      <c r="JYK26" s="19"/>
      <c r="JYL26" s="19"/>
      <c r="JYM26" s="19"/>
      <c r="JYN26" s="19"/>
      <c r="JYO26" s="19"/>
      <c r="JYP26" s="19"/>
      <c r="JYQ26" s="19"/>
      <c r="JYR26" s="19"/>
      <c r="JYS26" s="19"/>
      <c r="JYT26" s="19"/>
      <c r="JYU26" s="19"/>
      <c r="JYV26" s="19"/>
      <c r="JYW26" s="19"/>
      <c r="JYX26" s="19"/>
      <c r="JYY26" s="19"/>
      <c r="JYZ26" s="19"/>
      <c r="JZA26" s="19"/>
      <c r="JZB26" s="19"/>
      <c r="JZC26" s="19"/>
      <c r="JZD26" s="19"/>
      <c r="JZE26" s="19"/>
      <c r="JZF26" s="19"/>
      <c r="JZG26" s="19"/>
      <c r="JZH26" s="19"/>
      <c r="JZI26" s="19"/>
      <c r="JZJ26" s="19"/>
      <c r="JZK26" s="19"/>
      <c r="JZL26" s="19"/>
      <c r="JZM26" s="19"/>
      <c r="JZN26" s="19"/>
      <c r="JZO26" s="19"/>
      <c r="JZP26" s="19"/>
      <c r="JZQ26" s="19"/>
      <c r="JZR26" s="19"/>
      <c r="JZS26" s="19"/>
      <c r="JZT26" s="19"/>
      <c r="JZU26" s="19"/>
      <c r="JZV26" s="19"/>
      <c r="JZW26" s="19"/>
      <c r="JZX26" s="19"/>
      <c r="JZY26" s="19"/>
      <c r="JZZ26" s="19"/>
      <c r="KAA26" s="19"/>
      <c r="KAB26" s="19"/>
      <c r="KAC26" s="19"/>
      <c r="KAD26" s="19"/>
      <c r="KAE26" s="19"/>
      <c r="KAF26" s="19"/>
      <c r="KAG26" s="19"/>
      <c r="KAH26" s="19"/>
      <c r="KAI26" s="19"/>
      <c r="KAJ26" s="19"/>
      <c r="KAK26" s="19"/>
      <c r="KAL26" s="19"/>
      <c r="KAM26" s="19"/>
      <c r="KAN26" s="19"/>
      <c r="KAO26" s="19"/>
      <c r="KAP26" s="19"/>
      <c r="KAQ26" s="19"/>
      <c r="KAR26" s="19"/>
      <c r="KAS26" s="19"/>
      <c r="KAT26" s="19"/>
      <c r="KAU26" s="19"/>
      <c r="KAV26" s="19"/>
      <c r="KAW26" s="19"/>
      <c r="KAX26" s="19"/>
      <c r="KAY26" s="19"/>
      <c r="KAZ26" s="19"/>
      <c r="KBA26" s="19"/>
      <c r="KBB26" s="19"/>
      <c r="KBC26" s="19"/>
      <c r="KBD26" s="19"/>
      <c r="KBE26" s="19"/>
      <c r="KBF26" s="19"/>
      <c r="KBG26" s="19"/>
      <c r="KBH26" s="19"/>
      <c r="KBI26" s="19"/>
      <c r="KBJ26" s="19"/>
      <c r="KBK26" s="19"/>
      <c r="KBL26" s="19"/>
      <c r="KBM26" s="19"/>
      <c r="KBN26" s="19"/>
      <c r="KBO26" s="19"/>
      <c r="KBP26" s="19"/>
      <c r="KBQ26" s="19"/>
      <c r="KBR26" s="19"/>
      <c r="KBS26" s="19"/>
      <c r="KBT26" s="19"/>
      <c r="KBU26" s="19"/>
      <c r="KBV26" s="19"/>
      <c r="KBW26" s="19"/>
      <c r="KBX26" s="19"/>
      <c r="KBY26" s="19"/>
      <c r="KBZ26" s="19"/>
      <c r="KCA26" s="19"/>
      <c r="KCB26" s="19"/>
      <c r="KCC26" s="19"/>
      <c r="KCD26" s="19"/>
      <c r="KCE26" s="19"/>
      <c r="KCF26" s="19"/>
      <c r="KCG26" s="19"/>
      <c r="KCH26" s="19"/>
      <c r="KCI26" s="19"/>
      <c r="KCJ26" s="19"/>
      <c r="KCK26" s="19"/>
      <c r="KCL26" s="19"/>
      <c r="KCM26" s="19"/>
      <c r="KCN26" s="19"/>
      <c r="KCO26" s="19"/>
      <c r="KCP26" s="19"/>
      <c r="KCQ26" s="19"/>
      <c r="KCR26" s="19"/>
      <c r="KCS26" s="19"/>
      <c r="KCT26" s="19"/>
      <c r="KCU26" s="19"/>
      <c r="KCV26" s="19"/>
      <c r="KCW26" s="19"/>
      <c r="KCX26" s="19"/>
      <c r="KCY26" s="19"/>
      <c r="KCZ26" s="19"/>
      <c r="KDA26" s="19"/>
      <c r="KDB26" s="19"/>
      <c r="KDC26" s="19"/>
      <c r="KDD26" s="19"/>
      <c r="KDE26" s="19"/>
      <c r="KDF26" s="19"/>
      <c r="KDG26" s="19"/>
      <c r="KDH26" s="19"/>
      <c r="KDI26" s="19"/>
      <c r="KDJ26" s="19"/>
      <c r="KDK26" s="19"/>
      <c r="KDL26" s="19"/>
      <c r="KDM26" s="19"/>
      <c r="KDN26" s="19"/>
      <c r="KDO26" s="19"/>
      <c r="KDP26" s="19"/>
      <c r="KDQ26" s="19"/>
      <c r="KDR26" s="19"/>
      <c r="KDS26" s="19"/>
      <c r="KDT26" s="19"/>
      <c r="KDU26" s="19"/>
      <c r="KDV26" s="19"/>
      <c r="KDW26" s="19"/>
      <c r="KDX26" s="19"/>
      <c r="KDY26" s="19"/>
      <c r="KDZ26" s="19"/>
      <c r="KEA26" s="19"/>
      <c r="KEB26" s="19"/>
      <c r="KEC26" s="19"/>
      <c r="KED26" s="19"/>
      <c r="KEE26" s="19"/>
      <c r="KEF26" s="19"/>
      <c r="KEG26" s="19"/>
      <c r="KEH26" s="19"/>
      <c r="KEI26" s="19"/>
      <c r="KEJ26" s="19"/>
      <c r="KEK26" s="19"/>
      <c r="KEL26" s="19"/>
      <c r="KEM26" s="19"/>
      <c r="KEN26" s="19"/>
      <c r="KEO26" s="19"/>
      <c r="KEP26" s="19"/>
      <c r="KEQ26" s="19"/>
      <c r="KER26" s="19"/>
      <c r="KES26" s="19"/>
      <c r="KET26" s="19"/>
      <c r="KEU26" s="19"/>
      <c r="KEV26" s="19"/>
      <c r="KEW26" s="19"/>
      <c r="KEX26" s="19"/>
      <c r="KEY26" s="19"/>
      <c r="KEZ26" s="19"/>
      <c r="KFA26" s="19"/>
      <c r="KFB26" s="19"/>
      <c r="KFC26" s="19"/>
      <c r="KFD26" s="19"/>
      <c r="KFE26" s="19"/>
      <c r="KFF26" s="19"/>
      <c r="KFG26" s="19"/>
      <c r="KFH26" s="19"/>
      <c r="KFI26" s="19"/>
      <c r="KFJ26" s="19"/>
      <c r="KFK26" s="19"/>
      <c r="KFL26" s="19"/>
      <c r="KFM26" s="19"/>
      <c r="KFN26" s="19"/>
      <c r="KFO26" s="19"/>
      <c r="KFP26" s="19"/>
      <c r="KFQ26" s="19"/>
      <c r="KFR26" s="19"/>
      <c r="KFS26" s="19"/>
      <c r="KFT26" s="19"/>
      <c r="KFU26" s="19"/>
      <c r="KFV26" s="19"/>
      <c r="KFW26" s="19"/>
      <c r="KFX26" s="19"/>
      <c r="KFY26" s="19"/>
      <c r="KFZ26" s="19"/>
      <c r="KGA26" s="19"/>
      <c r="KGB26" s="19"/>
      <c r="KGC26" s="19"/>
      <c r="KGD26" s="19"/>
      <c r="KGE26" s="19"/>
      <c r="KGF26" s="19"/>
      <c r="KGG26" s="19"/>
      <c r="KGH26" s="19"/>
      <c r="KGI26" s="19"/>
      <c r="KGJ26" s="19"/>
      <c r="KGK26" s="19"/>
      <c r="KGL26" s="19"/>
      <c r="KGM26" s="19"/>
      <c r="KGN26" s="19"/>
      <c r="KGO26" s="19"/>
      <c r="KGP26" s="19"/>
      <c r="KGQ26" s="19"/>
      <c r="KGR26" s="19"/>
      <c r="KGS26" s="19"/>
      <c r="KGT26" s="19"/>
      <c r="KGU26" s="19"/>
      <c r="KGV26" s="19"/>
      <c r="KGW26" s="19"/>
      <c r="KGX26" s="19"/>
      <c r="KGY26" s="19"/>
      <c r="KGZ26" s="19"/>
      <c r="KHA26" s="19"/>
      <c r="KHB26" s="19"/>
      <c r="KHC26" s="19"/>
      <c r="KHD26" s="19"/>
      <c r="KHE26" s="19"/>
      <c r="KHF26" s="19"/>
      <c r="KHG26" s="19"/>
      <c r="KHH26" s="19"/>
      <c r="KHI26" s="19"/>
      <c r="KHJ26" s="19"/>
      <c r="KHK26" s="19"/>
      <c r="KHL26" s="19"/>
      <c r="KHM26" s="19"/>
      <c r="KHN26" s="19"/>
      <c r="KHO26" s="19"/>
      <c r="KHP26" s="19"/>
      <c r="KHQ26" s="19"/>
      <c r="KHR26" s="19"/>
      <c r="KHS26" s="19"/>
      <c r="KHT26" s="19"/>
      <c r="KHU26" s="19"/>
      <c r="KHV26" s="19"/>
      <c r="KHW26" s="19"/>
      <c r="KHX26" s="19"/>
      <c r="KHY26" s="19"/>
      <c r="KHZ26" s="19"/>
      <c r="KIA26" s="19"/>
      <c r="KIB26" s="19"/>
      <c r="KIC26" s="19"/>
      <c r="KID26" s="19"/>
      <c r="KIE26" s="19"/>
      <c r="KIF26" s="19"/>
      <c r="KIG26" s="19"/>
      <c r="KIH26" s="19"/>
      <c r="KII26" s="19"/>
      <c r="KIJ26" s="19"/>
      <c r="KIK26" s="19"/>
      <c r="KIL26" s="19"/>
      <c r="KIM26" s="19"/>
      <c r="KIN26" s="19"/>
      <c r="KIO26" s="19"/>
      <c r="KIP26" s="19"/>
      <c r="KIQ26" s="19"/>
      <c r="KIR26" s="19"/>
      <c r="KIS26" s="19"/>
      <c r="KIT26" s="19"/>
      <c r="KIU26" s="19"/>
      <c r="KIV26" s="19"/>
      <c r="KIW26" s="19"/>
      <c r="KIX26" s="19"/>
      <c r="KIY26" s="19"/>
      <c r="KIZ26" s="19"/>
      <c r="KJA26" s="19"/>
      <c r="KJB26" s="19"/>
      <c r="KJC26" s="19"/>
      <c r="KJD26" s="19"/>
      <c r="KJE26" s="19"/>
      <c r="KJF26" s="19"/>
      <c r="KJG26" s="19"/>
      <c r="KJH26" s="19"/>
      <c r="KJI26" s="19"/>
      <c r="KJJ26" s="19"/>
      <c r="KJK26" s="19"/>
      <c r="KJL26" s="19"/>
      <c r="KJM26" s="19"/>
      <c r="KJN26" s="19"/>
      <c r="KJO26" s="19"/>
      <c r="KJP26" s="19"/>
      <c r="KJQ26" s="19"/>
      <c r="KJR26" s="19"/>
      <c r="KJS26" s="19"/>
      <c r="KJT26" s="19"/>
      <c r="KJU26" s="19"/>
      <c r="KJV26" s="19"/>
      <c r="KJW26" s="19"/>
      <c r="KJX26" s="19"/>
      <c r="KJY26" s="19"/>
      <c r="KJZ26" s="19"/>
      <c r="KKA26" s="19"/>
      <c r="KKB26" s="19"/>
      <c r="KKC26" s="19"/>
      <c r="KKD26" s="19"/>
      <c r="KKE26" s="19"/>
      <c r="KKF26" s="19"/>
      <c r="KKG26" s="19"/>
      <c r="KKH26" s="19"/>
      <c r="KKI26" s="19"/>
      <c r="KKJ26" s="19"/>
      <c r="KKK26" s="19"/>
      <c r="KKL26" s="19"/>
      <c r="KKM26" s="19"/>
      <c r="KKN26" s="19"/>
      <c r="KKO26" s="19"/>
      <c r="KKP26" s="19"/>
      <c r="KKQ26" s="19"/>
      <c r="KKR26" s="19"/>
      <c r="KKS26" s="19"/>
      <c r="KKT26" s="19"/>
      <c r="KKU26" s="19"/>
      <c r="KKV26" s="19"/>
      <c r="KKW26" s="19"/>
      <c r="KKX26" s="19"/>
      <c r="KKY26" s="19"/>
      <c r="KKZ26" s="19"/>
      <c r="KLA26" s="19"/>
      <c r="KLB26" s="19"/>
      <c r="KLC26" s="19"/>
      <c r="KLD26" s="19"/>
      <c r="KLE26" s="19"/>
      <c r="KLF26" s="19"/>
      <c r="KLG26" s="19"/>
      <c r="KLH26" s="19"/>
      <c r="KLI26" s="19"/>
      <c r="KLJ26" s="19"/>
      <c r="KLK26" s="19"/>
      <c r="KLL26" s="19"/>
      <c r="KLM26" s="19"/>
      <c r="KLN26" s="19"/>
      <c r="KLO26" s="19"/>
      <c r="KLP26" s="19"/>
      <c r="KLQ26" s="19"/>
      <c r="KLR26" s="19"/>
      <c r="KLS26" s="19"/>
      <c r="KLT26" s="19"/>
      <c r="KLU26" s="19"/>
      <c r="KLV26" s="19"/>
      <c r="KLW26" s="19"/>
      <c r="KLX26" s="19"/>
      <c r="KLY26" s="19"/>
      <c r="KLZ26" s="19"/>
      <c r="KMA26" s="19"/>
      <c r="KMB26" s="19"/>
      <c r="KMC26" s="19"/>
      <c r="KMD26" s="19"/>
      <c r="KME26" s="19"/>
      <c r="KMF26" s="19"/>
      <c r="KMG26" s="19"/>
      <c r="KMH26" s="19"/>
      <c r="KMI26" s="19"/>
      <c r="KMJ26" s="19"/>
      <c r="KMK26" s="19"/>
      <c r="KML26" s="19"/>
      <c r="KMM26" s="19"/>
      <c r="KMN26" s="19"/>
      <c r="KMO26" s="19"/>
      <c r="KMP26" s="19"/>
      <c r="KMQ26" s="19"/>
      <c r="KMR26" s="19"/>
      <c r="KMS26" s="19"/>
      <c r="KMT26" s="19"/>
      <c r="KMU26" s="19"/>
      <c r="KMV26" s="19"/>
      <c r="KMW26" s="19"/>
      <c r="KMX26" s="19"/>
      <c r="KMY26" s="19"/>
      <c r="KMZ26" s="19"/>
      <c r="KNA26" s="19"/>
      <c r="KNB26" s="19"/>
      <c r="KNC26" s="19"/>
      <c r="KND26" s="19"/>
      <c r="KNE26" s="19"/>
      <c r="KNF26" s="19"/>
      <c r="KNG26" s="19"/>
      <c r="KNH26" s="19"/>
      <c r="KNI26" s="19"/>
      <c r="KNJ26" s="19"/>
      <c r="KNK26" s="19"/>
      <c r="KNL26" s="19"/>
      <c r="KNM26" s="19"/>
      <c r="KNN26" s="19"/>
      <c r="KNO26" s="19"/>
      <c r="KNP26" s="19"/>
      <c r="KNQ26" s="19"/>
      <c r="KNR26" s="19"/>
      <c r="KNS26" s="19"/>
      <c r="KNT26" s="19"/>
      <c r="KNU26" s="19"/>
      <c r="KNV26" s="19"/>
      <c r="KNW26" s="19"/>
      <c r="KNX26" s="19"/>
      <c r="KNY26" s="19"/>
      <c r="KNZ26" s="19"/>
      <c r="KOA26" s="19"/>
      <c r="KOB26" s="19"/>
      <c r="KOC26" s="19"/>
      <c r="KOD26" s="19"/>
      <c r="KOE26" s="19"/>
      <c r="KOF26" s="19"/>
      <c r="KOG26" s="19"/>
      <c r="KOH26" s="19"/>
      <c r="KOI26" s="19"/>
      <c r="KOJ26" s="19"/>
      <c r="KOK26" s="19"/>
      <c r="KOL26" s="19"/>
      <c r="KOM26" s="19"/>
      <c r="KON26" s="19"/>
      <c r="KOO26" s="19"/>
      <c r="KOP26" s="19"/>
      <c r="KOQ26" s="19"/>
      <c r="KOR26" s="19"/>
      <c r="KOS26" s="19"/>
      <c r="KOT26" s="19"/>
      <c r="KOU26" s="19"/>
      <c r="KOV26" s="19"/>
      <c r="KOW26" s="19"/>
      <c r="KOX26" s="19"/>
      <c r="KOY26" s="19"/>
      <c r="KOZ26" s="19"/>
      <c r="KPA26" s="19"/>
      <c r="KPB26" s="19"/>
      <c r="KPC26" s="19"/>
      <c r="KPD26" s="19"/>
      <c r="KPE26" s="19"/>
      <c r="KPF26" s="19"/>
      <c r="KPG26" s="19"/>
      <c r="KPH26" s="19"/>
      <c r="KPI26" s="19"/>
      <c r="KPJ26" s="19"/>
      <c r="KPK26" s="19"/>
      <c r="KPL26" s="19"/>
      <c r="KPM26" s="19"/>
      <c r="KPN26" s="19"/>
      <c r="KPO26" s="19"/>
      <c r="KPP26" s="19"/>
      <c r="KPQ26" s="19"/>
      <c r="KPR26" s="19"/>
      <c r="KPS26" s="19"/>
      <c r="KPT26" s="19"/>
      <c r="KPU26" s="19"/>
      <c r="KPV26" s="19"/>
      <c r="KPW26" s="19"/>
      <c r="KPX26" s="19"/>
      <c r="KPY26" s="19"/>
      <c r="KPZ26" s="19"/>
      <c r="KQA26" s="19"/>
      <c r="KQB26" s="19"/>
      <c r="KQC26" s="19"/>
      <c r="KQD26" s="19"/>
      <c r="KQE26" s="19"/>
      <c r="KQF26" s="19"/>
      <c r="KQG26" s="19"/>
      <c r="KQH26" s="19"/>
      <c r="KQI26" s="19"/>
      <c r="KQJ26" s="19"/>
      <c r="KQK26" s="19"/>
      <c r="KQL26" s="19"/>
      <c r="KQM26" s="19"/>
      <c r="KQN26" s="19"/>
      <c r="KQO26" s="19"/>
      <c r="KQP26" s="19"/>
      <c r="KQQ26" s="19"/>
      <c r="KQR26" s="19"/>
      <c r="KQS26" s="19"/>
      <c r="KQT26" s="19"/>
      <c r="KQU26" s="19"/>
      <c r="KQV26" s="19"/>
      <c r="KQW26" s="19"/>
      <c r="KQX26" s="19"/>
      <c r="KQY26" s="19"/>
      <c r="KQZ26" s="19"/>
      <c r="KRA26" s="19"/>
      <c r="KRB26" s="19"/>
      <c r="KRC26" s="19"/>
      <c r="KRD26" s="19"/>
      <c r="KRE26" s="19"/>
      <c r="KRF26" s="19"/>
      <c r="KRG26" s="19"/>
      <c r="KRH26" s="19"/>
      <c r="KRI26" s="19"/>
      <c r="KRJ26" s="19"/>
      <c r="KRK26" s="19"/>
      <c r="KRL26" s="19"/>
      <c r="KRM26" s="19"/>
      <c r="KRN26" s="19"/>
      <c r="KRO26" s="19"/>
      <c r="KRP26" s="19"/>
      <c r="KRQ26" s="19"/>
      <c r="KRR26" s="19"/>
      <c r="KRS26" s="19"/>
      <c r="KRT26" s="19"/>
      <c r="KRU26" s="19"/>
      <c r="KRV26" s="19"/>
      <c r="KRW26" s="19"/>
      <c r="KRX26" s="19"/>
      <c r="KRY26" s="19"/>
      <c r="KRZ26" s="19"/>
      <c r="KSA26" s="19"/>
      <c r="KSB26" s="19"/>
      <c r="KSC26" s="19"/>
      <c r="KSD26" s="19"/>
      <c r="KSE26" s="19"/>
      <c r="KSF26" s="19"/>
      <c r="KSG26" s="19"/>
      <c r="KSH26" s="19"/>
      <c r="KSI26" s="19"/>
      <c r="KSJ26" s="19"/>
      <c r="KSK26" s="19"/>
      <c r="KSL26" s="19"/>
      <c r="KSM26" s="19"/>
      <c r="KSN26" s="19"/>
      <c r="KSO26" s="19"/>
      <c r="KSP26" s="19"/>
      <c r="KSQ26" s="19"/>
      <c r="KSR26" s="19"/>
      <c r="KSS26" s="19"/>
      <c r="KST26" s="19"/>
      <c r="KSU26" s="19"/>
      <c r="KSV26" s="19"/>
      <c r="KSW26" s="19"/>
      <c r="KSX26" s="19"/>
      <c r="KSY26" s="19"/>
      <c r="KSZ26" s="19"/>
      <c r="KTA26" s="19"/>
      <c r="KTB26" s="19"/>
      <c r="KTC26" s="19"/>
      <c r="KTD26" s="19"/>
      <c r="KTE26" s="19"/>
      <c r="KTF26" s="19"/>
      <c r="KTG26" s="19"/>
      <c r="KTH26" s="19"/>
      <c r="KTI26" s="19"/>
      <c r="KTJ26" s="19"/>
      <c r="KTK26" s="19"/>
      <c r="KTL26" s="19"/>
      <c r="KTM26" s="19"/>
      <c r="KTN26" s="19"/>
      <c r="KTO26" s="19"/>
      <c r="KTP26" s="19"/>
      <c r="KTQ26" s="19"/>
      <c r="KTR26" s="19"/>
      <c r="KTS26" s="19"/>
      <c r="KTT26" s="19"/>
      <c r="KTU26" s="19"/>
      <c r="KTV26" s="19"/>
      <c r="KTW26" s="19"/>
      <c r="KTX26" s="19"/>
      <c r="KTY26" s="19"/>
      <c r="KTZ26" s="19"/>
      <c r="KUA26" s="19"/>
      <c r="KUB26" s="19"/>
      <c r="KUC26" s="19"/>
      <c r="KUD26" s="19"/>
      <c r="KUE26" s="19"/>
      <c r="KUF26" s="19"/>
      <c r="KUG26" s="19"/>
      <c r="KUH26" s="19"/>
      <c r="KUI26" s="19"/>
      <c r="KUJ26" s="19"/>
      <c r="KUK26" s="19"/>
      <c r="KUL26" s="19"/>
      <c r="KUM26" s="19"/>
      <c r="KUN26" s="19"/>
      <c r="KUO26" s="19"/>
      <c r="KUP26" s="19"/>
      <c r="KUQ26" s="19"/>
      <c r="KUR26" s="19"/>
      <c r="KUS26" s="19"/>
      <c r="KUT26" s="19"/>
      <c r="KUU26" s="19"/>
      <c r="KUV26" s="19"/>
      <c r="KUW26" s="19"/>
      <c r="KUX26" s="19"/>
      <c r="KUY26" s="19"/>
      <c r="KUZ26" s="19"/>
      <c r="KVA26" s="19"/>
      <c r="KVB26" s="19"/>
      <c r="KVC26" s="19"/>
      <c r="KVD26" s="19"/>
      <c r="KVE26" s="19"/>
      <c r="KVF26" s="19"/>
      <c r="KVG26" s="19"/>
      <c r="KVH26" s="19"/>
      <c r="KVI26" s="19"/>
      <c r="KVJ26" s="19"/>
      <c r="KVK26" s="19"/>
      <c r="KVL26" s="19"/>
      <c r="KVM26" s="19"/>
      <c r="KVN26" s="19"/>
      <c r="KVO26" s="19"/>
      <c r="KVP26" s="19"/>
      <c r="KVQ26" s="19"/>
      <c r="KVR26" s="19"/>
      <c r="KVS26" s="19"/>
      <c r="KVT26" s="19"/>
      <c r="KVU26" s="19"/>
      <c r="KVV26" s="19"/>
      <c r="KVW26" s="19"/>
      <c r="KVX26" s="19"/>
      <c r="KVY26" s="19"/>
      <c r="KVZ26" s="19"/>
      <c r="KWA26" s="19"/>
      <c r="KWB26" s="19"/>
      <c r="KWC26" s="19"/>
      <c r="KWD26" s="19"/>
      <c r="KWE26" s="19"/>
      <c r="KWF26" s="19"/>
      <c r="KWG26" s="19"/>
      <c r="KWH26" s="19"/>
      <c r="KWI26" s="19"/>
      <c r="KWJ26" s="19"/>
      <c r="KWK26" s="19"/>
      <c r="KWL26" s="19"/>
      <c r="KWM26" s="19"/>
      <c r="KWN26" s="19"/>
      <c r="KWO26" s="19"/>
      <c r="KWP26" s="19"/>
      <c r="KWQ26" s="19"/>
      <c r="KWR26" s="19"/>
      <c r="KWS26" s="19"/>
      <c r="KWT26" s="19"/>
      <c r="KWU26" s="19"/>
      <c r="KWV26" s="19"/>
      <c r="KWW26" s="19"/>
      <c r="KWX26" s="19"/>
      <c r="KWY26" s="19"/>
      <c r="KWZ26" s="19"/>
      <c r="KXA26" s="19"/>
      <c r="KXB26" s="19"/>
      <c r="KXC26" s="19"/>
      <c r="KXD26" s="19"/>
      <c r="KXE26" s="19"/>
      <c r="KXF26" s="19"/>
      <c r="KXG26" s="19"/>
      <c r="KXH26" s="19"/>
      <c r="KXI26" s="19"/>
      <c r="KXJ26" s="19"/>
      <c r="KXK26" s="19"/>
      <c r="KXL26" s="19"/>
      <c r="KXM26" s="19"/>
      <c r="KXN26" s="19"/>
      <c r="KXO26" s="19"/>
      <c r="KXP26" s="19"/>
      <c r="KXQ26" s="19"/>
      <c r="KXR26" s="19"/>
      <c r="KXS26" s="19"/>
      <c r="KXT26" s="19"/>
      <c r="KXU26" s="19"/>
      <c r="KXV26" s="19"/>
      <c r="KXW26" s="19"/>
      <c r="KXX26" s="19"/>
      <c r="KXY26" s="19"/>
      <c r="KXZ26" s="19"/>
      <c r="KYA26" s="19"/>
      <c r="KYB26" s="19"/>
      <c r="KYC26" s="19"/>
      <c r="KYD26" s="19"/>
      <c r="KYE26" s="19"/>
      <c r="KYF26" s="19"/>
      <c r="KYG26" s="19"/>
      <c r="KYH26" s="19"/>
      <c r="KYI26" s="19"/>
      <c r="KYJ26" s="19"/>
      <c r="KYK26" s="19"/>
      <c r="KYL26" s="19"/>
      <c r="KYM26" s="19"/>
      <c r="KYN26" s="19"/>
      <c r="KYO26" s="19"/>
      <c r="KYP26" s="19"/>
      <c r="KYQ26" s="19"/>
      <c r="KYR26" s="19"/>
      <c r="KYS26" s="19"/>
      <c r="KYT26" s="19"/>
      <c r="KYU26" s="19"/>
      <c r="KYV26" s="19"/>
      <c r="KYW26" s="19"/>
      <c r="KYX26" s="19"/>
      <c r="KYY26" s="19"/>
      <c r="KYZ26" s="19"/>
      <c r="KZA26" s="19"/>
      <c r="KZB26" s="19"/>
      <c r="KZC26" s="19"/>
      <c r="KZD26" s="19"/>
      <c r="KZE26" s="19"/>
      <c r="KZF26" s="19"/>
      <c r="KZG26" s="19"/>
      <c r="KZH26" s="19"/>
      <c r="KZI26" s="19"/>
      <c r="KZJ26" s="19"/>
      <c r="KZK26" s="19"/>
      <c r="KZL26" s="19"/>
      <c r="KZM26" s="19"/>
      <c r="KZN26" s="19"/>
      <c r="KZO26" s="19"/>
      <c r="KZP26" s="19"/>
      <c r="KZQ26" s="19"/>
      <c r="KZR26" s="19"/>
      <c r="KZS26" s="19"/>
      <c r="KZT26" s="19"/>
      <c r="KZU26" s="19"/>
      <c r="KZV26" s="19"/>
      <c r="KZW26" s="19"/>
      <c r="KZX26" s="19"/>
      <c r="KZY26" s="19"/>
      <c r="KZZ26" s="19"/>
      <c r="LAA26" s="19"/>
      <c r="LAB26" s="19"/>
      <c r="LAC26" s="19"/>
      <c r="LAD26" s="19"/>
      <c r="LAE26" s="19"/>
      <c r="LAF26" s="19"/>
      <c r="LAG26" s="19"/>
      <c r="LAH26" s="19"/>
      <c r="LAI26" s="19"/>
      <c r="LAJ26" s="19"/>
      <c r="LAK26" s="19"/>
      <c r="LAL26" s="19"/>
      <c r="LAM26" s="19"/>
      <c r="LAN26" s="19"/>
      <c r="LAO26" s="19"/>
      <c r="LAP26" s="19"/>
      <c r="LAQ26" s="19"/>
      <c r="LAR26" s="19"/>
      <c r="LAS26" s="19"/>
      <c r="LAT26" s="19"/>
      <c r="LAU26" s="19"/>
      <c r="LAV26" s="19"/>
      <c r="LAW26" s="19"/>
      <c r="LAX26" s="19"/>
      <c r="LAY26" s="19"/>
      <c r="LAZ26" s="19"/>
      <c r="LBA26" s="19"/>
      <c r="LBB26" s="19"/>
      <c r="LBC26" s="19"/>
      <c r="LBD26" s="19"/>
      <c r="LBE26" s="19"/>
      <c r="LBF26" s="19"/>
      <c r="LBG26" s="19"/>
      <c r="LBH26" s="19"/>
      <c r="LBI26" s="19"/>
      <c r="LBJ26" s="19"/>
      <c r="LBK26" s="19"/>
      <c r="LBL26" s="19"/>
      <c r="LBM26" s="19"/>
      <c r="LBN26" s="19"/>
      <c r="LBO26" s="19"/>
      <c r="LBP26" s="19"/>
      <c r="LBQ26" s="19"/>
      <c r="LBR26" s="19"/>
      <c r="LBS26" s="19"/>
      <c r="LBT26" s="19"/>
      <c r="LBU26" s="19"/>
      <c r="LBV26" s="19"/>
      <c r="LBW26" s="19"/>
      <c r="LBX26" s="19"/>
      <c r="LBY26" s="19"/>
      <c r="LBZ26" s="19"/>
      <c r="LCA26" s="19"/>
      <c r="LCB26" s="19"/>
      <c r="LCC26" s="19"/>
      <c r="LCD26" s="19"/>
      <c r="LCE26" s="19"/>
      <c r="LCF26" s="19"/>
      <c r="LCG26" s="19"/>
      <c r="LCH26" s="19"/>
      <c r="LCI26" s="19"/>
      <c r="LCJ26" s="19"/>
      <c r="LCK26" s="19"/>
      <c r="LCL26" s="19"/>
      <c r="LCM26" s="19"/>
      <c r="LCN26" s="19"/>
      <c r="LCO26" s="19"/>
      <c r="LCP26" s="19"/>
      <c r="LCQ26" s="19"/>
      <c r="LCR26" s="19"/>
      <c r="LCS26" s="19"/>
      <c r="LCT26" s="19"/>
      <c r="LCU26" s="19"/>
      <c r="LCV26" s="19"/>
      <c r="LCW26" s="19"/>
      <c r="LCX26" s="19"/>
      <c r="LCY26" s="19"/>
      <c r="LCZ26" s="19"/>
      <c r="LDA26" s="19"/>
      <c r="LDB26" s="19"/>
      <c r="LDC26" s="19"/>
      <c r="LDD26" s="19"/>
      <c r="LDE26" s="19"/>
      <c r="LDF26" s="19"/>
      <c r="LDG26" s="19"/>
      <c r="LDH26" s="19"/>
      <c r="LDI26" s="19"/>
      <c r="LDJ26" s="19"/>
      <c r="LDK26" s="19"/>
      <c r="LDL26" s="19"/>
      <c r="LDM26" s="19"/>
      <c r="LDN26" s="19"/>
      <c r="LDO26" s="19"/>
      <c r="LDP26" s="19"/>
      <c r="LDQ26" s="19"/>
      <c r="LDR26" s="19"/>
      <c r="LDS26" s="19"/>
      <c r="LDT26" s="19"/>
      <c r="LDU26" s="19"/>
      <c r="LDV26" s="19"/>
      <c r="LDW26" s="19"/>
      <c r="LDX26" s="19"/>
      <c r="LDY26" s="19"/>
      <c r="LDZ26" s="19"/>
      <c r="LEA26" s="19"/>
      <c r="LEB26" s="19"/>
      <c r="LEC26" s="19"/>
      <c r="LED26" s="19"/>
      <c r="LEE26" s="19"/>
      <c r="LEF26" s="19"/>
      <c r="LEG26" s="19"/>
      <c r="LEH26" s="19"/>
      <c r="LEI26" s="19"/>
      <c r="LEJ26" s="19"/>
      <c r="LEK26" s="19"/>
      <c r="LEL26" s="19"/>
      <c r="LEM26" s="19"/>
      <c r="LEN26" s="19"/>
      <c r="LEO26" s="19"/>
      <c r="LEP26" s="19"/>
      <c r="LEQ26" s="19"/>
      <c r="LER26" s="19"/>
      <c r="LES26" s="19"/>
      <c r="LET26" s="19"/>
      <c r="LEU26" s="19"/>
      <c r="LEV26" s="19"/>
      <c r="LEW26" s="19"/>
      <c r="LEX26" s="19"/>
      <c r="LEY26" s="19"/>
      <c r="LEZ26" s="19"/>
      <c r="LFA26" s="19"/>
      <c r="LFB26" s="19"/>
      <c r="LFC26" s="19"/>
      <c r="LFD26" s="19"/>
      <c r="LFE26" s="19"/>
      <c r="LFF26" s="19"/>
      <c r="LFG26" s="19"/>
      <c r="LFH26" s="19"/>
      <c r="LFI26" s="19"/>
      <c r="LFJ26" s="19"/>
      <c r="LFK26" s="19"/>
      <c r="LFL26" s="19"/>
      <c r="LFM26" s="19"/>
      <c r="LFN26" s="19"/>
      <c r="LFO26" s="19"/>
      <c r="LFP26" s="19"/>
      <c r="LFQ26" s="19"/>
      <c r="LFR26" s="19"/>
      <c r="LFS26" s="19"/>
      <c r="LFT26" s="19"/>
      <c r="LFU26" s="19"/>
      <c r="LFV26" s="19"/>
      <c r="LFW26" s="19"/>
      <c r="LFX26" s="19"/>
      <c r="LFY26" s="19"/>
      <c r="LFZ26" s="19"/>
      <c r="LGA26" s="19"/>
      <c r="LGB26" s="19"/>
      <c r="LGC26" s="19"/>
      <c r="LGD26" s="19"/>
      <c r="LGE26" s="19"/>
      <c r="LGF26" s="19"/>
      <c r="LGG26" s="19"/>
      <c r="LGH26" s="19"/>
      <c r="LGI26" s="19"/>
      <c r="LGJ26" s="19"/>
      <c r="LGK26" s="19"/>
      <c r="LGL26" s="19"/>
      <c r="LGM26" s="19"/>
      <c r="LGN26" s="19"/>
      <c r="LGO26" s="19"/>
      <c r="LGP26" s="19"/>
      <c r="LGQ26" s="19"/>
      <c r="LGR26" s="19"/>
      <c r="LGS26" s="19"/>
      <c r="LGT26" s="19"/>
      <c r="LGU26" s="19"/>
      <c r="LGV26" s="19"/>
      <c r="LGW26" s="19"/>
      <c r="LGX26" s="19"/>
      <c r="LGY26" s="19"/>
      <c r="LGZ26" s="19"/>
      <c r="LHA26" s="19"/>
      <c r="LHB26" s="19"/>
      <c r="LHC26" s="19"/>
      <c r="LHD26" s="19"/>
      <c r="LHE26" s="19"/>
      <c r="LHF26" s="19"/>
      <c r="LHG26" s="19"/>
      <c r="LHH26" s="19"/>
      <c r="LHI26" s="19"/>
      <c r="LHJ26" s="19"/>
      <c r="LHK26" s="19"/>
      <c r="LHL26" s="19"/>
      <c r="LHM26" s="19"/>
      <c r="LHN26" s="19"/>
      <c r="LHO26" s="19"/>
      <c r="LHP26" s="19"/>
      <c r="LHQ26" s="19"/>
      <c r="LHR26" s="19"/>
      <c r="LHS26" s="19"/>
      <c r="LHT26" s="19"/>
      <c r="LHU26" s="19"/>
      <c r="LHV26" s="19"/>
      <c r="LHW26" s="19"/>
      <c r="LHX26" s="19"/>
      <c r="LHY26" s="19"/>
      <c r="LHZ26" s="19"/>
      <c r="LIA26" s="19"/>
      <c r="LIB26" s="19"/>
      <c r="LIC26" s="19"/>
      <c r="LID26" s="19"/>
      <c r="LIE26" s="19"/>
      <c r="LIF26" s="19"/>
      <c r="LIG26" s="19"/>
      <c r="LIH26" s="19"/>
      <c r="LII26" s="19"/>
      <c r="LIJ26" s="19"/>
      <c r="LIK26" s="19"/>
      <c r="LIL26" s="19"/>
      <c r="LIM26" s="19"/>
      <c r="LIN26" s="19"/>
      <c r="LIO26" s="19"/>
      <c r="LIP26" s="19"/>
      <c r="LIQ26" s="19"/>
      <c r="LIR26" s="19"/>
      <c r="LIS26" s="19"/>
      <c r="LIT26" s="19"/>
      <c r="LIU26" s="19"/>
      <c r="LIV26" s="19"/>
      <c r="LIW26" s="19"/>
      <c r="LIX26" s="19"/>
      <c r="LIY26" s="19"/>
      <c r="LIZ26" s="19"/>
      <c r="LJA26" s="19"/>
      <c r="LJB26" s="19"/>
      <c r="LJC26" s="19"/>
      <c r="LJD26" s="19"/>
      <c r="LJE26" s="19"/>
      <c r="LJF26" s="19"/>
      <c r="LJG26" s="19"/>
      <c r="LJH26" s="19"/>
      <c r="LJI26" s="19"/>
      <c r="LJJ26" s="19"/>
      <c r="LJK26" s="19"/>
      <c r="LJL26" s="19"/>
      <c r="LJM26" s="19"/>
      <c r="LJN26" s="19"/>
      <c r="LJO26" s="19"/>
      <c r="LJP26" s="19"/>
      <c r="LJQ26" s="19"/>
      <c r="LJR26" s="19"/>
      <c r="LJS26" s="19"/>
      <c r="LJT26" s="19"/>
      <c r="LJU26" s="19"/>
      <c r="LJV26" s="19"/>
      <c r="LJW26" s="19"/>
      <c r="LJX26" s="19"/>
      <c r="LJY26" s="19"/>
      <c r="LJZ26" s="19"/>
      <c r="LKA26" s="19"/>
      <c r="LKB26" s="19"/>
      <c r="LKC26" s="19"/>
      <c r="LKD26" s="19"/>
      <c r="LKE26" s="19"/>
      <c r="LKF26" s="19"/>
      <c r="LKG26" s="19"/>
      <c r="LKH26" s="19"/>
      <c r="LKI26" s="19"/>
      <c r="LKJ26" s="19"/>
      <c r="LKK26" s="19"/>
      <c r="LKL26" s="19"/>
      <c r="LKM26" s="19"/>
      <c r="LKN26" s="19"/>
      <c r="LKO26" s="19"/>
      <c r="LKP26" s="19"/>
      <c r="LKQ26" s="19"/>
      <c r="LKR26" s="19"/>
      <c r="LKS26" s="19"/>
      <c r="LKT26" s="19"/>
      <c r="LKU26" s="19"/>
      <c r="LKV26" s="19"/>
      <c r="LKW26" s="19"/>
      <c r="LKX26" s="19"/>
      <c r="LKY26" s="19"/>
      <c r="LKZ26" s="19"/>
      <c r="LLA26" s="19"/>
      <c r="LLB26" s="19"/>
      <c r="LLC26" s="19"/>
      <c r="LLD26" s="19"/>
      <c r="LLE26" s="19"/>
      <c r="LLF26" s="19"/>
      <c r="LLG26" s="19"/>
      <c r="LLH26" s="19"/>
      <c r="LLI26" s="19"/>
      <c r="LLJ26" s="19"/>
      <c r="LLK26" s="19"/>
      <c r="LLL26" s="19"/>
      <c r="LLM26" s="19"/>
      <c r="LLN26" s="19"/>
      <c r="LLO26" s="19"/>
      <c r="LLP26" s="19"/>
      <c r="LLQ26" s="19"/>
      <c r="LLR26" s="19"/>
      <c r="LLS26" s="19"/>
      <c r="LLT26" s="19"/>
      <c r="LLU26" s="19"/>
      <c r="LLV26" s="19"/>
      <c r="LLW26" s="19"/>
      <c r="LLX26" s="19"/>
      <c r="LLY26" s="19"/>
      <c r="LLZ26" s="19"/>
      <c r="LMA26" s="19"/>
      <c r="LMB26" s="19"/>
      <c r="LMC26" s="19"/>
      <c r="LMD26" s="19"/>
      <c r="LME26" s="19"/>
      <c r="LMF26" s="19"/>
      <c r="LMG26" s="19"/>
      <c r="LMH26" s="19"/>
      <c r="LMI26" s="19"/>
      <c r="LMJ26" s="19"/>
      <c r="LMK26" s="19"/>
      <c r="LML26" s="19"/>
      <c r="LMM26" s="19"/>
      <c r="LMN26" s="19"/>
      <c r="LMO26" s="19"/>
      <c r="LMP26" s="19"/>
      <c r="LMQ26" s="19"/>
      <c r="LMR26" s="19"/>
      <c r="LMS26" s="19"/>
      <c r="LMT26" s="19"/>
      <c r="LMU26" s="19"/>
      <c r="LMV26" s="19"/>
      <c r="LMW26" s="19"/>
      <c r="LMX26" s="19"/>
      <c r="LMY26" s="19"/>
      <c r="LMZ26" s="19"/>
      <c r="LNA26" s="19"/>
      <c r="LNB26" s="19"/>
      <c r="LNC26" s="19"/>
      <c r="LND26" s="19"/>
      <c r="LNE26" s="19"/>
      <c r="LNF26" s="19"/>
      <c r="LNG26" s="19"/>
      <c r="LNH26" s="19"/>
      <c r="LNI26" s="19"/>
      <c r="LNJ26" s="19"/>
      <c r="LNK26" s="19"/>
      <c r="LNL26" s="19"/>
      <c r="LNM26" s="19"/>
      <c r="LNN26" s="19"/>
      <c r="LNO26" s="19"/>
      <c r="LNP26" s="19"/>
      <c r="LNQ26" s="19"/>
      <c r="LNR26" s="19"/>
      <c r="LNS26" s="19"/>
      <c r="LNT26" s="19"/>
      <c r="LNU26" s="19"/>
      <c r="LNV26" s="19"/>
      <c r="LNW26" s="19"/>
      <c r="LNX26" s="19"/>
      <c r="LNY26" s="19"/>
      <c r="LNZ26" s="19"/>
      <c r="LOA26" s="19"/>
      <c r="LOB26" s="19"/>
      <c r="LOC26" s="19"/>
      <c r="LOD26" s="19"/>
      <c r="LOE26" s="19"/>
      <c r="LOF26" s="19"/>
      <c r="LOG26" s="19"/>
      <c r="LOH26" s="19"/>
      <c r="LOI26" s="19"/>
      <c r="LOJ26" s="19"/>
      <c r="LOK26" s="19"/>
      <c r="LOL26" s="19"/>
      <c r="LOM26" s="19"/>
      <c r="LON26" s="19"/>
      <c r="LOO26" s="19"/>
      <c r="LOP26" s="19"/>
      <c r="LOQ26" s="19"/>
      <c r="LOR26" s="19"/>
      <c r="LOS26" s="19"/>
      <c r="LOT26" s="19"/>
      <c r="LOU26" s="19"/>
      <c r="LOV26" s="19"/>
      <c r="LOW26" s="19"/>
      <c r="LOX26" s="19"/>
      <c r="LOY26" s="19"/>
      <c r="LOZ26" s="19"/>
      <c r="LPA26" s="19"/>
      <c r="LPB26" s="19"/>
      <c r="LPC26" s="19"/>
      <c r="LPD26" s="19"/>
      <c r="LPE26" s="19"/>
      <c r="LPF26" s="19"/>
      <c r="LPG26" s="19"/>
      <c r="LPH26" s="19"/>
      <c r="LPI26" s="19"/>
      <c r="LPJ26" s="19"/>
      <c r="LPK26" s="19"/>
      <c r="LPL26" s="19"/>
      <c r="LPM26" s="19"/>
      <c r="LPN26" s="19"/>
      <c r="LPO26" s="19"/>
      <c r="LPP26" s="19"/>
      <c r="LPQ26" s="19"/>
      <c r="LPR26" s="19"/>
      <c r="LPS26" s="19"/>
      <c r="LPT26" s="19"/>
      <c r="LPU26" s="19"/>
      <c r="LPV26" s="19"/>
      <c r="LPW26" s="19"/>
      <c r="LPX26" s="19"/>
      <c r="LPY26" s="19"/>
      <c r="LPZ26" s="19"/>
      <c r="LQA26" s="19"/>
      <c r="LQB26" s="19"/>
      <c r="LQC26" s="19"/>
      <c r="LQD26" s="19"/>
      <c r="LQE26" s="19"/>
      <c r="LQF26" s="19"/>
      <c r="LQG26" s="19"/>
      <c r="LQH26" s="19"/>
      <c r="LQI26" s="19"/>
      <c r="LQJ26" s="19"/>
      <c r="LQK26" s="19"/>
      <c r="LQL26" s="19"/>
      <c r="LQM26" s="19"/>
      <c r="LQN26" s="19"/>
      <c r="LQO26" s="19"/>
      <c r="LQP26" s="19"/>
      <c r="LQQ26" s="19"/>
      <c r="LQR26" s="19"/>
      <c r="LQS26" s="19"/>
      <c r="LQT26" s="19"/>
      <c r="LQU26" s="19"/>
      <c r="LQV26" s="19"/>
      <c r="LQW26" s="19"/>
      <c r="LQX26" s="19"/>
      <c r="LQY26" s="19"/>
      <c r="LQZ26" s="19"/>
      <c r="LRA26" s="19"/>
      <c r="LRB26" s="19"/>
      <c r="LRC26" s="19"/>
      <c r="LRD26" s="19"/>
      <c r="LRE26" s="19"/>
      <c r="LRF26" s="19"/>
      <c r="LRG26" s="19"/>
      <c r="LRH26" s="19"/>
      <c r="LRI26" s="19"/>
      <c r="LRJ26" s="19"/>
      <c r="LRK26" s="19"/>
      <c r="LRL26" s="19"/>
      <c r="LRM26" s="19"/>
      <c r="LRN26" s="19"/>
      <c r="LRO26" s="19"/>
      <c r="LRP26" s="19"/>
      <c r="LRQ26" s="19"/>
      <c r="LRR26" s="19"/>
      <c r="LRS26" s="19"/>
      <c r="LRT26" s="19"/>
      <c r="LRU26" s="19"/>
      <c r="LRV26" s="19"/>
      <c r="LRW26" s="19"/>
      <c r="LRX26" s="19"/>
      <c r="LRY26" s="19"/>
      <c r="LRZ26" s="19"/>
      <c r="LSA26" s="19"/>
      <c r="LSB26" s="19"/>
      <c r="LSC26" s="19"/>
      <c r="LSD26" s="19"/>
      <c r="LSE26" s="19"/>
      <c r="LSF26" s="19"/>
      <c r="LSG26" s="19"/>
      <c r="LSH26" s="19"/>
      <c r="LSI26" s="19"/>
      <c r="LSJ26" s="19"/>
      <c r="LSK26" s="19"/>
      <c r="LSL26" s="19"/>
      <c r="LSM26" s="19"/>
      <c r="LSN26" s="19"/>
      <c r="LSO26" s="19"/>
      <c r="LSP26" s="19"/>
      <c r="LSQ26" s="19"/>
      <c r="LSR26" s="19"/>
      <c r="LSS26" s="19"/>
      <c r="LST26" s="19"/>
      <c r="LSU26" s="19"/>
      <c r="LSV26" s="19"/>
      <c r="LSW26" s="19"/>
      <c r="LSX26" s="19"/>
      <c r="LSY26" s="19"/>
      <c r="LSZ26" s="19"/>
      <c r="LTA26" s="19"/>
      <c r="LTB26" s="19"/>
      <c r="LTC26" s="19"/>
      <c r="LTD26" s="19"/>
      <c r="LTE26" s="19"/>
      <c r="LTF26" s="19"/>
      <c r="LTG26" s="19"/>
      <c r="LTH26" s="19"/>
      <c r="LTI26" s="19"/>
      <c r="LTJ26" s="19"/>
      <c r="LTK26" s="19"/>
      <c r="LTL26" s="19"/>
      <c r="LTM26" s="19"/>
      <c r="LTN26" s="19"/>
      <c r="LTO26" s="19"/>
      <c r="LTP26" s="19"/>
      <c r="LTQ26" s="19"/>
      <c r="LTR26" s="19"/>
      <c r="LTS26" s="19"/>
      <c r="LTT26" s="19"/>
      <c r="LTU26" s="19"/>
      <c r="LTV26" s="19"/>
      <c r="LTW26" s="19"/>
      <c r="LTX26" s="19"/>
      <c r="LTY26" s="19"/>
      <c r="LTZ26" s="19"/>
      <c r="LUA26" s="19"/>
      <c r="LUB26" s="19"/>
      <c r="LUC26" s="19"/>
      <c r="LUD26" s="19"/>
      <c r="LUE26" s="19"/>
      <c r="LUF26" s="19"/>
      <c r="LUG26" s="19"/>
      <c r="LUH26" s="19"/>
      <c r="LUI26" s="19"/>
      <c r="LUJ26" s="19"/>
      <c r="LUK26" s="19"/>
      <c r="LUL26" s="19"/>
      <c r="LUM26" s="19"/>
      <c r="LUN26" s="19"/>
      <c r="LUO26" s="19"/>
      <c r="LUP26" s="19"/>
      <c r="LUQ26" s="19"/>
      <c r="LUR26" s="19"/>
      <c r="LUS26" s="19"/>
      <c r="LUT26" s="19"/>
      <c r="LUU26" s="19"/>
      <c r="LUV26" s="19"/>
      <c r="LUW26" s="19"/>
      <c r="LUX26" s="19"/>
      <c r="LUY26" s="19"/>
      <c r="LUZ26" s="19"/>
      <c r="LVA26" s="19"/>
      <c r="LVB26" s="19"/>
      <c r="LVC26" s="19"/>
      <c r="LVD26" s="19"/>
      <c r="LVE26" s="19"/>
      <c r="LVF26" s="19"/>
      <c r="LVG26" s="19"/>
      <c r="LVH26" s="19"/>
      <c r="LVI26" s="19"/>
      <c r="LVJ26" s="19"/>
      <c r="LVK26" s="19"/>
      <c r="LVL26" s="19"/>
      <c r="LVM26" s="19"/>
      <c r="LVN26" s="19"/>
      <c r="LVO26" s="19"/>
      <c r="LVP26" s="19"/>
      <c r="LVQ26" s="19"/>
      <c r="LVR26" s="19"/>
      <c r="LVS26" s="19"/>
      <c r="LVT26" s="19"/>
      <c r="LVU26" s="19"/>
      <c r="LVV26" s="19"/>
      <c r="LVW26" s="19"/>
      <c r="LVX26" s="19"/>
      <c r="LVY26" s="19"/>
      <c r="LVZ26" s="19"/>
      <c r="LWA26" s="19"/>
      <c r="LWB26" s="19"/>
      <c r="LWC26" s="19"/>
      <c r="LWD26" s="19"/>
      <c r="LWE26" s="19"/>
      <c r="LWF26" s="19"/>
      <c r="LWG26" s="19"/>
      <c r="LWH26" s="19"/>
      <c r="LWI26" s="19"/>
      <c r="LWJ26" s="19"/>
      <c r="LWK26" s="19"/>
      <c r="LWL26" s="19"/>
      <c r="LWM26" s="19"/>
      <c r="LWN26" s="19"/>
      <c r="LWO26" s="19"/>
      <c r="LWP26" s="19"/>
      <c r="LWQ26" s="19"/>
      <c r="LWR26" s="19"/>
      <c r="LWS26" s="19"/>
      <c r="LWT26" s="19"/>
      <c r="LWU26" s="19"/>
      <c r="LWV26" s="19"/>
      <c r="LWW26" s="19"/>
      <c r="LWX26" s="19"/>
      <c r="LWY26" s="19"/>
      <c r="LWZ26" s="19"/>
      <c r="LXA26" s="19"/>
      <c r="LXB26" s="19"/>
      <c r="LXC26" s="19"/>
      <c r="LXD26" s="19"/>
      <c r="LXE26" s="19"/>
      <c r="LXF26" s="19"/>
      <c r="LXG26" s="19"/>
      <c r="LXH26" s="19"/>
      <c r="LXI26" s="19"/>
      <c r="LXJ26" s="19"/>
      <c r="LXK26" s="19"/>
      <c r="LXL26" s="19"/>
      <c r="LXM26" s="19"/>
      <c r="LXN26" s="19"/>
      <c r="LXO26" s="19"/>
      <c r="LXP26" s="19"/>
      <c r="LXQ26" s="19"/>
      <c r="LXR26" s="19"/>
      <c r="LXS26" s="19"/>
      <c r="LXT26" s="19"/>
      <c r="LXU26" s="19"/>
      <c r="LXV26" s="19"/>
      <c r="LXW26" s="19"/>
      <c r="LXX26" s="19"/>
      <c r="LXY26" s="19"/>
      <c r="LXZ26" s="19"/>
      <c r="LYA26" s="19"/>
      <c r="LYB26" s="19"/>
      <c r="LYC26" s="19"/>
      <c r="LYD26" s="19"/>
      <c r="LYE26" s="19"/>
      <c r="LYF26" s="19"/>
      <c r="LYG26" s="19"/>
      <c r="LYH26" s="19"/>
      <c r="LYI26" s="19"/>
      <c r="LYJ26" s="19"/>
      <c r="LYK26" s="19"/>
      <c r="LYL26" s="19"/>
      <c r="LYM26" s="19"/>
      <c r="LYN26" s="19"/>
      <c r="LYO26" s="19"/>
      <c r="LYP26" s="19"/>
      <c r="LYQ26" s="19"/>
      <c r="LYR26" s="19"/>
      <c r="LYS26" s="19"/>
      <c r="LYT26" s="19"/>
      <c r="LYU26" s="19"/>
      <c r="LYV26" s="19"/>
      <c r="LYW26" s="19"/>
      <c r="LYX26" s="19"/>
      <c r="LYY26" s="19"/>
      <c r="LYZ26" s="19"/>
      <c r="LZA26" s="19"/>
      <c r="LZB26" s="19"/>
      <c r="LZC26" s="19"/>
      <c r="LZD26" s="19"/>
      <c r="LZE26" s="19"/>
      <c r="LZF26" s="19"/>
      <c r="LZG26" s="19"/>
      <c r="LZH26" s="19"/>
      <c r="LZI26" s="19"/>
      <c r="LZJ26" s="19"/>
      <c r="LZK26" s="19"/>
      <c r="LZL26" s="19"/>
      <c r="LZM26" s="19"/>
      <c r="LZN26" s="19"/>
      <c r="LZO26" s="19"/>
      <c r="LZP26" s="19"/>
      <c r="LZQ26" s="19"/>
      <c r="LZR26" s="19"/>
      <c r="LZS26" s="19"/>
      <c r="LZT26" s="19"/>
      <c r="LZU26" s="19"/>
      <c r="LZV26" s="19"/>
      <c r="LZW26" s="19"/>
      <c r="LZX26" s="19"/>
      <c r="LZY26" s="19"/>
      <c r="LZZ26" s="19"/>
      <c r="MAA26" s="19"/>
      <c r="MAB26" s="19"/>
      <c r="MAC26" s="19"/>
      <c r="MAD26" s="19"/>
      <c r="MAE26" s="19"/>
      <c r="MAF26" s="19"/>
      <c r="MAG26" s="19"/>
      <c r="MAH26" s="19"/>
      <c r="MAI26" s="19"/>
      <c r="MAJ26" s="19"/>
      <c r="MAK26" s="19"/>
      <c r="MAL26" s="19"/>
      <c r="MAM26" s="19"/>
      <c r="MAN26" s="19"/>
      <c r="MAO26" s="19"/>
      <c r="MAP26" s="19"/>
      <c r="MAQ26" s="19"/>
      <c r="MAR26" s="19"/>
      <c r="MAS26" s="19"/>
      <c r="MAT26" s="19"/>
      <c r="MAU26" s="19"/>
      <c r="MAV26" s="19"/>
      <c r="MAW26" s="19"/>
      <c r="MAX26" s="19"/>
      <c r="MAY26" s="19"/>
      <c r="MAZ26" s="19"/>
      <c r="MBA26" s="19"/>
      <c r="MBB26" s="19"/>
      <c r="MBC26" s="19"/>
      <c r="MBD26" s="19"/>
      <c r="MBE26" s="19"/>
      <c r="MBF26" s="19"/>
      <c r="MBG26" s="19"/>
      <c r="MBH26" s="19"/>
      <c r="MBI26" s="19"/>
      <c r="MBJ26" s="19"/>
      <c r="MBK26" s="19"/>
      <c r="MBL26" s="19"/>
      <c r="MBM26" s="19"/>
      <c r="MBN26" s="19"/>
      <c r="MBO26" s="19"/>
      <c r="MBP26" s="19"/>
      <c r="MBQ26" s="19"/>
      <c r="MBR26" s="19"/>
      <c r="MBS26" s="19"/>
      <c r="MBT26" s="19"/>
      <c r="MBU26" s="19"/>
      <c r="MBV26" s="19"/>
      <c r="MBW26" s="19"/>
      <c r="MBX26" s="19"/>
      <c r="MBY26" s="19"/>
      <c r="MBZ26" s="19"/>
      <c r="MCA26" s="19"/>
      <c r="MCB26" s="19"/>
      <c r="MCC26" s="19"/>
      <c r="MCD26" s="19"/>
      <c r="MCE26" s="19"/>
      <c r="MCF26" s="19"/>
      <c r="MCG26" s="19"/>
      <c r="MCH26" s="19"/>
      <c r="MCI26" s="19"/>
      <c r="MCJ26" s="19"/>
      <c r="MCK26" s="19"/>
      <c r="MCL26" s="19"/>
      <c r="MCM26" s="19"/>
      <c r="MCN26" s="19"/>
      <c r="MCO26" s="19"/>
      <c r="MCP26" s="19"/>
      <c r="MCQ26" s="19"/>
      <c r="MCR26" s="19"/>
      <c r="MCS26" s="19"/>
      <c r="MCT26" s="19"/>
      <c r="MCU26" s="19"/>
      <c r="MCV26" s="19"/>
      <c r="MCW26" s="19"/>
      <c r="MCX26" s="19"/>
      <c r="MCY26" s="19"/>
      <c r="MCZ26" s="19"/>
      <c r="MDA26" s="19"/>
      <c r="MDB26" s="19"/>
      <c r="MDC26" s="19"/>
      <c r="MDD26" s="19"/>
      <c r="MDE26" s="19"/>
      <c r="MDF26" s="19"/>
      <c r="MDG26" s="19"/>
      <c r="MDH26" s="19"/>
      <c r="MDI26" s="19"/>
      <c r="MDJ26" s="19"/>
      <c r="MDK26" s="19"/>
      <c r="MDL26" s="19"/>
      <c r="MDM26" s="19"/>
      <c r="MDN26" s="19"/>
      <c r="MDO26" s="19"/>
      <c r="MDP26" s="19"/>
      <c r="MDQ26" s="19"/>
      <c r="MDR26" s="19"/>
      <c r="MDS26" s="19"/>
      <c r="MDT26" s="19"/>
      <c r="MDU26" s="19"/>
      <c r="MDV26" s="19"/>
      <c r="MDW26" s="19"/>
      <c r="MDX26" s="19"/>
      <c r="MDY26" s="19"/>
      <c r="MDZ26" s="19"/>
      <c r="MEA26" s="19"/>
      <c r="MEB26" s="19"/>
      <c r="MEC26" s="19"/>
      <c r="MED26" s="19"/>
      <c r="MEE26" s="19"/>
      <c r="MEF26" s="19"/>
      <c r="MEG26" s="19"/>
      <c r="MEH26" s="19"/>
      <c r="MEI26" s="19"/>
      <c r="MEJ26" s="19"/>
      <c r="MEK26" s="19"/>
      <c r="MEL26" s="19"/>
      <c r="MEM26" s="19"/>
      <c r="MEN26" s="19"/>
      <c r="MEO26" s="19"/>
      <c r="MEP26" s="19"/>
      <c r="MEQ26" s="19"/>
      <c r="MER26" s="19"/>
      <c r="MES26" s="19"/>
      <c r="MET26" s="19"/>
      <c r="MEU26" s="19"/>
      <c r="MEV26" s="19"/>
      <c r="MEW26" s="19"/>
      <c r="MEX26" s="19"/>
      <c r="MEY26" s="19"/>
      <c r="MEZ26" s="19"/>
      <c r="MFA26" s="19"/>
      <c r="MFB26" s="19"/>
      <c r="MFC26" s="19"/>
      <c r="MFD26" s="19"/>
      <c r="MFE26" s="19"/>
      <c r="MFF26" s="19"/>
      <c r="MFG26" s="19"/>
      <c r="MFH26" s="19"/>
      <c r="MFI26" s="19"/>
      <c r="MFJ26" s="19"/>
      <c r="MFK26" s="19"/>
      <c r="MFL26" s="19"/>
      <c r="MFM26" s="19"/>
      <c r="MFN26" s="19"/>
      <c r="MFO26" s="19"/>
      <c r="MFP26" s="19"/>
      <c r="MFQ26" s="19"/>
      <c r="MFR26" s="19"/>
      <c r="MFS26" s="19"/>
      <c r="MFT26" s="19"/>
      <c r="MFU26" s="19"/>
      <c r="MFV26" s="19"/>
      <c r="MFW26" s="19"/>
      <c r="MFX26" s="19"/>
      <c r="MFY26" s="19"/>
      <c r="MFZ26" s="19"/>
      <c r="MGA26" s="19"/>
      <c r="MGB26" s="19"/>
      <c r="MGC26" s="19"/>
      <c r="MGD26" s="19"/>
      <c r="MGE26" s="19"/>
      <c r="MGF26" s="19"/>
      <c r="MGG26" s="19"/>
      <c r="MGH26" s="19"/>
      <c r="MGI26" s="19"/>
      <c r="MGJ26" s="19"/>
      <c r="MGK26" s="19"/>
      <c r="MGL26" s="19"/>
      <c r="MGM26" s="19"/>
      <c r="MGN26" s="19"/>
      <c r="MGO26" s="19"/>
      <c r="MGP26" s="19"/>
      <c r="MGQ26" s="19"/>
      <c r="MGR26" s="19"/>
      <c r="MGS26" s="19"/>
      <c r="MGT26" s="19"/>
      <c r="MGU26" s="19"/>
      <c r="MGV26" s="19"/>
      <c r="MGW26" s="19"/>
      <c r="MGX26" s="19"/>
      <c r="MGY26" s="19"/>
      <c r="MGZ26" s="19"/>
      <c r="MHA26" s="19"/>
      <c r="MHB26" s="19"/>
      <c r="MHC26" s="19"/>
      <c r="MHD26" s="19"/>
      <c r="MHE26" s="19"/>
      <c r="MHF26" s="19"/>
      <c r="MHG26" s="19"/>
      <c r="MHH26" s="19"/>
      <c r="MHI26" s="19"/>
      <c r="MHJ26" s="19"/>
      <c r="MHK26" s="19"/>
      <c r="MHL26" s="19"/>
      <c r="MHM26" s="19"/>
      <c r="MHN26" s="19"/>
      <c r="MHO26" s="19"/>
      <c r="MHP26" s="19"/>
      <c r="MHQ26" s="19"/>
      <c r="MHR26" s="19"/>
      <c r="MHS26" s="19"/>
      <c r="MHT26" s="19"/>
      <c r="MHU26" s="19"/>
      <c r="MHV26" s="19"/>
      <c r="MHW26" s="19"/>
      <c r="MHX26" s="19"/>
      <c r="MHY26" s="19"/>
      <c r="MHZ26" s="19"/>
      <c r="MIA26" s="19"/>
      <c r="MIB26" s="19"/>
      <c r="MIC26" s="19"/>
      <c r="MID26" s="19"/>
      <c r="MIE26" s="19"/>
      <c r="MIF26" s="19"/>
      <c r="MIG26" s="19"/>
      <c r="MIH26" s="19"/>
      <c r="MII26" s="19"/>
      <c r="MIJ26" s="19"/>
      <c r="MIK26" s="19"/>
      <c r="MIL26" s="19"/>
      <c r="MIM26" s="19"/>
      <c r="MIN26" s="19"/>
      <c r="MIO26" s="19"/>
      <c r="MIP26" s="19"/>
      <c r="MIQ26" s="19"/>
      <c r="MIR26" s="19"/>
      <c r="MIS26" s="19"/>
      <c r="MIT26" s="19"/>
      <c r="MIU26" s="19"/>
      <c r="MIV26" s="19"/>
      <c r="MIW26" s="19"/>
      <c r="MIX26" s="19"/>
      <c r="MIY26" s="19"/>
      <c r="MIZ26" s="19"/>
      <c r="MJA26" s="19"/>
      <c r="MJB26" s="19"/>
      <c r="MJC26" s="19"/>
      <c r="MJD26" s="19"/>
      <c r="MJE26" s="19"/>
      <c r="MJF26" s="19"/>
      <c r="MJG26" s="19"/>
      <c r="MJH26" s="19"/>
      <c r="MJI26" s="19"/>
      <c r="MJJ26" s="19"/>
      <c r="MJK26" s="19"/>
      <c r="MJL26" s="19"/>
      <c r="MJM26" s="19"/>
      <c r="MJN26" s="19"/>
      <c r="MJO26" s="19"/>
      <c r="MJP26" s="19"/>
      <c r="MJQ26" s="19"/>
      <c r="MJR26" s="19"/>
      <c r="MJS26" s="19"/>
      <c r="MJT26" s="19"/>
      <c r="MJU26" s="19"/>
      <c r="MJV26" s="19"/>
      <c r="MJW26" s="19"/>
      <c r="MJX26" s="19"/>
      <c r="MJY26" s="19"/>
      <c r="MJZ26" s="19"/>
      <c r="MKA26" s="19"/>
      <c r="MKB26" s="19"/>
      <c r="MKC26" s="19"/>
      <c r="MKD26" s="19"/>
      <c r="MKE26" s="19"/>
      <c r="MKF26" s="19"/>
      <c r="MKG26" s="19"/>
      <c r="MKH26" s="19"/>
      <c r="MKI26" s="19"/>
      <c r="MKJ26" s="19"/>
      <c r="MKK26" s="19"/>
      <c r="MKL26" s="19"/>
      <c r="MKM26" s="19"/>
      <c r="MKN26" s="19"/>
      <c r="MKO26" s="19"/>
      <c r="MKP26" s="19"/>
      <c r="MKQ26" s="19"/>
      <c r="MKR26" s="19"/>
      <c r="MKS26" s="19"/>
      <c r="MKT26" s="19"/>
      <c r="MKU26" s="19"/>
      <c r="MKV26" s="19"/>
      <c r="MKW26" s="19"/>
      <c r="MKX26" s="19"/>
      <c r="MKY26" s="19"/>
      <c r="MKZ26" s="19"/>
      <c r="MLA26" s="19"/>
      <c r="MLB26" s="19"/>
      <c r="MLC26" s="19"/>
      <c r="MLD26" s="19"/>
      <c r="MLE26" s="19"/>
      <c r="MLF26" s="19"/>
      <c r="MLG26" s="19"/>
      <c r="MLH26" s="19"/>
      <c r="MLI26" s="19"/>
      <c r="MLJ26" s="19"/>
      <c r="MLK26" s="19"/>
      <c r="MLL26" s="19"/>
      <c r="MLM26" s="19"/>
      <c r="MLN26" s="19"/>
      <c r="MLO26" s="19"/>
      <c r="MLP26" s="19"/>
      <c r="MLQ26" s="19"/>
      <c r="MLR26" s="19"/>
      <c r="MLS26" s="19"/>
      <c r="MLT26" s="19"/>
      <c r="MLU26" s="19"/>
      <c r="MLV26" s="19"/>
      <c r="MLW26" s="19"/>
      <c r="MLX26" s="19"/>
      <c r="MLY26" s="19"/>
      <c r="MLZ26" s="19"/>
      <c r="MMA26" s="19"/>
      <c r="MMB26" s="19"/>
      <c r="MMC26" s="19"/>
      <c r="MMD26" s="19"/>
      <c r="MME26" s="19"/>
      <c r="MMF26" s="19"/>
      <c r="MMG26" s="19"/>
      <c r="MMH26" s="19"/>
      <c r="MMI26" s="19"/>
      <c r="MMJ26" s="19"/>
      <c r="MMK26" s="19"/>
      <c r="MML26" s="19"/>
      <c r="MMM26" s="19"/>
      <c r="MMN26" s="19"/>
      <c r="MMO26" s="19"/>
      <c r="MMP26" s="19"/>
      <c r="MMQ26" s="19"/>
      <c r="MMR26" s="19"/>
      <c r="MMS26" s="19"/>
      <c r="MMT26" s="19"/>
      <c r="MMU26" s="19"/>
      <c r="MMV26" s="19"/>
      <c r="MMW26" s="19"/>
      <c r="MMX26" s="19"/>
      <c r="MMY26" s="19"/>
      <c r="MMZ26" s="19"/>
      <c r="MNA26" s="19"/>
      <c r="MNB26" s="19"/>
      <c r="MNC26" s="19"/>
      <c r="MND26" s="19"/>
      <c r="MNE26" s="19"/>
      <c r="MNF26" s="19"/>
      <c r="MNG26" s="19"/>
      <c r="MNH26" s="19"/>
      <c r="MNI26" s="19"/>
      <c r="MNJ26" s="19"/>
      <c r="MNK26" s="19"/>
      <c r="MNL26" s="19"/>
      <c r="MNM26" s="19"/>
      <c r="MNN26" s="19"/>
      <c r="MNO26" s="19"/>
      <c r="MNP26" s="19"/>
      <c r="MNQ26" s="19"/>
      <c r="MNR26" s="19"/>
      <c r="MNS26" s="19"/>
      <c r="MNT26" s="19"/>
      <c r="MNU26" s="19"/>
      <c r="MNV26" s="19"/>
      <c r="MNW26" s="19"/>
      <c r="MNX26" s="19"/>
      <c r="MNY26" s="19"/>
      <c r="MNZ26" s="19"/>
      <c r="MOA26" s="19"/>
      <c r="MOB26" s="19"/>
      <c r="MOC26" s="19"/>
      <c r="MOD26" s="19"/>
      <c r="MOE26" s="19"/>
      <c r="MOF26" s="19"/>
      <c r="MOG26" s="19"/>
      <c r="MOH26" s="19"/>
      <c r="MOI26" s="19"/>
      <c r="MOJ26" s="19"/>
      <c r="MOK26" s="19"/>
      <c r="MOL26" s="19"/>
      <c r="MOM26" s="19"/>
      <c r="MON26" s="19"/>
      <c r="MOO26" s="19"/>
      <c r="MOP26" s="19"/>
      <c r="MOQ26" s="19"/>
      <c r="MOR26" s="19"/>
      <c r="MOS26" s="19"/>
      <c r="MOT26" s="19"/>
      <c r="MOU26" s="19"/>
      <c r="MOV26" s="19"/>
      <c r="MOW26" s="19"/>
      <c r="MOX26" s="19"/>
      <c r="MOY26" s="19"/>
      <c r="MOZ26" s="19"/>
      <c r="MPA26" s="19"/>
      <c r="MPB26" s="19"/>
      <c r="MPC26" s="19"/>
      <c r="MPD26" s="19"/>
      <c r="MPE26" s="19"/>
      <c r="MPF26" s="19"/>
      <c r="MPG26" s="19"/>
      <c r="MPH26" s="19"/>
      <c r="MPI26" s="19"/>
      <c r="MPJ26" s="19"/>
      <c r="MPK26" s="19"/>
      <c r="MPL26" s="19"/>
      <c r="MPM26" s="19"/>
      <c r="MPN26" s="19"/>
      <c r="MPO26" s="19"/>
      <c r="MPP26" s="19"/>
      <c r="MPQ26" s="19"/>
      <c r="MPR26" s="19"/>
      <c r="MPS26" s="19"/>
      <c r="MPT26" s="19"/>
      <c r="MPU26" s="19"/>
      <c r="MPV26" s="19"/>
      <c r="MPW26" s="19"/>
      <c r="MPX26" s="19"/>
      <c r="MPY26" s="19"/>
      <c r="MPZ26" s="19"/>
      <c r="MQA26" s="19"/>
      <c r="MQB26" s="19"/>
      <c r="MQC26" s="19"/>
      <c r="MQD26" s="19"/>
      <c r="MQE26" s="19"/>
      <c r="MQF26" s="19"/>
      <c r="MQG26" s="19"/>
      <c r="MQH26" s="19"/>
      <c r="MQI26" s="19"/>
      <c r="MQJ26" s="19"/>
      <c r="MQK26" s="19"/>
      <c r="MQL26" s="19"/>
      <c r="MQM26" s="19"/>
      <c r="MQN26" s="19"/>
      <c r="MQO26" s="19"/>
      <c r="MQP26" s="19"/>
      <c r="MQQ26" s="19"/>
      <c r="MQR26" s="19"/>
      <c r="MQS26" s="19"/>
      <c r="MQT26" s="19"/>
      <c r="MQU26" s="19"/>
      <c r="MQV26" s="19"/>
      <c r="MQW26" s="19"/>
      <c r="MQX26" s="19"/>
      <c r="MQY26" s="19"/>
      <c r="MQZ26" s="19"/>
      <c r="MRA26" s="19"/>
      <c r="MRB26" s="19"/>
      <c r="MRC26" s="19"/>
      <c r="MRD26" s="19"/>
      <c r="MRE26" s="19"/>
      <c r="MRF26" s="19"/>
      <c r="MRG26" s="19"/>
      <c r="MRH26" s="19"/>
      <c r="MRI26" s="19"/>
      <c r="MRJ26" s="19"/>
      <c r="MRK26" s="19"/>
      <c r="MRL26" s="19"/>
      <c r="MRM26" s="19"/>
      <c r="MRN26" s="19"/>
      <c r="MRO26" s="19"/>
      <c r="MRP26" s="19"/>
      <c r="MRQ26" s="19"/>
      <c r="MRR26" s="19"/>
      <c r="MRS26" s="19"/>
      <c r="MRT26" s="19"/>
      <c r="MRU26" s="19"/>
      <c r="MRV26" s="19"/>
      <c r="MRW26" s="19"/>
      <c r="MRX26" s="19"/>
      <c r="MRY26" s="19"/>
      <c r="MRZ26" s="19"/>
      <c r="MSA26" s="19"/>
      <c r="MSB26" s="19"/>
      <c r="MSC26" s="19"/>
      <c r="MSD26" s="19"/>
      <c r="MSE26" s="19"/>
      <c r="MSF26" s="19"/>
      <c r="MSG26" s="19"/>
      <c r="MSH26" s="19"/>
      <c r="MSI26" s="19"/>
      <c r="MSJ26" s="19"/>
      <c r="MSK26" s="19"/>
      <c r="MSL26" s="19"/>
      <c r="MSM26" s="19"/>
      <c r="MSN26" s="19"/>
      <c r="MSO26" s="19"/>
      <c r="MSP26" s="19"/>
      <c r="MSQ26" s="19"/>
      <c r="MSR26" s="19"/>
      <c r="MSS26" s="19"/>
      <c r="MST26" s="19"/>
      <c r="MSU26" s="19"/>
      <c r="MSV26" s="19"/>
      <c r="MSW26" s="19"/>
      <c r="MSX26" s="19"/>
      <c r="MSY26" s="19"/>
      <c r="MSZ26" s="19"/>
      <c r="MTA26" s="19"/>
      <c r="MTB26" s="19"/>
      <c r="MTC26" s="19"/>
      <c r="MTD26" s="19"/>
      <c r="MTE26" s="19"/>
      <c r="MTF26" s="19"/>
      <c r="MTG26" s="19"/>
      <c r="MTH26" s="19"/>
      <c r="MTI26" s="19"/>
      <c r="MTJ26" s="19"/>
      <c r="MTK26" s="19"/>
      <c r="MTL26" s="19"/>
      <c r="MTM26" s="19"/>
      <c r="MTN26" s="19"/>
      <c r="MTO26" s="19"/>
      <c r="MTP26" s="19"/>
      <c r="MTQ26" s="19"/>
      <c r="MTR26" s="19"/>
      <c r="MTS26" s="19"/>
      <c r="MTT26" s="19"/>
      <c r="MTU26" s="19"/>
      <c r="MTV26" s="19"/>
      <c r="MTW26" s="19"/>
      <c r="MTX26" s="19"/>
      <c r="MTY26" s="19"/>
      <c r="MTZ26" s="19"/>
      <c r="MUA26" s="19"/>
      <c r="MUB26" s="19"/>
      <c r="MUC26" s="19"/>
      <c r="MUD26" s="19"/>
      <c r="MUE26" s="19"/>
      <c r="MUF26" s="19"/>
      <c r="MUG26" s="19"/>
      <c r="MUH26" s="19"/>
      <c r="MUI26" s="19"/>
      <c r="MUJ26" s="19"/>
      <c r="MUK26" s="19"/>
      <c r="MUL26" s="19"/>
      <c r="MUM26" s="19"/>
      <c r="MUN26" s="19"/>
      <c r="MUO26" s="19"/>
      <c r="MUP26" s="19"/>
      <c r="MUQ26" s="19"/>
      <c r="MUR26" s="19"/>
      <c r="MUS26" s="19"/>
      <c r="MUT26" s="19"/>
      <c r="MUU26" s="19"/>
      <c r="MUV26" s="19"/>
      <c r="MUW26" s="19"/>
      <c r="MUX26" s="19"/>
      <c r="MUY26" s="19"/>
      <c r="MUZ26" s="19"/>
      <c r="MVA26" s="19"/>
      <c r="MVB26" s="19"/>
      <c r="MVC26" s="19"/>
      <c r="MVD26" s="19"/>
      <c r="MVE26" s="19"/>
      <c r="MVF26" s="19"/>
      <c r="MVG26" s="19"/>
      <c r="MVH26" s="19"/>
      <c r="MVI26" s="19"/>
      <c r="MVJ26" s="19"/>
      <c r="MVK26" s="19"/>
      <c r="MVL26" s="19"/>
      <c r="MVM26" s="19"/>
      <c r="MVN26" s="19"/>
      <c r="MVO26" s="19"/>
      <c r="MVP26" s="19"/>
      <c r="MVQ26" s="19"/>
      <c r="MVR26" s="19"/>
      <c r="MVS26" s="19"/>
      <c r="MVT26" s="19"/>
      <c r="MVU26" s="19"/>
      <c r="MVV26" s="19"/>
      <c r="MVW26" s="19"/>
      <c r="MVX26" s="19"/>
      <c r="MVY26" s="19"/>
      <c r="MVZ26" s="19"/>
      <c r="MWA26" s="19"/>
      <c r="MWB26" s="19"/>
      <c r="MWC26" s="19"/>
      <c r="MWD26" s="19"/>
      <c r="MWE26" s="19"/>
      <c r="MWF26" s="19"/>
      <c r="MWG26" s="19"/>
      <c r="MWH26" s="19"/>
      <c r="MWI26" s="19"/>
      <c r="MWJ26" s="19"/>
      <c r="MWK26" s="19"/>
      <c r="MWL26" s="19"/>
      <c r="MWM26" s="19"/>
      <c r="MWN26" s="19"/>
      <c r="MWO26" s="19"/>
      <c r="MWP26" s="19"/>
      <c r="MWQ26" s="19"/>
      <c r="MWR26" s="19"/>
      <c r="MWS26" s="19"/>
      <c r="MWT26" s="19"/>
      <c r="MWU26" s="19"/>
      <c r="MWV26" s="19"/>
      <c r="MWW26" s="19"/>
      <c r="MWX26" s="19"/>
      <c r="MWY26" s="19"/>
      <c r="MWZ26" s="19"/>
      <c r="MXA26" s="19"/>
      <c r="MXB26" s="19"/>
      <c r="MXC26" s="19"/>
      <c r="MXD26" s="19"/>
      <c r="MXE26" s="19"/>
      <c r="MXF26" s="19"/>
      <c r="MXG26" s="19"/>
      <c r="MXH26" s="19"/>
      <c r="MXI26" s="19"/>
      <c r="MXJ26" s="19"/>
      <c r="MXK26" s="19"/>
      <c r="MXL26" s="19"/>
      <c r="MXM26" s="19"/>
      <c r="MXN26" s="19"/>
      <c r="MXO26" s="19"/>
      <c r="MXP26" s="19"/>
      <c r="MXQ26" s="19"/>
      <c r="MXR26" s="19"/>
      <c r="MXS26" s="19"/>
      <c r="MXT26" s="19"/>
      <c r="MXU26" s="19"/>
      <c r="MXV26" s="19"/>
      <c r="MXW26" s="19"/>
      <c r="MXX26" s="19"/>
      <c r="MXY26" s="19"/>
      <c r="MXZ26" s="19"/>
      <c r="MYA26" s="19"/>
      <c r="MYB26" s="19"/>
      <c r="MYC26" s="19"/>
      <c r="MYD26" s="19"/>
      <c r="MYE26" s="19"/>
      <c r="MYF26" s="19"/>
      <c r="MYG26" s="19"/>
      <c r="MYH26" s="19"/>
      <c r="MYI26" s="19"/>
      <c r="MYJ26" s="19"/>
      <c r="MYK26" s="19"/>
      <c r="MYL26" s="19"/>
      <c r="MYM26" s="19"/>
      <c r="MYN26" s="19"/>
      <c r="MYO26" s="19"/>
      <c r="MYP26" s="19"/>
      <c r="MYQ26" s="19"/>
      <c r="MYR26" s="19"/>
      <c r="MYS26" s="19"/>
      <c r="MYT26" s="19"/>
      <c r="MYU26" s="19"/>
      <c r="MYV26" s="19"/>
      <c r="MYW26" s="19"/>
      <c r="MYX26" s="19"/>
      <c r="MYY26" s="19"/>
      <c r="MYZ26" s="19"/>
      <c r="MZA26" s="19"/>
      <c r="MZB26" s="19"/>
      <c r="MZC26" s="19"/>
      <c r="MZD26" s="19"/>
      <c r="MZE26" s="19"/>
      <c r="MZF26" s="19"/>
      <c r="MZG26" s="19"/>
      <c r="MZH26" s="19"/>
      <c r="MZI26" s="19"/>
      <c r="MZJ26" s="19"/>
      <c r="MZK26" s="19"/>
      <c r="MZL26" s="19"/>
      <c r="MZM26" s="19"/>
      <c r="MZN26" s="19"/>
      <c r="MZO26" s="19"/>
      <c r="MZP26" s="19"/>
      <c r="MZQ26" s="19"/>
      <c r="MZR26" s="19"/>
      <c r="MZS26" s="19"/>
      <c r="MZT26" s="19"/>
      <c r="MZU26" s="19"/>
      <c r="MZV26" s="19"/>
      <c r="MZW26" s="19"/>
      <c r="MZX26" s="19"/>
      <c r="MZY26" s="19"/>
      <c r="MZZ26" s="19"/>
      <c r="NAA26" s="19"/>
      <c r="NAB26" s="19"/>
      <c r="NAC26" s="19"/>
      <c r="NAD26" s="19"/>
      <c r="NAE26" s="19"/>
      <c r="NAF26" s="19"/>
      <c r="NAG26" s="19"/>
      <c r="NAH26" s="19"/>
      <c r="NAI26" s="19"/>
      <c r="NAJ26" s="19"/>
      <c r="NAK26" s="19"/>
      <c r="NAL26" s="19"/>
      <c r="NAM26" s="19"/>
      <c r="NAN26" s="19"/>
      <c r="NAO26" s="19"/>
      <c r="NAP26" s="19"/>
      <c r="NAQ26" s="19"/>
      <c r="NAR26" s="19"/>
      <c r="NAS26" s="19"/>
      <c r="NAT26" s="19"/>
      <c r="NAU26" s="19"/>
      <c r="NAV26" s="19"/>
      <c r="NAW26" s="19"/>
      <c r="NAX26" s="19"/>
      <c r="NAY26" s="19"/>
      <c r="NAZ26" s="19"/>
      <c r="NBA26" s="19"/>
      <c r="NBB26" s="19"/>
      <c r="NBC26" s="19"/>
      <c r="NBD26" s="19"/>
      <c r="NBE26" s="19"/>
      <c r="NBF26" s="19"/>
      <c r="NBG26" s="19"/>
      <c r="NBH26" s="19"/>
      <c r="NBI26" s="19"/>
      <c r="NBJ26" s="19"/>
      <c r="NBK26" s="19"/>
      <c r="NBL26" s="19"/>
      <c r="NBM26" s="19"/>
      <c r="NBN26" s="19"/>
      <c r="NBO26" s="19"/>
      <c r="NBP26" s="19"/>
      <c r="NBQ26" s="19"/>
      <c r="NBR26" s="19"/>
      <c r="NBS26" s="19"/>
      <c r="NBT26" s="19"/>
      <c r="NBU26" s="19"/>
      <c r="NBV26" s="19"/>
      <c r="NBW26" s="19"/>
      <c r="NBX26" s="19"/>
      <c r="NBY26" s="19"/>
      <c r="NBZ26" s="19"/>
      <c r="NCA26" s="19"/>
      <c r="NCB26" s="19"/>
      <c r="NCC26" s="19"/>
      <c r="NCD26" s="19"/>
      <c r="NCE26" s="19"/>
      <c r="NCF26" s="19"/>
      <c r="NCG26" s="19"/>
      <c r="NCH26" s="19"/>
      <c r="NCI26" s="19"/>
      <c r="NCJ26" s="19"/>
      <c r="NCK26" s="19"/>
      <c r="NCL26" s="19"/>
      <c r="NCM26" s="19"/>
      <c r="NCN26" s="19"/>
      <c r="NCO26" s="19"/>
      <c r="NCP26" s="19"/>
      <c r="NCQ26" s="19"/>
      <c r="NCR26" s="19"/>
      <c r="NCS26" s="19"/>
      <c r="NCT26" s="19"/>
      <c r="NCU26" s="19"/>
      <c r="NCV26" s="19"/>
      <c r="NCW26" s="19"/>
      <c r="NCX26" s="19"/>
      <c r="NCY26" s="19"/>
      <c r="NCZ26" s="19"/>
      <c r="NDA26" s="19"/>
      <c r="NDB26" s="19"/>
      <c r="NDC26" s="19"/>
      <c r="NDD26" s="19"/>
      <c r="NDE26" s="19"/>
      <c r="NDF26" s="19"/>
      <c r="NDG26" s="19"/>
      <c r="NDH26" s="19"/>
      <c r="NDI26" s="19"/>
      <c r="NDJ26" s="19"/>
      <c r="NDK26" s="19"/>
      <c r="NDL26" s="19"/>
      <c r="NDM26" s="19"/>
      <c r="NDN26" s="19"/>
      <c r="NDO26" s="19"/>
      <c r="NDP26" s="19"/>
      <c r="NDQ26" s="19"/>
      <c r="NDR26" s="19"/>
      <c r="NDS26" s="19"/>
      <c r="NDT26" s="19"/>
      <c r="NDU26" s="19"/>
      <c r="NDV26" s="19"/>
      <c r="NDW26" s="19"/>
      <c r="NDX26" s="19"/>
      <c r="NDY26" s="19"/>
      <c r="NDZ26" s="19"/>
      <c r="NEA26" s="19"/>
      <c r="NEB26" s="19"/>
      <c r="NEC26" s="19"/>
      <c r="NED26" s="19"/>
      <c r="NEE26" s="19"/>
      <c r="NEF26" s="19"/>
      <c r="NEG26" s="19"/>
      <c r="NEH26" s="19"/>
      <c r="NEI26" s="19"/>
      <c r="NEJ26" s="19"/>
      <c r="NEK26" s="19"/>
      <c r="NEL26" s="19"/>
      <c r="NEM26" s="19"/>
      <c r="NEN26" s="19"/>
      <c r="NEO26" s="19"/>
      <c r="NEP26" s="19"/>
      <c r="NEQ26" s="19"/>
      <c r="NER26" s="19"/>
      <c r="NES26" s="19"/>
      <c r="NET26" s="19"/>
      <c r="NEU26" s="19"/>
      <c r="NEV26" s="19"/>
      <c r="NEW26" s="19"/>
      <c r="NEX26" s="19"/>
      <c r="NEY26" s="19"/>
      <c r="NEZ26" s="19"/>
      <c r="NFA26" s="19"/>
      <c r="NFB26" s="19"/>
      <c r="NFC26" s="19"/>
      <c r="NFD26" s="19"/>
      <c r="NFE26" s="19"/>
      <c r="NFF26" s="19"/>
      <c r="NFG26" s="19"/>
      <c r="NFH26" s="19"/>
      <c r="NFI26" s="19"/>
      <c r="NFJ26" s="19"/>
      <c r="NFK26" s="19"/>
      <c r="NFL26" s="19"/>
      <c r="NFM26" s="19"/>
      <c r="NFN26" s="19"/>
      <c r="NFO26" s="19"/>
      <c r="NFP26" s="19"/>
      <c r="NFQ26" s="19"/>
      <c r="NFR26" s="19"/>
      <c r="NFS26" s="19"/>
      <c r="NFT26" s="19"/>
      <c r="NFU26" s="19"/>
      <c r="NFV26" s="19"/>
      <c r="NFW26" s="19"/>
      <c r="NFX26" s="19"/>
      <c r="NFY26" s="19"/>
      <c r="NFZ26" s="19"/>
      <c r="NGA26" s="19"/>
      <c r="NGB26" s="19"/>
      <c r="NGC26" s="19"/>
      <c r="NGD26" s="19"/>
      <c r="NGE26" s="19"/>
      <c r="NGF26" s="19"/>
      <c r="NGG26" s="19"/>
      <c r="NGH26" s="19"/>
      <c r="NGI26" s="19"/>
      <c r="NGJ26" s="19"/>
      <c r="NGK26" s="19"/>
      <c r="NGL26" s="19"/>
      <c r="NGM26" s="19"/>
      <c r="NGN26" s="19"/>
      <c r="NGO26" s="19"/>
      <c r="NGP26" s="19"/>
      <c r="NGQ26" s="19"/>
      <c r="NGR26" s="19"/>
      <c r="NGS26" s="19"/>
      <c r="NGT26" s="19"/>
      <c r="NGU26" s="19"/>
      <c r="NGV26" s="19"/>
      <c r="NGW26" s="19"/>
      <c r="NGX26" s="19"/>
      <c r="NGY26" s="19"/>
      <c r="NGZ26" s="19"/>
      <c r="NHA26" s="19"/>
      <c r="NHB26" s="19"/>
      <c r="NHC26" s="19"/>
      <c r="NHD26" s="19"/>
      <c r="NHE26" s="19"/>
      <c r="NHF26" s="19"/>
      <c r="NHG26" s="19"/>
      <c r="NHH26" s="19"/>
      <c r="NHI26" s="19"/>
      <c r="NHJ26" s="19"/>
      <c r="NHK26" s="19"/>
      <c r="NHL26" s="19"/>
      <c r="NHM26" s="19"/>
      <c r="NHN26" s="19"/>
      <c r="NHO26" s="19"/>
      <c r="NHP26" s="19"/>
      <c r="NHQ26" s="19"/>
      <c r="NHR26" s="19"/>
      <c r="NHS26" s="19"/>
      <c r="NHT26" s="19"/>
      <c r="NHU26" s="19"/>
      <c r="NHV26" s="19"/>
      <c r="NHW26" s="19"/>
      <c r="NHX26" s="19"/>
      <c r="NHY26" s="19"/>
      <c r="NHZ26" s="19"/>
      <c r="NIA26" s="19"/>
      <c r="NIB26" s="19"/>
      <c r="NIC26" s="19"/>
      <c r="NID26" s="19"/>
      <c r="NIE26" s="19"/>
      <c r="NIF26" s="19"/>
      <c r="NIG26" s="19"/>
      <c r="NIH26" s="19"/>
      <c r="NII26" s="19"/>
      <c r="NIJ26" s="19"/>
      <c r="NIK26" s="19"/>
      <c r="NIL26" s="19"/>
      <c r="NIM26" s="19"/>
      <c r="NIN26" s="19"/>
      <c r="NIO26" s="19"/>
      <c r="NIP26" s="19"/>
      <c r="NIQ26" s="19"/>
      <c r="NIR26" s="19"/>
      <c r="NIS26" s="19"/>
      <c r="NIT26" s="19"/>
      <c r="NIU26" s="19"/>
      <c r="NIV26" s="19"/>
      <c r="NIW26" s="19"/>
      <c r="NIX26" s="19"/>
      <c r="NIY26" s="19"/>
      <c r="NIZ26" s="19"/>
      <c r="NJA26" s="19"/>
      <c r="NJB26" s="19"/>
      <c r="NJC26" s="19"/>
      <c r="NJD26" s="19"/>
      <c r="NJE26" s="19"/>
      <c r="NJF26" s="19"/>
      <c r="NJG26" s="19"/>
      <c r="NJH26" s="19"/>
      <c r="NJI26" s="19"/>
      <c r="NJJ26" s="19"/>
      <c r="NJK26" s="19"/>
      <c r="NJL26" s="19"/>
      <c r="NJM26" s="19"/>
      <c r="NJN26" s="19"/>
      <c r="NJO26" s="19"/>
      <c r="NJP26" s="19"/>
      <c r="NJQ26" s="19"/>
      <c r="NJR26" s="19"/>
      <c r="NJS26" s="19"/>
      <c r="NJT26" s="19"/>
      <c r="NJU26" s="19"/>
      <c r="NJV26" s="19"/>
      <c r="NJW26" s="19"/>
      <c r="NJX26" s="19"/>
      <c r="NJY26" s="19"/>
      <c r="NJZ26" s="19"/>
      <c r="NKA26" s="19"/>
      <c r="NKB26" s="19"/>
      <c r="NKC26" s="19"/>
      <c r="NKD26" s="19"/>
      <c r="NKE26" s="19"/>
      <c r="NKF26" s="19"/>
      <c r="NKG26" s="19"/>
      <c r="NKH26" s="19"/>
      <c r="NKI26" s="19"/>
      <c r="NKJ26" s="19"/>
      <c r="NKK26" s="19"/>
      <c r="NKL26" s="19"/>
      <c r="NKM26" s="19"/>
      <c r="NKN26" s="19"/>
      <c r="NKO26" s="19"/>
      <c r="NKP26" s="19"/>
      <c r="NKQ26" s="19"/>
      <c r="NKR26" s="19"/>
      <c r="NKS26" s="19"/>
      <c r="NKT26" s="19"/>
      <c r="NKU26" s="19"/>
      <c r="NKV26" s="19"/>
      <c r="NKW26" s="19"/>
      <c r="NKX26" s="19"/>
      <c r="NKY26" s="19"/>
      <c r="NKZ26" s="19"/>
      <c r="NLA26" s="19"/>
      <c r="NLB26" s="19"/>
      <c r="NLC26" s="19"/>
      <c r="NLD26" s="19"/>
      <c r="NLE26" s="19"/>
      <c r="NLF26" s="19"/>
      <c r="NLG26" s="19"/>
      <c r="NLH26" s="19"/>
      <c r="NLI26" s="19"/>
      <c r="NLJ26" s="19"/>
      <c r="NLK26" s="19"/>
      <c r="NLL26" s="19"/>
      <c r="NLM26" s="19"/>
      <c r="NLN26" s="19"/>
      <c r="NLO26" s="19"/>
      <c r="NLP26" s="19"/>
      <c r="NLQ26" s="19"/>
      <c r="NLR26" s="19"/>
      <c r="NLS26" s="19"/>
      <c r="NLT26" s="19"/>
      <c r="NLU26" s="19"/>
      <c r="NLV26" s="19"/>
      <c r="NLW26" s="19"/>
      <c r="NLX26" s="19"/>
      <c r="NLY26" s="19"/>
      <c r="NLZ26" s="19"/>
      <c r="NMA26" s="19"/>
      <c r="NMB26" s="19"/>
      <c r="NMC26" s="19"/>
      <c r="NMD26" s="19"/>
      <c r="NME26" s="19"/>
      <c r="NMF26" s="19"/>
      <c r="NMG26" s="19"/>
      <c r="NMH26" s="19"/>
      <c r="NMI26" s="19"/>
      <c r="NMJ26" s="19"/>
      <c r="NMK26" s="19"/>
      <c r="NML26" s="19"/>
      <c r="NMM26" s="19"/>
      <c r="NMN26" s="19"/>
      <c r="NMO26" s="19"/>
      <c r="NMP26" s="19"/>
      <c r="NMQ26" s="19"/>
      <c r="NMR26" s="19"/>
      <c r="NMS26" s="19"/>
      <c r="NMT26" s="19"/>
      <c r="NMU26" s="19"/>
      <c r="NMV26" s="19"/>
      <c r="NMW26" s="19"/>
      <c r="NMX26" s="19"/>
      <c r="NMY26" s="19"/>
      <c r="NMZ26" s="19"/>
      <c r="NNA26" s="19"/>
      <c r="NNB26" s="19"/>
      <c r="NNC26" s="19"/>
      <c r="NND26" s="19"/>
      <c r="NNE26" s="19"/>
      <c r="NNF26" s="19"/>
      <c r="NNG26" s="19"/>
      <c r="NNH26" s="19"/>
      <c r="NNI26" s="19"/>
      <c r="NNJ26" s="19"/>
      <c r="NNK26" s="19"/>
      <c r="NNL26" s="19"/>
      <c r="NNM26" s="19"/>
      <c r="NNN26" s="19"/>
      <c r="NNO26" s="19"/>
      <c r="NNP26" s="19"/>
      <c r="NNQ26" s="19"/>
      <c r="NNR26" s="19"/>
      <c r="NNS26" s="19"/>
      <c r="NNT26" s="19"/>
      <c r="NNU26" s="19"/>
      <c r="NNV26" s="19"/>
      <c r="NNW26" s="19"/>
      <c r="NNX26" s="19"/>
      <c r="NNY26" s="19"/>
      <c r="NNZ26" s="19"/>
      <c r="NOA26" s="19"/>
      <c r="NOB26" s="19"/>
      <c r="NOC26" s="19"/>
      <c r="NOD26" s="19"/>
      <c r="NOE26" s="19"/>
      <c r="NOF26" s="19"/>
      <c r="NOG26" s="19"/>
      <c r="NOH26" s="19"/>
      <c r="NOI26" s="19"/>
      <c r="NOJ26" s="19"/>
      <c r="NOK26" s="19"/>
      <c r="NOL26" s="19"/>
      <c r="NOM26" s="19"/>
      <c r="NON26" s="19"/>
      <c r="NOO26" s="19"/>
      <c r="NOP26" s="19"/>
      <c r="NOQ26" s="19"/>
      <c r="NOR26" s="19"/>
      <c r="NOS26" s="19"/>
      <c r="NOT26" s="19"/>
      <c r="NOU26" s="19"/>
      <c r="NOV26" s="19"/>
      <c r="NOW26" s="19"/>
      <c r="NOX26" s="19"/>
      <c r="NOY26" s="19"/>
      <c r="NOZ26" s="19"/>
      <c r="NPA26" s="19"/>
      <c r="NPB26" s="19"/>
      <c r="NPC26" s="19"/>
      <c r="NPD26" s="19"/>
      <c r="NPE26" s="19"/>
      <c r="NPF26" s="19"/>
      <c r="NPG26" s="19"/>
      <c r="NPH26" s="19"/>
      <c r="NPI26" s="19"/>
      <c r="NPJ26" s="19"/>
      <c r="NPK26" s="19"/>
      <c r="NPL26" s="19"/>
      <c r="NPM26" s="19"/>
      <c r="NPN26" s="19"/>
      <c r="NPO26" s="19"/>
      <c r="NPP26" s="19"/>
      <c r="NPQ26" s="19"/>
      <c r="NPR26" s="19"/>
      <c r="NPS26" s="19"/>
      <c r="NPT26" s="19"/>
      <c r="NPU26" s="19"/>
      <c r="NPV26" s="19"/>
      <c r="NPW26" s="19"/>
      <c r="NPX26" s="19"/>
      <c r="NPY26" s="19"/>
      <c r="NPZ26" s="19"/>
      <c r="NQA26" s="19"/>
      <c r="NQB26" s="19"/>
      <c r="NQC26" s="19"/>
      <c r="NQD26" s="19"/>
      <c r="NQE26" s="19"/>
      <c r="NQF26" s="19"/>
      <c r="NQG26" s="19"/>
      <c r="NQH26" s="19"/>
      <c r="NQI26" s="19"/>
      <c r="NQJ26" s="19"/>
      <c r="NQK26" s="19"/>
      <c r="NQL26" s="19"/>
      <c r="NQM26" s="19"/>
      <c r="NQN26" s="19"/>
      <c r="NQO26" s="19"/>
      <c r="NQP26" s="19"/>
      <c r="NQQ26" s="19"/>
      <c r="NQR26" s="19"/>
      <c r="NQS26" s="19"/>
      <c r="NQT26" s="19"/>
      <c r="NQU26" s="19"/>
      <c r="NQV26" s="19"/>
      <c r="NQW26" s="19"/>
      <c r="NQX26" s="19"/>
      <c r="NQY26" s="19"/>
      <c r="NQZ26" s="19"/>
      <c r="NRA26" s="19"/>
      <c r="NRB26" s="19"/>
      <c r="NRC26" s="19"/>
      <c r="NRD26" s="19"/>
      <c r="NRE26" s="19"/>
      <c r="NRF26" s="19"/>
      <c r="NRG26" s="19"/>
      <c r="NRH26" s="19"/>
      <c r="NRI26" s="19"/>
      <c r="NRJ26" s="19"/>
      <c r="NRK26" s="19"/>
      <c r="NRL26" s="19"/>
      <c r="NRM26" s="19"/>
      <c r="NRN26" s="19"/>
      <c r="NRO26" s="19"/>
      <c r="NRP26" s="19"/>
      <c r="NRQ26" s="19"/>
      <c r="NRR26" s="19"/>
      <c r="NRS26" s="19"/>
      <c r="NRT26" s="19"/>
      <c r="NRU26" s="19"/>
      <c r="NRV26" s="19"/>
      <c r="NRW26" s="19"/>
      <c r="NRX26" s="19"/>
      <c r="NRY26" s="19"/>
      <c r="NRZ26" s="19"/>
      <c r="NSA26" s="19"/>
      <c r="NSB26" s="19"/>
      <c r="NSC26" s="19"/>
      <c r="NSD26" s="19"/>
      <c r="NSE26" s="19"/>
      <c r="NSF26" s="19"/>
      <c r="NSG26" s="19"/>
      <c r="NSH26" s="19"/>
      <c r="NSI26" s="19"/>
      <c r="NSJ26" s="19"/>
      <c r="NSK26" s="19"/>
      <c r="NSL26" s="19"/>
      <c r="NSM26" s="19"/>
      <c r="NSN26" s="19"/>
      <c r="NSO26" s="19"/>
      <c r="NSP26" s="19"/>
      <c r="NSQ26" s="19"/>
      <c r="NSR26" s="19"/>
      <c r="NSS26" s="19"/>
      <c r="NST26" s="19"/>
      <c r="NSU26" s="19"/>
      <c r="NSV26" s="19"/>
      <c r="NSW26" s="19"/>
      <c r="NSX26" s="19"/>
      <c r="NSY26" s="19"/>
      <c r="NSZ26" s="19"/>
      <c r="NTA26" s="19"/>
      <c r="NTB26" s="19"/>
      <c r="NTC26" s="19"/>
      <c r="NTD26" s="19"/>
      <c r="NTE26" s="19"/>
      <c r="NTF26" s="19"/>
      <c r="NTG26" s="19"/>
      <c r="NTH26" s="19"/>
      <c r="NTI26" s="19"/>
      <c r="NTJ26" s="19"/>
      <c r="NTK26" s="19"/>
      <c r="NTL26" s="19"/>
      <c r="NTM26" s="19"/>
      <c r="NTN26" s="19"/>
      <c r="NTO26" s="19"/>
      <c r="NTP26" s="19"/>
      <c r="NTQ26" s="19"/>
      <c r="NTR26" s="19"/>
      <c r="NTS26" s="19"/>
      <c r="NTT26" s="19"/>
      <c r="NTU26" s="19"/>
      <c r="NTV26" s="19"/>
      <c r="NTW26" s="19"/>
      <c r="NTX26" s="19"/>
      <c r="NTY26" s="19"/>
      <c r="NTZ26" s="19"/>
      <c r="NUA26" s="19"/>
      <c r="NUB26" s="19"/>
      <c r="NUC26" s="19"/>
      <c r="NUD26" s="19"/>
      <c r="NUE26" s="19"/>
      <c r="NUF26" s="19"/>
      <c r="NUG26" s="19"/>
      <c r="NUH26" s="19"/>
      <c r="NUI26" s="19"/>
      <c r="NUJ26" s="19"/>
      <c r="NUK26" s="19"/>
      <c r="NUL26" s="19"/>
      <c r="NUM26" s="19"/>
      <c r="NUN26" s="19"/>
      <c r="NUO26" s="19"/>
      <c r="NUP26" s="19"/>
      <c r="NUQ26" s="19"/>
      <c r="NUR26" s="19"/>
      <c r="NUS26" s="19"/>
      <c r="NUT26" s="19"/>
      <c r="NUU26" s="19"/>
      <c r="NUV26" s="19"/>
      <c r="NUW26" s="19"/>
      <c r="NUX26" s="19"/>
      <c r="NUY26" s="19"/>
      <c r="NUZ26" s="19"/>
      <c r="NVA26" s="19"/>
      <c r="NVB26" s="19"/>
      <c r="NVC26" s="19"/>
      <c r="NVD26" s="19"/>
      <c r="NVE26" s="19"/>
      <c r="NVF26" s="19"/>
      <c r="NVG26" s="19"/>
      <c r="NVH26" s="19"/>
      <c r="NVI26" s="19"/>
      <c r="NVJ26" s="19"/>
      <c r="NVK26" s="19"/>
      <c r="NVL26" s="19"/>
      <c r="NVM26" s="19"/>
      <c r="NVN26" s="19"/>
      <c r="NVO26" s="19"/>
      <c r="NVP26" s="19"/>
      <c r="NVQ26" s="19"/>
      <c r="NVR26" s="19"/>
      <c r="NVS26" s="19"/>
      <c r="NVT26" s="19"/>
      <c r="NVU26" s="19"/>
      <c r="NVV26" s="19"/>
      <c r="NVW26" s="19"/>
      <c r="NVX26" s="19"/>
      <c r="NVY26" s="19"/>
      <c r="NVZ26" s="19"/>
      <c r="NWA26" s="19"/>
      <c r="NWB26" s="19"/>
      <c r="NWC26" s="19"/>
      <c r="NWD26" s="19"/>
      <c r="NWE26" s="19"/>
      <c r="NWF26" s="19"/>
      <c r="NWG26" s="19"/>
      <c r="NWH26" s="19"/>
      <c r="NWI26" s="19"/>
      <c r="NWJ26" s="19"/>
      <c r="NWK26" s="19"/>
      <c r="NWL26" s="19"/>
      <c r="NWM26" s="19"/>
      <c r="NWN26" s="19"/>
      <c r="NWO26" s="19"/>
      <c r="NWP26" s="19"/>
      <c r="NWQ26" s="19"/>
      <c r="NWR26" s="19"/>
      <c r="NWS26" s="19"/>
      <c r="NWT26" s="19"/>
      <c r="NWU26" s="19"/>
      <c r="NWV26" s="19"/>
      <c r="NWW26" s="19"/>
      <c r="NWX26" s="19"/>
      <c r="NWY26" s="19"/>
      <c r="NWZ26" s="19"/>
      <c r="NXA26" s="19"/>
      <c r="NXB26" s="19"/>
      <c r="NXC26" s="19"/>
      <c r="NXD26" s="19"/>
      <c r="NXE26" s="19"/>
      <c r="NXF26" s="19"/>
      <c r="NXG26" s="19"/>
      <c r="NXH26" s="19"/>
      <c r="NXI26" s="19"/>
      <c r="NXJ26" s="19"/>
      <c r="NXK26" s="19"/>
      <c r="NXL26" s="19"/>
      <c r="NXM26" s="19"/>
      <c r="NXN26" s="19"/>
      <c r="NXO26" s="19"/>
      <c r="NXP26" s="19"/>
      <c r="NXQ26" s="19"/>
      <c r="NXR26" s="19"/>
      <c r="NXS26" s="19"/>
      <c r="NXT26" s="19"/>
      <c r="NXU26" s="19"/>
      <c r="NXV26" s="19"/>
      <c r="NXW26" s="19"/>
      <c r="NXX26" s="19"/>
      <c r="NXY26" s="19"/>
      <c r="NXZ26" s="19"/>
      <c r="NYA26" s="19"/>
      <c r="NYB26" s="19"/>
      <c r="NYC26" s="19"/>
      <c r="NYD26" s="19"/>
      <c r="NYE26" s="19"/>
      <c r="NYF26" s="19"/>
      <c r="NYG26" s="19"/>
      <c r="NYH26" s="19"/>
      <c r="NYI26" s="19"/>
      <c r="NYJ26" s="19"/>
      <c r="NYK26" s="19"/>
      <c r="NYL26" s="19"/>
      <c r="NYM26" s="19"/>
      <c r="NYN26" s="19"/>
      <c r="NYO26" s="19"/>
      <c r="NYP26" s="19"/>
      <c r="NYQ26" s="19"/>
      <c r="NYR26" s="19"/>
      <c r="NYS26" s="19"/>
      <c r="NYT26" s="19"/>
      <c r="NYU26" s="19"/>
      <c r="NYV26" s="19"/>
      <c r="NYW26" s="19"/>
      <c r="NYX26" s="19"/>
      <c r="NYY26" s="19"/>
      <c r="NYZ26" s="19"/>
      <c r="NZA26" s="19"/>
      <c r="NZB26" s="19"/>
      <c r="NZC26" s="19"/>
      <c r="NZD26" s="19"/>
      <c r="NZE26" s="19"/>
      <c r="NZF26" s="19"/>
      <c r="NZG26" s="19"/>
      <c r="NZH26" s="19"/>
      <c r="NZI26" s="19"/>
      <c r="NZJ26" s="19"/>
      <c r="NZK26" s="19"/>
      <c r="NZL26" s="19"/>
      <c r="NZM26" s="19"/>
      <c r="NZN26" s="19"/>
      <c r="NZO26" s="19"/>
      <c r="NZP26" s="19"/>
      <c r="NZQ26" s="19"/>
      <c r="NZR26" s="19"/>
      <c r="NZS26" s="19"/>
      <c r="NZT26" s="19"/>
      <c r="NZU26" s="19"/>
      <c r="NZV26" s="19"/>
      <c r="NZW26" s="19"/>
      <c r="NZX26" s="19"/>
      <c r="NZY26" s="19"/>
      <c r="NZZ26" s="19"/>
      <c r="OAA26" s="19"/>
      <c r="OAB26" s="19"/>
      <c r="OAC26" s="19"/>
      <c r="OAD26" s="19"/>
      <c r="OAE26" s="19"/>
      <c r="OAF26" s="19"/>
      <c r="OAG26" s="19"/>
      <c r="OAH26" s="19"/>
      <c r="OAI26" s="19"/>
      <c r="OAJ26" s="19"/>
      <c r="OAK26" s="19"/>
      <c r="OAL26" s="19"/>
      <c r="OAM26" s="19"/>
      <c r="OAN26" s="19"/>
      <c r="OAO26" s="19"/>
      <c r="OAP26" s="19"/>
      <c r="OAQ26" s="19"/>
      <c r="OAR26" s="19"/>
      <c r="OAS26" s="19"/>
      <c r="OAT26" s="19"/>
      <c r="OAU26" s="19"/>
      <c r="OAV26" s="19"/>
      <c r="OAW26" s="19"/>
      <c r="OAX26" s="19"/>
      <c r="OAY26" s="19"/>
      <c r="OAZ26" s="19"/>
      <c r="OBA26" s="19"/>
      <c r="OBB26" s="19"/>
      <c r="OBC26" s="19"/>
      <c r="OBD26" s="19"/>
      <c r="OBE26" s="19"/>
      <c r="OBF26" s="19"/>
      <c r="OBG26" s="19"/>
      <c r="OBH26" s="19"/>
      <c r="OBI26" s="19"/>
      <c r="OBJ26" s="19"/>
      <c r="OBK26" s="19"/>
      <c r="OBL26" s="19"/>
      <c r="OBM26" s="19"/>
      <c r="OBN26" s="19"/>
      <c r="OBO26" s="19"/>
      <c r="OBP26" s="19"/>
      <c r="OBQ26" s="19"/>
      <c r="OBR26" s="19"/>
      <c r="OBS26" s="19"/>
      <c r="OBT26" s="19"/>
      <c r="OBU26" s="19"/>
      <c r="OBV26" s="19"/>
      <c r="OBW26" s="19"/>
      <c r="OBX26" s="19"/>
      <c r="OBY26" s="19"/>
      <c r="OBZ26" s="19"/>
      <c r="OCA26" s="19"/>
      <c r="OCB26" s="19"/>
      <c r="OCC26" s="19"/>
      <c r="OCD26" s="19"/>
      <c r="OCE26" s="19"/>
      <c r="OCF26" s="19"/>
      <c r="OCG26" s="19"/>
      <c r="OCH26" s="19"/>
      <c r="OCI26" s="19"/>
      <c r="OCJ26" s="19"/>
      <c r="OCK26" s="19"/>
      <c r="OCL26" s="19"/>
      <c r="OCM26" s="19"/>
      <c r="OCN26" s="19"/>
      <c r="OCO26" s="19"/>
      <c r="OCP26" s="19"/>
      <c r="OCQ26" s="19"/>
      <c r="OCR26" s="19"/>
      <c r="OCS26" s="19"/>
      <c r="OCT26" s="19"/>
      <c r="OCU26" s="19"/>
      <c r="OCV26" s="19"/>
      <c r="OCW26" s="19"/>
      <c r="OCX26" s="19"/>
      <c r="OCY26" s="19"/>
      <c r="OCZ26" s="19"/>
      <c r="ODA26" s="19"/>
      <c r="ODB26" s="19"/>
      <c r="ODC26" s="19"/>
      <c r="ODD26" s="19"/>
      <c r="ODE26" s="19"/>
      <c r="ODF26" s="19"/>
      <c r="ODG26" s="19"/>
      <c r="ODH26" s="19"/>
      <c r="ODI26" s="19"/>
      <c r="ODJ26" s="19"/>
      <c r="ODK26" s="19"/>
      <c r="ODL26" s="19"/>
      <c r="ODM26" s="19"/>
      <c r="ODN26" s="19"/>
      <c r="ODO26" s="19"/>
      <c r="ODP26" s="19"/>
      <c r="ODQ26" s="19"/>
      <c r="ODR26" s="19"/>
      <c r="ODS26" s="19"/>
      <c r="ODT26" s="19"/>
      <c r="ODU26" s="19"/>
      <c r="ODV26" s="19"/>
      <c r="ODW26" s="19"/>
      <c r="ODX26" s="19"/>
      <c r="ODY26" s="19"/>
      <c r="ODZ26" s="19"/>
      <c r="OEA26" s="19"/>
      <c r="OEB26" s="19"/>
      <c r="OEC26" s="19"/>
      <c r="OED26" s="19"/>
      <c r="OEE26" s="19"/>
      <c r="OEF26" s="19"/>
      <c r="OEG26" s="19"/>
      <c r="OEH26" s="19"/>
      <c r="OEI26" s="19"/>
      <c r="OEJ26" s="19"/>
      <c r="OEK26" s="19"/>
      <c r="OEL26" s="19"/>
      <c r="OEM26" s="19"/>
      <c r="OEN26" s="19"/>
      <c r="OEO26" s="19"/>
      <c r="OEP26" s="19"/>
      <c r="OEQ26" s="19"/>
      <c r="OER26" s="19"/>
      <c r="OES26" s="19"/>
      <c r="OET26" s="19"/>
      <c r="OEU26" s="19"/>
      <c r="OEV26" s="19"/>
      <c r="OEW26" s="19"/>
      <c r="OEX26" s="19"/>
      <c r="OEY26" s="19"/>
      <c r="OEZ26" s="19"/>
      <c r="OFA26" s="19"/>
      <c r="OFB26" s="19"/>
      <c r="OFC26" s="19"/>
      <c r="OFD26" s="19"/>
      <c r="OFE26" s="19"/>
      <c r="OFF26" s="19"/>
      <c r="OFG26" s="19"/>
      <c r="OFH26" s="19"/>
      <c r="OFI26" s="19"/>
      <c r="OFJ26" s="19"/>
      <c r="OFK26" s="19"/>
      <c r="OFL26" s="19"/>
      <c r="OFM26" s="19"/>
      <c r="OFN26" s="19"/>
      <c r="OFO26" s="19"/>
      <c r="OFP26" s="19"/>
      <c r="OFQ26" s="19"/>
      <c r="OFR26" s="19"/>
      <c r="OFS26" s="19"/>
      <c r="OFT26" s="19"/>
      <c r="OFU26" s="19"/>
      <c r="OFV26" s="19"/>
      <c r="OFW26" s="19"/>
      <c r="OFX26" s="19"/>
      <c r="OFY26" s="19"/>
      <c r="OFZ26" s="19"/>
      <c r="OGA26" s="19"/>
      <c r="OGB26" s="19"/>
      <c r="OGC26" s="19"/>
      <c r="OGD26" s="19"/>
      <c r="OGE26" s="19"/>
      <c r="OGF26" s="19"/>
      <c r="OGG26" s="19"/>
      <c r="OGH26" s="19"/>
      <c r="OGI26" s="19"/>
      <c r="OGJ26" s="19"/>
      <c r="OGK26" s="19"/>
      <c r="OGL26" s="19"/>
      <c r="OGM26" s="19"/>
      <c r="OGN26" s="19"/>
      <c r="OGO26" s="19"/>
      <c r="OGP26" s="19"/>
      <c r="OGQ26" s="19"/>
      <c r="OGR26" s="19"/>
      <c r="OGS26" s="19"/>
      <c r="OGT26" s="19"/>
      <c r="OGU26" s="19"/>
      <c r="OGV26" s="19"/>
      <c r="OGW26" s="19"/>
      <c r="OGX26" s="19"/>
      <c r="OGY26" s="19"/>
      <c r="OGZ26" s="19"/>
      <c r="OHA26" s="19"/>
      <c r="OHB26" s="19"/>
      <c r="OHC26" s="19"/>
      <c r="OHD26" s="19"/>
      <c r="OHE26" s="19"/>
      <c r="OHF26" s="19"/>
      <c r="OHG26" s="19"/>
      <c r="OHH26" s="19"/>
      <c r="OHI26" s="19"/>
      <c r="OHJ26" s="19"/>
      <c r="OHK26" s="19"/>
      <c r="OHL26" s="19"/>
      <c r="OHM26" s="19"/>
      <c r="OHN26" s="19"/>
      <c r="OHO26" s="19"/>
      <c r="OHP26" s="19"/>
      <c r="OHQ26" s="19"/>
      <c r="OHR26" s="19"/>
      <c r="OHS26" s="19"/>
      <c r="OHT26" s="19"/>
      <c r="OHU26" s="19"/>
      <c r="OHV26" s="19"/>
      <c r="OHW26" s="19"/>
      <c r="OHX26" s="19"/>
      <c r="OHY26" s="19"/>
      <c r="OHZ26" s="19"/>
      <c r="OIA26" s="19"/>
      <c r="OIB26" s="19"/>
      <c r="OIC26" s="19"/>
      <c r="OID26" s="19"/>
      <c r="OIE26" s="19"/>
      <c r="OIF26" s="19"/>
      <c r="OIG26" s="19"/>
      <c r="OIH26" s="19"/>
      <c r="OII26" s="19"/>
      <c r="OIJ26" s="19"/>
      <c r="OIK26" s="19"/>
      <c r="OIL26" s="19"/>
      <c r="OIM26" s="19"/>
      <c r="OIN26" s="19"/>
      <c r="OIO26" s="19"/>
      <c r="OIP26" s="19"/>
      <c r="OIQ26" s="19"/>
      <c r="OIR26" s="19"/>
      <c r="OIS26" s="19"/>
      <c r="OIT26" s="19"/>
      <c r="OIU26" s="19"/>
      <c r="OIV26" s="19"/>
      <c r="OIW26" s="19"/>
      <c r="OIX26" s="19"/>
      <c r="OIY26" s="19"/>
      <c r="OIZ26" s="19"/>
      <c r="OJA26" s="19"/>
      <c r="OJB26" s="19"/>
      <c r="OJC26" s="19"/>
      <c r="OJD26" s="19"/>
      <c r="OJE26" s="19"/>
      <c r="OJF26" s="19"/>
      <c r="OJG26" s="19"/>
      <c r="OJH26" s="19"/>
      <c r="OJI26" s="19"/>
      <c r="OJJ26" s="19"/>
      <c r="OJK26" s="19"/>
      <c r="OJL26" s="19"/>
      <c r="OJM26" s="19"/>
      <c r="OJN26" s="19"/>
      <c r="OJO26" s="19"/>
      <c r="OJP26" s="19"/>
      <c r="OJQ26" s="19"/>
      <c r="OJR26" s="19"/>
      <c r="OJS26" s="19"/>
      <c r="OJT26" s="19"/>
      <c r="OJU26" s="19"/>
      <c r="OJV26" s="19"/>
      <c r="OJW26" s="19"/>
      <c r="OJX26" s="19"/>
      <c r="OJY26" s="19"/>
      <c r="OJZ26" s="19"/>
      <c r="OKA26" s="19"/>
      <c r="OKB26" s="19"/>
      <c r="OKC26" s="19"/>
      <c r="OKD26" s="19"/>
      <c r="OKE26" s="19"/>
      <c r="OKF26" s="19"/>
      <c r="OKG26" s="19"/>
      <c r="OKH26" s="19"/>
      <c r="OKI26" s="19"/>
      <c r="OKJ26" s="19"/>
      <c r="OKK26" s="19"/>
      <c r="OKL26" s="19"/>
      <c r="OKM26" s="19"/>
      <c r="OKN26" s="19"/>
      <c r="OKO26" s="19"/>
      <c r="OKP26" s="19"/>
      <c r="OKQ26" s="19"/>
      <c r="OKR26" s="19"/>
      <c r="OKS26" s="19"/>
      <c r="OKT26" s="19"/>
      <c r="OKU26" s="19"/>
      <c r="OKV26" s="19"/>
      <c r="OKW26" s="19"/>
      <c r="OKX26" s="19"/>
      <c r="OKY26" s="19"/>
      <c r="OKZ26" s="19"/>
      <c r="OLA26" s="19"/>
      <c r="OLB26" s="19"/>
      <c r="OLC26" s="19"/>
      <c r="OLD26" s="19"/>
      <c r="OLE26" s="19"/>
      <c r="OLF26" s="19"/>
      <c r="OLG26" s="19"/>
      <c r="OLH26" s="19"/>
      <c r="OLI26" s="19"/>
      <c r="OLJ26" s="19"/>
      <c r="OLK26" s="19"/>
      <c r="OLL26" s="19"/>
      <c r="OLM26" s="19"/>
      <c r="OLN26" s="19"/>
      <c r="OLO26" s="19"/>
      <c r="OLP26" s="19"/>
      <c r="OLQ26" s="19"/>
      <c r="OLR26" s="19"/>
      <c r="OLS26" s="19"/>
      <c r="OLT26" s="19"/>
      <c r="OLU26" s="19"/>
      <c r="OLV26" s="19"/>
      <c r="OLW26" s="19"/>
      <c r="OLX26" s="19"/>
      <c r="OLY26" s="19"/>
      <c r="OLZ26" s="19"/>
      <c r="OMA26" s="19"/>
      <c r="OMB26" s="19"/>
      <c r="OMC26" s="19"/>
      <c r="OMD26" s="19"/>
      <c r="OME26" s="19"/>
      <c r="OMF26" s="19"/>
      <c r="OMG26" s="19"/>
      <c r="OMH26" s="19"/>
      <c r="OMI26" s="19"/>
      <c r="OMJ26" s="19"/>
      <c r="OMK26" s="19"/>
      <c r="OML26" s="19"/>
      <c r="OMM26" s="19"/>
      <c r="OMN26" s="19"/>
      <c r="OMO26" s="19"/>
      <c r="OMP26" s="19"/>
      <c r="OMQ26" s="19"/>
      <c r="OMR26" s="19"/>
      <c r="OMS26" s="19"/>
      <c r="OMT26" s="19"/>
      <c r="OMU26" s="19"/>
      <c r="OMV26" s="19"/>
      <c r="OMW26" s="19"/>
      <c r="OMX26" s="19"/>
      <c r="OMY26" s="19"/>
      <c r="OMZ26" s="19"/>
      <c r="ONA26" s="19"/>
      <c r="ONB26" s="19"/>
      <c r="ONC26" s="19"/>
      <c r="OND26" s="19"/>
      <c r="ONE26" s="19"/>
      <c r="ONF26" s="19"/>
      <c r="ONG26" s="19"/>
      <c r="ONH26" s="19"/>
      <c r="ONI26" s="19"/>
      <c r="ONJ26" s="19"/>
      <c r="ONK26" s="19"/>
      <c r="ONL26" s="19"/>
      <c r="ONM26" s="19"/>
      <c r="ONN26" s="19"/>
      <c r="ONO26" s="19"/>
      <c r="ONP26" s="19"/>
      <c r="ONQ26" s="19"/>
      <c r="ONR26" s="19"/>
      <c r="ONS26" s="19"/>
      <c r="ONT26" s="19"/>
      <c r="ONU26" s="19"/>
      <c r="ONV26" s="19"/>
      <c r="ONW26" s="19"/>
      <c r="ONX26" s="19"/>
      <c r="ONY26" s="19"/>
      <c r="ONZ26" s="19"/>
      <c r="OOA26" s="19"/>
      <c r="OOB26" s="19"/>
      <c r="OOC26" s="19"/>
      <c r="OOD26" s="19"/>
      <c r="OOE26" s="19"/>
      <c r="OOF26" s="19"/>
      <c r="OOG26" s="19"/>
      <c r="OOH26" s="19"/>
      <c r="OOI26" s="19"/>
      <c r="OOJ26" s="19"/>
      <c r="OOK26" s="19"/>
      <c r="OOL26" s="19"/>
      <c r="OOM26" s="19"/>
      <c r="OON26" s="19"/>
      <c r="OOO26" s="19"/>
      <c r="OOP26" s="19"/>
      <c r="OOQ26" s="19"/>
      <c r="OOR26" s="19"/>
      <c r="OOS26" s="19"/>
      <c r="OOT26" s="19"/>
      <c r="OOU26" s="19"/>
      <c r="OOV26" s="19"/>
      <c r="OOW26" s="19"/>
      <c r="OOX26" s="19"/>
      <c r="OOY26" s="19"/>
      <c r="OOZ26" s="19"/>
      <c r="OPA26" s="19"/>
      <c r="OPB26" s="19"/>
      <c r="OPC26" s="19"/>
      <c r="OPD26" s="19"/>
      <c r="OPE26" s="19"/>
      <c r="OPF26" s="19"/>
      <c r="OPG26" s="19"/>
      <c r="OPH26" s="19"/>
      <c r="OPI26" s="19"/>
      <c r="OPJ26" s="19"/>
      <c r="OPK26" s="19"/>
      <c r="OPL26" s="19"/>
      <c r="OPM26" s="19"/>
      <c r="OPN26" s="19"/>
      <c r="OPO26" s="19"/>
      <c r="OPP26" s="19"/>
      <c r="OPQ26" s="19"/>
      <c r="OPR26" s="19"/>
      <c r="OPS26" s="19"/>
      <c r="OPT26" s="19"/>
      <c r="OPU26" s="19"/>
      <c r="OPV26" s="19"/>
      <c r="OPW26" s="19"/>
      <c r="OPX26" s="19"/>
      <c r="OPY26" s="19"/>
      <c r="OPZ26" s="19"/>
      <c r="OQA26" s="19"/>
      <c r="OQB26" s="19"/>
      <c r="OQC26" s="19"/>
      <c r="OQD26" s="19"/>
      <c r="OQE26" s="19"/>
      <c r="OQF26" s="19"/>
      <c r="OQG26" s="19"/>
      <c r="OQH26" s="19"/>
      <c r="OQI26" s="19"/>
      <c r="OQJ26" s="19"/>
      <c r="OQK26" s="19"/>
      <c r="OQL26" s="19"/>
      <c r="OQM26" s="19"/>
      <c r="OQN26" s="19"/>
      <c r="OQO26" s="19"/>
      <c r="OQP26" s="19"/>
      <c r="OQQ26" s="19"/>
      <c r="OQR26" s="19"/>
      <c r="OQS26" s="19"/>
      <c r="OQT26" s="19"/>
      <c r="OQU26" s="19"/>
      <c r="OQV26" s="19"/>
      <c r="OQW26" s="19"/>
      <c r="OQX26" s="19"/>
      <c r="OQY26" s="19"/>
      <c r="OQZ26" s="19"/>
      <c r="ORA26" s="19"/>
      <c r="ORB26" s="19"/>
      <c r="ORC26" s="19"/>
      <c r="ORD26" s="19"/>
      <c r="ORE26" s="19"/>
      <c r="ORF26" s="19"/>
      <c r="ORG26" s="19"/>
      <c r="ORH26" s="19"/>
      <c r="ORI26" s="19"/>
      <c r="ORJ26" s="19"/>
      <c r="ORK26" s="19"/>
      <c r="ORL26" s="19"/>
      <c r="ORM26" s="19"/>
      <c r="ORN26" s="19"/>
      <c r="ORO26" s="19"/>
      <c r="ORP26" s="19"/>
      <c r="ORQ26" s="19"/>
      <c r="ORR26" s="19"/>
      <c r="ORS26" s="19"/>
      <c r="ORT26" s="19"/>
      <c r="ORU26" s="19"/>
      <c r="ORV26" s="19"/>
      <c r="ORW26" s="19"/>
      <c r="ORX26" s="19"/>
      <c r="ORY26" s="19"/>
      <c r="ORZ26" s="19"/>
      <c r="OSA26" s="19"/>
      <c r="OSB26" s="19"/>
      <c r="OSC26" s="19"/>
      <c r="OSD26" s="19"/>
      <c r="OSE26" s="19"/>
      <c r="OSF26" s="19"/>
      <c r="OSG26" s="19"/>
      <c r="OSH26" s="19"/>
      <c r="OSI26" s="19"/>
      <c r="OSJ26" s="19"/>
      <c r="OSK26" s="19"/>
      <c r="OSL26" s="19"/>
      <c r="OSM26" s="19"/>
      <c r="OSN26" s="19"/>
      <c r="OSO26" s="19"/>
      <c r="OSP26" s="19"/>
      <c r="OSQ26" s="19"/>
      <c r="OSR26" s="19"/>
      <c r="OSS26" s="19"/>
      <c r="OST26" s="19"/>
      <c r="OSU26" s="19"/>
      <c r="OSV26" s="19"/>
      <c r="OSW26" s="19"/>
      <c r="OSX26" s="19"/>
      <c r="OSY26" s="19"/>
      <c r="OSZ26" s="19"/>
      <c r="OTA26" s="19"/>
      <c r="OTB26" s="19"/>
      <c r="OTC26" s="19"/>
      <c r="OTD26" s="19"/>
      <c r="OTE26" s="19"/>
      <c r="OTF26" s="19"/>
      <c r="OTG26" s="19"/>
      <c r="OTH26" s="19"/>
      <c r="OTI26" s="19"/>
      <c r="OTJ26" s="19"/>
      <c r="OTK26" s="19"/>
      <c r="OTL26" s="19"/>
      <c r="OTM26" s="19"/>
      <c r="OTN26" s="19"/>
      <c r="OTO26" s="19"/>
      <c r="OTP26" s="19"/>
      <c r="OTQ26" s="19"/>
      <c r="OTR26" s="19"/>
      <c r="OTS26" s="19"/>
      <c r="OTT26" s="19"/>
      <c r="OTU26" s="19"/>
      <c r="OTV26" s="19"/>
      <c r="OTW26" s="19"/>
      <c r="OTX26" s="19"/>
      <c r="OTY26" s="19"/>
      <c r="OTZ26" s="19"/>
      <c r="OUA26" s="19"/>
      <c r="OUB26" s="19"/>
      <c r="OUC26" s="19"/>
      <c r="OUD26" s="19"/>
      <c r="OUE26" s="19"/>
      <c r="OUF26" s="19"/>
      <c r="OUG26" s="19"/>
      <c r="OUH26" s="19"/>
      <c r="OUI26" s="19"/>
      <c r="OUJ26" s="19"/>
      <c r="OUK26" s="19"/>
      <c r="OUL26" s="19"/>
      <c r="OUM26" s="19"/>
      <c r="OUN26" s="19"/>
      <c r="OUO26" s="19"/>
      <c r="OUP26" s="19"/>
      <c r="OUQ26" s="19"/>
      <c r="OUR26" s="19"/>
      <c r="OUS26" s="19"/>
      <c r="OUT26" s="19"/>
      <c r="OUU26" s="19"/>
      <c r="OUV26" s="19"/>
      <c r="OUW26" s="19"/>
      <c r="OUX26" s="19"/>
      <c r="OUY26" s="19"/>
      <c r="OUZ26" s="19"/>
      <c r="OVA26" s="19"/>
      <c r="OVB26" s="19"/>
      <c r="OVC26" s="19"/>
      <c r="OVD26" s="19"/>
      <c r="OVE26" s="19"/>
      <c r="OVF26" s="19"/>
      <c r="OVG26" s="19"/>
      <c r="OVH26" s="19"/>
      <c r="OVI26" s="19"/>
      <c r="OVJ26" s="19"/>
      <c r="OVK26" s="19"/>
      <c r="OVL26" s="19"/>
      <c r="OVM26" s="19"/>
      <c r="OVN26" s="19"/>
      <c r="OVO26" s="19"/>
      <c r="OVP26" s="19"/>
      <c r="OVQ26" s="19"/>
      <c r="OVR26" s="19"/>
      <c r="OVS26" s="19"/>
      <c r="OVT26" s="19"/>
      <c r="OVU26" s="19"/>
      <c r="OVV26" s="19"/>
      <c r="OVW26" s="19"/>
      <c r="OVX26" s="19"/>
      <c r="OVY26" s="19"/>
      <c r="OVZ26" s="19"/>
      <c r="OWA26" s="19"/>
      <c r="OWB26" s="19"/>
      <c r="OWC26" s="19"/>
      <c r="OWD26" s="19"/>
      <c r="OWE26" s="19"/>
      <c r="OWF26" s="19"/>
      <c r="OWG26" s="19"/>
      <c r="OWH26" s="19"/>
      <c r="OWI26" s="19"/>
      <c r="OWJ26" s="19"/>
      <c r="OWK26" s="19"/>
      <c r="OWL26" s="19"/>
      <c r="OWM26" s="19"/>
      <c r="OWN26" s="19"/>
      <c r="OWO26" s="19"/>
      <c r="OWP26" s="19"/>
      <c r="OWQ26" s="19"/>
      <c r="OWR26" s="19"/>
      <c r="OWS26" s="19"/>
      <c r="OWT26" s="19"/>
      <c r="OWU26" s="19"/>
      <c r="OWV26" s="19"/>
      <c r="OWW26" s="19"/>
      <c r="OWX26" s="19"/>
      <c r="OWY26" s="19"/>
      <c r="OWZ26" s="19"/>
      <c r="OXA26" s="19"/>
      <c r="OXB26" s="19"/>
      <c r="OXC26" s="19"/>
      <c r="OXD26" s="19"/>
      <c r="OXE26" s="19"/>
      <c r="OXF26" s="19"/>
      <c r="OXG26" s="19"/>
      <c r="OXH26" s="19"/>
      <c r="OXI26" s="19"/>
      <c r="OXJ26" s="19"/>
      <c r="OXK26" s="19"/>
      <c r="OXL26" s="19"/>
      <c r="OXM26" s="19"/>
      <c r="OXN26" s="19"/>
      <c r="OXO26" s="19"/>
      <c r="OXP26" s="19"/>
      <c r="OXQ26" s="19"/>
      <c r="OXR26" s="19"/>
      <c r="OXS26" s="19"/>
      <c r="OXT26" s="19"/>
      <c r="OXU26" s="19"/>
      <c r="OXV26" s="19"/>
      <c r="OXW26" s="19"/>
      <c r="OXX26" s="19"/>
      <c r="OXY26" s="19"/>
      <c r="OXZ26" s="19"/>
      <c r="OYA26" s="19"/>
      <c r="OYB26" s="19"/>
      <c r="OYC26" s="19"/>
      <c r="OYD26" s="19"/>
      <c r="OYE26" s="19"/>
      <c r="OYF26" s="19"/>
      <c r="OYG26" s="19"/>
      <c r="OYH26" s="19"/>
      <c r="OYI26" s="19"/>
      <c r="OYJ26" s="19"/>
      <c r="OYK26" s="19"/>
      <c r="OYL26" s="19"/>
      <c r="OYM26" s="19"/>
      <c r="OYN26" s="19"/>
      <c r="OYO26" s="19"/>
      <c r="OYP26" s="19"/>
      <c r="OYQ26" s="19"/>
      <c r="OYR26" s="19"/>
      <c r="OYS26" s="19"/>
      <c r="OYT26" s="19"/>
      <c r="OYU26" s="19"/>
      <c r="OYV26" s="19"/>
      <c r="OYW26" s="19"/>
      <c r="OYX26" s="19"/>
      <c r="OYY26" s="19"/>
      <c r="OYZ26" s="19"/>
      <c r="OZA26" s="19"/>
      <c r="OZB26" s="19"/>
      <c r="OZC26" s="19"/>
      <c r="OZD26" s="19"/>
      <c r="OZE26" s="19"/>
      <c r="OZF26" s="19"/>
      <c r="OZG26" s="19"/>
      <c r="OZH26" s="19"/>
      <c r="OZI26" s="19"/>
      <c r="OZJ26" s="19"/>
      <c r="OZK26" s="19"/>
      <c r="OZL26" s="19"/>
      <c r="OZM26" s="19"/>
      <c r="OZN26" s="19"/>
      <c r="OZO26" s="19"/>
      <c r="OZP26" s="19"/>
      <c r="OZQ26" s="19"/>
      <c r="OZR26" s="19"/>
      <c r="OZS26" s="19"/>
      <c r="OZT26" s="19"/>
      <c r="OZU26" s="19"/>
      <c r="OZV26" s="19"/>
      <c r="OZW26" s="19"/>
      <c r="OZX26" s="19"/>
      <c r="OZY26" s="19"/>
      <c r="OZZ26" s="19"/>
      <c r="PAA26" s="19"/>
      <c r="PAB26" s="19"/>
      <c r="PAC26" s="19"/>
      <c r="PAD26" s="19"/>
      <c r="PAE26" s="19"/>
      <c r="PAF26" s="19"/>
      <c r="PAG26" s="19"/>
      <c r="PAH26" s="19"/>
      <c r="PAI26" s="19"/>
      <c r="PAJ26" s="19"/>
      <c r="PAK26" s="19"/>
      <c r="PAL26" s="19"/>
      <c r="PAM26" s="19"/>
      <c r="PAN26" s="19"/>
      <c r="PAO26" s="19"/>
      <c r="PAP26" s="19"/>
      <c r="PAQ26" s="19"/>
      <c r="PAR26" s="19"/>
      <c r="PAS26" s="19"/>
      <c r="PAT26" s="19"/>
      <c r="PAU26" s="19"/>
      <c r="PAV26" s="19"/>
      <c r="PAW26" s="19"/>
      <c r="PAX26" s="19"/>
      <c r="PAY26" s="19"/>
      <c r="PAZ26" s="19"/>
      <c r="PBA26" s="19"/>
      <c r="PBB26" s="19"/>
      <c r="PBC26" s="19"/>
      <c r="PBD26" s="19"/>
      <c r="PBE26" s="19"/>
      <c r="PBF26" s="19"/>
      <c r="PBG26" s="19"/>
      <c r="PBH26" s="19"/>
      <c r="PBI26" s="19"/>
      <c r="PBJ26" s="19"/>
      <c r="PBK26" s="19"/>
      <c r="PBL26" s="19"/>
      <c r="PBM26" s="19"/>
      <c r="PBN26" s="19"/>
      <c r="PBO26" s="19"/>
      <c r="PBP26" s="19"/>
      <c r="PBQ26" s="19"/>
      <c r="PBR26" s="19"/>
      <c r="PBS26" s="19"/>
      <c r="PBT26" s="19"/>
      <c r="PBU26" s="19"/>
      <c r="PBV26" s="19"/>
      <c r="PBW26" s="19"/>
      <c r="PBX26" s="19"/>
      <c r="PBY26" s="19"/>
      <c r="PBZ26" s="19"/>
      <c r="PCA26" s="19"/>
      <c r="PCB26" s="19"/>
      <c r="PCC26" s="19"/>
      <c r="PCD26" s="19"/>
      <c r="PCE26" s="19"/>
      <c r="PCF26" s="19"/>
      <c r="PCG26" s="19"/>
      <c r="PCH26" s="19"/>
      <c r="PCI26" s="19"/>
      <c r="PCJ26" s="19"/>
      <c r="PCK26" s="19"/>
      <c r="PCL26" s="19"/>
      <c r="PCM26" s="19"/>
      <c r="PCN26" s="19"/>
      <c r="PCO26" s="19"/>
      <c r="PCP26" s="19"/>
      <c r="PCQ26" s="19"/>
      <c r="PCR26" s="19"/>
      <c r="PCS26" s="19"/>
      <c r="PCT26" s="19"/>
      <c r="PCU26" s="19"/>
      <c r="PCV26" s="19"/>
      <c r="PCW26" s="19"/>
      <c r="PCX26" s="19"/>
      <c r="PCY26" s="19"/>
      <c r="PCZ26" s="19"/>
      <c r="PDA26" s="19"/>
      <c r="PDB26" s="19"/>
      <c r="PDC26" s="19"/>
      <c r="PDD26" s="19"/>
      <c r="PDE26" s="19"/>
      <c r="PDF26" s="19"/>
      <c r="PDG26" s="19"/>
      <c r="PDH26" s="19"/>
      <c r="PDI26" s="19"/>
      <c r="PDJ26" s="19"/>
      <c r="PDK26" s="19"/>
      <c r="PDL26" s="19"/>
      <c r="PDM26" s="19"/>
      <c r="PDN26" s="19"/>
      <c r="PDO26" s="19"/>
      <c r="PDP26" s="19"/>
      <c r="PDQ26" s="19"/>
      <c r="PDR26" s="19"/>
      <c r="PDS26" s="19"/>
      <c r="PDT26" s="19"/>
      <c r="PDU26" s="19"/>
      <c r="PDV26" s="19"/>
      <c r="PDW26" s="19"/>
      <c r="PDX26" s="19"/>
      <c r="PDY26" s="19"/>
      <c r="PDZ26" s="19"/>
      <c r="PEA26" s="19"/>
      <c r="PEB26" s="19"/>
      <c r="PEC26" s="19"/>
      <c r="PED26" s="19"/>
      <c r="PEE26" s="19"/>
      <c r="PEF26" s="19"/>
      <c r="PEG26" s="19"/>
      <c r="PEH26" s="19"/>
      <c r="PEI26" s="19"/>
      <c r="PEJ26" s="19"/>
      <c r="PEK26" s="19"/>
      <c r="PEL26" s="19"/>
      <c r="PEM26" s="19"/>
      <c r="PEN26" s="19"/>
      <c r="PEO26" s="19"/>
      <c r="PEP26" s="19"/>
      <c r="PEQ26" s="19"/>
      <c r="PER26" s="19"/>
      <c r="PES26" s="19"/>
      <c r="PET26" s="19"/>
      <c r="PEU26" s="19"/>
      <c r="PEV26" s="19"/>
      <c r="PEW26" s="19"/>
      <c r="PEX26" s="19"/>
      <c r="PEY26" s="19"/>
      <c r="PEZ26" s="19"/>
      <c r="PFA26" s="19"/>
      <c r="PFB26" s="19"/>
      <c r="PFC26" s="19"/>
      <c r="PFD26" s="19"/>
      <c r="PFE26" s="19"/>
      <c r="PFF26" s="19"/>
      <c r="PFG26" s="19"/>
      <c r="PFH26" s="19"/>
      <c r="PFI26" s="19"/>
      <c r="PFJ26" s="19"/>
      <c r="PFK26" s="19"/>
      <c r="PFL26" s="19"/>
      <c r="PFM26" s="19"/>
      <c r="PFN26" s="19"/>
      <c r="PFO26" s="19"/>
      <c r="PFP26" s="19"/>
      <c r="PFQ26" s="19"/>
      <c r="PFR26" s="19"/>
      <c r="PFS26" s="19"/>
      <c r="PFT26" s="19"/>
      <c r="PFU26" s="19"/>
      <c r="PFV26" s="19"/>
      <c r="PFW26" s="19"/>
      <c r="PFX26" s="19"/>
      <c r="PFY26" s="19"/>
      <c r="PFZ26" s="19"/>
      <c r="PGA26" s="19"/>
      <c r="PGB26" s="19"/>
      <c r="PGC26" s="19"/>
      <c r="PGD26" s="19"/>
      <c r="PGE26" s="19"/>
      <c r="PGF26" s="19"/>
      <c r="PGG26" s="19"/>
      <c r="PGH26" s="19"/>
      <c r="PGI26" s="19"/>
      <c r="PGJ26" s="19"/>
      <c r="PGK26" s="19"/>
      <c r="PGL26" s="19"/>
      <c r="PGM26" s="19"/>
      <c r="PGN26" s="19"/>
      <c r="PGO26" s="19"/>
      <c r="PGP26" s="19"/>
      <c r="PGQ26" s="19"/>
      <c r="PGR26" s="19"/>
      <c r="PGS26" s="19"/>
      <c r="PGT26" s="19"/>
      <c r="PGU26" s="19"/>
      <c r="PGV26" s="19"/>
      <c r="PGW26" s="19"/>
      <c r="PGX26" s="19"/>
      <c r="PGY26" s="19"/>
      <c r="PGZ26" s="19"/>
      <c r="PHA26" s="19"/>
      <c r="PHB26" s="19"/>
      <c r="PHC26" s="19"/>
      <c r="PHD26" s="19"/>
      <c r="PHE26" s="19"/>
      <c r="PHF26" s="19"/>
      <c r="PHG26" s="19"/>
      <c r="PHH26" s="19"/>
      <c r="PHI26" s="19"/>
      <c r="PHJ26" s="19"/>
      <c r="PHK26" s="19"/>
      <c r="PHL26" s="19"/>
      <c r="PHM26" s="19"/>
      <c r="PHN26" s="19"/>
      <c r="PHO26" s="19"/>
      <c r="PHP26" s="19"/>
      <c r="PHQ26" s="19"/>
      <c r="PHR26" s="19"/>
      <c r="PHS26" s="19"/>
      <c r="PHT26" s="19"/>
      <c r="PHU26" s="19"/>
      <c r="PHV26" s="19"/>
      <c r="PHW26" s="19"/>
      <c r="PHX26" s="19"/>
      <c r="PHY26" s="19"/>
      <c r="PHZ26" s="19"/>
      <c r="PIA26" s="19"/>
      <c r="PIB26" s="19"/>
      <c r="PIC26" s="19"/>
      <c r="PID26" s="19"/>
      <c r="PIE26" s="19"/>
      <c r="PIF26" s="19"/>
      <c r="PIG26" s="19"/>
      <c r="PIH26" s="19"/>
      <c r="PII26" s="19"/>
      <c r="PIJ26" s="19"/>
      <c r="PIK26" s="19"/>
      <c r="PIL26" s="19"/>
      <c r="PIM26" s="19"/>
      <c r="PIN26" s="19"/>
      <c r="PIO26" s="19"/>
      <c r="PIP26" s="19"/>
      <c r="PIQ26" s="19"/>
      <c r="PIR26" s="19"/>
      <c r="PIS26" s="19"/>
      <c r="PIT26" s="19"/>
      <c r="PIU26" s="19"/>
      <c r="PIV26" s="19"/>
      <c r="PIW26" s="19"/>
      <c r="PIX26" s="19"/>
      <c r="PIY26" s="19"/>
      <c r="PIZ26" s="19"/>
      <c r="PJA26" s="19"/>
      <c r="PJB26" s="19"/>
      <c r="PJC26" s="19"/>
      <c r="PJD26" s="19"/>
      <c r="PJE26" s="19"/>
      <c r="PJF26" s="19"/>
      <c r="PJG26" s="19"/>
      <c r="PJH26" s="19"/>
      <c r="PJI26" s="19"/>
      <c r="PJJ26" s="19"/>
      <c r="PJK26" s="19"/>
      <c r="PJL26" s="19"/>
      <c r="PJM26" s="19"/>
      <c r="PJN26" s="19"/>
      <c r="PJO26" s="19"/>
      <c r="PJP26" s="19"/>
      <c r="PJQ26" s="19"/>
      <c r="PJR26" s="19"/>
      <c r="PJS26" s="19"/>
      <c r="PJT26" s="19"/>
      <c r="PJU26" s="19"/>
      <c r="PJV26" s="19"/>
      <c r="PJW26" s="19"/>
      <c r="PJX26" s="19"/>
      <c r="PJY26" s="19"/>
      <c r="PJZ26" s="19"/>
      <c r="PKA26" s="19"/>
      <c r="PKB26" s="19"/>
      <c r="PKC26" s="19"/>
      <c r="PKD26" s="19"/>
      <c r="PKE26" s="19"/>
      <c r="PKF26" s="19"/>
      <c r="PKG26" s="19"/>
      <c r="PKH26" s="19"/>
      <c r="PKI26" s="19"/>
      <c r="PKJ26" s="19"/>
      <c r="PKK26" s="19"/>
      <c r="PKL26" s="19"/>
      <c r="PKM26" s="19"/>
      <c r="PKN26" s="19"/>
      <c r="PKO26" s="19"/>
      <c r="PKP26" s="19"/>
      <c r="PKQ26" s="19"/>
      <c r="PKR26" s="19"/>
      <c r="PKS26" s="19"/>
      <c r="PKT26" s="19"/>
      <c r="PKU26" s="19"/>
      <c r="PKV26" s="19"/>
      <c r="PKW26" s="19"/>
      <c r="PKX26" s="19"/>
      <c r="PKY26" s="19"/>
      <c r="PKZ26" s="19"/>
      <c r="PLA26" s="19"/>
      <c r="PLB26" s="19"/>
      <c r="PLC26" s="19"/>
      <c r="PLD26" s="19"/>
      <c r="PLE26" s="19"/>
      <c r="PLF26" s="19"/>
      <c r="PLG26" s="19"/>
      <c r="PLH26" s="19"/>
      <c r="PLI26" s="19"/>
      <c r="PLJ26" s="19"/>
      <c r="PLK26" s="19"/>
      <c r="PLL26" s="19"/>
      <c r="PLM26" s="19"/>
      <c r="PLN26" s="19"/>
      <c r="PLO26" s="19"/>
      <c r="PLP26" s="19"/>
      <c r="PLQ26" s="19"/>
      <c r="PLR26" s="19"/>
      <c r="PLS26" s="19"/>
      <c r="PLT26" s="19"/>
      <c r="PLU26" s="19"/>
      <c r="PLV26" s="19"/>
      <c r="PLW26" s="19"/>
      <c r="PLX26" s="19"/>
      <c r="PLY26" s="19"/>
      <c r="PLZ26" s="19"/>
      <c r="PMA26" s="19"/>
      <c r="PMB26" s="19"/>
      <c r="PMC26" s="19"/>
      <c r="PMD26" s="19"/>
      <c r="PME26" s="19"/>
      <c r="PMF26" s="19"/>
      <c r="PMG26" s="19"/>
      <c r="PMH26" s="19"/>
      <c r="PMI26" s="19"/>
      <c r="PMJ26" s="19"/>
      <c r="PMK26" s="19"/>
      <c r="PML26" s="19"/>
      <c r="PMM26" s="19"/>
      <c r="PMN26" s="19"/>
      <c r="PMO26" s="19"/>
      <c r="PMP26" s="19"/>
      <c r="PMQ26" s="19"/>
      <c r="PMR26" s="19"/>
      <c r="PMS26" s="19"/>
      <c r="PMT26" s="19"/>
      <c r="PMU26" s="19"/>
      <c r="PMV26" s="19"/>
      <c r="PMW26" s="19"/>
      <c r="PMX26" s="19"/>
      <c r="PMY26" s="19"/>
      <c r="PMZ26" s="19"/>
      <c r="PNA26" s="19"/>
      <c r="PNB26" s="19"/>
      <c r="PNC26" s="19"/>
      <c r="PND26" s="19"/>
      <c r="PNE26" s="19"/>
      <c r="PNF26" s="19"/>
      <c r="PNG26" s="19"/>
      <c r="PNH26" s="19"/>
      <c r="PNI26" s="19"/>
      <c r="PNJ26" s="19"/>
      <c r="PNK26" s="19"/>
      <c r="PNL26" s="19"/>
      <c r="PNM26" s="19"/>
      <c r="PNN26" s="19"/>
      <c r="PNO26" s="19"/>
      <c r="PNP26" s="19"/>
      <c r="PNQ26" s="19"/>
      <c r="PNR26" s="19"/>
      <c r="PNS26" s="19"/>
      <c r="PNT26" s="19"/>
      <c r="PNU26" s="19"/>
      <c r="PNV26" s="19"/>
      <c r="PNW26" s="19"/>
      <c r="PNX26" s="19"/>
      <c r="PNY26" s="19"/>
      <c r="PNZ26" s="19"/>
      <c r="POA26" s="19"/>
      <c r="POB26" s="19"/>
      <c r="POC26" s="19"/>
      <c r="POD26" s="19"/>
      <c r="POE26" s="19"/>
      <c r="POF26" s="19"/>
      <c r="POG26" s="19"/>
      <c r="POH26" s="19"/>
      <c r="POI26" s="19"/>
      <c r="POJ26" s="19"/>
      <c r="POK26" s="19"/>
      <c r="POL26" s="19"/>
      <c r="POM26" s="19"/>
      <c r="PON26" s="19"/>
      <c r="POO26" s="19"/>
      <c r="POP26" s="19"/>
      <c r="POQ26" s="19"/>
      <c r="POR26" s="19"/>
      <c r="POS26" s="19"/>
      <c r="POT26" s="19"/>
      <c r="POU26" s="19"/>
      <c r="POV26" s="19"/>
      <c r="POW26" s="19"/>
      <c r="POX26" s="19"/>
      <c r="POY26" s="19"/>
      <c r="POZ26" s="19"/>
      <c r="PPA26" s="19"/>
      <c r="PPB26" s="19"/>
      <c r="PPC26" s="19"/>
      <c r="PPD26" s="19"/>
      <c r="PPE26" s="19"/>
      <c r="PPF26" s="19"/>
      <c r="PPG26" s="19"/>
      <c r="PPH26" s="19"/>
      <c r="PPI26" s="19"/>
      <c r="PPJ26" s="19"/>
      <c r="PPK26" s="19"/>
      <c r="PPL26" s="19"/>
      <c r="PPM26" s="19"/>
      <c r="PPN26" s="19"/>
      <c r="PPO26" s="19"/>
      <c r="PPP26" s="19"/>
      <c r="PPQ26" s="19"/>
      <c r="PPR26" s="19"/>
      <c r="PPS26" s="19"/>
      <c r="PPT26" s="19"/>
      <c r="PPU26" s="19"/>
      <c r="PPV26" s="19"/>
      <c r="PPW26" s="19"/>
      <c r="PPX26" s="19"/>
      <c r="PPY26" s="19"/>
      <c r="PPZ26" s="19"/>
      <c r="PQA26" s="19"/>
      <c r="PQB26" s="19"/>
      <c r="PQC26" s="19"/>
      <c r="PQD26" s="19"/>
      <c r="PQE26" s="19"/>
      <c r="PQF26" s="19"/>
      <c r="PQG26" s="19"/>
      <c r="PQH26" s="19"/>
      <c r="PQI26" s="19"/>
      <c r="PQJ26" s="19"/>
      <c r="PQK26" s="19"/>
      <c r="PQL26" s="19"/>
      <c r="PQM26" s="19"/>
      <c r="PQN26" s="19"/>
      <c r="PQO26" s="19"/>
      <c r="PQP26" s="19"/>
      <c r="PQQ26" s="19"/>
      <c r="PQR26" s="19"/>
      <c r="PQS26" s="19"/>
      <c r="PQT26" s="19"/>
      <c r="PQU26" s="19"/>
      <c r="PQV26" s="19"/>
      <c r="PQW26" s="19"/>
      <c r="PQX26" s="19"/>
      <c r="PQY26" s="19"/>
      <c r="PQZ26" s="19"/>
      <c r="PRA26" s="19"/>
      <c r="PRB26" s="19"/>
      <c r="PRC26" s="19"/>
      <c r="PRD26" s="19"/>
      <c r="PRE26" s="19"/>
      <c r="PRF26" s="19"/>
      <c r="PRG26" s="19"/>
      <c r="PRH26" s="19"/>
      <c r="PRI26" s="19"/>
      <c r="PRJ26" s="19"/>
      <c r="PRK26" s="19"/>
      <c r="PRL26" s="19"/>
      <c r="PRM26" s="19"/>
      <c r="PRN26" s="19"/>
      <c r="PRO26" s="19"/>
      <c r="PRP26" s="19"/>
      <c r="PRQ26" s="19"/>
      <c r="PRR26" s="19"/>
      <c r="PRS26" s="19"/>
      <c r="PRT26" s="19"/>
      <c r="PRU26" s="19"/>
      <c r="PRV26" s="19"/>
      <c r="PRW26" s="19"/>
      <c r="PRX26" s="19"/>
      <c r="PRY26" s="19"/>
      <c r="PRZ26" s="19"/>
      <c r="PSA26" s="19"/>
      <c r="PSB26" s="19"/>
      <c r="PSC26" s="19"/>
      <c r="PSD26" s="19"/>
      <c r="PSE26" s="19"/>
      <c r="PSF26" s="19"/>
      <c r="PSG26" s="19"/>
      <c r="PSH26" s="19"/>
      <c r="PSI26" s="19"/>
      <c r="PSJ26" s="19"/>
      <c r="PSK26" s="19"/>
      <c r="PSL26" s="19"/>
      <c r="PSM26" s="19"/>
      <c r="PSN26" s="19"/>
      <c r="PSO26" s="19"/>
      <c r="PSP26" s="19"/>
      <c r="PSQ26" s="19"/>
      <c r="PSR26" s="19"/>
      <c r="PSS26" s="19"/>
      <c r="PST26" s="19"/>
      <c r="PSU26" s="19"/>
      <c r="PSV26" s="19"/>
      <c r="PSW26" s="19"/>
      <c r="PSX26" s="19"/>
      <c r="PSY26" s="19"/>
      <c r="PSZ26" s="19"/>
      <c r="PTA26" s="19"/>
      <c r="PTB26" s="19"/>
      <c r="PTC26" s="19"/>
      <c r="PTD26" s="19"/>
      <c r="PTE26" s="19"/>
      <c r="PTF26" s="19"/>
      <c r="PTG26" s="19"/>
      <c r="PTH26" s="19"/>
      <c r="PTI26" s="19"/>
      <c r="PTJ26" s="19"/>
      <c r="PTK26" s="19"/>
      <c r="PTL26" s="19"/>
      <c r="PTM26" s="19"/>
      <c r="PTN26" s="19"/>
      <c r="PTO26" s="19"/>
      <c r="PTP26" s="19"/>
      <c r="PTQ26" s="19"/>
      <c r="PTR26" s="19"/>
      <c r="PTS26" s="19"/>
      <c r="PTT26" s="19"/>
      <c r="PTU26" s="19"/>
      <c r="PTV26" s="19"/>
      <c r="PTW26" s="19"/>
      <c r="PTX26" s="19"/>
      <c r="PTY26" s="19"/>
      <c r="PTZ26" s="19"/>
      <c r="PUA26" s="19"/>
      <c r="PUB26" s="19"/>
      <c r="PUC26" s="19"/>
      <c r="PUD26" s="19"/>
      <c r="PUE26" s="19"/>
      <c r="PUF26" s="19"/>
      <c r="PUG26" s="19"/>
      <c r="PUH26" s="19"/>
      <c r="PUI26" s="19"/>
      <c r="PUJ26" s="19"/>
      <c r="PUK26" s="19"/>
      <c r="PUL26" s="19"/>
      <c r="PUM26" s="19"/>
      <c r="PUN26" s="19"/>
      <c r="PUO26" s="19"/>
      <c r="PUP26" s="19"/>
      <c r="PUQ26" s="19"/>
      <c r="PUR26" s="19"/>
      <c r="PUS26" s="19"/>
      <c r="PUT26" s="19"/>
      <c r="PUU26" s="19"/>
      <c r="PUV26" s="19"/>
      <c r="PUW26" s="19"/>
      <c r="PUX26" s="19"/>
      <c r="PUY26" s="19"/>
      <c r="PUZ26" s="19"/>
      <c r="PVA26" s="19"/>
      <c r="PVB26" s="19"/>
      <c r="PVC26" s="19"/>
      <c r="PVD26" s="19"/>
      <c r="PVE26" s="19"/>
      <c r="PVF26" s="19"/>
      <c r="PVG26" s="19"/>
      <c r="PVH26" s="19"/>
      <c r="PVI26" s="19"/>
      <c r="PVJ26" s="19"/>
      <c r="PVK26" s="19"/>
      <c r="PVL26" s="19"/>
      <c r="PVM26" s="19"/>
      <c r="PVN26" s="19"/>
      <c r="PVO26" s="19"/>
      <c r="PVP26" s="19"/>
      <c r="PVQ26" s="19"/>
      <c r="PVR26" s="19"/>
      <c r="PVS26" s="19"/>
      <c r="PVT26" s="19"/>
      <c r="PVU26" s="19"/>
      <c r="PVV26" s="19"/>
      <c r="PVW26" s="19"/>
      <c r="PVX26" s="19"/>
      <c r="PVY26" s="19"/>
      <c r="PVZ26" s="19"/>
      <c r="PWA26" s="19"/>
      <c r="PWB26" s="19"/>
      <c r="PWC26" s="19"/>
      <c r="PWD26" s="19"/>
      <c r="PWE26" s="19"/>
      <c r="PWF26" s="19"/>
      <c r="PWG26" s="19"/>
      <c r="PWH26" s="19"/>
      <c r="PWI26" s="19"/>
      <c r="PWJ26" s="19"/>
      <c r="PWK26" s="19"/>
      <c r="PWL26" s="19"/>
      <c r="PWM26" s="19"/>
      <c r="PWN26" s="19"/>
      <c r="PWO26" s="19"/>
      <c r="PWP26" s="19"/>
      <c r="PWQ26" s="19"/>
      <c r="PWR26" s="19"/>
      <c r="PWS26" s="19"/>
      <c r="PWT26" s="19"/>
      <c r="PWU26" s="19"/>
      <c r="PWV26" s="19"/>
      <c r="PWW26" s="19"/>
      <c r="PWX26" s="19"/>
      <c r="PWY26" s="19"/>
      <c r="PWZ26" s="19"/>
      <c r="PXA26" s="19"/>
      <c r="PXB26" s="19"/>
      <c r="PXC26" s="19"/>
      <c r="PXD26" s="19"/>
      <c r="PXE26" s="19"/>
      <c r="PXF26" s="19"/>
      <c r="PXG26" s="19"/>
      <c r="PXH26" s="19"/>
      <c r="PXI26" s="19"/>
      <c r="PXJ26" s="19"/>
      <c r="PXK26" s="19"/>
      <c r="PXL26" s="19"/>
      <c r="PXM26" s="19"/>
      <c r="PXN26" s="19"/>
      <c r="PXO26" s="19"/>
      <c r="PXP26" s="19"/>
      <c r="PXQ26" s="19"/>
      <c r="PXR26" s="19"/>
      <c r="PXS26" s="19"/>
      <c r="PXT26" s="19"/>
      <c r="PXU26" s="19"/>
      <c r="PXV26" s="19"/>
      <c r="PXW26" s="19"/>
      <c r="PXX26" s="19"/>
      <c r="PXY26" s="19"/>
      <c r="PXZ26" s="19"/>
      <c r="PYA26" s="19"/>
      <c r="PYB26" s="19"/>
      <c r="PYC26" s="19"/>
      <c r="PYD26" s="19"/>
      <c r="PYE26" s="19"/>
      <c r="PYF26" s="19"/>
      <c r="PYG26" s="19"/>
      <c r="PYH26" s="19"/>
      <c r="PYI26" s="19"/>
      <c r="PYJ26" s="19"/>
      <c r="PYK26" s="19"/>
      <c r="PYL26" s="19"/>
      <c r="PYM26" s="19"/>
      <c r="PYN26" s="19"/>
      <c r="PYO26" s="19"/>
      <c r="PYP26" s="19"/>
      <c r="PYQ26" s="19"/>
      <c r="PYR26" s="19"/>
      <c r="PYS26" s="19"/>
      <c r="PYT26" s="19"/>
      <c r="PYU26" s="19"/>
      <c r="PYV26" s="19"/>
      <c r="PYW26" s="19"/>
      <c r="PYX26" s="19"/>
      <c r="PYY26" s="19"/>
      <c r="PYZ26" s="19"/>
      <c r="PZA26" s="19"/>
      <c r="PZB26" s="19"/>
      <c r="PZC26" s="19"/>
      <c r="PZD26" s="19"/>
      <c r="PZE26" s="19"/>
      <c r="PZF26" s="19"/>
      <c r="PZG26" s="19"/>
      <c r="PZH26" s="19"/>
      <c r="PZI26" s="19"/>
      <c r="PZJ26" s="19"/>
      <c r="PZK26" s="19"/>
      <c r="PZL26" s="19"/>
      <c r="PZM26" s="19"/>
      <c r="PZN26" s="19"/>
      <c r="PZO26" s="19"/>
      <c r="PZP26" s="19"/>
      <c r="PZQ26" s="19"/>
      <c r="PZR26" s="19"/>
      <c r="PZS26" s="19"/>
      <c r="PZT26" s="19"/>
      <c r="PZU26" s="19"/>
      <c r="PZV26" s="19"/>
      <c r="PZW26" s="19"/>
      <c r="PZX26" s="19"/>
      <c r="PZY26" s="19"/>
      <c r="PZZ26" s="19"/>
      <c r="QAA26" s="19"/>
      <c r="QAB26" s="19"/>
      <c r="QAC26" s="19"/>
      <c r="QAD26" s="19"/>
      <c r="QAE26" s="19"/>
      <c r="QAF26" s="19"/>
      <c r="QAG26" s="19"/>
      <c r="QAH26" s="19"/>
      <c r="QAI26" s="19"/>
      <c r="QAJ26" s="19"/>
      <c r="QAK26" s="19"/>
      <c r="QAL26" s="19"/>
      <c r="QAM26" s="19"/>
      <c r="QAN26" s="19"/>
      <c r="QAO26" s="19"/>
      <c r="QAP26" s="19"/>
      <c r="QAQ26" s="19"/>
      <c r="QAR26" s="19"/>
      <c r="QAS26" s="19"/>
      <c r="QAT26" s="19"/>
      <c r="QAU26" s="19"/>
      <c r="QAV26" s="19"/>
      <c r="QAW26" s="19"/>
      <c r="QAX26" s="19"/>
      <c r="QAY26" s="19"/>
      <c r="QAZ26" s="19"/>
      <c r="QBA26" s="19"/>
      <c r="QBB26" s="19"/>
      <c r="QBC26" s="19"/>
      <c r="QBD26" s="19"/>
      <c r="QBE26" s="19"/>
      <c r="QBF26" s="19"/>
      <c r="QBG26" s="19"/>
      <c r="QBH26" s="19"/>
      <c r="QBI26" s="19"/>
      <c r="QBJ26" s="19"/>
      <c r="QBK26" s="19"/>
      <c r="QBL26" s="19"/>
      <c r="QBM26" s="19"/>
      <c r="QBN26" s="19"/>
      <c r="QBO26" s="19"/>
      <c r="QBP26" s="19"/>
      <c r="QBQ26" s="19"/>
      <c r="QBR26" s="19"/>
      <c r="QBS26" s="19"/>
      <c r="QBT26" s="19"/>
      <c r="QBU26" s="19"/>
      <c r="QBV26" s="19"/>
      <c r="QBW26" s="19"/>
      <c r="QBX26" s="19"/>
      <c r="QBY26" s="19"/>
      <c r="QBZ26" s="19"/>
      <c r="QCA26" s="19"/>
      <c r="QCB26" s="19"/>
      <c r="QCC26" s="19"/>
      <c r="QCD26" s="19"/>
      <c r="QCE26" s="19"/>
      <c r="QCF26" s="19"/>
      <c r="QCG26" s="19"/>
      <c r="QCH26" s="19"/>
      <c r="QCI26" s="19"/>
      <c r="QCJ26" s="19"/>
      <c r="QCK26" s="19"/>
      <c r="QCL26" s="19"/>
      <c r="QCM26" s="19"/>
      <c r="QCN26" s="19"/>
      <c r="QCO26" s="19"/>
      <c r="QCP26" s="19"/>
      <c r="QCQ26" s="19"/>
      <c r="QCR26" s="19"/>
      <c r="QCS26" s="19"/>
      <c r="QCT26" s="19"/>
      <c r="QCU26" s="19"/>
      <c r="QCV26" s="19"/>
      <c r="QCW26" s="19"/>
      <c r="QCX26" s="19"/>
      <c r="QCY26" s="19"/>
      <c r="QCZ26" s="19"/>
      <c r="QDA26" s="19"/>
      <c r="QDB26" s="19"/>
      <c r="QDC26" s="19"/>
      <c r="QDD26" s="19"/>
      <c r="QDE26" s="19"/>
      <c r="QDF26" s="19"/>
      <c r="QDG26" s="19"/>
      <c r="QDH26" s="19"/>
      <c r="QDI26" s="19"/>
      <c r="QDJ26" s="19"/>
      <c r="QDK26" s="19"/>
      <c r="QDL26" s="19"/>
      <c r="QDM26" s="19"/>
      <c r="QDN26" s="19"/>
      <c r="QDO26" s="19"/>
      <c r="QDP26" s="19"/>
      <c r="QDQ26" s="19"/>
      <c r="QDR26" s="19"/>
      <c r="QDS26" s="19"/>
      <c r="QDT26" s="19"/>
      <c r="QDU26" s="19"/>
      <c r="QDV26" s="19"/>
      <c r="QDW26" s="19"/>
      <c r="QDX26" s="19"/>
      <c r="QDY26" s="19"/>
      <c r="QDZ26" s="19"/>
      <c r="QEA26" s="19"/>
      <c r="QEB26" s="19"/>
      <c r="QEC26" s="19"/>
      <c r="QED26" s="19"/>
      <c r="QEE26" s="19"/>
      <c r="QEF26" s="19"/>
      <c r="QEG26" s="19"/>
      <c r="QEH26" s="19"/>
      <c r="QEI26" s="19"/>
      <c r="QEJ26" s="19"/>
      <c r="QEK26" s="19"/>
      <c r="QEL26" s="19"/>
      <c r="QEM26" s="19"/>
      <c r="QEN26" s="19"/>
      <c r="QEO26" s="19"/>
      <c r="QEP26" s="19"/>
      <c r="QEQ26" s="19"/>
      <c r="QER26" s="19"/>
      <c r="QES26" s="19"/>
      <c r="QET26" s="19"/>
      <c r="QEU26" s="19"/>
      <c r="QEV26" s="19"/>
      <c r="QEW26" s="19"/>
      <c r="QEX26" s="19"/>
      <c r="QEY26" s="19"/>
      <c r="QEZ26" s="19"/>
      <c r="QFA26" s="19"/>
      <c r="QFB26" s="19"/>
      <c r="QFC26" s="19"/>
      <c r="QFD26" s="19"/>
      <c r="QFE26" s="19"/>
      <c r="QFF26" s="19"/>
      <c r="QFG26" s="19"/>
      <c r="QFH26" s="19"/>
      <c r="QFI26" s="19"/>
      <c r="QFJ26" s="19"/>
      <c r="QFK26" s="19"/>
      <c r="QFL26" s="19"/>
      <c r="QFM26" s="19"/>
      <c r="QFN26" s="19"/>
      <c r="QFO26" s="19"/>
      <c r="QFP26" s="19"/>
      <c r="QFQ26" s="19"/>
      <c r="QFR26" s="19"/>
      <c r="QFS26" s="19"/>
      <c r="QFT26" s="19"/>
      <c r="QFU26" s="19"/>
      <c r="QFV26" s="19"/>
      <c r="QFW26" s="19"/>
      <c r="QFX26" s="19"/>
      <c r="QFY26" s="19"/>
      <c r="QFZ26" s="19"/>
      <c r="QGA26" s="19"/>
      <c r="QGB26" s="19"/>
      <c r="QGC26" s="19"/>
      <c r="QGD26" s="19"/>
      <c r="QGE26" s="19"/>
      <c r="QGF26" s="19"/>
      <c r="QGG26" s="19"/>
      <c r="QGH26" s="19"/>
      <c r="QGI26" s="19"/>
      <c r="QGJ26" s="19"/>
      <c r="QGK26" s="19"/>
      <c r="QGL26" s="19"/>
      <c r="QGM26" s="19"/>
      <c r="QGN26" s="19"/>
      <c r="QGO26" s="19"/>
      <c r="QGP26" s="19"/>
      <c r="QGQ26" s="19"/>
      <c r="QGR26" s="19"/>
      <c r="QGS26" s="19"/>
      <c r="QGT26" s="19"/>
      <c r="QGU26" s="19"/>
      <c r="QGV26" s="19"/>
      <c r="QGW26" s="19"/>
      <c r="QGX26" s="19"/>
      <c r="QGY26" s="19"/>
      <c r="QGZ26" s="19"/>
      <c r="QHA26" s="19"/>
      <c r="QHB26" s="19"/>
      <c r="QHC26" s="19"/>
      <c r="QHD26" s="19"/>
      <c r="QHE26" s="19"/>
      <c r="QHF26" s="19"/>
      <c r="QHG26" s="19"/>
      <c r="QHH26" s="19"/>
      <c r="QHI26" s="19"/>
      <c r="QHJ26" s="19"/>
      <c r="QHK26" s="19"/>
      <c r="QHL26" s="19"/>
      <c r="QHM26" s="19"/>
      <c r="QHN26" s="19"/>
      <c r="QHO26" s="19"/>
      <c r="QHP26" s="19"/>
      <c r="QHQ26" s="19"/>
      <c r="QHR26" s="19"/>
      <c r="QHS26" s="19"/>
      <c r="QHT26" s="19"/>
      <c r="QHU26" s="19"/>
      <c r="QHV26" s="19"/>
      <c r="QHW26" s="19"/>
      <c r="QHX26" s="19"/>
      <c r="QHY26" s="19"/>
      <c r="QHZ26" s="19"/>
      <c r="QIA26" s="19"/>
      <c r="QIB26" s="19"/>
      <c r="QIC26" s="19"/>
      <c r="QID26" s="19"/>
      <c r="QIE26" s="19"/>
      <c r="QIF26" s="19"/>
      <c r="QIG26" s="19"/>
      <c r="QIH26" s="19"/>
      <c r="QII26" s="19"/>
      <c r="QIJ26" s="19"/>
      <c r="QIK26" s="19"/>
      <c r="QIL26" s="19"/>
      <c r="QIM26" s="19"/>
      <c r="QIN26" s="19"/>
      <c r="QIO26" s="19"/>
      <c r="QIP26" s="19"/>
      <c r="QIQ26" s="19"/>
      <c r="QIR26" s="19"/>
      <c r="QIS26" s="19"/>
      <c r="QIT26" s="19"/>
      <c r="QIU26" s="19"/>
      <c r="QIV26" s="19"/>
      <c r="QIW26" s="19"/>
      <c r="QIX26" s="19"/>
      <c r="QIY26" s="19"/>
      <c r="QIZ26" s="19"/>
      <c r="QJA26" s="19"/>
      <c r="QJB26" s="19"/>
      <c r="QJC26" s="19"/>
      <c r="QJD26" s="19"/>
      <c r="QJE26" s="19"/>
      <c r="QJF26" s="19"/>
      <c r="QJG26" s="19"/>
      <c r="QJH26" s="19"/>
      <c r="QJI26" s="19"/>
      <c r="QJJ26" s="19"/>
      <c r="QJK26" s="19"/>
      <c r="QJL26" s="19"/>
      <c r="QJM26" s="19"/>
      <c r="QJN26" s="19"/>
      <c r="QJO26" s="19"/>
      <c r="QJP26" s="19"/>
      <c r="QJQ26" s="19"/>
      <c r="QJR26" s="19"/>
      <c r="QJS26" s="19"/>
      <c r="QJT26" s="19"/>
      <c r="QJU26" s="19"/>
      <c r="QJV26" s="19"/>
      <c r="QJW26" s="19"/>
      <c r="QJX26" s="19"/>
      <c r="QJY26" s="19"/>
      <c r="QJZ26" s="19"/>
      <c r="QKA26" s="19"/>
      <c r="QKB26" s="19"/>
      <c r="QKC26" s="19"/>
      <c r="QKD26" s="19"/>
      <c r="QKE26" s="19"/>
      <c r="QKF26" s="19"/>
      <c r="QKG26" s="19"/>
      <c r="QKH26" s="19"/>
      <c r="QKI26" s="19"/>
      <c r="QKJ26" s="19"/>
      <c r="QKK26" s="19"/>
      <c r="QKL26" s="19"/>
      <c r="QKM26" s="19"/>
      <c r="QKN26" s="19"/>
      <c r="QKO26" s="19"/>
      <c r="QKP26" s="19"/>
      <c r="QKQ26" s="19"/>
      <c r="QKR26" s="19"/>
      <c r="QKS26" s="19"/>
      <c r="QKT26" s="19"/>
      <c r="QKU26" s="19"/>
      <c r="QKV26" s="19"/>
      <c r="QKW26" s="19"/>
      <c r="QKX26" s="19"/>
      <c r="QKY26" s="19"/>
      <c r="QKZ26" s="19"/>
      <c r="QLA26" s="19"/>
      <c r="QLB26" s="19"/>
      <c r="QLC26" s="19"/>
      <c r="QLD26" s="19"/>
      <c r="QLE26" s="19"/>
      <c r="QLF26" s="19"/>
      <c r="QLG26" s="19"/>
      <c r="QLH26" s="19"/>
      <c r="QLI26" s="19"/>
      <c r="QLJ26" s="19"/>
      <c r="QLK26" s="19"/>
      <c r="QLL26" s="19"/>
      <c r="QLM26" s="19"/>
      <c r="QLN26" s="19"/>
      <c r="QLO26" s="19"/>
      <c r="QLP26" s="19"/>
      <c r="QLQ26" s="19"/>
      <c r="QLR26" s="19"/>
      <c r="QLS26" s="19"/>
      <c r="QLT26" s="19"/>
      <c r="QLU26" s="19"/>
      <c r="QLV26" s="19"/>
      <c r="QLW26" s="19"/>
      <c r="QLX26" s="19"/>
      <c r="QLY26" s="19"/>
      <c r="QLZ26" s="19"/>
      <c r="QMA26" s="19"/>
      <c r="QMB26" s="19"/>
      <c r="QMC26" s="19"/>
      <c r="QMD26" s="19"/>
      <c r="QME26" s="19"/>
      <c r="QMF26" s="19"/>
      <c r="QMG26" s="19"/>
      <c r="QMH26" s="19"/>
      <c r="QMI26" s="19"/>
      <c r="QMJ26" s="19"/>
      <c r="QMK26" s="19"/>
      <c r="QML26" s="19"/>
      <c r="QMM26" s="19"/>
      <c r="QMN26" s="19"/>
      <c r="QMO26" s="19"/>
      <c r="QMP26" s="19"/>
      <c r="QMQ26" s="19"/>
      <c r="QMR26" s="19"/>
      <c r="QMS26" s="19"/>
      <c r="QMT26" s="19"/>
      <c r="QMU26" s="19"/>
      <c r="QMV26" s="19"/>
      <c r="QMW26" s="19"/>
      <c r="QMX26" s="19"/>
      <c r="QMY26" s="19"/>
      <c r="QMZ26" s="19"/>
      <c r="QNA26" s="19"/>
      <c r="QNB26" s="19"/>
      <c r="QNC26" s="19"/>
      <c r="QND26" s="19"/>
      <c r="QNE26" s="19"/>
      <c r="QNF26" s="19"/>
      <c r="QNG26" s="19"/>
      <c r="QNH26" s="19"/>
      <c r="QNI26" s="19"/>
      <c r="QNJ26" s="19"/>
      <c r="QNK26" s="19"/>
      <c r="QNL26" s="19"/>
      <c r="QNM26" s="19"/>
      <c r="QNN26" s="19"/>
      <c r="QNO26" s="19"/>
      <c r="QNP26" s="19"/>
      <c r="QNQ26" s="19"/>
      <c r="QNR26" s="19"/>
      <c r="QNS26" s="19"/>
      <c r="QNT26" s="19"/>
      <c r="QNU26" s="19"/>
      <c r="QNV26" s="19"/>
      <c r="QNW26" s="19"/>
      <c r="QNX26" s="19"/>
      <c r="QNY26" s="19"/>
      <c r="QNZ26" s="19"/>
      <c r="QOA26" s="19"/>
      <c r="QOB26" s="19"/>
      <c r="QOC26" s="19"/>
      <c r="QOD26" s="19"/>
      <c r="QOE26" s="19"/>
      <c r="QOF26" s="19"/>
      <c r="QOG26" s="19"/>
      <c r="QOH26" s="19"/>
      <c r="QOI26" s="19"/>
      <c r="QOJ26" s="19"/>
      <c r="QOK26" s="19"/>
      <c r="QOL26" s="19"/>
      <c r="QOM26" s="19"/>
      <c r="QON26" s="19"/>
      <c r="QOO26" s="19"/>
      <c r="QOP26" s="19"/>
      <c r="QOQ26" s="19"/>
      <c r="QOR26" s="19"/>
      <c r="QOS26" s="19"/>
      <c r="QOT26" s="19"/>
      <c r="QOU26" s="19"/>
      <c r="QOV26" s="19"/>
      <c r="QOW26" s="19"/>
      <c r="QOX26" s="19"/>
      <c r="QOY26" s="19"/>
      <c r="QOZ26" s="19"/>
      <c r="QPA26" s="19"/>
      <c r="QPB26" s="19"/>
      <c r="QPC26" s="19"/>
      <c r="QPD26" s="19"/>
      <c r="QPE26" s="19"/>
      <c r="QPF26" s="19"/>
      <c r="QPG26" s="19"/>
      <c r="QPH26" s="19"/>
      <c r="QPI26" s="19"/>
      <c r="QPJ26" s="19"/>
      <c r="QPK26" s="19"/>
      <c r="QPL26" s="19"/>
      <c r="QPM26" s="19"/>
      <c r="QPN26" s="19"/>
      <c r="QPO26" s="19"/>
      <c r="QPP26" s="19"/>
      <c r="QPQ26" s="19"/>
      <c r="QPR26" s="19"/>
      <c r="QPS26" s="19"/>
      <c r="QPT26" s="19"/>
      <c r="QPU26" s="19"/>
      <c r="QPV26" s="19"/>
      <c r="QPW26" s="19"/>
      <c r="QPX26" s="19"/>
      <c r="QPY26" s="19"/>
      <c r="QPZ26" s="19"/>
      <c r="QQA26" s="19"/>
      <c r="QQB26" s="19"/>
      <c r="QQC26" s="19"/>
      <c r="QQD26" s="19"/>
      <c r="QQE26" s="19"/>
      <c r="QQF26" s="19"/>
      <c r="QQG26" s="19"/>
      <c r="QQH26" s="19"/>
      <c r="QQI26" s="19"/>
      <c r="QQJ26" s="19"/>
      <c r="QQK26" s="19"/>
      <c r="QQL26" s="19"/>
      <c r="QQM26" s="19"/>
      <c r="QQN26" s="19"/>
      <c r="QQO26" s="19"/>
      <c r="QQP26" s="19"/>
      <c r="QQQ26" s="19"/>
      <c r="QQR26" s="19"/>
      <c r="QQS26" s="19"/>
      <c r="QQT26" s="19"/>
      <c r="QQU26" s="19"/>
      <c r="QQV26" s="19"/>
      <c r="QQW26" s="19"/>
      <c r="QQX26" s="19"/>
      <c r="QQY26" s="19"/>
      <c r="QQZ26" s="19"/>
      <c r="QRA26" s="19"/>
      <c r="QRB26" s="19"/>
      <c r="QRC26" s="19"/>
      <c r="QRD26" s="19"/>
      <c r="QRE26" s="19"/>
      <c r="QRF26" s="19"/>
      <c r="QRG26" s="19"/>
      <c r="QRH26" s="19"/>
      <c r="QRI26" s="19"/>
      <c r="QRJ26" s="19"/>
      <c r="QRK26" s="19"/>
      <c r="QRL26" s="19"/>
      <c r="QRM26" s="19"/>
      <c r="QRN26" s="19"/>
      <c r="QRO26" s="19"/>
      <c r="QRP26" s="19"/>
      <c r="QRQ26" s="19"/>
      <c r="QRR26" s="19"/>
      <c r="QRS26" s="19"/>
      <c r="QRT26" s="19"/>
      <c r="QRU26" s="19"/>
      <c r="QRV26" s="19"/>
      <c r="QRW26" s="19"/>
      <c r="QRX26" s="19"/>
      <c r="QRY26" s="19"/>
      <c r="QRZ26" s="19"/>
      <c r="QSA26" s="19"/>
      <c r="QSB26" s="19"/>
      <c r="QSC26" s="19"/>
      <c r="QSD26" s="19"/>
      <c r="QSE26" s="19"/>
      <c r="QSF26" s="19"/>
      <c r="QSG26" s="19"/>
      <c r="QSH26" s="19"/>
      <c r="QSI26" s="19"/>
      <c r="QSJ26" s="19"/>
      <c r="QSK26" s="19"/>
      <c r="QSL26" s="19"/>
      <c r="QSM26" s="19"/>
      <c r="QSN26" s="19"/>
      <c r="QSO26" s="19"/>
      <c r="QSP26" s="19"/>
      <c r="QSQ26" s="19"/>
      <c r="QSR26" s="19"/>
      <c r="QSS26" s="19"/>
      <c r="QST26" s="19"/>
      <c r="QSU26" s="19"/>
      <c r="QSV26" s="19"/>
      <c r="QSW26" s="19"/>
      <c r="QSX26" s="19"/>
      <c r="QSY26" s="19"/>
      <c r="QSZ26" s="19"/>
      <c r="QTA26" s="19"/>
      <c r="QTB26" s="19"/>
      <c r="QTC26" s="19"/>
      <c r="QTD26" s="19"/>
      <c r="QTE26" s="19"/>
      <c r="QTF26" s="19"/>
      <c r="QTG26" s="19"/>
      <c r="QTH26" s="19"/>
      <c r="QTI26" s="19"/>
      <c r="QTJ26" s="19"/>
      <c r="QTK26" s="19"/>
      <c r="QTL26" s="19"/>
      <c r="QTM26" s="19"/>
      <c r="QTN26" s="19"/>
      <c r="QTO26" s="19"/>
      <c r="QTP26" s="19"/>
      <c r="QTQ26" s="19"/>
      <c r="QTR26" s="19"/>
      <c r="QTS26" s="19"/>
      <c r="QTT26" s="19"/>
      <c r="QTU26" s="19"/>
      <c r="QTV26" s="19"/>
      <c r="QTW26" s="19"/>
      <c r="QTX26" s="19"/>
      <c r="QTY26" s="19"/>
      <c r="QTZ26" s="19"/>
      <c r="QUA26" s="19"/>
      <c r="QUB26" s="19"/>
      <c r="QUC26" s="19"/>
      <c r="QUD26" s="19"/>
      <c r="QUE26" s="19"/>
      <c r="QUF26" s="19"/>
      <c r="QUG26" s="19"/>
      <c r="QUH26" s="19"/>
      <c r="QUI26" s="19"/>
      <c r="QUJ26" s="19"/>
      <c r="QUK26" s="19"/>
      <c r="QUL26" s="19"/>
      <c r="QUM26" s="19"/>
      <c r="QUN26" s="19"/>
      <c r="QUO26" s="19"/>
      <c r="QUP26" s="19"/>
      <c r="QUQ26" s="19"/>
      <c r="QUR26" s="19"/>
      <c r="QUS26" s="19"/>
      <c r="QUT26" s="19"/>
      <c r="QUU26" s="19"/>
      <c r="QUV26" s="19"/>
      <c r="QUW26" s="19"/>
      <c r="QUX26" s="19"/>
      <c r="QUY26" s="19"/>
      <c r="QUZ26" s="19"/>
      <c r="QVA26" s="19"/>
      <c r="QVB26" s="19"/>
      <c r="QVC26" s="19"/>
      <c r="QVD26" s="19"/>
      <c r="QVE26" s="19"/>
      <c r="QVF26" s="19"/>
      <c r="QVG26" s="19"/>
      <c r="QVH26" s="19"/>
      <c r="QVI26" s="19"/>
      <c r="QVJ26" s="19"/>
      <c r="QVK26" s="19"/>
      <c r="QVL26" s="19"/>
      <c r="QVM26" s="19"/>
      <c r="QVN26" s="19"/>
      <c r="QVO26" s="19"/>
      <c r="QVP26" s="19"/>
      <c r="QVQ26" s="19"/>
      <c r="QVR26" s="19"/>
      <c r="QVS26" s="19"/>
      <c r="QVT26" s="19"/>
      <c r="QVU26" s="19"/>
      <c r="QVV26" s="19"/>
      <c r="QVW26" s="19"/>
      <c r="QVX26" s="19"/>
      <c r="QVY26" s="19"/>
      <c r="QVZ26" s="19"/>
      <c r="QWA26" s="19"/>
      <c r="QWB26" s="19"/>
      <c r="QWC26" s="19"/>
      <c r="QWD26" s="19"/>
      <c r="QWE26" s="19"/>
      <c r="QWF26" s="19"/>
      <c r="QWG26" s="19"/>
      <c r="QWH26" s="19"/>
      <c r="QWI26" s="19"/>
      <c r="QWJ26" s="19"/>
      <c r="QWK26" s="19"/>
      <c r="QWL26" s="19"/>
      <c r="QWM26" s="19"/>
      <c r="QWN26" s="19"/>
      <c r="QWO26" s="19"/>
      <c r="QWP26" s="19"/>
      <c r="QWQ26" s="19"/>
      <c r="QWR26" s="19"/>
      <c r="QWS26" s="19"/>
      <c r="QWT26" s="19"/>
      <c r="QWU26" s="19"/>
      <c r="QWV26" s="19"/>
      <c r="QWW26" s="19"/>
      <c r="QWX26" s="19"/>
      <c r="QWY26" s="19"/>
      <c r="QWZ26" s="19"/>
      <c r="QXA26" s="19"/>
      <c r="QXB26" s="19"/>
      <c r="QXC26" s="19"/>
      <c r="QXD26" s="19"/>
      <c r="QXE26" s="19"/>
      <c r="QXF26" s="19"/>
      <c r="QXG26" s="19"/>
      <c r="QXH26" s="19"/>
      <c r="QXI26" s="19"/>
      <c r="QXJ26" s="19"/>
      <c r="QXK26" s="19"/>
      <c r="QXL26" s="19"/>
      <c r="QXM26" s="19"/>
      <c r="QXN26" s="19"/>
      <c r="QXO26" s="19"/>
      <c r="QXP26" s="19"/>
      <c r="QXQ26" s="19"/>
      <c r="QXR26" s="19"/>
      <c r="QXS26" s="19"/>
      <c r="QXT26" s="19"/>
      <c r="QXU26" s="19"/>
      <c r="QXV26" s="19"/>
      <c r="QXW26" s="19"/>
      <c r="QXX26" s="19"/>
      <c r="QXY26" s="19"/>
      <c r="QXZ26" s="19"/>
      <c r="QYA26" s="19"/>
      <c r="QYB26" s="19"/>
      <c r="QYC26" s="19"/>
      <c r="QYD26" s="19"/>
      <c r="QYE26" s="19"/>
      <c r="QYF26" s="19"/>
      <c r="QYG26" s="19"/>
      <c r="QYH26" s="19"/>
      <c r="QYI26" s="19"/>
      <c r="QYJ26" s="19"/>
      <c r="QYK26" s="19"/>
      <c r="QYL26" s="19"/>
      <c r="QYM26" s="19"/>
      <c r="QYN26" s="19"/>
      <c r="QYO26" s="19"/>
      <c r="QYP26" s="19"/>
      <c r="QYQ26" s="19"/>
      <c r="QYR26" s="19"/>
      <c r="QYS26" s="19"/>
      <c r="QYT26" s="19"/>
      <c r="QYU26" s="19"/>
      <c r="QYV26" s="19"/>
      <c r="QYW26" s="19"/>
      <c r="QYX26" s="19"/>
      <c r="QYY26" s="19"/>
      <c r="QYZ26" s="19"/>
      <c r="QZA26" s="19"/>
      <c r="QZB26" s="19"/>
      <c r="QZC26" s="19"/>
      <c r="QZD26" s="19"/>
      <c r="QZE26" s="19"/>
      <c r="QZF26" s="19"/>
      <c r="QZG26" s="19"/>
      <c r="QZH26" s="19"/>
      <c r="QZI26" s="19"/>
      <c r="QZJ26" s="19"/>
      <c r="QZK26" s="19"/>
      <c r="QZL26" s="19"/>
      <c r="QZM26" s="19"/>
      <c r="QZN26" s="19"/>
      <c r="QZO26" s="19"/>
      <c r="QZP26" s="19"/>
      <c r="QZQ26" s="19"/>
      <c r="QZR26" s="19"/>
      <c r="QZS26" s="19"/>
      <c r="QZT26" s="19"/>
      <c r="QZU26" s="19"/>
      <c r="QZV26" s="19"/>
      <c r="QZW26" s="19"/>
      <c r="QZX26" s="19"/>
      <c r="QZY26" s="19"/>
      <c r="QZZ26" s="19"/>
      <c r="RAA26" s="19"/>
      <c r="RAB26" s="19"/>
      <c r="RAC26" s="19"/>
      <c r="RAD26" s="19"/>
      <c r="RAE26" s="19"/>
      <c r="RAF26" s="19"/>
      <c r="RAG26" s="19"/>
      <c r="RAH26" s="19"/>
      <c r="RAI26" s="19"/>
      <c r="RAJ26" s="19"/>
      <c r="RAK26" s="19"/>
      <c r="RAL26" s="19"/>
      <c r="RAM26" s="19"/>
      <c r="RAN26" s="19"/>
      <c r="RAO26" s="19"/>
      <c r="RAP26" s="19"/>
      <c r="RAQ26" s="19"/>
      <c r="RAR26" s="19"/>
      <c r="RAS26" s="19"/>
      <c r="RAT26" s="19"/>
      <c r="RAU26" s="19"/>
      <c r="RAV26" s="19"/>
      <c r="RAW26" s="19"/>
      <c r="RAX26" s="19"/>
      <c r="RAY26" s="19"/>
      <c r="RAZ26" s="19"/>
      <c r="RBA26" s="19"/>
      <c r="RBB26" s="19"/>
      <c r="RBC26" s="19"/>
      <c r="RBD26" s="19"/>
      <c r="RBE26" s="19"/>
      <c r="RBF26" s="19"/>
      <c r="RBG26" s="19"/>
      <c r="RBH26" s="19"/>
      <c r="RBI26" s="19"/>
      <c r="RBJ26" s="19"/>
      <c r="RBK26" s="19"/>
      <c r="RBL26" s="19"/>
      <c r="RBM26" s="19"/>
      <c r="RBN26" s="19"/>
      <c r="RBO26" s="19"/>
      <c r="RBP26" s="19"/>
      <c r="RBQ26" s="19"/>
      <c r="RBR26" s="19"/>
      <c r="RBS26" s="19"/>
      <c r="RBT26" s="19"/>
      <c r="RBU26" s="19"/>
      <c r="RBV26" s="19"/>
      <c r="RBW26" s="19"/>
      <c r="RBX26" s="19"/>
      <c r="RBY26" s="19"/>
      <c r="RBZ26" s="19"/>
      <c r="RCA26" s="19"/>
      <c r="RCB26" s="19"/>
      <c r="RCC26" s="19"/>
      <c r="RCD26" s="19"/>
      <c r="RCE26" s="19"/>
      <c r="RCF26" s="19"/>
      <c r="RCG26" s="19"/>
      <c r="RCH26" s="19"/>
      <c r="RCI26" s="19"/>
      <c r="RCJ26" s="19"/>
      <c r="RCK26" s="19"/>
      <c r="RCL26" s="19"/>
      <c r="RCM26" s="19"/>
      <c r="RCN26" s="19"/>
      <c r="RCO26" s="19"/>
      <c r="RCP26" s="19"/>
      <c r="RCQ26" s="19"/>
      <c r="RCR26" s="19"/>
      <c r="RCS26" s="19"/>
      <c r="RCT26" s="19"/>
      <c r="RCU26" s="19"/>
      <c r="RCV26" s="19"/>
      <c r="RCW26" s="19"/>
      <c r="RCX26" s="19"/>
      <c r="RCY26" s="19"/>
      <c r="RCZ26" s="19"/>
      <c r="RDA26" s="19"/>
      <c r="RDB26" s="19"/>
      <c r="RDC26" s="19"/>
      <c r="RDD26" s="19"/>
      <c r="RDE26" s="19"/>
      <c r="RDF26" s="19"/>
      <c r="RDG26" s="19"/>
      <c r="RDH26" s="19"/>
      <c r="RDI26" s="19"/>
      <c r="RDJ26" s="19"/>
      <c r="RDK26" s="19"/>
      <c r="RDL26" s="19"/>
      <c r="RDM26" s="19"/>
      <c r="RDN26" s="19"/>
      <c r="RDO26" s="19"/>
      <c r="RDP26" s="19"/>
      <c r="RDQ26" s="19"/>
      <c r="RDR26" s="19"/>
      <c r="RDS26" s="19"/>
      <c r="RDT26" s="19"/>
      <c r="RDU26" s="19"/>
      <c r="RDV26" s="19"/>
      <c r="RDW26" s="19"/>
      <c r="RDX26" s="19"/>
      <c r="RDY26" s="19"/>
      <c r="RDZ26" s="19"/>
      <c r="REA26" s="19"/>
      <c r="REB26" s="19"/>
      <c r="REC26" s="19"/>
      <c r="RED26" s="19"/>
      <c r="REE26" s="19"/>
      <c r="REF26" s="19"/>
      <c r="REG26" s="19"/>
      <c r="REH26" s="19"/>
      <c r="REI26" s="19"/>
      <c r="REJ26" s="19"/>
      <c r="REK26" s="19"/>
      <c r="REL26" s="19"/>
      <c r="REM26" s="19"/>
      <c r="REN26" s="19"/>
      <c r="REO26" s="19"/>
      <c r="REP26" s="19"/>
      <c r="REQ26" s="19"/>
      <c r="RER26" s="19"/>
      <c r="RES26" s="19"/>
      <c r="RET26" s="19"/>
      <c r="REU26" s="19"/>
      <c r="REV26" s="19"/>
      <c r="REW26" s="19"/>
      <c r="REX26" s="19"/>
      <c r="REY26" s="19"/>
      <c r="REZ26" s="19"/>
      <c r="RFA26" s="19"/>
      <c r="RFB26" s="19"/>
      <c r="RFC26" s="19"/>
      <c r="RFD26" s="19"/>
      <c r="RFE26" s="19"/>
      <c r="RFF26" s="19"/>
      <c r="RFG26" s="19"/>
      <c r="RFH26" s="19"/>
      <c r="RFI26" s="19"/>
      <c r="RFJ26" s="19"/>
      <c r="RFK26" s="19"/>
      <c r="RFL26" s="19"/>
      <c r="RFM26" s="19"/>
      <c r="RFN26" s="19"/>
      <c r="RFO26" s="19"/>
      <c r="RFP26" s="19"/>
      <c r="RFQ26" s="19"/>
      <c r="RFR26" s="19"/>
      <c r="RFS26" s="19"/>
      <c r="RFT26" s="19"/>
      <c r="RFU26" s="19"/>
      <c r="RFV26" s="19"/>
      <c r="RFW26" s="19"/>
      <c r="RFX26" s="19"/>
      <c r="RFY26" s="19"/>
      <c r="RFZ26" s="19"/>
      <c r="RGA26" s="19"/>
      <c r="RGB26" s="19"/>
      <c r="RGC26" s="19"/>
      <c r="RGD26" s="19"/>
      <c r="RGE26" s="19"/>
      <c r="RGF26" s="19"/>
      <c r="RGG26" s="19"/>
      <c r="RGH26" s="19"/>
      <c r="RGI26" s="19"/>
      <c r="RGJ26" s="19"/>
      <c r="RGK26" s="19"/>
      <c r="RGL26" s="19"/>
      <c r="RGM26" s="19"/>
      <c r="RGN26" s="19"/>
      <c r="RGO26" s="19"/>
      <c r="RGP26" s="19"/>
      <c r="RGQ26" s="19"/>
      <c r="RGR26" s="19"/>
      <c r="RGS26" s="19"/>
      <c r="RGT26" s="19"/>
      <c r="RGU26" s="19"/>
      <c r="RGV26" s="19"/>
      <c r="RGW26" s="19"/>
      <c r="RGX26" s="19"/>
      <c r="RGY26" s="19"/>
      <c r="RGZ26" s="19"/>
      <c r="RHA26" s="19"/>
      <c r="RHB26" s="19"/>
      <c r="RHC26" s="19"/>
      <c r="RHD26" s="19"/>
      <c r="RHE26" s="19"/>
      <c r="RHF26" s="19"/>
      <c r="RHG26" s="19"/>
      <c r="RHH26" s="19"/>
      <c r="RHI26" s="19"/>
      <c r="RHJ26" s="19"/>
      <c r="RHK26" s="19"/>
      <c r="RHL26" s="19"/>
      <c r="RHM26" s="19"/>
      <c r="RHN26" s="19"/>
      <c r="RHO26" s="19"/>
      <c r="RHP26" s="19"/>
      <c r="RHQ26" s="19"/>
      <c r="RHR26" s="19"/>
      <c r="RHS26" s="19"/>
      <c r="RHT26" s="19"/>
      <c r="RHU26" s="19"/>
      <c r="RHV26" s="19"/>
      <c r="RHW26" s="19"/>
      <c r="RHX26" s="19"/>
      <c r="RHY26" s="19"/>
      <c r="RHZ26" s="19"/>
      <c r="RIA26" s="19"/>
      <c r="RIB26" s="19"/>
      <c r="RIC26" s="19"/>
      <c r="RID26" s="19"/>
      <c r="RIE26" s="19"/>
      <c r="RIF26" s="19"/>
      <c r="RIG26" s="19"/>
      <c r="RIH26" s="19"/>
      <c r="RII26" s="19"/>
      <c r="RIJ26" s="19"/>
      <c r="RIK26" s="19"/>
      <c r="RIL26" s="19"/>
      <c r="RIM26" s="19"/>
      <c r="RIN26" s="19"/>
      <c r="RIO26" s="19"/>
      <c r="RIP26" s="19"/>
      <c r="RIQ26" s="19"/>
      <c r="RIR26" s="19"/>
      <c r="RIS26" s="19"/>
      <c r="RIT26" s="19"/>
      <c r="RIU26" s="19"/>
      <c r="RIV26" s="19"/>
      <c r="RIW26" s="19"/>
      <c r="RIX26" s="19"/>
      <c r="RIY26" s="19"/>
      <c r="RIZ26" s="19"/>
      <c r="RJA26" s="19"/>
      <c r="RJB26" s="19"/>
      <c r="RJC26" s="19"/>
      <c r="RJD26" s="19"/>
      <c r="RJE26" s="19"/>
      <c r="RJF26" s="19"/>
      <c r="RJG26" s="19"/>
      <c r="RJH26" s="19"/>
      <c r="RJI26" s="19"/>
      <c r="RJJ26" s="19"/>
      <c r="RJK26" s="19"/>
      <c r="RJL26" s="19"/>
      <c r="RJM26" s="19"/>
      <c r="RJN26" s="19"/>
      <c r="RJO26" s="19"/>
      <c r="RJP26" s="19"/>
      <c r="RJQ26" s="19"/>
      <c r="RJR26" s="19"/>
      <c r="RJS26" s="19"/>
      <c r="RJT26" s="19"/>
      <c r="RJU26" s="19"/>
      <c r="RJV26" s="19"/>
      <c r="RJW26" s="19"/>
      <c r="RJX26" s="19"/>
      <c r="RJY26" s="19"/>
      <c r="RJZ26" s="19"/>
      <c r="RKA26" s="19"/>
      <c r="RKB26" s="19"/>
      <c r="RKC26" s="19"/>
      <c r="RKD26" s="19"/>
      <c r="RKE26" s="19"/>
      <c r="RKF26" s="19"/>
      <c r="RKG26" s="19"/>
      <c r="RKH26" s="19"/>
      <c r="RKI26" s="19"/>
      <c r="RKJ26" s="19"/>
      <c r="RKK26" s="19"/>
      <c r="RKL26" s="19"/>
      <c r="RKM26" s="19"/>
      <c r="RKN26" s="19"/>
      <c r="RKO26" s="19"/>
      <c r="RKP26" s="19"/>
      <c r="RKQ26" s="19"/>
      <c r="RKR26" s="19"/>
      <c r="RKS26" s="19"/>
      <c r="RKT26" s="19"/>
      <c r="RKU26" s="19"/>
      <c r="RKV26" s="19"/>
      <c r="RKW26" s="19"/>
      <c r="RKX26" s="19"/>
      <c r="RKY26" s="19"/>
      <c r="RKZ26" s="19"/>
      <c r="RLA26" s="19"/>
      <c r="RLB26" s="19"/>
      <c r="RLC26" s="19"/>
      <c r="RLD26" s="19"/>
      <c r="RLE26" s="19"/>
      <c r="RLF26" s="19"/>
      <c r="RLG26" s="19"/>
      <c r="RLH26" s="19"/>
      <c r="RLI26" s="19"/>
      <c r="RLJ26" s="19"/>
      <c r="RLK26" s="19"/>
      <c r="RLL26" s="19"/>
      <c r="RLM26" s="19"/>
      <c r="RLN26" s="19"/>
      <c r="RLO26" s="19"/>
      <c r="RLP26" s="19"/>
      <c r="RLQ26" s="19"/>
      <c r="RLR26" s="19"/>
      <c r="RLS26" s="19"/>
      <c r="RLT26" s="19"/>
      <c r="RLU26" s="19"/>
      <c r="RLV26" s="19"/>
      <c r="RLW26" s="19"/>
      <c r="RLX26" s="19"/>
      <c r="RLY26" s="19"/>
      <c r="RLZ26" s="19"/>
      <c r="RMA26" s="19"/>
      <c r="RMB26" s="19"/>
      <c r="RMC26" s="19"/>
      <c r="RMD26" s="19"/>
      <c r="RME26" s="19"/>
      <c r="RMF26" s="19"/>
      <c r="RMG26" s="19"/>
      <c r="RMH26" s="19"/>
      <c r="RMI26" s="19"/>
      <c r="RMJ26" s="19"/>
      <c r="RMK26" s="19"/>
      <c r="RML26" s="19"/>
      <c r="RMM26" s="19"/>
      <c r="RMN26" s="19"/>
      <c r="RMO26" s="19"/>
      <c r="RMP26" s="19"/>
      <c r="RMQ26" s="19"/>
      <c r="RMR26" s="19"/>
      <c r="RMS26" s="19"/>
      <c r="RMT26" s="19"/>
      <c r="RMU26" s="19"/>
      <c r="RMV26" s="19"/>
      <c r="RMW26" s="19"/>
      <c r="RMX26" s="19"/>
      <c r="RMY26" s="19"/>
      <c r="RMZ26" s="19"/>
      <c r="RNA26" s="19"/>
      <c r="RNB26" s="19"/>
      <c r="RNC26" s="19"/>
      <c r="RND26" s="19"/>
      <c r="RNE26" s="19"/>
      <c r="RNF26" s="19"/>
      <c r="RNG26" s="19"/>
      <c r="RNH26" s="19"/>
      <c r="RNI26" s="19"/>
      <c r="RNJ26" s="19"/>
      <c r="RNK26" s="19"/>
      <c r="RNL26" s="19"/>
      <c r="RNM26" s="19"/>
      <c r="RNN26" s="19"/>
      <c r="RNO26" s="19"/>
      <c r="RNP26" s="19"/>
      <c r="RNQ26" s="19"/>
      <c r="RNR26" s="19"/>
      <c r="RNS26" s="19"/>
      <c r="RNT26" s="19"/>
      <c r="RNU26" s="19"/>
      <c r="RNV26" s="19"/>
      <c r="RNW26" s="19"/>
      <c r="RNX26" s="19"/>
      <c r="RNY26" s="19"/>
      <c r="RNZ26" s="19"/>
      <c r="ROA26" s="19"/>
      <c r="ROB26" s="19"/>
      <c r="ROC26" s="19"/>
      <c r="ROD26" s="19"/>
      <c r="ROE26" s="19"/>
      <c r="ROF26" s="19"/>
      <c r="ROG26" s="19"/>
      <c r="ROH26" s="19"/>
      <c r="ROI26" s="19"/>
      <c r="ROJ26" s="19"/>
      <c r="ROK26" s="19"/>
      <c r="ROL26" s="19"/>
      <c r="ROM26" s="19"/>
      <c r="RON26" s="19"/>
      <c r="ROO26" s="19"/>
      <c r="ROP26" s="19"/>
      <c r="ROQ26" s="19"/>
      <c r="ROR26" s="19"/>
      <c r="ROS26" s="19"/>
      <c r="ROT26" s="19"/>
      <c r="ROU26" s="19"/>
      <c r="ROV26" s="19"/>
      <c r="ROW26" s="19"/>
      <c r="ROX26" s="19"/>
      <c r="ROY26" s="19"/>
      <c r="ROZ26" s="19"/>
      <c r="RPA26" s="19"/>
      <c r="RPB26" s="19"/>
      <c r="RPC26" s="19"/>
      <c r="RPD26" s="19"/>
      <c r="RPE26" s="19"/>
      <c r="RPF26" s="19"/>
      <c r="RPG26" s="19"/>
      <c r="RPH26" s="19"/>
      <c r="RPI26" s="19"/>
      <c r="RPJ26" s="19"/>
      <c r="RPK26" s="19"/>
      <c r="RPL26" s="19"/>
      <c r="RPM26" s="19"/>
      <c r="RPN26" s="19"/>
      <c r="RPO26" s="19"/>
      <c r="RPP26" s="19"/>
      <c r="RPQ26" s="19"/>
      <c r="RPR26" s="19"/>
      <c r="RPS26" s="19"/>
      <c r="RPT26" s="19"/>
      <c r="RPU26" s="19"/>
      <c r="RPV26" s="19"/>
      <c r="RPW26" s="19"/>
      <c r="RPX26" s="19"/>
      <c r="RPY26" s="19"/>
      <c r="RPZ26" s="19"/>
      <c r="RQA26" s="19"/>
      <c r="RQB26" s="19"/>
      <c r="RQC26" s="19"/>
      <c r="RQD26" s="19"/>
      <c r="RQE26" s="19"/>
      <c r="RQF26" s="19"/>
      <c r="RQG26" s="19"/>
      <c r="RQH26" s="19"/>
      <c r="RQI26" s="19"/>
      <c r="RQJ26" s="19"/>
      <c r="RQK26" s="19"/>
      <c r="RQL26" s="19"/>
      <c r="RQM26" s="19"/>
      <c r="RQN26" s="19"/>
      <c r="RQO26" s="19"/>
      <c r="RQP26" s="19"/>
      <c r="RQQ26" s="19"/>
      <c r="RQR26" s="19"/>
      <c r="RQS26" s="19"/>
      <c r="RQT26" s="19"/>
      <c r="RQU26" s="19"/>
      <c r="RQV26" s="19"/>
      <c r="RQW26" s="19"/>
      <c r="RQX26" s="19"/>
      <c r="RQY26" s="19"/>
      <c r="RQZ26" s="19"/>
      <c r="RRA26" s="19"/>
      <c r="RRB26" s="19"/>
      <c r="RRC26" s="19"/>
      <c r="RRD26" s="19"/>
      <c r="RRE26" s="19"/>
      <c r="RRF26" s="19"/>
      <c r="RRG26" s="19"/>
      <c r="RRH26" s="19"/>
      <c r="RRI26" s="19"/>
      <c r="RRJ26" s="19"/>
      <c r="RRK26" s="19"/>
      <c r="RRL26" s="19"/>
      <c r="RRM26" s="19"/>
      <c r="RRN26" s="19"/>
      <c r="RRO26" s="19"/>
      <c r="RRP26" s="19"/>
      <c r="RRQ26" s="19"/>
      <c r="RRR26" s="19"/>
      <c r="RRS26" s="19"/>
      <c r="RRT26" s="19"/>
      <c r="RRU26" s="19"/>
      <c r="RRV26" s="19"/>
      <c r="RRW26" s="19"/>
      <c r="RRX26" s="19"/>
      <c r="RRY26" s="19"/>
      <c r="RRZ26" s="19"/>
      <c r="RSA26" s="19"/>
      <c r="RSB26" s="19"/>
      <c r="RSC26" s="19"/>
      <c r="RSD26" s="19"/>
      <c r="RSE26" s="19"/>
      <c r="RSF26" s="19"/>
      <c r="RSG26" s="19"/>
      <c r="RSH26" s="19"/>
      <c r="RSI26" s="19"/>
      <c r="RSJ26" s="19"/>
      <c r="RSK26" s="19"/>
      <c r="RSL26" s="19"/>
      <c r="RSM26" s="19"/>
      <c r="RSN26" s="19"/>
      <c r="RSO26" s="19"/>
      <c r="RSP26" s="19"/>
      <c r="RSQ26" s="19"/>
      <c r="RSR26" s="19"/>
      <c r="RSS26" s="19"/>
      <c r="RST26" s="19"/>
      <c r="RSU26" s="19"/>
      <c r="RSV26" s="19"/>
      <c r="RSW26" s="19"/>
      <c r="RSX26" s="19"/>
      <c r="RSY26" s="19"/>
      <c r="RSZ26" s="19"/>
      <c r="RTA26" s="19"/>
      <c r="RTB26" s="19"/>
      <c r="RTC26" s="19"/>
      <c r="RTD26" s="19"/>
      <c r="RTE26" s="19"/>
      <c r="RTF26" s="19"/>
      <c r="RTG26" s="19"/>
      <c r="RTH26" s="19"/>
      <c r="RTI26" s="19"/>
      <c r="RTJ26" s="19"/>
      <c r="RTK26" s="19"/>
      <c r="RTL26" s="19"/>
      <c r="RTM26" s="19"/>
      <c r="RTN26" s="19"/>
      <c r="RTO26" s="19"/>
      <c r="RTP26" s="19"/>
      <c r="RTQ26" s="19"/>
      <c r="RTR26" s="19"/>
      <c r="RTS26" s="19"/>
      <c r="RTT26" s="19"/>
      <c r="RTU26" s="19"/>
      <c r="RTV26" s="19"/>
      <c r="RTW26" s="19"/>
      <c r="RTX26" s="19"/>
      <c r="RTY26" s="19"/>
      <c r="RTZ26" s="19"/>
      <c r="RUA26" s="19"/>
      <c r="RUB26" s="19"/>
      <c r="RUC26" s="19"/>
      <c r="RUD26" s="19"/>
      <c r="RUE26" s="19"/>
      <c r="RUF26" s="19"/>
      <c r="RUG26" s="19"/>
      <c r="RUH26" s="19"/>
      <c r="RUI26" s="19"/>
      <c r="RUJ26" s="19"/>
      <c r="RUK26" s="19"/>
      <c r="RUL26" s="19"/>
      <c r="RUM26" s="19"/>
      <c r="RUN26" s="19"/>
      <c r="RUO26" s="19"/>
      <c r="RUP26" s="19"/>
      <c r="RUQ26" s="19"/>
      <c r="RUR26" s="19"/>
      <c r="RUS26" s="19"/>
      <c r="RUT26" s="19"/>
      <c r="RUU26" s="19"/>
      <c r="RUV26" s="19"/>
      <c r="RUW26" s="19"/>
      <c r="RUX26" s="19"/>
      <c r="RUY26" s="19"/>
      <c r="RUZ26" s="19"/>
      <c r="RVA26" s="19"/>
      <c r="RVB26" s="19"/>
      <c r="RVC26" s="19"/>
      <c r="RVD26" s="19"/>
      <c r="RVE26" s="19"/>
      <c r="RVF26" s="19"/>
      <c r="RVG26" s="19"/>
      <c r="RVH26" s="19"/>
      <c r="RVI26" s="19"/>
      <c r="RVJ26" s="19"/>
      <c r="RVK26" s="19"/>
      <c r="RVL26" s="19"/>
      <c r="RVM26" s="19"/>
      <c r="RVN26" s="19"/>
      <c r="RVO26" s="19"/>
      <c r="RVP26" s="19"/>
      <c r="RVQ26" s="19"/>
      <c r="RVR26" s="19"/>
      <c r="RVS26" s="19"/>
      <c r="RVT26" s="19"/>
      <c r="RVU26" s="19"/>
      <c r="RVV26" s="19"/>
      <c r="RVW26" s="19"/>
      <c r="RVX26" s="19"/>
      <c r="RVY26" s="19"/>
      <c r="RVZ26" s="19"/>
      <c r="RWA26" s="19"/>
      <c r="RWB26" s="19"/>
      <c r="RWC26" s="19"/>
      <c r="RWD26" s="19"/>
      <c r="RWE26" s="19"/>
      <c r="RWF26" s="19"/>
      <c r="RWG26" s="19"/>
      <c r="RWH26" s="19"/>
      <c r="RWI26" s="19"/>
      <c r="RWJ26" s="19"/>
      <c r="RWK26" s="19"/>
      <c r="RWL26" s="19"/>
      <c r="RWM26" s="19"/>
      <c r="RWN26" s="19"/>
      <c r="RWO26" s="19"/>
      <c r="RWP26" s="19"/>
      <c r="RWQ26" s="19"/>
      <c r="RWR26" s="19"/>
      <c r="RWS26" s="19"/>
      <c r="RWT26" s="19"/>
      <c r="RWU26" s="19"/>
      <c r="RWV26" s="19"/>
      <c r="RWW26" s="19"/>
      <c r="RWX26" s="19"/>
      <c r="RWY26" s="19"/>
      <c r="RWZ26" s="19"/>
      <c r="RXA26" s="19"/>
      <c r="RXB26" s="19"/>
      <c r="RXC26" s="19"/>
      <c r="RXD26" s="19"/>
      <c r="RXE26" s="19"/>
      <c r="RXF26" s="19"/>
      <c r="RXG26" s="19"/>
      <c r="RXH26" s="19"/>
      <c r="RXI26" s="19"/>
      <c r="RXJ26" s="19"/>
      <c r="RXK26" s="19"/>
      <c r="RXL26" s="19"/>
      <c r="RXM26" s="19"/>
      <c r="RXN26" s="19"/>
      <c r="RXO26" s="19"/>
      <c r="RXP26" s="19"/>
      <c r="RXQ26" s="19"/>
      <c r="RXR26" s="19"/>
      <c r="RXS26" s="19"/>
      <c r="RXT26" s="19"/>
      <c r="RXU26" s="19"/>
      <c r="RXV26" s="19"/>
      <c r="RXW26" s="19"/>
      <c r="RXX26" s="19"/>
      <c r="RXY26" s="19"/>
      <c r="RXZ26" s="19"/>
      <c r="RYA26" s="19"/>
      <c r="RYB26" s="19"/>
      <c r="RYC26" s="19"/>
      <c r="RYD26" s="19"/>
      <c r="RYE26" s="19"/>
      <c r="RYF26" s="19"/>
      <c r="RYG26" s="19"/>
      <c r="RYH26" s="19"/>
      <c r="RYI26" s="19"/>
      <c r="RYJ26" s="19"/>
      <c r="RYK26" s="19"/>
      <c r="RYL26" s="19"/>
      <c r="RYM26" s="19"/>
      <c r="RYN26" s="19"/>
      <c r="RYO26" s="19"/>
      <c r="RYP26" s="19"/>
      <c r="RYQ26" s="19"/>
      <c r="RYR26" s="19"/>
      <c r="RYS26" s="19"/>
      <c r="RYT26" s="19"/>
      <c r="RYU26" s="19"/>
      <c r="RYV26" s="19"/>
      <c r="RYW26" s="19"/>
      <c r="RYX26" s="19"/>
      <c r="RYY26" s="19"/>
      <c r="RYZ26" s="19"/>
      <c r="RZA26" s="19"/>
      <c r="RZB26" s="19"/>
      <c r="RZC26" s="19"/>
      <c r="RZD26" s="19"/>
      <c r="RZE26" s="19"/>
      <c r="RZF26" s="19"/>
      <c r="RZG26" s="19"/>
      <c r="RZH26" s="19"/>
      <c r="RZI26" s="19"/>
      <c r="RZJ26" s="19"/>
      <c r="RZK26" s="19"/>
      <c r="RZL26" s="19"/>
      <c r="RZM26" s="19"/>
      <c r="RZN26" s="19"/>
      <c r="RZO26" s="19"/>
      <c r="RZP26" s="19"/>
      <c r="RZQ26" s="19"/>
      <c r="RZR26" s="19"/>
      <c r="RZS26" s="19"/>
      <c r="RZT26" s="19"/>
      <c r="RZU26" s="19"/>
      <c r="RZV26" s="19"/>
      <c r="RZW26" s="19"/>
      <c r="RZX26" s="19"/>
      <c r="RZY26" s="19"/>
      <c r="RZZ26" s="19"/>
      <c r="SAA26" s="19"/>
      <c r="SAB26" s="19"/>
      <c r="SAC26" s="19"/>
      <c r="SAD26" s="19"/>
      <c r="SAE26" s="19"/>
      <c r="SAF26" s="19"/>
      <c r="SAG26" s="19"/>
      <c r="SAH26" s="19"/>
      <c r="SAI26" s="19"/>
      <c r="SAJ26" s="19"/>
      <c r="SAK26" s="19"/>
      <c r="SAL26" s="19"/>
      <c r="SAM26" s="19"/>
      <c r="SAN26" s="19"/>
      <c r="SAO26" s="19"/>
      <c r="SAP26" s="19"/>
      <c r="SAQ26" s="19"/>
      <c r="SAR26" s="19"/>
      <c r="SAS26" s="19"/>
      <c r="SAT26" s="19"/>
      <c r="SAU26" s="19"/>
      <c r="SAV26" s="19"/>
      <c r="SAW26" s="19"/>
      <c r="SAX26" s="19"/>
      <c r="SAY26" s="19"/>
      <c r="SAZ26" s="19"/>
      <c r="SBA26" s="19"/>
      <c r="SBB26" s="19"/>
      <c r="SBC26" s="19"/>
      <c r="SBD26" s="19"/>
      <c r="SBE26" s="19"/>
      <c r="SBF26" s="19"/>
      <c r="SBG26" s="19"/>
      <c r="SBH26" s="19"/>
      <c r="SBI26" s="19"/>
      <c r="SBJ26" s="19"/>
      <c r="SBK26" s="19"/>
      <c r="SBL26" s="19"/>
      <c r="SBM26" s="19"/>
      <c r="SBN26" s="19"/>
      <c r="SBO26" s="19"/>
      <c r="SBP26" s="19"/>
      <c r="SBQ26" s="19"/>
      <c r="SBR26" s="19"/>
      <c r="SBS26" s="19"/>
      <c r="SBT26" s="19"/>
      <c r="SBU26" s="19"/>
      <c r="SBV26" s="19"/>
      <c r="SBW26" s="19"/>
      <c r="SBX26" s="19"/>
      <c r="SBY26" s="19"/>
      <c r="SBZ26" s="19"/>
      <c r="SCA26" s="19"/>
      <c r="SCB26" s="19"/>
      <c r="SCC26" s="19"/>
      <c r="SCD26" s="19"/>
      <c r="SCE26" s="19"/>
      <c r="SCF26" s="19"/>
      <c r="SCG26" s="19"/>
      <c r="SCH26" s="19"/>
      <c r="SCI26" s="19"/>
      <c r="SCJ26" s="19"/>
      <c r="SCK26" s="19"/>
      <c r="SCL26" s="19"/>
      <c r="SCM26" s="19"/>
      <c r="SCN26" s="19"/>
      <c r="SCO26" s="19"/>
      <c r="SCP26" s="19"/>
      <c r="SCQ26" s="19"/>
      <c r="SCR26" s="19"/>
      <c r="SCS26" s="19"/>
      <c r="SCT26" s="19"/>
      <c r="SCU26" s="19"/>
      <c r="SCV26" s="19"/>
      <c r="SCW26" s="19"/>
      <c r="SCX26" s="19"/>
      <c r="SCY26" s="19"/>
      <c r="SCZ26" s="19"/>
      <c r="SDA26" s="19"/>
      <c r="SDB26" s="19"/>
      <c r="SDC26" s="19"/>
      <c r="SDD26" s="19"/>
      <c r="SDE26" s="19"/>
      <c r="SDF26" s="19"/>
      <c r="SDG26" s="19"/>
      <c r="SDH26" s="19"/>
      <c r="SDI26" s="19"/>
      <c r="SDJ26" s="19"/>
      <c r="SDK26" s="19"/>
      <c r="SDL26" s="19"/>
      <c r="SDM26" s="19"/>
      <c r="SDN26" s="19"/>
      <c r="SDO26" s="19"/>
      <c r="SDP26" s="19"/>
      <c r="SDQ26" s="19"/>
      <c r="SDR26" s="19"/>
      <c r="SDS26" s="19"/>
      <c r="SDT26" s="19"/>
      <c r="SDU26" s="19"/>
      <c r="SDV26" s="19"/>
      <c r="SDW26" s="19"/>
      <c r="SDX26" s="19"/>
      <c r="SDY26" s="19"/>
      <c r="SDZ26" s="19"/>
      <c r="SEA26" s="19"/>
      <c r="SEB26" s="19"/>
      <c r="SEC26" s="19"/>
      <c r="SED26" s="19"/>
      <c r="SEE26" s="19"/>
      <c r="SEF26" s="19"/>
      <c r="SEG26" s="19"/>
      <c r="SEH26" s="19"/>
      <c r="SEI26" s="19"/>
      <c r="SEJ26" s="19"/>
      <c r="SEK26" s="19"/>
      <c r="SEL26" s="19"/>
      <c r="SEM26" s="19"/>
      <c r="SEN26" s="19"/>
      <c r="SEO26" s="19"/>
      <c r="SEP26" s="19"/>
      <c r="SEQ26" s="19"/>
      <c r="SER26" s="19"/>
      <c r="SES26" s="19"/>
      <c r="SET26" s="19"/>
      <c r="SEU26" s="19"/>
      <c r="SEV26" s="19"/>
      <c r="SEW26" s="19"/>
      <c r="SEX26" s="19"/>
      <c r="SEY26" s="19"/>
      <c r="SEZ26" s="19"/>
      <c r="SFA26" s="19"/>
      <c r="SFB26" s="19"/>
      <c r="SFC26" s="19"/>
      <c r="SFD26" s="19"/>
      <c r="SFE26" s="19"/>
      <c r="SFF26" s="19"/>
      <c r="SFG26" s="19"/>
      <c r="SFH26" s="19"/>
      <c r="SFI26" s="19"/>
      <c r="SFJ26" s="19"/>
      <c r="SFK26" s="19"/>
      <c r="SFL26" s="19"/>
      <c r="SFM26" s="19"/>
      <c r="SFN26" s="19"/>
      <c r="SFO26" s="19"/>
      <c r="SFP26" s="19"/>
      <c r="SFQ26" s="19"/>
      <c r="SFR26" s="19"/>
      <c r="SFS26" s="19"/>
      <c r="SFT26" s="19"/>
      <c r="SFU26" s="19"/>
      <c r="SFV26" s="19"/>
      <c r="SFW26" s="19"/>
      <c r="SFX26" s="19"/>
      <c r="SFY26" s="19"/>
      <c r="SFZ26" s="19"/>
      <c r="SGA26" s="19"/>
      <c r="SGB26" s="19"/>
      <c r="SGC26" s="19"/>
      <c r="SGD26" s="19"/>
      <c r="SGE26" s="19"/>
      <c r="SGF26" s="19"/>
      <c r="SGG26" s="19"/>
      <c r="SGH26" s="19"/>
      <c r="SGI26" s="19"/>
      <c r="SGJ26" s="19"/>
      <c r="SGK26" s="19"/>
      <c r="SGL26" s="19"/>
      <c r="SGM26" s="19"/>
      <c r="SGN26" s="19"/>
      <c r="SGO26" s="19"/>
      <c r="SGP26" s="19"/>
      <c r="SGQ26" s="19"/>
      <c r="SGR26" s="19"/>
      <c r="SGS26" s="19"/>
      <c r="SGT26" s="19"/>
      <c r="SGU26" s="19"/>
      <c r="SGV26" s="19"/>
      <c r="SGW26" s="19"/>
      <c r="SGX26" s="19"/>
      <c r="SGY26" s="19"/>
      <c r="SGZ26" s="19"/>
      <c r="SHA26" s="19"/>
      <c r="SHB26" s="19"/>
      <c r="SHC26" s="19"/>
      <c r="SHD26" s="19"/>
      <c r="SHE26" s="19"/>
      <c r="SHF26" s="19"/>
      <c r="SHG26" s="19"/>
      <c r="SHH26" s="19"/>
      <c r="SHI26" s="19"/>
      <c r="SHJ26" s="19"/>
      <c r="SHK26" s="19"/>
      <c r="SHL26" s="19"/>
      <c r="SHM26" s="19"/>
      <c r="SHN26" s="19"/>
      <c r="SHO26" s="19"/>
      <c r="SHP26" s="19"/>
      <c r="SHQ26" s="19"/>
      <c r="SHR26" s="19"/>
      <c r="SHS26" s="19"/>
      <c r="SHT26" s="19"/>
      <c r="SHU26" s="19"/>
      <c r="SHV26" s="19"/>
      <c r="SHW26" s="19"/>
      <c r="SHX26" s="19"/>
      <c r="SHY26" s="19"/>
      <c r="SHZ26" s="19"/>
      <c r="SIA26" s="19"/>
      <c r="SIB26" s="19"/>
      <c r="SIC26" s="19"/>
      <c r="SID26" s="19"/>
      <c r="SIE26" s="19"/>
      <c r="SIF26" s="19"/>
      <c r="SIG26" s="19"/>
      <c r="SIH26" s="19"/>
      <c r="SII26" s="19"/>
      <c r="SIJ26" s="19"/>
      <c r="SIK26" s="19"/>
      <c r="SIL26" s="19"/>
      <c r="SIM26" s="19"/>
      <c r="SIN26" s="19"/>
      <c r="SIO26" s="19"/>
      <c r="SIP26" s="19"/>
      <c r="SIQ26" s="19"/>
      <c r="SIR26" s="19"/>
      <c r="SIS26" s="19"/>
      <c r="SIT26" s="19"/>
      <c r="SIU26" s="19"/>
      <c r="SIV26" s="19"/>
      <c r="SIW26" s="19"/>
      <c r="SIX26" s="19"/>
      <c r="SIY26" s="19"/>
      <c r="SIZ26" s="19"/>
      <c r="SJA26" s="19"/>
      <c r="SJB26" s="19"/>
      <c r="SJC26" s="19"/>
      <c r="SJD26" s="19"/>
      <c r="SJE26" s="19"/>
      <c r="SJF26" s="19"/>
      <c r="SJG26" s="19"/>
      <c r="SJH26" s="19"/>
      <c r="SJI26" s="19"/>
      <c r="SJJ26" s="19"/>
      <c r="SJK26" s="19"/>
      <c r="SJL26" s="19"/>
      <c r="SJM26" s="19"/>
      <c r="SJN26" s="19"/>
      <c r="SJO26" s="19"/>
      <c r="SJP26" s="19"/>
      <c r="SJQ26" s="19"/>
      <c r="SJR26" s="19"/>
      <c r="SJS26" s="19"/>
      <c r="SJT26" s="19"/>
      <c r="SJU26" s="19"/>
      <c r="SJV26" s="19"/>
      <c r="SJW26" s="19"/>
      <c r="SJX26" s="19"/>
      <c r="SJY26" s="19"/>
      <c r="SJZ26" s="19"/>
      <c r="SKA26" s="19"/>
      <c r="SKB26" s="19"/>
      <c r="SKC26" s="19"/>
      <c r="SKD26" s="19"/>
      <c r="SKE26" s="19"/>
      <c r="SKF26" s="19"/>
      <c r="SKG26" s="19"/>
      <c r="SKH26" s="19"/>
      <c r="SKI26" s="19"/>
      <c r="SKJ26" s="19"/>
      <c r="SKK26" s="19"/>
      <c r="SKL26" s="19"/>
      <c r="SKM26" s="19"/>
      <c r="SKN26" s="19"/>
      <c r="SKO26" s="19"/>
      <c r="SKP26" s="19"/>
      <c r="SKQ26" s="19"/>
      <c r="SKR26" s="19"/>
      <c r="SKS26" s="19"/>
      <c r="SKT26" s="19"/>
      <c r="SKU26" s="19"/>
      <c r="SKV26" s="19"/>
      <c r="SKW26" s="19"/>
      <c r="SKX26" s="19"/>
      <c r="SKY26" s="19"/>
      <c r="SKZ26" s="19"/>
      <c r="SLA26" s="19"/>
      <c r="SLB26" s="19"/>
      <c r="SLC26" s="19"/>
      <c r="SLD26" s="19"/>
      <c r="SLE26" s="19"/>
      <c r="SLF26" s="19"/>
      <c r="SLG26" s="19"/>
      <c r="SLH26" s="19"/>
      <c r="SLI26" s="19"/>
      <c r="SLJ26" s="19"/>
      <c r="SLK26" s="19"/>
      <c r="SLL26" s="19"/>
      <c r="SLM26" s="19"/>
      <c r="SLN26" s="19"/>
      <c r="SLO26" s="19"/>
      <c r="SLP26" s="19"/>
      <c r="SLQ26" s="19"/>
      <c r="SLR26" s="19"/>
      <c r="SLS26" s="19"/>
      <c r="SLT26" s="19"/>
      <c r="SLU26" s="19"/>
      <c r="SLV26" s="19"/>
      <c r="SLW26" s="19"/>
      <c r="SLX26" s="19"/>
      <c r="SLY26" s="19"/>
      <c r="SLZ26" s="19"/>
      <c r="SMA26" s="19"/>
      <c r="SMB26" s="19"/>
      <c r="SMC26" s="19"/>
      <c r="SMD26" s="19"/>
      <c r="SME26" s="19"/>
      <c r="SMF26" s="19"/>
      <c r="SMG26" s="19"/>
      <c r="SMH26" s="19"/>
      <c r="SMI26" s="19"/>
      <c r="SMJ26" s="19"/>
      <c r="SMK26" s="19"/>
      <c r="SML26" s="19"/>
      <c r="SMM26" s="19"/>
      <c r="SMN26" s="19"/>
      <c r="SMO26" s="19"/>
      <c r="SMP26" s="19"/>
      <c r="SMQ26" s="19"/>
      <c r="SMR26" s="19"/>
      <c r="SMS26" s="19"/>
      <c r="SMT26" s="19"/>
      <c r="SMU26" s="19"/>
      <c r="SMV26" s="19"/>
      <c r="SMW26" s="19"/>
      <c r="SMX26" s="19"/>
      <c r="SMY26" s="19"/>
      <c r="SMZ26" s="19"/>
      <c r="SNA26" s="19"/>
      <c r="SNB26" s="19"/>
      <c r="SNC26" s="19"/>
      <c r="SND26" s="19"/>
      <c r="SNE26" s="19"/>
      <c r="SNF26" s="19"/>
      <c r="SNG26" s="19"/>
      <c r="SNH26" s="19"/>
      <c r="SNI26" s="19"/>
      <c r="SNJ26" s="19"/>
      <c r="SNK26" s="19"/>
      <c r="SNL26" s="19"/>
      <c r="SNM26" s="19"/>
      <c r="SNN26" s="19"/>
      <c r="SNO26" s="19"/>
      <c r="SNP26" s="19"/>
      <c r="SNQ26" s="19"/>
      <c r="SNR26" s="19"/>
      <c r="SNS26" s="19"/>
      <c r="SNT26" s="19"/>
      <c r="SNU26" s="19"/>
      <c r="SNV26" s="19"/>
      <c r="SNW26" s="19"/>
      <c r="SNX26" s="19"/>
      <c r="SNY26" s="19"/>
      <c r="SNZ26" s="19"/>
      <c r="SOA26" s="19"/>
      <c r="SOB26" s="19"/>
      <c r="SOC26" s="19"/>
      <c r="SOD26" s="19"/>
      <c r="SOE26" s="19"/>
      <c r="SOF26" s="19"/>
      <c r="SOG26" s="19"/>
      <c r="SOH26" s="19"/>
      <c r="SOI26" s="19"/>
      <c r="SOJ26" s="19"/>
      <c r="SOK26" s="19"/>
      <c r="SOL26" s="19"/>
      <c r="SOM26" s="19"/>
      <c r="SON26" s="19"/>
      <c r="SOO26" s="19"/>
      <c r="SOP26" s="19"/>
      <c r="SOQ26" s="19"/>
      <c r="SOR26" s="19"/>
      <c r="SOS26" s="19"/>
      <c r="SOT26" s="19"/>
      <c r="SOU26" s="19"/>
      <c r="SOV26" s="19"/>
      <c r="SOW26" s="19"/>
      <c r="SOX26" s="19"/>
      <c r="SOY26" s="19"/>
      <c r="SOZ26" s="19"/>
      <c r="SPA26" s="19"/>
      <c r="SPB26" s="19"/>
      <c r="SPC26" s="19"/>
      <c r="SPD26" s="19"/>
      <c r="SPE26" s="19"/>
      <c r="SPF26" s="19"/>
      <c r="SPG26" s="19"/>
      <c r="SPH26" s="19"/>
      <c r="SPI26" s="19"/>
      <c r="SPJ26" s="19"/>
      <c r="SPK26" s="19"/>
      <c r="SPL26" s="19"/>
      <c r="SPM26" s="19"/>
      <c r="SPN26" s="19"/>
      <c r="SPO26" s="19"/>
      <c r="SPP26" s="19"/>
      <c r="SPQ26" s="19"/>
      <c r="SPR26" s="19"/>
      <c r="SPS26" s="19"/>
      <c r="SPT26" s="19"/>
      <c r="SPU26" s="19"/>
      <c r="SPV26" s="19"/>
      <c r="SPW26" s="19"/>
      <c r="SPX26" s="19"/>
      <c r="SPY26" s="19"/>
      <c r="SPZ26" s="19"/>
      <c r="SQA26" s="19"/>
      <c r="SQB26" s="19"/>
      <c r="SQC26" s="19"/>
      <c r="SQD26" s="19"/>
      <c r="SQE26" s="19"/>
      <c r="SQF26" s="19"/>
      <c r="SQG26" s="19"/>
      <c r="SQH26" s="19"/>
      <c r="SQI26" s="19"/>
      <c r="SQJ26" s="19"/>
      <c r="SQK26" s="19"/>
      <c r="SQL26" s="19"/>
      <c r="SQM26" s="19"/>
      <c r="SQN26" s="19"/>
      <c r="SQO26" s="19"/>
      <c r="SQP26" s="19"/>
      <c r="SQQ26" s="19"/>
      <c r="SQR26" s="19"/>
      <c r="SQS26" s="19"/>
      <c r="SQT26" s="19"/>
      <c r="SQU26" s="19"/>
      <c r="SQV26" s="19"/>
      <c r="SQW26" s="19"/>
      <c r="SQX26" s="19"/>
      <c r="SQY26" s="19"/>
      <c r="SQZ26" s="19"/>
      <c r="SRA26" s="19"/>
      <c r="SRB26" s="19"/>
      <c r="SRC26" s="19"/>
      <c r="SRD26" s="19"/>
      <c r="SRE26" s="19"/>
      <c r="SRF26" s="19"/>
      <c r="SRG26" s="19"/>
      <c r="SRH26" s="19"/>
      <c r="SRI26" s="19"/>
      <c r="SRJ26" s="19"/>
      <c r="SRK26" s="19"/>
      <c r="SRL26" s="19"/>
      <c r="SRM26" s="19"/>
      <c r="SRN26" s="19"/>
      <c r="SRO26" s="19"/>
      <c r="SRP26" s="19"/>
      <c r="SRQ26" s="19"/>
      <c r="SRR26" s="19"/>
      <c r="SRS26" s="19"/>
      <c r="SRT26" s="19"/>
      <c r="SRU26" s="19"/>
      <c r="SRV26" s="19"/>
      <c r="SRW26" s="19"/>
      <c r="SRX26" s="19"/>
      <c r="SRY26" s="19"/>
      <c r="SRZ26" s="19"/>
      <c r="SSA26" s="19"/>
      <c r="SSB26" s="19"/>
      <c r="SSC26" s="19"/>
      <c r="SSD26" s="19"/>
      <c r="SSE26" s="19"/>
      <c r="SSF26" s="19"/>
      <c r="SSG26" s="19"/>
      <c r="SSH26" s="19"/>
      <c r="SSI26" s="19"/>
      <c r="SSJ26" s="19"/>
      <c r="SSK26" s="19"/>
      <c r="SSL26" s="19"/>
      <c r="SSM26" s="19"/>
      <c r="SSN26" s="19"/>
      <c r="SSO26" s="19"/>
      <c r="SSP26" s="19"/>
      <c r="SSQ26" s="19"/>
      <c r="SSR26" s="19"/>
      <c r="SSS26" s="19"/>
      <c r="SST26" s="19"/>
      <c r="SSU26" s="19"/>
      <c r="SSV26" s="19"/>
      <c r="SSW26" s="19"/>
      <c r="SSX26" s="19"/>
      <c r="SSY26" s="19"/>
      <c r="SSZ26" s="19"/>
      <c r="STA26" s="19"/>
      <c r="STB26" s="19"/>
      <c r="STC26" s="19"/>
      <c r="STD26" s="19"/>
      <c r="STE26" s="19"/>
      <c r="STF26" s="19"/>
      <c r="STG26" s="19"/>
      <c r="STH26" s="19"/>
      <c r="STI26" s="19"/>
      <c r="STJ26" s="19"/>
      <c r="STK26" s="19"/>
      <c r="STL26" s="19"/>
      <c r="STM26" s="19"/>
      <c r="STN26" s="19"/>
      <c r="STO26" s="19"/>
      <c r="STP26" s="19"/>
      <c r="STQ26" s="19"/>
      <c r="STR26" s="19"/>
      <c r="STS26" s="19"/>
      <c r="STT26" s="19"/>
      <c r="STU26" s="19"/>
      <c r="STV26" s="19"/>
      <c r="STW26" s="19"/>
      <c r="STX26" s="19"/>
      <c r="STY26" s="19"/>
      <c r="STZ26" s="19"/>
      <c r="SUA26" s="19"/>
      <c r="SUB26" s="19"/>
      <c r="SUC26" s="19"/>
      <c r="SUD26" s="19"/>
      <c r="SUE26" s="19"/>
      <c r="SUF26" s="19"/>
      <c r="SUG26" s="19"/>
      <c r="SUH26" s="19"/>
      <c r="SUI26" s="19"/>
      <c r="SUJ26" s="19"/>
      <c r="SUK26" s="19"/>
      <c r="SUL26" s="19"/>
      <c r="SUM26" s="19"/>
      <c r="SUN26" s="19"/>
      <c r="SUO26" s="19"/>
      <c r="SUP26" s="19"/>
      <c r="SUQ26" s="19"/>
      <c r="SUR26" s="19"/>
      <c r="SUS26" s="19"/>
      <c r="SUT26" s="19"/>
      <c r="SUU26" s="19"/>
      <c r="SUV26" s="19"/>
      <c r="SUW26" s="19"/>
      <c r="SUX26" s="19"/>
      <c r="SUY26" s="19"/>
      <c r="SUZ26" s="19"/>
      <c r="SVA26" s="19"/>
      <c r="SVB26" s="19"/>
      <c r="SVC26" s="19"/>
      <c r="SVD26" s="19"/>
      <c r="SVE26" s="19"/>
      <c r="SVF26" s="19"/>
      <c r="SVG26" s="19"/>
      <c r="SVH26" s="19"/>
      <c r="SVI26" s="19"/>
      <c r="SVJ26" s="19"/>
      <c r="SVK26" s="19"/>
      <c r="SVL26" s="19"/>
      <c r="SVM26" s="19"/>
      <c r="SVN26" s="19"/>
      <c r="SVO26" s="19"/>
      <c r="SVP26" s="19"/>
      <c r="SVQ26" s="19"/>
      <c r="SVR26" s="19"/>
      <c r="SVS26" s="19"/>
      <c r="SVT26" s="19"/>
      <c r="SVU26" s="19"/>
      <c r="SVV26" s="19"/>
      <c r="SVW26" s="19"/>
      <c r="SVX26" s="19"/>
      <c r="SVY26" s="19"/>
      <c r="SVZ26" s="19"/>
      <c r="SWA26" s="19"/>
      <c r="SWB26" s="19"/>
      <c r="SWC26" s="19"/>
      <c r="SWD26" s="19"/>
      <c r="SWE26" s="19"/>
      <c r="SWF26" s="19"/>
      <c r="SWG26" s="19"/>
      <c r="SWH26" s="19"/>
      <c r="SWI26" s="19"/>
      <c r="SWJ26" s="19"/>
      <c r="SWK26" s="19"/>
      <c r="SWL26" s="19"/>
      <c r="SWM26" s="19"/>
      <c r="SWN26" s="19"/>
      <c r="SWO26" s="19"/>
      <c r="SWP26" s="19"/>
      <c r="SWQ26" s="19"/>
      <c r="SWR26" s="19"/>
      <c r="SWS26" s="19"/>
      <c r="SWT26" s="19"/>
      <c r="SWU26" s="19"/>
      <c r="SWV26" s="19"/>
      <c r="SWW26" s="19"/>
      <c r="SWX26" s="19"/>
      <c r="SWY26" s="19"/>
      <c r="SWZ26" s="19"/>
      <c r="SXA26" s="19"/>
      <c r="SXB26" s="19"/>
      <c r="SXC26" s="19"/>
      <c r="SXD26" s="19"/>
      <c r="SXE26" s="19"/>
      <c r="SXF26" s="19"/>
      <c r="SXG26" s="19"/>
      <c r="SXH26" s="19"/>
      <c r="SXI26" s="19"/>
      <c r="SXJ26" s="19"/>
      <c r="SXK26" s="19"/>
      <c r="SXL26" s="19"/>
      <c r="SXM26" s="19"/>
      <c r="SXN26" s="19"/>
      <c r="SXO26" s="19"/>
      <c r="SXP26" s="19"/>
      <c r="SXQ26" s="19"/>
      <c r="SXR26" s="19"/>
      <c r="SXS26" s="19"/>
      <c r="SXT26" s="19"/>
      <c r="SXU26" s="19"/>
      <c r="SXV26" s="19"/>
      <c r="SXW26" s="19"/>
      <c r="SXX26" s="19"/>
      <c r="SXY26" s="19"/>
      <c r="SXZ26" s="19"/>
      <c r="SYA26" s="19"/>
      <c r="SYB26" s="19"/>
      <c r="SYC26" s="19"/>
      <c r="SYD26" s="19"/>
      <c r="SYE26" s="19"/>
      <c r="SYF26" s="19"/>
      <c r="SYG26" s="19"/>
      <c r="SYH26" s="19"/>
      <c r="SYI26" s="19"/>
      <c r="SYJ26" s="19"/>
      <c r="SYK26" s="19"/>
      <c r="SYL26" s="19"/>
      <c r="SYM26" s="19"/>
      <c r="SYN26" s="19"/>
      <c r="SYO26" s="19"/>
      <c r="SYP26" s="19"/>
      <c r="SYQ26" s="19"/>
      <c r="SYR26" s="19"/>
      <c r="SYS26" s="19"/>
      <c r="SYT26" s="19"/>
      <c r="SYU26" s="19"/>
      <c r="SYV26" s="19"/>
      <c r="SYW26" s="19"/>
      <c r="SYX26" s="19"/>
      <c r="SYY26" s="19"/>
      <c r="SYZ26" s="19"/>
      <c r="SZA26" s="19"/>
      <c r="SZB26" s="19"/>
      <c r="SZC26" s="19"/>
      <c r="SZD26" s="19"/>
      <c r="SZE26" s="19"/>
      <c r="SZF26" s="19"/>
      <c r="SZG26" s="19"/>
      <c r="SZH26" s="19"/>
      <c r="SZI26" s="19"/>
      <c r="SZJ26" s="19"/>
      <c r="SZK26" s="19"/>
      <c r="SZL26" s="19"/>
      <c r="SZM26" s="19"/>
      <c r="SZN26" s="19"/>
      <c r="SZO26" s="19"/>
      <c r="SZP26" s="19"/>
      <c r="SZQ26" s="19"/>
      <c r="SZR26" s="19"/>
      <c r="SZS26" s="19"/>
      <c r="SZT26" s="19"/>
      <c r="SZU26" s="19"/>
      <c r="SZV26" s="19"/>
      <c r="SZW26" s="19"/>
      <c r="SZX26" s="19"/>
      <c r="SZY26" s="19"/>
      <c r="SZZ26" s="19"/>
      <c r="TAA26" s="19"/>
      <c r="TAB26" s="19"/>
      <c r="TAC26" s="19"/>
      <c r="TAD26" s="19"/>
      <c r="TAE26" s="19"/>
      <c r="TAF26" s="19"/>
      <c r="TAG26" s="19"/>
      <c r="TAH26" s="19"/>
      <c r="TAI26" s="19"/>
      <c r="TAJ26" s="19"/>
      <c r="TAK26" s="19"/>
      <c r="TAL26" s="19"/>
      <c r="TAM26" s="19"/>
      <c r="TAN26" s="19"/>
      <c r="TAO26" s="19"/>
      <c r="TAP26" s="19"/>
      <c r="TAQ26" s="19"/>
      <c r="TAR26" s="19"/>
      <c r="TAS26" s="19"/>
      <c r="TAT26" s="19"/>
      <c r="TAU26" s="19"/>
      <c r="TAV26" s="19"/>
      <c r="TAW26" s="19"/>
      <c r="TAX26" s="19"/>
      <c r="TAY26" s="19"/>
      <c r="TAZ26" s="19"/>
      <c r="TBA26" s="19"/>
      <c r="TBB26" s="19"/>
      <c r="TBC26" s="19"/>
      <c r="TBD26" s="19"/>
      <c r="TBE26" s="19"/>
      <c r="TBF26" s="19"/>
      <c r="TBG26" s="19"/>
      <c r="TBH26" s="19"/>
      <c r="TBI26" s="19"/>
      <c r="TBJ26" s="19"/>
      <c r="TBK26" s="19"/>
      <c r="TBL26" s="19"/>
      <c r="TBM26" s="19"/>
      <c r="TBN26" s="19"/>
      <c r="TBO26" s="19"/>
      <c r="TBP26" s="19"/>
      <c r="TBQ26" s="19"/>
      <c r="TBR26" s="19"/>
      <c r="TBS26" s="19"/>
      <c r="TBT26" s="19"/>
      <c r="TBU26" s="19"/>
      <c r="TBV26" s="19"/>
      <c r="TBW26" s="19"/>
      <c r="TBX26" s="19"/>
      <c r="TBY26" s="19"/>
      <c r="TBZ26" s="19"/>
      <c r="TCA26" s="19"/>
      <c r="TCB26" s="19"/>
      <c r="TCC26" s="19"/>
      <c r="TCD26" s="19"/>
      <c r="TCE26" s="19"/>
      <c r="TCF26" s="19"/>
      <c r="TCG26" s="19"/>
      <c r="TCH26" s="19"/>
      <c r="TCI26" s="19"/>
      <c r="TCJ26" s="19"/>
      <c r="TCK26" s="19"/>
      <c r="TCL26" s="19"/>
      <c r="TCM26" s="19"/>
      <c r="TCN26" s="19"/>
      <c r="TCO26" s="19"/>
      <c r="TCP26" s="19"/>
      <c r="TCQ26" s="19"/>
      <c r="TCR26" s="19"/>
      <c r="TCS26" s="19"/>
      <c r="TCT26" s="19"/>
      <c r="TCU26" s="19"/>
      <c r="TCV26" s="19"/>
      <c r="TCW26" s="19"/>
      <c r="TCX26" s="19"/>
      <c r="TCY26" s="19"/>
      <c r="TCZ26" s="19"/>
      <c r="TDA26" s="19"/>
      <c r="TDB26" s="19"/>
      <c r="TDC26" s="19"/>
      <c r="TDD26" s="19"/>
      <c r="TDE26" s="19"/>
      <c r="TDF26" s="19"/>
      <c r="TDG26" s="19"/>
      <c r="TDH26" s="19"/>
      <c r="TDI26" s="19"/>
      <c r="TDJ26" s="19"/>
      <c r="TDK26" s="19"/>
      <c r="TDL26" s="19"/>
      <c r="TDM26" s="19"/>
      <c r="TDN26" s="19"/>
      <c r="TDO26" s="19"/>
      <c r="TDP26" s="19"/>
      <c r="TDQ26" s="19"/>
      <c r="TDR26" s="19"/>
      <c r="TDS26" s="19"/>
      <c r="TDT26" s="19"/>
      <c r="TDU26" s="19"/>
      <c r="TDV26" s="19"/>
      <c r="TDW26" s="19"/>
      <c r="TDX26" s="19"/>
      <c r="TDY26" s="19"/>
      <c r="TDZ26" s="19"/>
      <c r="TEA26" s="19"/>
      <c r="TEB26" s="19"/>
      <c r="TEC26" s="19"/>
      <c r="TED26" s="19"/>
      <c r="TEE26" s="19"/>
      <c r="TEF26" s="19"/>
      <c r="TEG26" s="19"/>
      <c r="TEH26" s="19"/>
      <c r="TEI26" s="19"/>
      <c r="TEJ26" s="19"/>
      <c r="TEK26" s="19"/>
      <c r="TEL26" s="19"/>
      <c r="TEM26" s="19"/>
      <c r="TEN26" s="19"/>
      <c r="TEO26" s="19"/>
      <c r="TEP26" s="19"/>
      <c r="TEQ26" s="19"/>
      <c r="TER26" s="19"/>
      <c r="TES26" s="19"/>
      <c r="TET26" s="19"/>
      <c r="TEU26" s="19"/>
      <c r="TEV26" s="19"/>
      <c r="TEW26" s="19"/>
      <c r="TEX26" s="19"/>
      <c r="TEY26" s="19"/>
      <c r="TEZ26" s="19"/>
      <c r="TFA26" s="19"/>
      <c r="TFB26" s="19"/>
      <c r="TFC26" s="19"/>
      <c r="TFD26" s="19"/>
      <c r="TFE26" s="19"/>
      <c r="TFF26" s="19"/>
      <c r="TFG26" s="19"/>
      <c r="TFH26" s="19"/>
      <c r="TFI26" s="19"/>
      <c r="TFJ26" s="19"/>
      <c r="TFK26" s="19"/>
      <c r="TFL26" s="19"/>
      <c r="TFM26" s="19"/>
      <c r="TFN26" s="19"/>
      <c r="TFO26" s="19"/>
      <c r="TFP26" s="19"/>
      <c r="TFQ26" s="19"/>
      <c r="TFR26" s="19"/>
      <c r="TFS26" s="19"/>
      <c r="TFT26" s="19"/>
      <c r="TFU26" s="19"/>
      <c r="TFV26" s="19"/>
      <c r="TFW26" s="19"/>
      <c r="TFX26" s="19"/>
      <c r="TFY26" s="19"/>
      <c r="TFZ26" s="19"/>
      <c r="TGA26" s="19"/>
      <c r="TGB26" s="19"/>
      <c r="TGC26" s="19"/>
      <c r="TGD26" s="19"/>
      <c r="TGE26" s="19"/>
      <c r="TGF26" s="19"/>
      <c r="TGG26" s="19"/>
      <c r="TGH26" s="19"/>
      <c r="TGI26" s="19"/>
      <c r="TGJ26" s="19"/>
      <c r="TGK26" s="19"/>
      <c r="TGL26" s="19"/>
      <c r="TGM26" s="19"/>
      <c r="TGN26" s="19"/>
      <c r="TGO26" s="19"/>
      <c r="TGP26" s="19"/>
      <c r="TGQ26" s="19"/>
      <c r="TGR26" s="19"/>
      <c r="TGS26" s="19"/>
      <c r="TGT26" s="19"/>
      <c r="TGU26" s="19"/>
      <c r="TGV26" s="19"/>
      <c r="TGW26" s="19"/>
      <c r="TGX26" s="19"/>
      <c r="TGY26" s="19"/>
      <c r="TGZ26" s="19"/>
      <c r="THA26" s="19"/>
      <c r="THB26" s="19"/>
      <c r="THC26" s="19"/>
      <c r="THD26" s="19"/>
      <c r="THE26" s="19"/>
      <c r="THF26" s="19"/>
      <c r="THG26" s="19"/>
      <c r="THH26" s="19"/>
      <c r="THI26" s="19"/>
      <c r="THJ26" s="19"/>
      <c r="THK26" s="19"/>
      <c r="THL26" s="19"/>
      <c r="THM26" s="19"/>
      <c r="THN26" s="19"/>
      <c r="THO26" s="19"/>
      <c r="THP26" s="19"/>
      <c r="THQ26" s="19"/>
      <c r="THR26" s="19"/>
      <c r="THS26" s="19"/>
      <c r="THT26" s="19"/>
      <c r="THU26" s="19"/>
      <c r="THV26" s="19"/>
      <c r="THW26" s="19"/>
      <c r="THX26" s="19"/>
      <c r="THY26" s="19"/>
      <c r="THZ26" s="19"/>
      <c r="TIA26" s="19"/>
      <c r="TIB26" s="19"/>
      <c r="TIC26" s="19"/>
      <c r="TID26" s="19"/>
      <c r="TIE26" s="19"/>
      <c r="TIF26" s="19"/>
      <c r="TIG26" s="19"/>
      <c r="TIH26" s="19"/>
      <c r="TII26" s="19"/>
      <c r="TIJ26" s="19"/>
      <c r="TIK26" s="19"/>
      <c r="TIL26" s="19"/>
      <c r="TIM26" s="19"/>
      <c r="TIN26" s="19"/>
      <c r="TIO26" s="19"/>
      <c r="TIP26" s="19"/>
      <c r="TIQ26" s="19"/>
      <c r="TIR26" s="19"/>
      <c r="TIS26" s="19"/>
      <c r="TIT26" s="19"/>
      <c r="TIU26" s="19"/>
      <c r="TIV26" s="19"/>
      <c r="TIW26" s="19"/>
      <c r="TIX26" s="19"/>
      <c r="TIY26" s="19"/>
      <c r="TIZ26" s="19"/>
      <c r="TJA26" s="19"/>
      <c r="TJB26" s="19"/>
      <c r="TJC26" s="19"/>
      <c r="TJD26" s="19"/>
      <c r="TJE26" s="19"/>
      <c r="TJF26" s="19"/>
      <c r="TJG26" s="19"/>
      <c r="TJH26" s="19"/>
      <c r="TJI26" s="19"/>
      <c r="TJJ26" s="19"/>
      <c r="TJK26" s="19"/>
      <c r="TJL26" s="19"/>
      <c r="TJM26" s="19"/>
      <c r="TJN26" s="19"/>
      <c r="TJO26" s="19"/>
      <c r="TJP26" s="19"/>
      <c r="TJQ26" s="19"/>
      <c r="TJR26" s="19"/>
      <c r="TJS26" s="19"/>
      <c r="TJT26" s="19"/>
      <c r="TJU26" s="19"/>
      <c r="TJV26" s="19"/>
      <c r="TJW26" s="19"/>
      <c r="TJX26" s="19"/>
      <c r="TJY26" s="19"/>
      <c r="TJZ26" s="19"/>
      <c r="TKA26" s="19"/>
      <c r="TKB26" s="19"/>
      <c r="TKC26" s="19"/>
      <c r="TKD26" s="19"/>
      <c r="TKE26" s="19"/>
      <c r="TKF26" s="19"/>
      <c r="TKG26" s="19"/>
      <c r="TKH26" s="19"/>
      <c r="TKI26" s="19"/>
      <c r="TKJ26" s="19"/>
      <c r="TKK26" s="19"/>
      <c r="TKL26" s="19"/>
      <c r="TKM26" s="19"/>
      <c r="TKN26" s="19"/>
      <c r="TKO26" s="19"/>
      <c r="TKP26" s="19"/>
      <c r="TKQ26" s="19"/>
      <c r="TKR26" s="19"/>
      <c r="TKS26" s="19"/>
      <c r="TKT26" s="19"/>
      <c r="TKU26" s="19"/>
      <c r="TKV26" s="19"/>
      <c r="TKW26" s="19"/>
      <c r="TKX26" s="19"/>
      <c r="TKY26" s="19"/>
      <c r="TKZ26" s="19"/>
      <c r="TLA26" s="19"/>
      <c r="TLB26" s="19"/>
      <c r="TLC26" s="19"/>
      <c r="TLD26" s="19"/>
      <c r="TLE26" s="19"/>
      <c r="TLF26" s="19"/>
      <c r="TLG26" s="19"/>
      <c r="TLH26" s="19"/>
      <c r="TLI26" s="19"/>
      <c r="TLJ26" s="19"/>
      <c r="TLK26" s="19"/>
      <c r="TLL26" s="19"/>
      <c r="TLM26" s="19"/>
      <c r="TLN26" s="19"/>
      <c r="TLO26" s="19"/>
      <c r="TLP26" s="19"/>
      <c r="TLQ26" s="19"/>
      <c r="TLR26" s="19"/>
      <c r="TLS26" s="19"/>
      <c r="TLT26" s="19"/>
      <c r="TLU26" s="19"/>
      <c r="TLV26" s="19"/>
      <c r="TLW26" s="19"/>
      <c r="TLX26" s="19"/>
      <c r="TLY26" s="19"/>
      <c r="TLZ26" s="19"/>
      <c r="TMA26" s="19"/>
      <c r="TMB26" s="19"/>
      <c r="TMC26" s="19"/>
      <c r="TMD26" s="19"/>
      <c r="TME26" s="19"/>
      <c r="TMF26" s="19"/>
      <c r="TMG26" s="19"/>
      <c r="TMH26" s="19"/>
      <c r="TMI26" s="19"/>
      <c r="TMJ26" s="19"/>
      <c r="TMK26" s="19"/>
      <c r="TML26" s="19"/>
      <c r="TMM26" s="19"/>
      <c r="TMN26" s="19"/>
      <c r="TMO26" s="19"/>
      <c r="TMP26" s="19"/>
      <c r="TMQ26" s="19"/>
      <c r="TMR26" s="19"/>
      <c r="TMS26" s="19"/>
      <c r="TMT26" s="19"/>
      <c r="TMU26" s="19"/>
      <c r="TMV26" s="19"/>
      <c r="TMW26" s="19"/>
      <c r="TMX26" s="19"/>
      <c r="TMY26" s="19"/>
      <c r="TMZ26" s="19"/>
      <c r="TNA26" s="19"/>
      <c r="TNB26" s="19"/>
      <c r="TNC26" s="19"/>
      <c r="TND26" s="19"/>
      <c r="TNE26" s="19"/>
      <c r="TNF26" s="19"/>
      <c r="TNG26" s="19"/>
      <c r="TNH26" s="19"/>
      <c r="TNI26" s="19"/>
      <c r="TNJ26" s="19"/>
      <c r="TNK26" s="19"/>
      <c r="TNL26" s="19"/>
      <c r="TNM26" s="19"/>
      <c r="TNN26" s="19"/>
      <c r="TNO26" s="19"/>
      <c r="TNP26" s="19"/>
      <c r="TNQ26" s="19"/>
      <c r="TNR26" s="19"/>
      <c r="TNS26" s="19"/>
      <c r="TNT26" s="19"/>
      <c r="TNU26" s="19"/>
      <c r="TNV26" s="19"/>
      <c r="TNW26" s="19"/>
      <c r="TNX26" s="19"/>
      <c r="TNY26" s="19"/>
      <c r="TNZ26" s="19"/>
      <c r="TOA26" s="19"/>
      <c r="TOB26" s="19"/>
      <c r="TOC26" s="19"/>
      <c r="TOD26" s="19"/>
      <c r="TOE26" s="19"/>
      <c r="TOF26" s="19"/>
      <c r="TOG26" s="19"/>
      <c r="TOH26" s="19"/>
      <c r="TOI26" s="19"/>
      <c r="TOJ26" s="19"/>
      <c r="TOK26" s="19"/>
      <c r="TOL26" s="19"/>
      <c r="TOM26" s="19"/>
      <c r="TON26" s="19"/>
      <c r="TOO26" s="19"/>
      <c r="TOP26" s="19"/>
      <c r="TOQ26" s="19"/>
      <c r="TOR26" s="19"/>
      <c r="TOS26" s="19"/>
      <c r="TOT26" s="19"/>
      <c r="TOU26" s="19"/>
      <c r="TOV26" s="19"/>
      <c r="TOW26" s="19"/>
      <c r="TOX26" s="19"/>
      <c r="TOY26" s="19"/>
      <c r="TOZ26" s="19"/>
      <c r="TPA26" s="19"/>
      <c r="TPB26" s="19"/>
      <c r="TPC26" s="19"/>
      <c r="TPD26" s="19"/>
      <c r="TPE26" s="19"/>
      <c r="TPF26" s="19"/>
      <c r="TPG26" s="19"/>
      <c r="TPH26" s="19"/>
      <c r="TPI26" s="19"/>
      <c r="TPJ26" s="19"/>
      <c r="TPK26" s="19"/>
      <c r="TPL26" s="19"/>
      <c r="TPM26" s="19"/>
      <c r="TPN26" s="19"/>
      <c r="TPO26" s="19"/>
      <c r="TPP26" s="19"/>
      <c r="TPQ26" s="19"/>
      <c r="TPR26" s="19"/>
      <c r="TPS26" s="19"/>
      <c r="TPT26" s="19"/>
      <c r="TPU26" s="19"/>
      <c r="TPV26" s="19"/>
      <c r="TPW26" s="19"/>
      <c r="TPX26" s="19"/>
      <c r="TPY26" s="19"/>
      <c r="TPZ26" s="19"/>
      <c r="TQA26" s="19"/>
      <c r="TQB26" s="19"/>
      <c r="TQC26" s="19"/>
      <c r="TQD26" s="19"/>
      <c r="TQE26" s="19"/>
      <c r="TQF26" s="19"/>
      <c r="TQG26" s="19"/>
      <c r="TQH26" s="19"/>
      <c r="TQI26" s="19"/>
      <c r="TQJ26" s="19"/>
      <c r="TQK26" s="19"/>
      <c r="TQL26" s="19"/>
      <c r="TQM26" s="19"/>
      <c r="TQN26" s="19"/>
      <c r="TQO26" s="19"/>
      <c r="TQP26" s="19"/>
      <c r="TQQ26" s="19"/>
      <c r="TQR26" s="19"/>
      <c r="TQS26" s="19"/>
      <c r="TQT26" s="19"/>
      <c r="TQU26" s="19"/>
      <c r="TQV26" s="19"/>
      <c r="TQW26" s="19"/>
      <c r="TQX26" s="19"/>
      <c r="TQY26" s="19"/>
      <c r="TQZ26" s="19"/>
      <c r="TRA26" s="19"/>
      <c r="TRB26" s="19"/>
      <c r="TRC26" s="19"/>
      <c r="TRD26" s="19"/>
      <c r="TRE26" s="19"/>
      <c r="TRF26" s="19"/>
      <c r="TRG26" s="19"/>
      <c r="TRH26" s="19"/>
      <c r="TRI26" s="19"/>
      <c r="TRJ26" s="19"/>
      <c r="TRK26" s="19"/>
      <c r="TRL26" s="19"/>
      <c r="TRM26" s="19"/>
      <c r="TRN26" s="19"/>
      <c r="TRO26" s="19"/>
      <c r="TRP26" s="19"/>
      <c r="TRQ26" s="19"/>
      <c r="TRR26" s="19"/>
      <c r="TRS26" s="19"/>
      <c r="TRT26" s="19"/>
      <c r="TRU26" s="19"/>
      <c r="TRV26" s="19"/>
      <c r="TRW26" s="19"/>
      <c r="TRX26" s="19"/>
      <c r="TRY26" s="19"/>
      <c r="TRZ26" s="19"/>
      <c r="TSA26" s="19"/>
      <c r="TSB26" s="19"/>
      <c r="TSC26" s="19"/>
      <c r="TSD26" s="19"/>
      <c r="TSE26" s="19"/>
      <c r="TSF26" s="19"/>
      <c r="TSG26" s="19"/>
      <c r="TSH26" s="19"/>
      <c r="TSI26" s="19"/>
      <c r="TSJ26" s="19"/>
      <c r="TSK26" s="19"/>
      <c r="TSL26" s="19"/>
      <c r="TSM26" s="19"/>
      <c r="TSN26" s="19"/>
      <c r="TSO26" s="19"/>
      <c r="TSP26" s="19"/>
      <c r="TSQ26" s="19"/>
      <c r="TSR26" s="19"/>
      <c r="TSS26" s="19"/>
      <c r="TST26" s="19"/>
      <c r="TSU26" s="19"/>
      <c r="TSV26" s="19"/>
      <c r="TSW26" s="19"/>
      <c r="TSX26" s="19"/>
      <c r="TSY26" s="19"/>
      <c r="TSZ26" s="19"/>
      <c r="TTA26" s="19"/>
      <c r="TTB26" s="19"/>
      <c r="TTC26" s="19"/>
      <c r="TTD26" s="19"/>
      <c r="TTE26" s="19"/>
      <c r="TTF26" s="19"/>
      <c r="TTG26" s="19"/>
      <c r="TTH26" s="19"/>
      <c r="TTI26" s="19"/>
      <c r="TTJ26" s="19"/>
      <c r="TTK26" s="19"/>
      <c r="TTL26" s="19"/>
      <c r="TTM26" s="19"/>
      <c r="TTN26" s="19"/>
      <c r="TTO26" s="19"/>
      <c r="TTP26" s="19"/>
      <c r="TTQ26" s="19"/>
      <c r="TTR26" s="19"/>
      <c r="TTS26" s="19"/>
      <c r="TTT26" s="19"/>
      <c r="TTU26" s="19"/>
      <c r="TTV26" s="19"/>
      <c r="TTW26" s="19"/>
      <c r="TTX26" s="19"/>
      <c r="TTY26" s="19"/>
      <c r="TTZ26" s="19"/>
      <c r="TUA26" s="19"/>
      <c r="TUB26" s="19"/>
      <c r="TUC26" s="19"/>
      <c r="TUD26" s="19"/>
      <c r="TUE26" s="19"/>
      <c r="TUF26" s="19"/>
      <c r="TUG26" s="19"/>
      <c r="TUH26" s="19"/>
      <c r="TUI26" s="19"/>
      <c r="TUJ26" s="19"/>
      <c r="TUK26" s="19"/>
      <c r="TUL26" s="19"/>
      <c r="TUM26" s="19"/>
      <c r="TUN26" s="19"/>
      <c r="TUO26" s="19"/>
      <c r="TUP26" s="19"/>
      <c r="TUQ26" s="19"/>
      <c r="TUR26" s="19"/>
      <c r="TUS26" s="19"/>
      <c r="TUT26" s="19"/>
      <c r="TUU26" s="19"/>
      <c r="TUV26" s="19"/>
      <c r="TUW26" s="19"/>
      <c r="TUX26" s="19"/>
      <c r="TUY26" s="19"/>
      <c r="TUZ26" s="19"/>
      <c r="TVA26" s="19"/>
      <c r="TVB26" s="19"/>
      <c r="TVC26" s="19"/>
      <c r="TVD26" s="19"/>
      <c r="TVE26" s="19"/>
      <c r="TVF26" s="19"/>
      <c r="TVG26" s="19"/>
      <c r="TVH26" s="19"/>
      <c r="TVI26" s="19"/>
      <c r="TVJ26" s="19"/>
      <c r="TVK26" s="19"/>
      <c r="TVL26" s="19"/>
      <c r="TVM26" s="19"/>
      <c r="TVN26" s="19"/>
      <c r="TVO26" s="19"/>
      <c r="TVP26" s="19"/>
      <c r="TVQ26" s="19"/>
      <c r="TVR26" s="19"/>
      <c r="TVS26" s="19"/>
      <c r="TVT26" s="19"/>
      <c r="TVU26" s="19"/>
      <c r="TVV26" s="19"/>
      <c r="TVW26" s="19"/>
      <c r="TVX26" s="19"/>
      <c r="TVY26" s="19"/>
      <c r="TVZ26" s="19"/>
      <c r="TWA26" s="19"/>
      <c r="TWB26" s="19"/>
      <c r="TWC26" s="19"/>
      <c r="TWD26" s="19"/>
      <c r="TWE26" s="19"/>
      <c r="TWF26" s="19"/>
      <c r="TWG26" s="19"/>
      <c r="TWH26" s="19"/>
      <c r="TWI26" s="19"/>
      <c r="TWJ26" s="19"/>
      <c r="TWK26" s="19"/>
      <c r="TWL26" s="19"/>
      <c r="TWM26" s="19"/>
      <c r="TWN26" s="19"/>
      <c r="TWO26" s="19"/>
      <c r="TWP26" s="19"/>
      <c r="TWQ26" s="19"/>
      <c r="TWR26" s="19"/>
      <c r="TWS26" s="19"/>
      <c r="TWT26" s="19"/>
      <c r="TWU26" s="19"/>
      <c r="TWV26" s="19"/>
      <c r="TWW26" s="19"/>
      <c r="TWX26" s="19"/>
      <c r="TWY26" s="19"/>
      <c r="TWZ26" s="19"/>
      <c r="TXA26" s="19"/>
      <c r="TXB26" s="19"/>
      <c r="TXC26" s="19"/>
      <c r="TXD26" s="19"/>
      <c r="TXE26" s="19"/>
      <c r="TXF26" s="19"/>
      <c r="TXG26" s="19"/>
      <c r="TXH26" s="19"/>
      <c r="TXI26" s="19"/>
      <c r="TXJ26" s="19"/>
      <c r="TXK26" s="19"/>
      <c r="TXL26" s="19"/>
      <c r="TXM26" s="19"/>
      <c r="TXN26" s="19"/>
      <c r="TXO26" s="19"/>
      <c r="TXP26" s="19"/>
      <c r="TXQ26" s="19"/>
      <c r="TXR26" s="19"/>
      <c r="TXS26" s="19"/>
      <c r="TXT26" s="19"/>
      <c r="TXU26" s="19"/>
      <c r="TXV26" s="19"/>
      <c r="TXW26" s="19"/>
      <c r="TXX26" s="19"/>
      <c r="TXY26" s="19"/>
      <c r="TXZ26" s="19"/>
      <c r="TYA26" s="19"/>
      <c r="TYB26" s="19"/>
      <c r="TYC26" s="19"/>
      <c r="TYD26" s="19"/>
      <c r="TYE26" s="19"/>
      <c r="TYF26" s="19"/>
      <c r="TYG26" s="19"/>
      <c r="TYH26" s="19"/>
      <c r="TYI26" s="19"/>
      <c r="TYJ26" s="19"/>
      <c r="TYK26" s="19"/>
      <c r="TYL26" s="19"/>
      <c r="TYM26" s="19"/>
      <c r="TYN26" s="19"/>
      <c r="TYO26" s="19"/>
      <c r="TYP26" s="19"/>
      <c r="TYQ26" s="19"/>
      <c r="TYR26" s="19"/>
      <c r="TYS26" s="19"/>
      <c r="TYT26" s="19"/>
      <c r="TYU26" s="19"/>
      <c r="TYV26" s="19"/>
      <c r="TYW26" s="19"/>
      <c r="TYX26" s="19"/>
      <c r="TYY26" s="19"/>
      <c r="TYZ26" s="19"/>
      <c r="TZA26" s="19"/>
      <c r="TZB26" s="19"/>
      <c r="TZC26" s="19"/>
      <c r="TZD26" s="19"/>
      <c r="TZE26" s="19"/>
      <c r="TZF26" s="19"/>
      <c r="TZG26" s="19"/>
      <c r="TZH26" s="19"/>
      <c r="TZI26" s="19"/>
      <c r="TZJ26" s="19"/>
      <c r="TZK26" s="19"/>
      <c r="TZL26" s="19"/>
      <c r="TZM26" s="19"/>
      <c r="TZN26" s="19"/>
      <c r="TZO26" s="19"/>
      <c r="TZP26" s="19"/>
      <c r="TZQ26" s="19"/>
      <c r="TZR26" s="19"/>
      <c r="TZS26" s="19"/>
      <c r="TZT26" s="19"/>
      <c r="TZU26" s="19"/>
      <c r="TZV26" s="19"/>
      <c r="TZW26" s="19"/>
      <c r="TZX26" s="19"/>
      <c r="TZY26" s="19"/>
      <c r="TZZ26" s="19"/>
      <c r="UAA26" s="19"/>
      <c r="UAB26" s="19"/>
      <c r="UAC26" s="19"/>
      <c r="UAD26" s="19"/>
      <c r="UAE26" s="19"/>
      <c r="UAF26" s="19"/>
      <c r="UAG26" s="19"/>
      <c r="UAH26" s="19"/>
      <c r="UAI26" s="19"/>
      <c r="UAJ26" s="19"/>
      <c r="UAK26" s="19"/>
      <c r="UAL26" s="19"/>
      <c r="UAM26" s="19"/>
      <c r="UAN26" s="19"/>
      <c r="UAO26" s="19"/>
      <c r="UAP26" s="19"/>
      <c r="UAQ26" s="19"/>
      <c r="UAR26" s="19"/>
      <c r="UAS26" s="19"/>
      <c r="UAT26" s="19"/>
      <c r="UAU26" s="19"/>
      <c r="UAV26" s="19"/>
      <c r="UAW26" s="19"/>
      <c r="UAX26" s="19"/>
      <c r="UAY26" s="19"/>
      <c r="UAZ26" s="19"/>
      <c r="UBA26" s="19"/>
      <c r="UBB26" s="19"/>
      <c r="UBC26" s="19"/>
      <c r="UBD26" s="19"/>
      <c r="UBE26" s="19"/>
      <c r="UBF26" s="19"/>
      <c r="UBG26" s="19"/>
      <c r="UBH26" s="19"/>
      <c r="UBI26" s="19"/>
      <c r="UBJ26" s="19"/>
      <c r="UBK26" s="19"/>
      <c r="UBL26" s="19"/>
      <c r="UBM26" s="19"/>
      <c r="UBN26" s="19"/>
      <c r="UBO26" s="19"/>
      <c r="UBP26" s="19"/>
      <c r="UBQ26" s="19"/>
      <c r="UBR26" s="19"/>
      <c r="UBS26" s="19"/>
      <c r="UBT26" s="19"/>
      <c r="UBU26" s="19"/>
      <c r="UBV26" s="19"/>
      <c r="UBW26" s="19"/>
      <c r="UBX26" s="19"/>
      <c r="UBY26" s="19"/>
      <c r="UBZ26" s="19"/>
      <c r="UCA26" s="19"/>
      <c r="UCB26" s="19"/>
      <c r="UCC26" s="19"/>
      <c r="UCD26" s="19"/>
      <c r="UCE26" s="19"/>
      <c r="UCF26" s="19"/>
      <c r="UCG26" s="19"/>
      <c r="UCH26" s="19"/>
      <c r="UCI26" s="19"/>
      <c r="UCJ26" s="19"/>
      <c r="UCK26" s="19"/>
      <c r="UCL26" s="19"/>
      <c r="UCM26" s="19"/>
      <c r="UCN26" s="19"/>
      <c r="UCO26" s="19"/>
      <c r="UCP26" s="19"/>
      <c r="UCQ26" s="19"/>
      <c r="UCR26" s="19"/>
      <c r="UCS26" s="19"/>
      <c r="UCT26" s="19"/>
      <c r="UCU26" s="19"/>
      <c r="UCV26" s="19"/>
      <c r="UCW26" s="19"/>
      <c r="UCX26" s="19"/>
      <c r="UCY26" s="19"/>
      <c r="UCZ26" s="19"/>
      <c r="UDA26" s="19"/>
      <c r="UDB26" s="19"/>
      <c r="UDC26" s="19"/>
      <c r="UDD26" s="19"/>
      <c r="UDE26" s="19"/>
      <c r="UDF26" s="19"/>
      <c r="UDG26" s="19"/>
      <c r="UDH26" s="19"/>
      <c r="UDI26" s="19"/>
      <c r="UDJ26" s="19"/>
      <c r="UDK26" s="19"/>
      <c r="UDL26" s="19"/>
      <c r="UDM26" s="19"/>
      <c r="UDN26" s="19"/>
      <c r="UDO26" s="19"/>
      <c r="UDP26" s="19"/>
      <c r="UDQ26" s="19"/>
      <c r="UDR26" s="19"/>
      <c r="UDS26" s="19"/>
      <c r="UDT26" s="19"/>
      <c r="UDU26" s="19"/>
      <c r="UDV26" s="19"/>
      <c r="UDW26" s="19"/>
      <c r="UDX26" s="19"/>
      <c r="UDY26" s="19"/>
      <c r="UDZ26" s="19"/>
      <c r="UEA26" s="19"/>
      <c r="UEB26" s="19"/>
      <c r="UEC26" s="19"/>
      <c r="UED26" s="19"/>
      <c r="UEE26" s="19"/>
      <c r="UEF26" s="19"/>
      <c r="UEG26" s="19"/>
      <c r="UEH26" s="19"/>
      <c r="UEI26" s="19"/>
      <c r="UEJ26" s="19"/>
      <c r="UEK26" s="19"/>
      <c r="UEL26" s="19"/>
      <c r="UEM26" s="19"/>
      <c r="UEN26" s="19"/>
      <c r="UEO26" s="19"/>
      <c r="UEP26" s="19"/>
      <c r="UEQ26" s="19"/>
      <c r="UER26" s="19"/>
      <c r="UES26" s="19"/>
      <c r="UET26" s="19"/>
      <c r="UEU26" s="19"/>
      <c r="UEV26" s="19"/>
      <c r="UEW26" s="19"/>
      <c r="UEX26" s="19"/>
      <c r="UEY26" s="19"/>
      <c r="UEZ26" s="19"/>
      <c r="UFA26" s="19"/>
      <c r="UFB26" s="19"/>
      <c r="UFC26" s="19"/>
      <c r="UFD26" s="19"/>
      <c r="UFE26" s="19"/>
      <c r="UFF26" s="19"/>
      <c r="UFG26" s="19"/>
      <c r="UFH26" s="19"/>
      <c r="UFI26" s="19"/>
      <c r="UFJ26" s="19"/>
      <c r="UFK26" s="19"/>
      <c r="UFL26" s="19"/>
      <c r="UFM26" s="19"/>
      <c r="UFN26" s="19"/>
      <c r="UFO26" s="19"/>
      <c r="UFP26" s="19"/>
      <c r="UFQ26" s="19"/>
      <c r="UFR26" s="19"/>
      <c r="UFS26" s="19"/>
      <c r="UFT26" s="19"/>
      <c r="UFU26" s="19"/>
      <c r="UFV26" s="19"/>
      <c r="UFW26" s="19"/>
      <c r="UFX26" s="19"/>
      <c r="UFY26" s="19"/>
      <c r="UFZ26" s="19"/>
      <c r="UGA26" s="19"/>
      <c r="UGB26" s="19"/>
      <c r="UGC26" s="19"/>
      <c r="UGD26" s="19"/>
      <c r="UGE26" s="19"/>
      <c r="UGF26" s="19"/>
      <c r="UGG26" s="19"/>
      <c r="UGH26" s="19"/>
      <c r="UGI26" s="19"/>
      <c r="UGJ26" s="19"/>
      <c r="UGK26" s="19"/>
      <c r="UGL26" s="19"/>
      <c r="UGM26" s="19"/>
      <c r="UGN26" s="19"/>
      <c r="UGO26" s="19"/>
      <c r="UGP26" s="19"/>
      <c r="UGQ26" s="19"/>
      <c r="UGR26" s="19"/>
      <c r="UGS26" s="19"/>
      <c r="UGT26" s="19"/>
      <c r="UGU26" s="19"/>
      <c r="UGV26" s="19"/>
      <c r="UGW26" s="19"/>
      <c r="UGX26" s="19"/>
      <c r="UGY26" s="19"/>
      <c r="UGZ26" s="19"/>
      <c r="UHA26" s="19"/>
      <c r="UHB26" s="19"/>
      <c r="UHC26" s="19"/>
      <c r="UHD26" s="19"/>
      <c r="UHE26" s="19"/>
      <c r="UHF26" s="19"/>
      <c r="UHG26" s="19"/>
      <c r="UHH26" s="19"/>
      <c r="UHI26" s="19"/>
      <c r="UHJ26" s="19"/>
      <c r="UHK26" s="19"/>
      <c r="UHL26" s="19"/>
      <c r="UHM26" s="19"/>
      <c r="UHN26" s="19"/>
      <c r="UHO26" s="19"/>
      <c r="UHP26" s="19"/>
      <c r="UHQ26" s="19"/>
      <c r="UHR26" s="19"/>
      <c r="UHS26" s="19"/>
      <c r="UHT26" s="19"/>
      <c r="UHU26" s="19"/>
      <c r="UHV26" s="19"/>
      <c r="UHW26" s="19"/>
      <c r="UHX26" s="19"/>
      <c r="UHY26" s="19"/>
      <c r="UHZ26" s="19"/>
      <c r="UIA26" s="19"/>
      <c r="UIB26" s="19"/>
      <c r="UIC26" s="19"/>
      <c r="UID26" s="19"/>
      <c r="UIE26" s="19"/>
      <c r="UIF26" s="19"/>
      <c r="UIG26" s="19"/>
      <c r="UIH26" s="19"/>
      <c r="UII26" s="19"/>
      <c r="UIJ26" s="19"/>
      <c r="UIK26" s="19"/>
      <c r="UIL26" s="19"/>
      <c r="UIM26" s="19"/>
      <c r="UIN26" s="19"/>
      <c r="UIO26" s="19"/>
      <c r="UIP26" s="19"/>
      <c r="UIQ26" s="19"/>
      <c r="UIR26" s="19"/>
      <c r="UIS26" s="19"/>
      <c r="UIT26" s="19"/>
      <c r="UIU26" s="19"/>
      <c r="UIV26" s="19"/>
      <c r="UIW26" s="19"/>
      <c r="UIX26" s="19"/>
      <c r="UIY26" s="19"/>
      <c r="UIZ26" s="19"/>
      <c r="UJA26" s="19"/>
      <c r="UJB26" s="19"/>
      <c r="UJC26" s="19"/>
      <c r="UJD26" s="19"/>
      <c r="UJE26" s="19"/>
      <c r="UJF26" s="19"/>
      <c r="UJG26" s="19"/>
      <c r="UJH26" s="19"/>
      <c r="UJI26" s="19"/>
      <c r="UJJ26" s="19"/>
      <c r="UJK26" s="19"/>
      <c r="UJL26" s="19"/>
      <c r="UJM26" s="19"/>
      <c r="UJN26" s="19"/>
      <c r="UJO26" s="19"/>
      <c r="UJP26" s="19"/>
      <c r="UJQ26" s="19"/>
      <c r="UJR26" s="19"/>
      <c r="UJS26" s="19"/>
      <c r="UJT26" s="19"/>
      <c r="UJU26" s="19"/>
      <c r="UJV26" s="19"/>
      <c r="UJW26" s="19"/>
      <c r="UJX26" s="19"/>
      <c r="UJY26" s="19"/>
      <c r="UJZ26" s="19"/>
      <c r="UKA26" s="19"/>
      <c r="UKB26" s="19"/>
      <c r="UKC26" s="19"/>
      <c r="UKD26" s="19"/>
      <c r="UKE26" s="19"/>
      <c r="UKF26" s="19"/>
      <c r="UKG26" s="19"/>
      <c r="UKH26" s="19"/>
      <c r="UKI26" s="19"/>
      <c r="UKJ26" s="19"/>
      <c r="UKK26" s="19"/>
      <c r="UKL26" s="19"/>
      <c r="UKM26" s="19"/>
      <c r="UKN26" s="19"/>
      <c r="UKO26" s="19"/>
      <c r="UKP26" s="19"/>
      <c r="UKQ26" s="19"/>
      <c r="UKR26" s="19"/>
      <c r="UKS26" s="19"/>
      <c r="UKT26" s="19"/>
      <c r="UKU26" s="19"/>
      <c r="UKV26" s="19"/>
      <c r="UKW26" s="19"/>
      <c r="UKX26" s="19"/>
      <c r="UKY26" s="19"/>
      <c r="UKZ26" s="19"/>
      <c r="ULA26" s="19"/>
      <c r="ULB26" s="19"/>
      <c r="ULC26" s="19"/>
      <c r="ULD26" s="19"/>
      <c r="ULE26" s="19"/>
      <c r="ULF26" s="19"/>
      <c r="ULG26" s="19"/>
      <c r="ULH26" s="19"/>
      <c r="ULI26" s="19"/>
      <c r="ULJ26" s="19"/>
      <c r="ULK26" s="19"/>
      <c r="ULL26" s="19"/>
      <c r="ULM26" s="19"/>
      <c r="ULN26" s="19"/>
      <c r="ULO26" s="19"/>
      <c r="ULP26" s="19"/>
      <c r="ULQ26" s="19"/>
      <c r="ULR26" s="19"/>
      <c r="ULS26" s="19"/>
      <c r="ULT26" s="19"/>
      <c r="ULU26" s="19"/>
      <c r="ULV26" s="19"/>
      <c r="ULW26" s="19"/>
      <c r="ULX26" s="19"/>
      <c r="ULY26" s="19"/>
      <c r="ULZ26" s="19"/>
      <c r="UMA26" s="19"/>
      <c r="UMB26" s="19"/>
      <c r="UMC26" s="19"/>
      <c r="UMD26" s="19"/>
      <c r="UME26" s="19"/>
      <c r="UMF26" s="19"/>
      <c r="UMG26" s="19"/>
      <c r="UMH26" s="19"/>
      <c r="UMI26" s="19"/>
      <c r="UMJ26" s="19"/>
      <c r="UMK26" s="19"/>
      <c r="UML26" s="19"/>
      <c r="UMM26" s="19"/>
      <c r="UMN26" s="19"/>
      <c r="UMO26" s="19"/>
      <c r="UMP26" s="19"/>
      <c r="UMQ26" s="19"/>
      <c r="UMR26" s="19"/>
      <c r="UMS26" s="19"/>
      <c r="UMT26" s="19"/>
      <c r="UMU26" s="19"/>
      <c r="UMV26" s="19"/>
      <c r="UMW26" s="19"/>
      <c r="UMX26" s="19"/>
      <c r="UMY26" s="19"/>
      <c r="UMZ26" s="19"/>
      <c r="UNA26" s="19"/>
      <c r="UNB26" s="19"/>
      <c r="UNC26" s="19"/>
      <c r="UND26" s="19"/>
      <c r="UNE26" s="19"/>
      <c r="UNF26" s="19"/>
      <c r="UNG26" s="19"/>
      <c r="UNH26" s="19"/>
      <c r="UNI26" s="19"/>
      <c r="UNJ26" s="19"/>
      <c r="UNK26" s="19"/>
      <c r="UNL26" s="19"/>
      <c r="UNM26" s="19"/>
      <c r="UNN26" s="19"/>
      <c r="UNO26" s="19"/>
      <c r="UNP26" s="19"/>
      <c r="UNQ26" s="19"/>
      <c r="UNR26" s="19"/>
      <c r="UNS26" s="19"/>
      <c r="UNT26" s="19"/>
      <c r="UNU26" s="19"/>
      <c r="UNV26" s="19"/>
      <c r="UNW26" s="19"/>
      <c r="UNX26" s="19"/>
      <c r="UNY26" s="19"/>
      <c r="UNZ26" s="19"/>
      <c r="UOA26" s="19"/>
      <c r="UOB26" s="19"/>
      <c r="UOC26" s="19"/>
      <c r="UOD26" s="19"/>
      <c r="UOE26" s="19"/>
      <c r="UOF26" s="19"/>
      <c r="UOG26" s="19"/>
      <c r="UOH26" s="19"/>
      <c r="UOI26" s="19"/>
      <c r="UOJ26" s="19"/>
      <c r="UOK26" s="19"/>
      <c r="UOL26" s="19"/>
      <c r="UOM26" s="19"/>
      <c r="UON26" s="19"/>
      <c r="UOO26" s="19"/>
      <c r="UOP26" s="19"/>
      <c r="UOQ26" s="19"/>
      <c r="UOR26" s="19"/>
      <c r="UOS26" s="19"/>
      <c r="UOT26" s="19"/>
      <c r="UOU26" s="19"/>
      <c r="UOV26" s="19"/>
      <c r="UOW26" s="19"/>
      <c r="UOX26" s="19"/>
      <c r="UOY26" s="19"/>
      <c r="UOZ26" s="19"/>
      <c r="UPA26" s="19"/>
      <c r="UPB26" s="19"/>
      <c r="UPC26" s="19"/>
      <c r="UPD26" s="19"/>
      <c r="UPE26" s="19"/>
      <c r="UPF26" s="19"/>
      <c r="UPG26" s="19"/>
      <c r="UPH26" s="19"/>
      <c r="UPI26" s="19"/>
      <c r="UPJ26" s="19"/>
      <c r="UPK26" s="19"/>
      <c r="UPL26" s="19"/>
      <c r="UPM26" s="19"/>
      <c r="UPN26" s="19"/>
      <c r="UPO26" s="19"/>
      <c r="UPP26" s="19"/>
      <c r="UPQ26" s="19"/>
      <c r="UPR26" s="19"/>
      <c r="UPS26" s="19"/>
      <c r="UPT26" s="19"/>
      <c r="UPU26" s="19"/>
      <c r="UPV26" s="19"/>
      <c r="UPW26" s="19"/>
      <c r="UPX26" s="19"/>
      <c r="UPY26" s="19"/>
      <c r="UPZ26" s="19"/>
      <c r="UQA26" s="19"/>
      <c r="UQB26" s="19"/>
      <c r="UQC26" s="19"/>
      <c r="UQD26" s="19"/>
      <c r="UQE26" s="19"/>
      <c r="UQF26" s="19"/>
      <c r="UQG26" s="19"/>
      <c r="UQH26" s="19"/>
      <c r="UQI26" s="19"/>
      <c r="UQJ26" s="19"/>
      <c r="UQK26" s="19"/>
      <c r="UQL26" s="19"/>
      <c r="UQM26" s="19"/>
      <c r="UQN26" s="19"/>
      <c r="UQO26" s="19"/>
      <c r="UQP26" s="19"/>
      <c r="UQQ26" s="19"/>
      <c r="UQR26" s="19"/>
      <c r="UQS26" s="19"/>
      <c r="UQT26" s="19"/>
      <c r="UQU26" s="19"/>
      <c r="UQV26" s="19"/>
      <c r="UQW26" s="19"/>
      <c r="UQX26" s="19"/>
      <c r="UQY26" s="19"/>
      <c r="UQZ26" s="19"/>
      <c r="URA26" s="19"/>
      <c r="URB26" s="19"/>
      <c r="URC26" s="19"/>
      <c r="URD26" s="19"/>
      <c r="URE26" s="19"/>
      <c r="URF26" s="19"/>
      <c r="URG26" s="19"/>
      <c r="URH26" s="19"/>
      <c r="URI26" s="19"/>
      <c r="URJ26" s="19"/>
      <c r="URK26" s="19"/>
      <c r="URL26" s="19"/>
      <c r="URM26" s="19"/>
      <c r="URN26" s="19"/>
      <c r="URO26" s="19"/>
      <c r="URP26" s="19"/>
      <c r="URQ26" s="19"/>
      <c r="URR26" s="19"/>
      <c r="URS26" s="19"/>
      <c r="URT26" s="19"/>
      <c r="URU26" s="19"/>
      <c r="URV26" s="19"/>
      <c r="URW26" s="19"/>
      <c r="URX26" s="19"/>
      <c r="URY26" s="19"/>
      <c r="URZ26" s="19"/>
      <c r="USA26" s="19"/>
      <c r="USB26" s="19"/>
      <c r="USC26" s="19"/>
      <c r="USD26" s="19"/>
      <c r="USE26" s="19"/>
      <c r="USF26" s="19"/>
      <c r="USG26" s="19"/>
      <c r="USH26" s="19"/>
      <c r="USI26" s="19"/>
      <c r="USJ26" s="19"/>
      <c r="USK26" s="19"/>
      <c r="USL26" s="19"/>
      <c r="USM26" s="19"/>
      <c r="USN26" s="19"/>
      <c r="USO26" s="19"/>
      <c r="USP26" s="19"/>
      <c r="USQ26" s="19"/>
      <c r="USR26" s="19"/>
      <c r="USS26" s="19"/>
      <c r="UST26" s="19"/>
      <c r="USU26" s="19"/>
      <c r="USV26" s="19"/>
      <c r="USW26" s="19"/>
      <c r="USX26" s="19"/>
      <c r="USY26" s="19"/>
      <c r="USZ26" s="19"/>
      <c r="UTA26" s="19"/>
      <c r="UTB26" s="19"/>
      <c r="UTC26" s="19"/>
      <c r="UTD26" s="19"/>
      <c r="UTE26" s="19"/>
      <c r="UTF26" s="19"/>
      <c r="UTG26" s="19"/>
      <c r="UTH26" s="19"/>
      <c r="UTI26" s="19"/>
      <c r="UTJ26" s="19"/>
      <c r="UTK26" s="19"/>
      <c r="UTL26" s="19"/>
      <c r="UTM26" s="19"/>
      <c r="UTN26" s="19"/>
      <c r="UTO26" s="19"/>
      <c r="UTP26" s="19"/>
      <c r="UTQ26" s="19"/>
      <c r="UTR26" s="19"/>
      <c r="UTS26" s="19"/>
      <c r="UTT26" s="19"/>
      <c r="UTU26" s="19"/>
      <c r="UTV26" s="19"/>
      <c r="UTW26" s="19"/>
      <c r="UTX26" s="19"/>
      <c r="UTY26" s="19"/>
      <c r="UTZ26" s="19"/>
      <c r="UUA26" s="19"/>
      <c r="UUB26" s="19"/>
      <c r="UUC26" s="19"/>
      <c r="UUD26" s="19"/>
      <c r="UUE26" s="19"/>
      <c r="UUF26" s="19"/>
      <c r="UUG26" s="19"/>
      <c r="UUH26" s="19"/>
      <c r="UUI26" s="19"/>
      <c r="UUJ26" s="19"/>
      <c r="UUK26" s="19"/>
      <c r="UUL26" s="19"/>
      <c r="UUM26" s="19"/>
      <c r="UUN26" s="19"/>
      <c r="UUO26" s="19"/>
      <c r="UUP26" s="19"/>
      <c r="UUQ26" s="19"/>
      <c r="UUR26" s="19"/>
      <c r="UUS26" s="19"/>
      <c r="UUT26" s="19"/>
      <c r="UUU26" s="19"/>
      <c r="UUV26" s="19"/>
      <c r="UUW26" s="19"/>
      <c r="UUX26" s="19"/>
      <c r="UUY26" s="19"/>
      <c r="UUZ26" s="19"/>
      <c r="UVA26" s="19"/>
      <c r="UVB26" s="19"/>
      <c r="UVC26" s="19"/>
      <c r="UVD26" s="19"/>
      <c r="UVE26" s="19"/>
      <c r="UVF26" s="19"/>
      <c r="UVG26" s="19"/>
      <c r="UVH26" s="19"/>
      <c r="UVI26" s="19"/>
      <c r="UVJ26" s="19"/>
      <c r="UVK26" s="19"/>
      <c r="UVL26" s="19"/>
      <c r="UVM26" s="19"/>
      <c r="UVN26" s="19"/>
      <c r="UVO26" s="19"/>
      <c r="UVP26" s="19"/>
      <c r="UVQ26" s="19"/>
      <c r="UVR26" s="19"/>
      <c r="UVS26" s="19"/>
      <c r="UVT26" s="19"/>
      <c r="UVU26" s="19"/>
      <c r="UVV26" s="19"/>
      <c r="UVW26" s="19"/>
      <c r="UVX26" s="19"/>
      <c r="UVY26" s="19"/>
      <c r="UVZ26" s="19"/>
      <c r="UWA26" s="19"/>
      <c r="UWB26" s="19"/>
      <c r="UWC26" s="19"/>
      <c r="UWD26" s="19"/>
      <c r="UWE26" s="19"/>
      <c r="UWF26" s="19"/>
      <c r="UWG26" s="19"/>
      <c r="UWH26" s="19"/>
      <c r="UWI26" s="19"/>
      <c r="UWJ26" s="19"/>
      <c r="UWK26" s="19"/>
      <c r="UWL26" s="19"/>
      <c r="UWM26" s="19"/>
      <c r="UWN26" s="19"/>
      <c r="UWO26" s="19"/>
      <c r="UWP26" s="19"/>
      <c r="UWQ26" s="19"/>
      <c r="UWR26" s="19"/>
      <c r="UWS26" s="19"/>
      <c r="UWT26" s="19"/>
      <c r="UWU26" s="19"/>
      <c r="UWV26" s="19"/>
      <c r="UWW26" s="19"/>
      <c r="UWX26" s="19"/>
      <c r="UWY26" s="19"/>
      <c r="UWZ26" s="19"/>
      <c r="UXA26" s="19"/>
      <c r="UXB26" s="19"/>
      <c r="UXC26" s="19"/>
      <c r="UXD26" s="19"/>
      <c r="UXE26" s="19"/>
      <c r="UXF26" s="19"/>
      <c r="UXG26" s="19"/>
      <c r="UXH26" s="19"/>
      <c r="UXI26" s="19"/>
      <c r="UXJ26" s="19"/>
      <c r="UXK26" s="19"/>
      <c r="UXL26" s="19"/>
      <c r="UXM26" s="19"/>
      <c r="UXN26" s="19"/>
      <c r="UXO26" s="19"/>
      <c r="UXP26" s="19"/>
      <c r="UXQ26" s="19"/>
      <c r="UXR26" s="19"/>
      <c r="UXS26" s="19"/>
      <c r="UXT26" s="19"/>
      <c r="UXU26" s="19"/>
      <c r="UXV26" s="19"/>
      <c r="UXW26" s="19"/>
      <c r="UXX26" s="19"/>
      <c r="UXY26" s="19"/>
      <c r="UXZ26" s="19"/>
      <c r="UYA26" s="19"/>
      <c r="UYB26" s="19"/>
      <c r="UYC26" s="19"/>
      <c r="UYD26" s="19"/>
      <c r="UYE26" s="19"/>
      <c r="UYF26" s="19"/>
      <c r="UYG26" s="19"/>
      <c r="UYH26" s="19"/>
      <c r="UYI26" s="19"/>
      <c r="UYJ26" s="19"/>
      <c r="UYK26" s="19"/>
      <c r="UYL26" s="19"/>
      <c r="UYM26" s="19"/>
      <c r="UYN26" s="19"/>
      <c r="UYO26" s="19"/>
      <c r="UYP26" s="19"/>
      <c r="UYQ26" s="19"/>
      <c r="UYR26" s="19"/>
      <c r="UYS26" s="19"/>
      <c r="UYT26" s="19"/>
      <c r="UYU26" s="19"/>
      <c r="UYV26" s="19"/>
      <c r="UYW26" s="19"/>
      <c r="UYX26" s="19"/>
      <c r="UYY26" s="19"/>
      <c r="UYZ26" s="19"/>
      <c r="UZA26" s="19"/>
      <c r="UZB26" s="19"/>
      <c r="UZC26" s="19"/>
      <c r="UZD26" s="19"/>
      <c r="UZE26" s="19"/>
      <c r="UZF26" s="19"/>
      <c r="UZG26" s="19"/>
      <c r="UZH26" s="19"/>
      <c r="UZI26" s="19"/>
      <c r="UZJ26" s="19"/>
      <c r="UZK26" s="19"/>
      <c r="UZL26" s="19"/>
      <c r="UZM26" s="19"/>
      <c r="UZN26" s="19"/>
      <c r="UZO26" s="19"/>
      <c r="UZP26" s="19"/>
      <c r="UZQ26" s="19"/>
      <c r="UZR26" s="19"/>
      <c r="UZS26" s="19"/>
      <c r="UZT26" s="19"/>
      <c r="UZU26" s="19"/>
      <c r="UZV26" s="19"/>
      <c r="UZW26" s="19"/>
      <c r="UZX26" s="19"/>
      <c r="UZY26" s="19"/>
      <c r="UZZ26" s="19"/>
      <c r="VAA26" s="19"/>
      <c r="VAB26" s="19"/>
      <c r="VAC26" s="19"/>
      <c r="VAD26" s="19"/>
      <c r="VAE26" s="19"/>
      <c r="VAF26" s="19"/>
      <c r="VAG26" s="19"/>
      <c r="VAH26" s="19"/>
      <c r="VAI26" s="19"/>
      <c r="VAJ26" s="19"/>
      <c r="VAK26" s="19"/>
      <c r="VAL26" s="19"/>
      <c r="VAM26" s="19"/>
      <c r="VAN26" s="19"/>
      <c r="VAO26" s="19"/>
      <c r="VAP26" s="19"/>
      <c r="VAQ26" s="19"/>
      <c r="VAR26" s="19"/>
      <c r="VAS26" s="19"/>
      <c r="VAT26" s="19"/>
      <c r="VAU26" s="19"/>
      <c r="VAV26" s="19"/>
      <c r="VAW26" s="19"/>
      <c r="VAX26" s="19"/>
      <c r="VAY26" s="19"/>
      <c r="VAZ26" s="19"/>
      <c r="VBA26" s="19"/>
      <c r="VBB26" s="19"/>
      <c r="VBC26" s="19"/>
      <c r="VBD26" s="19"/>
      <c r="VBE26" s="19"/>
      <c r="VBF26" s="19"/>
      <c r="VBG26" s="19"/>
      <c r="VBH26" s="19"/>
      <c r="VBI26" s="19"/>
      <c r="VBJ26" s="19"/>
      <c r="VBK26" s="19"/>
      <c r="VBL26" s="19"/>
      <c r="VBM26" s="19"/>
      <c r="VBN26" s="19"/>
      <c r="VBO26" s="19"/>
      <c r="VBP26" s="19"/>
      <c r="VBQ26" s="19"/>
      <c r="VBR26" s="19"/>
      <c r="VBS26" s="19"/>
      <c r="VBT26" s="19"/>
      <c r="VBU26" s="19"/>
      <c r="VBV26" s="19"/>
      <c r="VBW26" s="19"/>
      <c r="VBX26" s="19"/>
      <c r="VBY26" s="19"/>
      <c r="VBZ26" s="19"/>
      <c r="VCA26" s="19"/>
      <c r="VCB26" s="19"/>
      <c r="VCC26" s="19"/>
      <c r="VCD26" s="19"/>
      <c r="VCE26" s="19"/>
      <c r="VCF26" s="19"/>
      <c r="VCG26" s="19"/>
      <c r="VCH26" s="19"/>
      <c r="VCI26" s="19"/>
      <c r="VCJ26" s="19"/>
      <c r="VCK26" s="19"/>
      <c r="VCL26" s="19"/>
      <c r="VCM26" s="19"/>
      <c r="VCN26" s="19"/>
      <c r="VCO26" s="19"/>
      <c r="VCP26" s="19"/>
      <c r="VCQ26" s="19"/>
      <c r="VCR26" s="19"/>
      <c r="VCS26" s="19"/>
      <c r="VCT26" s="19"/>
      <c r="VCU26" s="19"/>
      <c r="VCV26" s="19"/>
      <c r="VCW26" s="19"/>
      <c r="VCX26" s="19"/>
      <c r="VCY26" s="19"/>
      <c r="VCZ26" s="19"/>
      <c r="VDA26" s="19"/>
      <c r="VDB26" s="19"/>
      <c r="VDC26" s="19"/>
      <c r="VDD26" s="19"/>
      <c r="VDE26" s="19"/>
      <c r="VDF26" s="19"/>
      <c r="VDG26" s="19"/>
      <c r="VDH26" s="19"/>
      <c r="VDI26" s="19"/>
      <c r="VDJ26" s="19"/>
      <c r="VDK26" s="19"/>
      <c r="VDL26" s="19"/>
      <c r="VDM26" s="19"/>
      <c r="VDN26" s="19"/>
      <c r="VDO26" s="19"/>
      <c r="VDP26" s="19"/>
      <c r="VDQ26" s="19"/>
      <c r="VDR26" s="19"/>
      <c r="VDS26" s="19"/>
      <c r="VDT26" s="19"/>
      <c r="VDU26" s="19"/>
      <c r="VDV26" s="19"/>
      <c r="VDW26" s="19"/>
      <c r="VDX26" s="19"/>
      <c r="VDY26" s="19"/>
      <c r="VDZ26" s="19"/>
      <c r="VEA26" s="19"/>
      <c r="VEB26" s="19"/>
      <c r="VEC26" s="19"/>
      <c r="VED26" s="19"/>
      <c r="VEE26" s="19"/>
      <c r="VEF26" s="19"/>
      <c r="VEG26" s="19"/>
      <c r="VEH26" s="19"/>
      <c r="VEI26" s="19"/>
      <c r="VEJ26" s="19"/>
      <c r="VEK26" s="19"/>
      <c r="VEL26" s="19"/>
      <c r="VEM26" s="19"/>
      <c r="VEN26" s="19"/>
      <c r="VEO26" s="19"/>
      <c r="VEP26" s="19"/>
      <c r="VEQ26" s="19"/>
      <c r="VER26" s="19"/>
      <c r="VES26" s="19"/>
      <c r="VET26" s="19"/>
      <c r="VEU26" s="19"/>
      <c r="VEV26" s="19"/>
      <c r="VEW26" s="19"/>
      <c r="VEX26" s="19"/>
      <c r="VEY26" s="19"/>
      <c r="VEZ26" s="19"/>
      <c r="VFA26" s="19"/>
      <c r="VFB26" s="19"/>
      <c r="VFC26" s="19"/>
      <c r="VFD26" s="19"/>
      <c r="VFE26" s="19"/>
      <c r="VFF26" s="19"/>
      <c r="VFG26" s="19"/>
      <c r="VFH26" s="19"/>
      <c r="VFI26" s="19"/>
      <c r="VFJ26" s="19"/>
      <c r="VFK26" s="19"/>
      <c r="VFL26" s="19"/>
      <c r="VFM26" s="19"/>
      <c r="VFN26" s="19"/>
      <c r="VFO26" s="19"/>
      <c r="VFP26" s="19"/>
      <c r="VFQ26" s="19"/>
      <c r="VFR26" s="19"/>
      <c r="VFS26" s="19"/>
      <c r="VFT26" s="19"/>
      <c r="VFU26" s="19"/>
      <c r="VFV26" s="19"/>
      <c r="VFW26" s="19"/>
      <c r="VFX26" s="19"/>
      <c r="VFY26" s="19"/>
      <c r="VFZ26" s="19"/>
      <c r="VGA26" s="19"/>
      <c r="VGB26" s="19"/>
      <c r="VGC26" s="19"/>
      <c r="VGD26" s="19"/>
      <c r="VGE26" s="19"/>
      <c r="VGF26" s="19"/>
      <c r="VGG26" s="19"/>
      <c r="VGH26" s="19"/>
      <c r="VGI26" s="19"/>
      <c r="VGJ26" s="19"/>
      <c r="VGK26" s="19"/>
      <c r="VGL26" s="19"/>
      <c r="VGM26" s="19"/>
      <c r="VGN26" s="19"/>
      <c r="VGO26" s="19"/>
      <c r="VGP26" s="19"/>
      <c r="VGQ26" s="19"/>
      <c r="VGR26" s="19"/>
      <c r="VGS26" s="19"/>
      <c r="VGT26" s="19"/>
      <c r="VGU26" s="19"/>
      <c r="VGV26" s="19"/>
      <c r="VGW26" s="19"/>
      <c r="VGX26" s="19"/>
      <c r="VGY26" s="19"/>
      <c r="VGZ26" s="19"/>
      <c r="VHA26" s="19"/>
      <c r="VHB26" s="19"/>
      <c r="VHC26" s="19"/>
      <c r="VHD26" s="19"/>
      <c r="VHE26" s="19"/>
      <c r="VHF26" s="19"/>
      <c r="VHG26" s="19"/>
      <c r="VHH26" s="19"/>
      <c r="VHI26" s="19"/>
      <c r="VHJ26" s="19"/>
      <c r="VHK26" s="19"/>
      <c r="VHL26" s="19"/>
      <c r="VHM26" s="19"/>
      <c r="VHN26" s="19"/>
      <c r="VHO26" s="19"/>
      <c r="VHP26" s="19"/>
      <c r="VHQ26" s="19"/>
      <c r="VHR26" s="19"/>
      <c r="VHS26" s="19"/>
      <c r="VHT26" s="19"/>
      <c r="VHU26" s="19"/>
      <c r="VHV26" s="19"/>
      <c r="VHW26" s="19"/>
      <c r="VHX26" s="19"/>
      <c r="VHY26" s="19"/>
      <c r="VHZ26" s="19"/>
      <c r="VIA26" s="19"/>
      <c r="VIB26" s="19"/>
      <c r="VIC26" s="19"/>
      <c r="VID26" s="19"/>
      <c r="VIE26" s="19"/>
      <c r="VIF26" s="19"/>
      <c r="VIG26" s="19"/>
      <c r="VIH26" s="19"/>
      <c r="VII26" s="19"/>
      <c r="VIJ26" s="19"/>
      <c r="VIK26" s="19"/>
      <c r="VIL26" s="19"/>
      <c r="VIM26" s="19"/>
      <c r="VIN26" s="19"/>
      <c r="VIO26" s="19"/>
      <c r="VIP26" s="19"/>
      <c r="VIQ26" s="19"/>
      <c r="VIR26" s="19"/>
      <c r="VIS26" s="19"/>
      <c r="VIT26" s="19"/>
      <c r="VIU26" s="19"/>
      <c r="VIV26" s="19"/>
      <c r="VIW26" s="19"/>
      <c r="VIX26" s="19"/>
      <c r="VIY26" s="19"/>
      <c r="VIZ26" s="19"/>
      <c r="VJA26" s="19"/>
      <c r="VJB26" s="19"/>
      <c r="VJC26" s="19"/>
      <c r="VJD26" s="19"/>
      <c r="VJE26" s="19"/>
      <c r="VJF26" s="19"/>
      <c r="VJG26" s="19"/>
      <c r="VJH26" s="19"/>
      <c r="VJI26" s="19"/>
      <c r="VJJ26" s="19"/>
      <c r="VJK26" s="19"/>
      <c r="VJL26" s="19"/>
      <c r="VJM26" s="19"/>
      <c r="VJN26" s="19"/>
      <c r="VJO26" s="19"/>
      <c r="VJP26" s="19"/>
      <c r="VJQ26" s="19"/>
      <c r="VJR26" s="19"/>
      <c r="VJS26" s="19"/>
      <c r="VJT26" s="19"/>
      <c r="VJU26" s="19"/>
      <c r="VJV26" s="19"/>
      <c r="VJW26" s="19"/>
      <c r="VJX26" s="19"/>
      <c r="VJY26" s="19"/>
      <c r="VJZ26" s="19"/>
      <c r="VKA26" s="19"/>
      <c r="VKB26" s="19"/>
      <c r="VKC26" s="19"/>
      <c r="VKD26" s="19"/>
      <c r="VKE26" s="19"/>
      <c r="VKF26" s="19"/>
      <c r="VKG26" s="19"/>
      <c r="VKH26" s="19"/>
      <c r="VKI26" s="19"/>
      <c r="VKJ26" s="19"/>
      <c r="VKK26" s="19"/>
      <c r="VKL26" s="19"/>
      <c r="VKM26" s="19"/>
      <c r="VKN26" s="19"/>
      <c r="VKO26" s="19"/>
      <c r="VKP26" s="19"/>
      <c r="VKQ26" s="19"/>
      <c r="VKR26" s="19"/>
      <c r="VKS26" s="19"/>
      <c r="VKT26" s="19"/>
      <c r="VKU26" s="19"/>
      <c r="VKV26" s="19"/>
      <c r="VKW26" s="19"/>
      <c r="VKX26" s="19"/>
      <c r="VKY26" s="19"/>
      <c r="VKZ26" s="19"/>
      <c r="VLA26" s="19"/>
      <c r="VLB26" s="19"/>
      <c r="VLC26" s="19"/>
      <c r="VLD26" s="19"/>
      <c r="VLE26" s="19"/>
      <c r="VLF26" s="19"/>
      <c r="VLG26" s="19"/>
      <c r="VLH26" s="19"/>
      <c r="VLI26" s="19"/>
      <c r="VLJ26" s="19"/>
      <c r="VLK26" s="19"/>
      <c r="VLL26" s="19"/>
      <c r="VLM26" s="19"/>
      <c r="VLN26" s="19"/>
      <c r="VLO26" s="19"/>
      <c r="VLP26" s="19"/>
      <c r="VLQ26" s="19"/>
      <c r="VLR26" s="19"/>
      <c r="VLS26" s="19"/>
      <c r="VLT26" s="19"/>
      <c r="VLU26" s="19"/>
      <c r="VLV26" s="19"/>
      <c r="VLW26" s="19"/>
      <c r="VLX26" s="19"/>
      <c r="VLY26" s="19"/>
      <c r="VLZ26" s="19"/>
      <c r="VMA26" s="19"/>
      <c r="VMB26" s="19"/>
      <c r="VMC26" s="19"/>
      <c r="VMD26" s="19"/>
      <c r="VME26" s="19"/>
      <c r="VMF26" s="19"/>
      <c r="VMG26" s="19"/>
      <c r="VMH26" s="19"/>
      <c r="VMI26" s="19"/>
      <c r="VMJ26" s="19"/>
      <c r="VMK26" s="19"/>
      <c r="VML26" s="19"/>
      <c r="VMM26" s="19"/>
      <c r="VMN26" s="19"/>
      <c r="VMO26" s="19"/>
      <c r="VMP26" s="19"/>
      <c r="VMQ26" s="19"/>
      <c r="VMR26" s="19"/>
      <c r="VMS26" s="19"/>
      <c r="VMT26" s="19"/>
      <c r="VMU26" s="19"/>
      <c r="VMV26" s="19"/>
      <c r="VMW26" s="19"/>
      <c r="VMX26" s="19"/>
      <c r="VMY26" s="19"/>
      <c r="VMZ26" s="19"/>
      <c r="VNA26" s="19"/>
      <c r="VNB26" s="19"/>
      <c r="VNC26" s="19"/>
      <c r="VND26" s="19"/>
      <c r="VNE26" s="19"/>
      <c r="VNF26" s="19"/>
      <c r="VNG26" s="19"/>
      <c r="VNH26" s="19"/>
      <c r="VNI26" s="19"/>
      <c r="VNJ26" s="19"/>
      <c r="VNK26" s="19"/>
      <c r="VNL26" s="19"/>
      <c r="VNM26" s="19"/>
      <c r="VNN26" s="19"/>
      <c r="VNO26" s="19"/>
      <c r="VNP26" s="19"/>
      <c r="VNQ26" s="19"/>
      <c r="VNR26" s="19"/>
      <c r="VNS26" s="19"/>
      <c r="VNT26" s="19"/>
      <c r="VNU26" s="19"/>
      <c r="VNV26" s="19"/>
      <c r="VNW26" s="19"/>
      <c r="VNX26" s="19"/>
      <c r="VNY26" s="19"/>
      <c r="VNZ26" s="19"/>
      <c r="VOA26" s="19"/>
      <c r="VOB26" s="19"/>
      <c r="VOC26" s="19"/>
      <c r="VOD26" s="19"/>
      <c r="VOE26" s="19"/>
      <c r="VOF26" s="19"/>
      <c r="VOG26" s="19"/>
      <c r="VOH26" s="19"/>
      <c r="VOI26" s="19"/>
      <c r="VOJ26" s="19"/>
      <c r="VOK26" s="19"/>
      <c r="VOL26" s="19"/>
      <c r="VOM26" s="19"/>
      <c r="VON26" s="19"/>
      <c r="VOO26" s="19"/>
      <c r="VOP26" s="19"/>
      <c r="VOQ26" s="19"/>
      <c r="VOR26" s="19"/>
      <c r="VOS26" s="19"/>
      <c r="VOT26" s="19"/>
      <c r="VOU26" s="19"/>
      <c r="VOV26" s="19"/>
      <c r="VOW26" s="19"/>
      <c r="VOX26" s="19"/>
      <c r="VOY26" s="19"/>
      <c r="VOZ26" s="19"/>
      <c r="VPA26" s="19"/>
      <c r="VPB26" s="19"/>
      <c r="VPC26" s="19"/>
      <c r="VPD26" s="19"/>
      <c r="VPE26" s="19"/>
      <c r="VPF26" s="19"/>
      <c r="VPG26" s="19"/>
      <c r="VPH26" s="19"/>
      <c r="VPI26" s="19"/>
      <c r="VPJ26" s="19"/>
      <c r="VPK26" s="19"/>
      <c r="VPL26" s="19"/>
      <c r="VPM26" s="19"/>
      <c r="VPN26" s="19"/>
      <c r="VPO26" s="19"/>
      <c r="VPP26" s="19"/>
      <c r="VPQ26" s="19"/>
      <c r="VPR26" s="19"/>
      <c r="VPS26" s="19"/>
      <c r="VPT26" s="19"/>
      <c r="VPU26" s="19"/>
      <c r="VPV26" s="19"/>
      <c r="VPW26" s="19"/>
      <c r="VPX26" s="19"/>
      <c r="VPY26" s="19"/>
      <c r="VPZ26" s="19"/>
      <c r="VQA26" s="19"/>
      <c r="VQB26" s="19"/>
      <c r="VQC26" s="19"/>
      <c r="VQD26" s="19"/>
      <c r="VQE26" s="19"/>
      <c r="VQF26" s="19"/>
      <c r="VQG26" s="19"/>
      <c r="VQH26" s="19"/>
      <c r="VQI26" s="19"/>
      <c r="VQJ26" s="19"/>
      <c r="VQK26" s="19"/>
      <c r="VQL26" s="19"/>
      <c r="VQM26" s="19"/>
      <c r="VQN26" s="19"/>
      <c r="VQO26" s="19"/>
      <c r="VQP26" s="19"/>
      <c r="VQQ26" s="19"/>
      <c r="VQR26" s="19"/>
      <c r="VQS26" s="19"/>
      <c r="VQT26" s="19"/>
      <c r="VQU26" s="19"/>
      <c r="VQV26" s="19"/>
      <c r="VQW26" s="19"/>
      <c r="VQX26" s="19"/>
      <c r="VQY26" s="19"/>
      <c r="VQZ26" s="19"/>
      <c r="VRA26" s="19"/>
      <c r="VRB26" s="19"/>
      <c r="VRC26" s="19"/>
      <c r="VRD26" s="19"/>
      <c r="VRE26" s="19"/>
      <c r="VRF26" s="19"/>
      <c r="VRG26" s="19"/>
      <c r="VRH26" s="19"/>
      <c r="VRI26" s="19"/>
      <c r="VRJ26" s="19"/>
      <c r="VRK26" s="19"/>
      <c r="VRL26" s="19"/>
      <c r="VRM26" s="19"/>
      <c r="VRN26" s="19"/>
      <c r="VRO26" s="19"/>
      <c r="VRP26" s="19"/>
      <c r="VRQ26" s="19"/>
      <c r="VRR26" s="19"/>
      <c r="VRS26" s="19"/>
      <c r="VRT26" s="19"/>
      <c r="VRU26" s="19"/>
      <c r="VRV26" s="19"/>
      <c r="VRW26" s="19"/>
      <c r="VRX26" s="19"/>
      <c r="VRY26" s="19"/>
      <c r="VRZ26" s="19"/>
      <c r="VSA26" s="19"/>
      <c r="VSB26" s="19"/>
      <c r="VSC26" s="19"/>
      <c r="VSD26" s="19"/>
      <c r="VSE26" s="19"/>
      <c r="VSF26" s="19"/>
      <c r="VSG26" s="19"/>
      <c r="VSH26" s="19"/>
      <c r="VSI26" s="19"/>
      <c r="VSJ26" s="19"/>
      <c r="VSK26" s="19"/>
      <c r="VSL26" s="19"/>
      <c r="VSM26" s="19"/>
      <c r="VSN26" s="19"/>
      <c r="VSO26" s="19"/>
      <c r="VSP26" s="19"/>
      <c r="VSQ26" s="19"/>
      <c r="VSR26" s="19"/>
      <c r="VSS26" s="19"/>
      <c r="VST26" s="19"/>
      <c r="VSU26" s="19"/>
      <c r="VSV26" s="19"/>
      <c r="VSW26" s="19"/>
      <c r="VSX26" s="19"/>
      <c r="VSY26" s="19"/>
      <c r="VSZ26" s="19"/>
      <c r="VTA26" s="19"/>
      <c r="VTB26" s="19"/>
      <c r="VTC26" s="19"/>
      <c r="VTD26" s="19"/>
      <c r="VTE26" s="19"/>
      <c r="VTF26" s="19"/>
      <c r="VTG26" s="19"/>
      <c r="VTH26" s="19"/>
      <c r="VTI26" s="19"/>
      <c r="VTJ26" s="19"/>
      <c r="VTK26" s="19"/>
      <c r="VTL26" s="19"/>
      <c r="VTM26" s="19"/>
      <c r="VTN26" s="19"/>
      <c r="VTO26" s="19"/>
      <c r="VTP26" s="19"/>
      <c r="VTQ26" s="19"/>
      <c r="VTR26" s="19"/>
      <c r="VTS26" s="19"/>
      <c r="VTT26" s="19"/>
      <c r="VTU26" s="19"/>
      <c r="VTV26" s="19"/>
      <c r="VTW26" s="19"/>
      <c r="VTX26" s="19"/>
      <c r="VTY26" s="19"/>
      <c r="VTZ26" s="19"/>
      <c r="VUA26" s="19"/>
      <c r="VUB26" s="19"/>
      <c r="VUC26" s="19"/>
      <c r="VUD26" s="19"/>
      <c r="VUE26" s="19"/>
      <c r="VUF26" s="19"/>
      <c r="VUG26" s="19"/>
      <c r="VUH26" s="19"/>
      <c r="VUI26" s="19"/>
      <c r="VUJ26" s="19"/>
      <c r="VUK26" s="19"/>
      <c r="VUL26" s="19"/>
      <c r="VUM26" s="19"/>
      <c r="VUN26" s="19"/>
      <c r="VUO26" s="19"/>
      <c r="VUP26" s="19"/>
      <c r="VUQ26" s="19"/>
      <c r="VUR26" s="19"/>
      <c r="VUS26" s="19"/>
      <c r="VUT26" s="19"/>
      <c r="VUU26" s="19"/>
      <c r="VUV26" s="19"/>
      <c r="VUW26" s="19"/>
      <c r="VUX26" s="19"/>
      <c r="VUY26" s="19"/>
      <c r="VUZ26" s="19"/>
      <c r="VVA26" s="19"/>
      <c r="VVB26" s="19"/>
      <c r="VVC26" s="19"/>
      <c r="VVD26" s="19"/>
      <c r="VVE26" s="19"/>
      <c r="VVF26" s="19"/>
      <c r="VVG26" s="19"/>
      <c r="VVH26" s="19"/>
      <c r="VVI26" s="19"/>
      <c r="VVJ26" s="19"/>
      <c r="VVK26" s="19"/>
      <c r="VVL26" s="19"/>
      <c r="VVM26" s="19"/>
      <c r="VVN26" s="19"/>
      <c r="VVO26" s="19"/>
      <c r="VVP26" s="19"/>
      <c r="VVQ26" s="19"/>
      <c r="VVR26" s="19"/>
      <c r="VVS26" s="19"/>
      <c r="VVT26" s="19"/>
      <c r="VVU26" s="19"/>
      <c r="VVV26" s="19"/>
      <c r="VVW26" s="19"/>
      <c r="VVX26" s="19"/>
      <c r="VVY26" s="19"/>
      <c r="VVZ26" s="19"/>
      <c r="VWA26" s="19"/>
      <c r="VWB26" s="19"/>
      <c r="VWC26" s="19"/>
      <c r="VWD26" s="19"/>
      <c r="VWE26" s="19"/>
      <c r="VWF26" s="19"/>
      <c r="VWG26" s="19"/>
      <c r="VWH26" s="19"/>
      <c r="VWI26" s="19"/>
      <c r="VWJ26" s="19"/>
      <c r="VWK26" s="19"/>
      <c r="VWL26" s="19"/>
      <c r="VWM26" s="19"/>
      <c r="VWN26" s="19"/>
      <c r="VWO26" s="19"/>
      <c r="VWP26" s="19"/>
      <c r="VWQ26" s="19"/>
      <c r="VWR26" s="19"/>
      <c r="VWS26" s="19"/>
      <c r="VWT26" s="19"/>
      <c r="VWU26" s="19"/>
      <c r="VWV26" s="19"/>
      <c r="VWW26" s="19"/>
      <c r="VWX26" s="19"/>
      <c r="VWY26" s="19"/>
      <c r="VWZ26" s="19"/>
      <c r="VXA26" s="19"/>
      <c r="VXB26" s="19"/>
      <c r="VXC26" s="19"/>
      <c r="VXD26" s="19"/>
      <c r="VXE26" s="19"/>
      <c r="VXF26" s="19"/>
      <c r="VXG26" s="19"/>
      <c r="VXH26" s="19"/>
      <c r="VXI26" s="19"/>
      <c r="VXJ26" s="19"/>
      <c r="VXK26" s="19"/>
      <c r="VXL26" s="19"/>
      <c r="VXM26" s="19"/>
      <c r="VXN26" s="19"/>
      <c r="VXO26" s="19"/>
      <c r="VXP26" s="19"/>
      <c r="VXQ26" s="19"/>
      <c r="VXR26" s="19"/>
      <c r="VXS26" s="19"/>
      <c r="VXT26" s="19"/>
      <c r="VXU26" s="19"/>
      <c r="VXV26" s="19"/>
      <c r="VXW26" s="19"/>
      <c r="VXX26" s="19"/>
      <c r="VXY26" s="19"/>
      <c r="VXZ26" s="19"/>
      <c r="VYA26" s="19"/>
      <c r="VYB26" s="19"/>
      <c r="VYC26" s="19"/>
      <c r="VYD26" s="19"/>
      <c r="VYE26" s="19"/>
      <c r="VYF26" s="19"/>
      <c r="VYG26" s="19"/>
      <c r="VYH26" s="19"/>
      <c r="VYI26" s="19"/>
      <c r="VYJ26" s="19"/>
      <c r="VYK26" s="19"/>
      <c r="VYL26" s="19"/>
      <c r="VYM26" s="19"/>
      <c r="VYN26" s="19"/>
      <c r="VYO26" s="19"/>
      <c r="VYP26" s="19"/>
      <c r="VYQ26" s="19"/>
      <c r="VYR26" s="19"/>
      <c r="VYS26" s="19"/>
      <c r="VYT26" s="19"/>
      <c r="VYU26" s="19"/>
      <c r="VYV26" s="19"/>
      <c r="VYW26" s="19"/>
      <c r="VYX26" s="19"/>
      <c r="VYY26" s="19"/>
      <c r="VYZ26" s="19"/>
      <c r="VZA26" s="19"/>
      <c r="VZB26" s="19"/>
      <c r="VZC26" s="19"/>
      <c r="VZD26" s="19"/>
      <c r="VZE26" s="19"/>
      <c r="VZF26" s="19"/>
      <c r="VZG26" s="19"/>
      <c r="VZH26" s="19"/>
      <c r="VZI26" s="19"/>
      <c r="VZJ26" s="19"/>
      <c r="VZK26" s="19"/>
      <c r="VZL26" s="19"/>
      <c r="VZM26" s="19"/>
      <c r="VZN26" s="19"/>
      <c r="VZO26" s="19"/>
      <c r="VZP26" s="19"/>
      <c r="VZQ26" s="19"/>
      <c r="VZR26" s="19"/>
      <c r="VZS26" s="19"/>
      <c r="VZT26" s="19"/>
      <c r="VZU26" s="19"/>
      <c r="VZV26" s="19"/>
      <c r="VZW26" s="19"/>
      <c r="VZX26" s="19"/>
      <c r="VZY26" s="19"/>
      <c r="VZZ26" s="19"/>
      <c r="WAA26" s="19"/>
      <c r="WAB26" s="19"/>
      <c r="WAC26" s="19"/>
      <c r="WAD26" s="19"/>
      <c r="WAE26" s="19"/>
      <c r="WAF26" s="19"/>
      <c r="WAG26" s="19"/>
      <c r="WAH26" s="19"/>
      <c r="WAI26" s="19"/>
      <c r="WAJ26" s="19"/>
      <c r="WAK26" s="19"/>
      <c r="WAL26" s="19"/>
      <c r="WAM26" s="19"/>
      <c r="WAN26" s="19"/>
      <c r="WAO26" s="19"/>
      <c r="WAP26" s="19"/>
      <c r="WAQ26" s="19"/>
      <c r="WAR26" s="19"/>
      <c r="WAS26" s="19"/>
      <c r="WAT26" s="19"/>
      <c r="WAU26" s="19"/>
      <c r="WAV26" s="19"/>
      <c r="WAW26" s="19"/>
      <c r="WAX26" s="19"/>
      <c r="WAY26" s="19"/>
      <c r="WAZ26" s="19"/>
      <c r="WBA26" s="19"/>
      <c r="WBB26" s="19"/>
      <c r="WBC26" s="19"/>
      <c r="WBD26" s="19"/>
      <c r="WBE26" s="19"/>
      <c r="WBF26" s="19"/>
      <c r="WBG26" s="19"/>
      <c r="WBH26" s="19"/>
      <c r="WBI26" s="19"/>
      <c r="WBJ26" s="19"/>
      <c r="WBK26" s="19"/>
      <c r="WBL26" s="19"/>
      <c r="WBM26" s="19"/>
      <c r="WBN26" s="19"/>
      <c r="WBO26" s="19"/>
      <c r="WBP26" s="19"/>
      <c r="WBQ26" s="19"/>
      <c r="WBR26" s="19"/>
      <c r="WBS26" s="19"/>
      <c r="WBT26" s="19"/>
      <c r="WBU26" s="19"/>
      <c r="WBV26" s="19"/>
      <c r="WBW26" s="19"/>
      <c r="WBX26" s="19"/>
      <c r="WBY26" s="19"/>
      <c r="WBZ26" s="19"/>
      <c r="WCA26" s="19"/>
      <c r="WCB26" s="19"/>
      <c r="WCC26" s="19"/>
      <c r="WCD26" s="19"/>
      <c r="WCE26" s="19"/>
      <c r="WCF26" s="19"/>
      <c r="WCG26" s="19"/>
      <c r="WCH26" s="19"/>
      <c r="WCI26" s="19"/>
      <c r="WCJ26" s="19"/>
      <c r="WCK26" s="19"/>
      <c r="WCL26" s="19"/>
      <c r="WCM26" s="19"/>
      <c r="WCN26" s="19"/>
      <c r="WCO26" s="19"/>
      <c r="WCP26" s="19"/>
      <c r="WCQ26" s="19"/>
      <c r="WCR26" s="19"/>
      <c r="WCS26" s="19"/>
      <c r="WCT26" s="19"/>
      <c r="WCU26" s="19"/>
      <c r="WCV26" s="19"/>
      <c r="WCW26" s="19"/>
      <c r="WCX26" s="19"/>
      <c r="WCY26" s="19"/>
      <c r="WCZ26" s="19"/>
      <c r="WDA26" s="19"/>
      <c r="WDB26" s="19"/>
      <c r="WDC26" s="19"/>
      <c r="WDD26" s="19"/>
      <c r="WDE26" s="19"/>
      <c r="WDF26" s="19"/>
      <c r="WDG26" s="19"/>
      <c r="WDH26" s="19"/>
      <c r="WDI26" s="19"/>
      <c r="WDJ26" s="19"/>
      <c r="WDK26" s="19"/>
      <c r="WDL26" s="19"/>
      <c r="WDM26" s="19"/>
      <c r="WDN26" s="19"/>
      <c r="WDO26" s="19"/>
      <c r="WDP26" s="19"/>
      <c r="WDQ26" s="19"/>
      <c r="WDR26" s="19"/>
      <c r="WDS26" s="19"/>
      <c r="WDT26" s="19"/>
      <c r="WDU26" s="19"/>
      <c r="WDV26" s="19"/>
      <c r="WDW26" s="19"/>
      <c r="WDX26" s="19"/>
      <c r="WDY26" s="19"/>
      <c r="WDZ26" s="19"/>
      <c r="WEA26" s="19"/>
      <c r="WEB26" s="19"/>
      <c r="WEC26" s="19"/>
      <c r="WED26" s="19"/>
      <c r="WEE26" s="19"/>
      <c r="WEF26" s="19"/>
      <c r="WEG26" s="19"/>
      <c r="WEH26" s="19"/>
      <c r="WEI26" s="19"/>
      <c r="WEJ26" s="19"/>
      <c r="WEK26" s="19"/>
      <c r="WEL26" s="19"/>
      <c r="WEM26" s="19"/>
      <c r="WEN26" s="19"/>
      <c r="WEO26" s="19"/>
      <c r="WEP26" s="19"/>
      <c r="WEQ26" s="19"/>
      <c r="WER26" s="19"/>
      <c r="WES26" s="19"/>
      <c r="WET26" s="19"/>
      <c r="WEU26" s="19"/>
      <c r="WEV26" s="19"/>
      <c r="WEW26" s="19"/>
      <c r="WEX26" s="19"/>
      <c r="WEY26" s="19"/>
      <c r="WEZ26" s="19"/>
      <c r="WFA26" s="19"/>
      <c r="WFB26" s="19"/>
      <c r="WFC26" s="19"/>
      <c r="WFD26" s="19"/>
      <c r="WFE26" s="19"/>
      <c r="WFF26" s="19"/>
      <c r="WFG26" s="19"/>
      <c r="WFH26" s="19"/>
      <c r="WFI26" s="19"/>
      <c r="WFJ26" s="19"/>
      <c r="WFK26" s="19"/>
      <c r="WFL26" s="19"/>
      <c r="WFM26" s="19"/>
      <c r="WFN26" s="19"/>
      <c r="WFO26" s="19"/>
      <c r="WFP26" s="19"/>
      <c r="WFQ26" s="19"/>
      <c r="WFR26" s="19"/>
      <c r="WFS26" s="19"/>
      <c r="WFT26" s="19"/>
      <c r="WFU26" s="19"/>
      <c r="WFV26" s="19"/>
      <c r="WFW26" s="19"/>
      <c r="WFX26" s="19"/>
      <c r="WFY26" s="19"/>
      <c r="WFZ26" s="19"/>
      <c r="WGA26" s="19"/>
      <c r="WGB26" s="19"/>
      <c r="WGC26" s="19"/>
      <c r="WGD26" s="19"/>
      <c r="WGE26" s="19"/>
      <c r="WGF26" s="19"/>
      <c r="WGG26" s="19"/>
      <c r="WGH26" s="19"/>
      <c r="WGI26" s="19"/>
      <c r="WGJ26" s="19"/>
      <c r="WGK26" s="19"/>
      <c r="WGL26" s="19"/>
      <c r="WGM26" s="19"/>
      <c r="WGN26" s="19"/>
      <c r="WGO26" s="19"/>
      <c r="WGP26" s="19"/>
      <c r="WGQ26" s="19"/>
      <c r="WGR26" s="19"/>
      <c r="WGS26" s="19"/>
      <c r="WGT26" s="19"/>
      <c r="WGU26" s="19"/>
      <c r="WGV26" s="19"/>
      <c r="WGW26" s="19"/>
      <c r="WGX26" s="19"/>
      <c r="WGY26" s="19"/>
      <c r="WGZ26" s="19"/>
      <c r="WHA26" s="19"/>
      <c r="WHB26" s="19"/>
      <c r="WHC26" s="19"/>
      <c r="WHD26" s="19"/>
      <c r="WHE26" s="19"/>
      <c r="WHF26" s="19"/>
      <c r="WHG26" s="19"/>
      <c r="WHH26" s="19"/>
      <c r="WHI26" s="19"/>
      <c r="WHJ26" s="19"/>
      <c r="WHK26" s="19"/>
      <c r="WHL26" s="19"/>
      <c r="WHM26" s="19"/>
      <c r="WHN26" s="19"/>
      <c r="WHO26" s="19"/>
      <c r="WHP26" s="19"/>
      <c r="WHQ26" s="19"/>
      <c r="WHR26" s="19"/>
      <c r="WHS26" s="19"/>
      <c r="WHT26" s="19"/>
      <c r="WHU26" s="19"/>
      <c r="WHV26" s="19"/>
      <c r="WHW26" s="19"/>
      <c r="WHX26" s="19"/>
      <c r="WHY26" s="19"/>
      <c r="WHZ26" s="19"/>
      <c r="WIA26" s="19"/>
      <c r="WIB26" s="19"/>
      <c r="WIC26" s="19"/>
      <c r="WID26" s="19"/>
      <c r="WIE26" s="19"/>
      <c r="WIF26" s="19"/>
      <c r="WIG26" s="19"/>
      <c r="WIH26" s="19"/>
      <c r="WII26" s="19"/>
      <c r="WIJ26" s="19"/>
      <c r="WIK26" s="19"/>
      <c r="WIL26" s="19"/>
      <c r="WIM26" s="19"/>
      <c r="WIN26" s="19"/>
      <c r="WIO26" s="19"/>
      <c r="WIP26" s="19"/>
      <c r="WIQ26" s="19"/>
      <c r="WIR26" s="19"/>
      <c r="WIS26" s="19"/>
      <c r="WIT26" s="19"/>
      <c r="WIU26" s="19"/>
      <c r="WIV26" s="19"/>
      <c r="WIW26" s="19"/>
      <c r="WIX26" s="19"/>
      <c r="WIY26" s="19"/>
      <c r="WIZ26" s="19"/>
      <c r="WJA26" s="19"/>
      <c r="WJB26" s="19"/>
      <c r="WJC26" s="19"/>
      <c r="WJD26" s="19"/>
      <c r="WJE26" s="19"/>
      <c r="WJF26" s="19"/>
      <c r="WJG26" s="19"/>
      <c r="WJH26" s="19"/>
      <c r="WJI26" s="19"/>
      <c r="WJJ26" s="19"/>
      <c r="WJK26" s="19"/>
      <c r="WJL26" s="19"/>
      <c r="WJM26" s="19"/>
      <c r="WJN26" s="19"/>
      <c r="WJO26" s="19"/>
      <c r="WJP26" s="19"/>
      <c r="WJQ26" s="19"/>
      <c r="WJR26" s="19"/>
      <c r="WJS26" s="19"/>
      <c r="WJT26" s="19"/>
      <c r="WJU26" s="19"/>
      <c r="WJV26" s="19"/>
      <c r="WJW26" s="19"/>
      <c r="WJX26" s="19"/>
      <c r="WJY26" s="19"/>
      <c r="WJZ26" s="19"/>
      <c r="WKA26" s="19"/>
      <c r="WKB26" s="19"/>
      <c r="WKC26" s="19"/>
      <c r="WKD26" s="19"/>
      <c r="WKE26" s="19"/>
      <c r="WKF26" s="19"/>
      <c r="WKG26" s="19"/>
      <c r="WKH26" s="19"/>
      <c r="WKI26" s="19"/>
      <c r="WKJ26" s="19"/>
      <c r="WKK26" s="19"/>
      <c r="WKL26" s="19"/>
      <c r="WKM26" s="19"/>
      <c r="WKN26" s="19"/>
      <c r="WKO26" s="19"/>
      <c r="WKP26" s="19"/>
      <c r="WKQ26" s="19"/>
      <c r="WKR26" s="19"/>
      <c r="WKS26" s="19"/>
      <c r="WKT26" s="19"/>
      <c r="WKU26" s="19"/>
      <c r="WKV26" s="19"/>
      <c r="WKW26" s="19"/>
      <c r="WKX26" s="19"/>
      <c r="WKY26" s="19"/>
      <c r="WKZ26" s="19"/>
      <c r="WLA26" s="19"/>
      <c r="WLB26" s="19"/>
      <c r="WLC26" s="19"/>
      <c r="WLD26" s="19"/>
      <c r="WLE26" s="19"/>
      <c r="WLF26" s="19"/>
      <c r="WLG26" s="19"/>
      <c r="WLH26" s="19"/>
      <c r="WLI26" s="19"/>
      <c r="WLJ26" s="19"/>
      <c r="WLK26" s="19"/>
      <c r="WLL26" s="19"/>
      <c r="WLM26" s="19"/>
      <c r="WLN26" s="19"/>
      <c r="WLO26" s="19"/>
      <c r="WLP26" s="19"/>
      <c r="WLQ26" s="19"/>
      <c r="WLR26" s="19"/>
      <c r="WLS26" s="19"/>
      <c r="WLT26" s="19"/>
      <c r="WLU26" s="19"/>
      <c r="WLV26" s="19"/>
      <c r="WLW26" s="19"/>
      <c r="WLX26" s="19"/>
      <c r="WLY26" s="19"/>
      <c r="WLZ26" s="19"/>
      <c r="WMA26" s="19"/>
      <c r="WMB26" s="19"/>
      <c r="WMC26" s="19"/>
      <c r="WMD26" s="19"/>
      <c r="WME26" s="19"/>
      <c r="WMF26" s="19"/>
      <c r="WMG26" s="19"/>
      <c r="WMH26" s="19"/>
      <c r="WMI26" s="19"/>
      <c r="WMJ26" s="19"/>
      <c r="WMK26" s="19"/>
      <c r="WML26" s="19"/>
      <c r="WMM26" s="19"/>
      <c r="WMN26" s="19"/>
      <c r="WMO26" s="19"/>
      <c r="WMP26" s="19"/>
      <c r="WMQ26" s="19"/>
      <c r="WMR26" s="19"/>
      <c r="WMS26" s="19"/>
      <c r="WMT26" s="19"/>
      <c r="WMU26" s="19"/>
      <c r="WMV26" s="19"/>
      <c r="WMW26" s="19"/>
      <c r="WMX26" s="19"/>
      <c r="WMY26" s="19"/>
      <c r="WMZ26" s="19"/>
      <c r="WNA26" s="19"/>
      <c r="WNB26" s="19"/>
      <c r="WNC26" s="19"/>
      <c r="WND26" s="19"/>
      <c r="WNE26" s="19"/>
      <c r="WNF26" s="19"/>
      <c r="WNG26" s="19"/>
      <c r="WNH26" s="19"/>
      <c r="WNI26" s="19"/>
      <c r="WNJ26" s="19"/>
      <c r="WNK26" s="19"/>
      <c r="WNL26" s="19"/>
      <c r="WNM26" s="19"/>
      <c r="WNN26" s="19"/>
      <c r="WNO26" s="19"/>
      <c r="WNP26" s="19"/>
      <c r="WNQ26" s="19"/>
      <c r="WNR26" s="19"/>
      <c r="WNS26" s="19"/>
      <c r="WNT26" s="19"/>
      <c r="WNU26" s="19"/>
      <c r="WNV26" s="19"/>
      <c r="WNW26" s="19"/>
      <c r="WNX26" s="19"/>
      <c r="WNY26" s="19"/>
      <c r="WNZ26" s="19"/>
      <c r="WOA26" s="19"/>
      <c r="WOB26" s="19"/>
      <c r="WOC26" s="19"/>
      <c r="WOD26" s="19"/>
      <c r="WOE26" s="19"/>
      <c r="WOF26" s="19"/>
      <c r="WOG26" s="19"/>
      <c r="WOH26" s="19"/>
      <c r="WOI26" s="19"/>
      <c r="WOJ26" s="19"/>
      <c r="WOK26" s="19"/>
      <c r="WOL26" s="19"/>
      <c r="WOM26" s="19"/>
      <c r="WON26" s="19"/>
      <c r="WOO26" s="19"/>
      <c r="WOP26" s="19"/>
      <c r="WOQ26" s="19"/>
      <c r="WOR26" s="19"/>
      <c r="WOS26" s="19"/>
      <c r="WOT26" s="19"/>
      <c r="WOU26" s="19"/>
      <c r="WOV26" s="19"/>
      <c r="WOW26" s="19"/>
      <c r="WOX26" s="19"/>
      <c r="WOY26" s="19"/>
      <c r="WOZ26" s="19"/>
      <c r="WPA26" s="19"/>
      <c r="WPB26" s="19"/>
      <c r="WPC26" s="19"/>
      <c r="WPD26" s="19"/>
      <c r="WPE26" s="19"/>
      <c r="WPF26" s="19"/>
      <c r="WPG26" s="19"/>
      <c r="WPH26" s="19"/>
      <c r="WPI26" s="19"/>
      <c r="WPJ26" s="19"/>
      <c r="WPK26" s="19"/>
      <c r="WPL26" s="19"/>
      <c r="WPM26" s="19"/>
      <c r="WPN26" s="19"/>
      <c r="WPO26" s="19"/>
      <c r="WPP26" s="19"/>
      <c r="WPQ26" s="19"/>
      <c r="WPR26" s="19"/>
      <c r="WPS26" s="19"/>
      <c r="WPT26" s="19"/>
      <c r="WPU26" s="19"/>
      <c r="WPV26" s="19"/>
      <c r="WPW26" s="19"/>
      <c r="WPX26" s="19"/>
      <c r="WPY26" s="19"/>
      <c r="WPZ26" s="19"/>
      <c r="WQA26" s="19"/>
      <c r="WQB26" s="19"/>
      <c r="WQC26" s="19"/>
      <c r="WQD26" s="19"/>
      <c r="WQE26" s="19"/>
      <c r="WQF26" s="19"/>
      <c r="WQG26" s="19"/>
      <c r="WQH26" s="19"/>
      <c r="WQI26" s="19"/>
      <c r="WQJ26" s="19"/>
      <c r="WQK26" s="19"/>
      <c r="WQL26" s="19"/>
      <c r="WQM26" s="19"/>
      <c r="WQN26" s="19"/>
      <c r="WQO26" s="19"/>
      <c r="WQP26" s="19"/>
      <c r="WQQ26" s="19"/>
      <c r="WQR26" s="19"/>
      <c r="WQS26" s="19"/>
      <c r="WQT26" s="19"/>
      <c r="WQU26" s="19"/>
      <c r="WQV26" s="19"/>
      <c r="WQW26" s="19"/>
      <c r="WQX26" s="19"/>
      <c r="WQY26" s="19"/>
      <c r="WQZ26" s="19"/>
      <c r="WRA26" s="19"/>
      <c r="WRB26" s="19"/>
      <c r="WRC26" s="19"/>
      <c r="WRD26" s="19"/>
      <c r="WRE26" s="19"/>
      <c r="WRF26" s="19"/>
      <c r="WRG26" s="19"/>
      <c r="WRH26" s="19"/>
      <c r="WRI26" s="19"/>
      <c r="WRJ26" s="19"/>
      <c r="WRK26" s="19"/>
      <c r="WRL26" s="19"/>
      <c r="WRM26" s="19"/>
      <c r="WRN26" s="19"/>
      <c r="WRO26" s="19"/>
      <c r="WRP26" s="19"/>
      <c r="WRQ26" s="19"/>
      <c r="WRR26" s="19"/>
      <c r="WRS26" s="19"/>
      <c r="WRT26" s="19"/>
      <c r="WRU26" s="19"/>
      <c r="WRV26" s="19"/>
      <c r="WRW26" s="19"/>
      <c r="WRX26" s="19"/>
      <c r="WRY26" s="19"/>
      <c r="WRZ26" s="19"/>
      <c r="WSA26" s="19"/>
      <c r="WSB26" s="19"/>
      <c r="WSC26" s="19"/>
      <c r="WSD26" s="19"/>
      <c r="WSE26" s="19"/>
      <c r="WSF26" s="19"/>
      <c r="WSG26" s="19"/>
      <c r="WSH26" s="19"/>
      <c r="WSI26" s="19"/>
      <c r="WSJ26" s="19"/>
      <c r="WSK26" s="19"/>
      <c r="WSL26" s="19"/>
      <c r="WSM26" s="19"/>
      <c r="WSN26" s="19"/>
      <c r="WSO26" s="19"/>
      <c r="WSP26" s="19"/>
      <c r="WSQ26" s="19"/>
      <c r="WSR26" s="19"/>
      <c r="WSS26" s="19"/>
      <c r="WST26" s="19"/>
      <c r="WSU26" s="19"/>
      <c r="WSV26" s="19"/>
      <c r="WSW26" s="19"/>
      <c r="WSX26" s="19"/>
      <c r="WSY26" s="19"/>
      <c r="WSZ26" s="19"/>
      <c r="WTA26" s="19"/>
      <c r="WTB26" s="19"/>
      <c r="WTC26" s="19"/>
      <c r="WTD26" s="19"/>
      <c r="WTE26" s="19"/>
      <c r="WTF26" s="19"/>
      <c r="WTG26" s="19"/>
      <c r="WTH26" s="19"/>
      <c r="WTI26" s="19"/>
      <c r="WTJ26" s="19"/>
      <c r="WTK26" s="19"/>
      <c r="WTL26" s="19"/>
      <c r="WTM26" s="19"/>
      <c r="WTN26" s="19"/>
      <c r="WTO26" s="19"/>
      <c r="WTP26" s="19"/>
      <c r="WTQ26" s="19"/>
      <c r="WTR26" s="19"/>
      <c r="WTS26" s="19"/>
      <c r="WTT26" s="19"/>
      <c r="WTU26" s="19"/>
      <c r="WTV26" s="19"/>
      <c r="WTW26" s="19"/>
      <c r="WTX26" s="19"/>
      <c r="WTY26" s="19"/>
      <c r="WTZ26" s="19"/>
      <c r="WUA26" s="19"/>
      <c r="WUB26" s="19"/>
      <c r="WUC26" s="19"/>
      <c r="WUD26" s="19"/>
      <c r="WUE26" s="19"/>
      <c r="WUF26" s="19"/>
      <c r="WUG26" s="19"/>
      <c r="WUH26" s="19"/>
      <c r="WUI26" s="19"/>
      <c r="WUJ26" s="19"/>
      <c r="WUK26" s="19"/>
      <c r="WUL26" s="19"/>
      <c r="WUM26" s="19"/>
      <c r="WUN26" s="19"/>
      <c r="WUO26" s="19"/>
      <c r="WUP26" s="19"/>
      <c r="WUQ26" s="19"/>
      <c r="WUR26" s="19"/>
      <c r="WUS26" s="19"/>
      <c r="WUT26" s="19"/>
      <c r="WUU26" s="19"/>
      <c r="WUV26" s="19"/>
      <c r="WUW26" s="19"/>
      <c r="WUX26" s="19"/>
      <c r="WUY26" s="19"/>
      <c r="WUZ26" s="19"/>
      <c r="WVA26" s="19"/>
      <c r="WVB26" s="19"/>
      <c r="WVC26" s="19"/>
      <c r="WVD26" s="19"/>
      <c r="WVE26" s="19"/>
      <c r="WVF26" s="19"/>
      <c r="WVG26" s="19"/>
      <c r="WVH26" s="19"/>
      <c r="WVI26" s="19"/>
      <c r="WVJ26" s="19"/>
      <c r="WVK26" s="19"/>
      <c r="WVL26" s="19"/>
      <c r="WVM26" s="19"/>
      <c r="WVN26" s="19"/>
      <c r="WVO26" s="19"/>
      <c r="WVP26" s="19"/>
      <c r="WVQ26" s="19"/>
      <c r="WVR26" s="19"/>
      <c r="WVS26" s="19"/>
      <c r="WVT26" s="19"/>
      <c r="WVU26" s="19"/>
      <c r="WVV26" s="19"/>
      <c r="WVW26" s="19"/>
      <c r="WVX26" s="19"/>
      <c r="WVY26" s="19"/>
      <c r="WVZ26" s="19"/>
      <c r="WWA26" s="19"/>
      <c r="WWB26" s="19"/>
      <c r="WWC26" s="19"/>
      <c r="WWD26" s="19"/>
      <c r="WWE26" s="19"/>
      <c r="WWF26" s="19"/>
      <c r="WWG26" s="19"/>
      <c r="WWH26" s="19"/>
      <c r="WWI26" s="19"/>
      <c r="WWJ26" s="19"/>
      <c r="WWK26" s="19"/>
      <c r="WWL26" s="19"/>
      <c r="WWM26" s="19"/>
      <c r="WWN26" s="19"/>
      <c r="WWO26" s="19"/>
      <c r="WWP26" s="19"/>
      <c r="WWQ26" s="19"/>
      <c r="WWR26" s="19"/>
      <c r="WWS26" s="19"/>
      <c r="WWT26" s="19"/>
      <c r="WWU26" s="19"/>
      <c r="WWV26" s="19"/>
      <c r="WWW26" s="19"/>
      <c r="WWX26" s="19"/>
      <c r="WWY26" s="19"/>
      <c r="WWZ26" s="19"/>
      <c r="WXA26" s="19"/>
      <c r="WXB26" s="19"/>
      <c r="WXC26" s="19"/>
      <c r="WXD26" s="19"/>
      <c r="WXE26" s="19"/>
      <c r="WXF26" s="19"/>
      <c r="WXG26" s="19"/>
      <c r="WXH26" s="19"/>
      <c r="WXI26" s="19"/>
      <c r="WXJ26" s="19"/>
      <c r="WXK26" s="19"/>
      <c r="WXL26" s="19"/>
      <c r="WXM26" s="19"/>
      <c r="WXN26" s="19"/>
      <c r="WXO26" s="19"/>
      <c r="WXP26" s="19"/>
      <c r="WXQ26" s="19"/>
      <c r="WXR26" s="19"/>
      <c r="WXS26" s="19"/>
      <c r="WXT26" s="19"/>
      <c r="WXU26" s="19"/>
      <c r="WXV26" s="19"/>
      <c r="WXW26" s="19"/>
      <c r="WXX26" s="19"/>
      <c r="WXY26" s="19"/>
      <c r="WXZ26" s="19"/>
      <c r="WYA26" s="19"/>
      <c r="WYB26" s="19"/>
      <c r="WYC26" s="19"/>
      <c r="WYD26" s="19"/>
      <c r="WYE26" s="19"/>
      <c r="WYF26" s="19"/>
      <c r="WYG26" s="19"/>
      <c r="WYH26" s="19"/>
      <c r="WYI26" s="19"/>
      <c r="WYJ26" s="19"/>
      <c r="WYK26" s="19"/>
      <c r="WYL26" s="19"/>
      <c r="WYM26" s="19"/>
      <c r="WYN26" s="19"/>
      <c r="WYO26" s="19"/>
      <c r="WYP26" s="19"/>
      <c r="WYQ26" s="19"/>
      <c r="WYR26" s="19"/>
      <c r="WYS26" s="19"/>
      <c r="WYT26" s="19"/>
      <c r="WYU26" s="19"/>
      <c r="WYV26" s="19"/>
      <c r="WYW26" s="19"/>
      <c r="WYX26" s="19"/>
      <c r="WYY26" s="19"/>
      <c r="WYZ26" s="19"/>
      <c r="WZA26" s="19"/>
      <c r="WZB26" s="19"/>
      <c r="WZC26" s="19"/>
      <c r="WZD26" s="19"/>
      <c r="WZE26" s="19"/>
      <c r="WZF26" s="19"/>
      <c r="WZG26" s="19"/>
      <c r="WZH26" s="19"/>
      <c r="WZI26" s="19"/>
      <c r="WZJ26" s="19"/>
      <c r="WZK26" s="19"/>
      <c r="WZL26" s="19"/>
      <c r="WZM26" s="19"/>
      <c r="WZN26" s="19"/>
      <c r="WZO26" s="19"/>
      <c r="WZP26" s="19"/>
      <c r="WZQ26" s="19"/>
      <c r="WZR26" s="19"/>
      <c r="WZS26" s="19"/>
      <c r="WZT26" s="19"/>
      <c r="WZU26" s="19"/>
      <c r="WZV26" s="19"/>
      <c r="WZW26" s="19"/>
      <c r="WZX26" s="19"/>
      <c r="WZY26" s="19"/>
      <c r="WZZ26" s="19"/>
      <c r="XAA26" s="19"/>
      <c r="XAB26" s="19"/>
      <c r="XAC26" s="19"/>
      <c r="XAD26" s="19"/>
      <c r="XAE26" s="19"/>
      <c r="XAF26" s="19"/>
      <c r="XAG26" s="19"/>
      <c r="XAH26" s="19"/>
      <c r="XAI26" s="19"/>
      <c r="XAJ26" s="19"/>
      <c r="XAK26" s="19"/>
      <c r="XAL26" s="19"/>
      <c r="XAM26" s="19"/>
      <c r="XAN26" s="19"/>
      <c r="XAO26" s="19"/>
      <c r="XAP26" s="19"/>
      <c r="XAQ26" s="19"/>
      <c r="XAR26" s="19"/>
      <c r="XAS26" s="19"/>
      <c r="XAT26" s="19"/>
      <c r="XAU26" s="19"/>
      <c r="XAV26" s="19"/>
      <c r="XAW26" s="19"/>
      <c r="XAX26" s="19"/>
      <c r="XAY26" s="19"/>
      <c r="XAZ26" s="19"/>
      <c r="XBA26" s="19"/>
      <c r="XBB26" s="19"/>
      <c r="XBC26" s="19"/>
      <c r="XBD26" s="19"/>
      <c r="XBE26" s="19"/>
      <c r="XBF26" s="19"/>
      <c r="XBG26" s="19"/>
      <c r="XBH26" s="19"/>
      <c r="XBI26" s="19"/>
      <c r="XBJ26" s="19"/>
      <c r="XBK26" s="19"/>
      <c r="XBL26" s="19"/>
      <c r="XBM26" s="19"/>
      <c r="XBN26" s="19"/>
      <c r="XBO26" s="19"/>
      <c r="XBP26" s="19"/>
      <c r="XBQ26" s="19"/>
      <c r="XBR26" s="19"/>
      <c r="XBS26" s="19"/>
      <c r="XBT26" s="19"/>
      <c r="XBU26" s="19"/>
      <c r="XBV26" s="19"/>
      <c r="XBW26" s="19"/>
      <c r="XBX26" s="19"/>
      <c r="XBY26" s="19"/>
      <c r="XBZ26" s="19"/>
      <c r="XCA26" s="19"/>
      <c r="XCB26" s="19"/>
      <c r="XCC26" s="19"/>
      <c r="XCD26" s="19"/>
      <c r="XCE26" s="19"/>
      <c r="XCF26" s="19"/>
      <c r="XCG26" s="19"/>
      <c r="XCH26" s="19"/>
      <c r="XCI26" s="19"/>
      <c r="XCJ26" s="19"/>
      <c r="XCK26" s="19"/>
      <c r="XCL26" s="19"/>
      <c r="XCM26" s="19"/>
      <c r="XCN26" s="19"/>
      <c r="XCO26" s="19"/>
      <c r="XCP26" s="19"/>
      <c r="XCQ26" s="19"/>
      <c r="XCR26" s="19"/>
      <c r="XCS26" s="19"/>
      <c r="XCT26" s="19"/>
      <c r="XCU26" s="19"/>
      <c r="XCV26" s="19"/>
      <c r="XCW26" s="19"/>
      <c r="XCX26" s="19"/>
      <c r="XCY26" s="19"/>
      <c r="XCZ26" s="19"/>
      <c r="XDA26" s="19"/>
      <c r="XDB26" s="19"/>
      <c r="XDC26" s="19"/>
      <c r="XDD26" s="19"/>
      <c r="XDE26" s="19"/>
      <c r="XDF26" s="19"/>
      <c r="XDG26" s="19"/>
      <c r="XDH26" s="19"/>
      <c r="XDI26" s="19"/>
      <c r="XDJ26" s="19"/>
      <c r="XDK26" s="19"/>
      <c r="XDL26" s="19"/>
      <c r="XDM26" s="19"/>
      <c r="XDN26" s="19"/>
      <c r="XDO26" s="19"/>
      <c r="XDP26" s="19"/>
      <c r="XDQ26" s="19"/>
      <c r="XDR26" s="19"/>
      <c r="XDS26" s="19"/>
      <c r="XDT26" s="19"/>
      <c r="XDU26" s="19"/>
      <c r="XDV26" s="19"/>
      <c r="XDW26" s="19"/>
      <c r="XDX26" s="19"/>
      <c r="XDY26" s="19"/>
      <c r="XDZ26" s="19"/>
      <c r="XEA26" s="19"/>
      <c r="XEB26" s="19"/>
      <c r="XEC26" s="19"/>
      <c r="XED26" s="19"/>
      <c r="XEE26" s="19"/>
      <c r="XEF26" s="19"/>
      <c r="XEG26" s="19"/>
      <c r="XEH26" s="19"/>
      <c r="XEI26" s="19"/>
      <c r="XEJ26" s="19"/>
      <c r="XEK26" s="19"/>
      <c r="XEL26" s="19"/>
      <c r="XEM26" s="19"/>
      <c r="XEN26" s="19"/>
      <c r="XEO26" s="19"/>
      <c r="XEP26" s="19"/>
      <c r="XEQ26" s="19"/>
      <c r="XER26" s="19"/>
      <c r="XES26" s="19"/>
      <c r="XET26" s="19"/>
      <c r="XEU26" s="19"/>
      <c r="XEV26" s="19"/>
      <c r="XEW26" s="19"/>
      <c r="XEX26" s="19"/>
      <c r="XEY26" s="19"/>
      <c r="XEZ26" s="19"/>
      <c r="XFA26" s="19"/>
      <c r="XFB26" s="19"/>
      <c r="XFC26" s="19"/>
      <c r="XFD26" s="19"/>
    </row>
    <row r="27" spans="1:16384" s="60" customFormat="1">
      <c r="A27" s="86">
        <v>45199</v>
      </c>
      <c r="B27" s="19" t="s">
        <v>348</v>
      </c>
      <c r="C27" s="19">
        <v>200000</v>
      </c>
      <c r="D27" s="20" t="s">
        <v>16748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19"/>
      <c r="IV27" s="19"/>
      <c r="IW27" s="19"/>
      <c r="IX27" s="19"/>
      <c r="IY27" s="19"/>
      <c r="IZ27" s="19"/>
      <c r="JA27" s="19"/>
      <c r="JB27" s="19"/>
      <c r="JC27" s="19"/>
      <c r="JD27" s="19"/>
      <c r="JE27" s="19"/>
      <c r="JF27" s="19"/>
      <c r="JG27" s="19"/>
      <c r="JH27" s="19"/>
      <c r="JI27" s="19"/>
      <c r="JJ27" s="19"/>
      <c r="JK27" s="19"/>
      <c r="JL27" s="19"/>
      <c r="JM27" s="19"/>
      <c r="JN27" s="19"/>
      <c r="JO27" s="19"/>
      <c r="JP27" s="19"/>
      <c r="JQ27" s="19"/>
      <c r="JR27" s="19"/>
      <c r="JS27" s="19"/>
      <c r="JT27" s="19"/>
      <c r="JU27" s="19"/>
      <c r="JV27" s="19"/>
      <c r="JW27" s="19"/>
      <c r="JX27" s="19"/>
      <c r="JY27" s="19"/>
      <c r="JZ27" s="19"/>
      <c r="KA27" s="19"/>
      <c r="KB27" s="19"/>
      <c r="KC27" s="19"/>
      <c r="KD27" s="19"/>
      <c r="KE27" s="19"/>
      <c r="KF27" s="19"/>
      <c r="KG27" s="19"/>
      <c r="KH27" s="19"/>
      <c r="KI27" s="19"/>
      <c r="KJ27" s="19"/>
      <c r="KK27" s="19"/>
      <c r="KL27" s="19"/>
      <c r="KM27" s="19"/>
      <c r="KN27" s="19"/>
      <c r="KO27" s="19"/>
      <c r="KP27" s="19"/>
      <c r="KQ27" s="19"/>
      <c r="KR27" s="19"/>
      <c r="KS27" s="19"/>
      <c r="KT27" s="19"/>
      <c r="KU27" s="19"/>
      <c r="KV27" s="19"/>
      <c r="KW27" s="19"/>
      <c r="KX27" s="19"/>
      <c r="KY27" s="19"/>
      <c r="KZ27" s="19"/>
      <c r="LA27" s="19"/>
      <c r="LB27" s="19"/>
      <c r="LC27" s="19"/>
      <c r="LD27" s="19"/>
      <c r="LE27" s="19"/>
      <c r="LF27" s="19"/>
      <c r="LG27" s="19"/>
      <c r="LH27" s="19"/>
      <c r="LI27" s="19"/>
      <c r="LJ27" s="19"/>
      <c r="LK27" s="19"/>
      <c r="LL27" s="19"/>
      <c r="LM27" s="19"/>
      <c r="LN27" s="19"/>
      <c r="LO27" s="19"/>
      <c r="LP27" s="19"/>
      <c r="LQ27" s="19"/>
      <c r="LR27" s="19"/>
      <c r="LS27" s="19"/>
      <c r="LT27" s="19"/>
      <c r="LU27" s="19"/>
      <c r="LV27" s="19"/>
      <c r="LW27" s="19"/>
      <c r="LX27" s="19"/>
      <c r="LY27" s="19"/>
      <c r="LZ27" s="19"/>
      <c r="MA27" s="19"/>
      <c r="MB27" s="19"/>
      <c r="MC27" s="19"/>
      <c r="MD27" s="19"/>
      <c r="ME27" s="19"/>
      <c r="MF27" s="19"/>
      <c r="MG27" s="19"/>
      <c r="MH27" s="19"/>
      <c r="MI27" s="19"/>
      <c r="MJ27" s="19"/>
      <c r="MK27" s="19"/>
      <c r="ML27" s="19"/>
      <c r="MM27" s="19"/>
      <c r="MN27" s="19"/>
      <c r="MO27" s="19"/>
      <c r="MP27" s="19"/>
      <c r="MQ27" s="19"/>
      <c r="MR27" s="19"/>
      <c r="MS27" s="19"/>
      <c r="MT27" s="19"/>
      <c r="MU27" s="19"/>
      <c r="MV27" s="19"/>
      <c r="MW27" s="19"/>
      <c r="MX27" s="19"/>
      <c r="MY27" s="19"/>
      <c r="MZ27" s="19"/>
      <c r="NA27" s="19"/>
      <c r="NB27" s="19"/>
      <c r="NC27" s="19"/>
      <c r="ND27" s="19"/>
      <c r="NE27" s="19"/>
      <c r="NF27" s="19"/>
      <c r="NG27" s="19"/>
      <c r="NH27" s="19"/>
      <c r="NI27" s="19"/>
      <c r="NJ27" s="19"/>
      <c r="NK27" s="19"/>
      <c r="NL27" s="19"/>
      <c r="NM27" s="19"/>
      <c r="NN27" s="19"/>
      <c r="NO27" s="19"/>
      <c r="NP27" s="19"/>
      <c r="NQ27" s="19"/>
      <c r="NR27" s="19"/>
      <c r="NS27" s="19"/>
      <c r="NT27" s="19"/>
      <c r="NU27" s="19"/>
      <c r="NV27" s="19"/>
      <c r="NW27" s="19"/>
      <c r="NX27" s="19"/>
      <c r="NY27" s="19"/>
      <c r="NZ27" s="19"/>
      <c r="OA27" s="19"/>
      <c r="OB27" s="19"/>
      <c r="OC27" s="19"/>
      <c r="OD27" s="19"/>
      <c r="OE27" s="19"/>
      <c r="OF27" s="19"/>
      <c r="OG27" s="19"/>
      <c r="OH27" s="19"/>
      <c r="OI27" s="19"/>
      <c r="OJ27" s="19"/>
      <c r="OK27" s="19"/>
      <c r="OL27" s="19"/>
      <c r="OM27" s="19"/>
      <c r="ON27" s="19"/>
      <c r="OO27" s="19"/>
      <c r="OP27" s="19"/>
      <c r="OQ27" s="19"/>
      <c r="OR27" s="19"/>
      <c r="OS27" s="19"/>
      <c r="OT27" s="19"/>
      <c r="OU27" s="19"/>
      <c r="OV27" s="19"/>
      <c r="OW27" s="19"/>
      <c r="OX27" s="19"/>
      <c r="OY27" s="19"/>
      <c r="OZ27" s="19"/>
      <c r="PA27" s="19"/>
      <c r="PB27" s="19"/>
      <c r="PC27" s="19"/>
      <c r="PD27" s="19"/>
      <c r="PE27" s="19"/>
      <c r="PF27" s="19"/>
      <c r="PG27" s="19"/>
      <c r="PH27" s="19"/>
      <c r="PI27" s="19"/>
      <c r="PJ27" s="19"/>
      <c r="PK27" s="19"/>
      <c r="PL27" s="19"/>
      <c r="PM27" s="19"/>
      <c r="PN27" s="19"/>
      <c r="PO27" s="19"/>
      <c r="PP27" s="19"/>
      <c r="PQ27" s="19"/>
      <c r="PR27" s="19"/>
      <c r="PS27" s="19"/>
      <c r="PT27" s="19"/>
      <c r="PU27" s="19"/>
      <c r="PV27" s="19"/>
      <c r="PW27" s="19"/>
      <c r="PX27" s="19"/>
      <c r="PY27" s="19"/>
      <c r="PZ27" s="19"/>
      <c r="QA27" s="19"/>
      <c r="QB27" s="19"/>
      <c r="QC27" s="19"/>
      <c r="QD27" s="19"/>
      <c r="QE27" s="19"/>
      <c r="QF27" s="19"/>
      <c r="QG27" s="19"/>
      <c r="QH27" s="19"/>
      <c r="QI27" s="19"/>
      <c r="QJ27" s="19"/>
      <c r="QK27" s="19"/>
      <c r="QL27" s="19"/>
      <c r="QM27" s="19"/>
      <c r="QN27" s="19"/>
      <c r="QO27" s="19"/>
      <c r="QP27" s="19"/>
      <c r="QQ27" s="19"/>
      <c r="QR27" s="19"/>
      <c r="QS27" s="19"/>
      <c r="QT27" s="19"/>
      <c r="QU27" s="19"/>
      <c r="QV27" s="19"/>
      <c r="QW27" s="19"/>
      <c r="QX27" s="19"/>
      <c r="QY27" s="19"/>
      <c r="QZ27" s="19"/>
      <c r="RA27" s="19"/>
      <c r="RB27" s="19"/>
      <c r="RC27" s="19"/>
      <c r="RD27" s="19"/>
      <c r="RE27" s="19"/>
      <c r="RF27" s="19"/>
      <c r="RG27" s="19"/>
      <c r="RH27" s="19"/>
      <c r="RI27" s="19"/>
      <c r="RJ27" s="19"/>
      <c r="RK27" s="19"/>
      <c r="RL27" s="19"/>
      <c r="RM27" s="19"/>
      <c r="RN27" s="19"/>
      <c r="RO27" s="19"/>
      <c r="RP27" s="19"/>
      <c r="RQ27" s="19"/>
      <c r="RR27" s="19"/>
      <c r="RS27" s="19"/>
      <c r="RT27" s="19"/>
      <c r="RU27" s="19"/>
      <c r="RV27" s="19"/>
      <c r="RW27" s="19"/>
      <c r="RX27" s="19"/>
      <c r="RY27" s="19"/>
      <c r="RZ27" s="19"/>
      <c r="SA27" s="19"/>
      <c r="SB27" s="19"/>
      <c r="SC27" s="19"/>
      <c r="SD27" s="19"/>
      <c r="SE27" s="19"/>
      <c r="SF27" s="19"/>
      <c r="SG27" s="19"/>
      <c r="SH27" s="19"/>
      <c r="SI27" s="19"/>
      <c r="SJ27" s="19"/>
      <c r="SK27" s="19"/>
      <c r="SL27" s="19"/>
      <c r="SM27" s="19"/>
      <c r="SN27" s="19"/>
      <c r="SO27" s="19"/>
      <c r="SP27" s="19"/>
      <c r="SQ27" s="19"/>
      <c r="SR27" s="19"/>
      <c r="SS27" s="19"/>
      <c r="ST27" s="19"/>
      <c r="SU27" s="19"/>
      <c r="SV27" s="19"/>
      <c r="SW27" s="19"/>
      <c r="SX27" s="19"/>
      <c r="SY27" s="19"/>
      <c r="SZ27" s="19"/>
      <c r="TA27" s="19"/>
      <c r="TB27" s="19"/>
      <c r="TC27" s="19"/>
      <c r="TD27" s="19"/>
      <c r="TE27" s="19"/>
      <c r="TF27" s="19"/>
      <c r="TG27" s="19"/>
      <c r="TH27" s="19"/>
      <c r="TI27" s="19"/>
      <c r="TJ27" s="19"/>
      <c r="TK27" s="19"/>
      <c r="TL27" s="19"/>
      <c r="TM27" s="19"/>
      <c r="TN27" s="19"/>
      <c r="TO27" s="19"/>
      <c r="TP27" s="19"/>
      <c r="TQ27" s="19"/>
      <c r="TR27" s="19"/>
      <c r="TS27" s="19"/>
      <c r="TT27" s="19"/>
      <c r="TU27" s="19"/>
      <c r="TV27" s="19"/>
      <c r="TW27" s="19"/>
      <c r="TX27" s="19"/>
      <c r="TY27" s="19"/>
      <c r="TZ27" s="19"/>
      <c r="UA27" s="19"/>
      <c r="UB27" s="19"/>
      <c r="UC27" s="19"/>
      <c r="UD27" s="19"/>
      <c r="UE27" s="19"/>
      <c r="UF27" s="19"/>
      <c r="UG27" s="19"/>
      <c r="UH27" s="19"/>
      <c r="UI27" s="19"/>
      <c r="UJ27" s="19"/>
      <c r="UK27" s="19"/>
      <c r="UL27" s="19"/>
      <c r="UM27" s="19"/>
      <c r="UN27" s="19"/>
      <c r="UO27" s="19"/>
      <c r="UP27" s="19"/>
      <c r="UQ27" s="19"/>
      <c r="UR27" s="19"/>
      <c r="US27" s="19"/>
      <c r="UT27" s="19"/>
      <c r="UU27" s="19"/>
      <c r="UV27" s="19"/>
      <c r="UW27" s="19"/>
      <c r="UX27" s="19"/>
      <c r="UY27" s="19"/>
      <c r="UZ27" s="19"/>
      <c r="VA27" s="19"/>
      <c r="VB27" s="19"/>
      <c r="VC27" s="19"/>
      <c r="VD27" s="19"/>
      <c r="VE27" s="19"/>
      <c r="VF27" s="19"/>
      <c r="VG27" s="19"/>
      <c r="VH27" s="19"/>
      <c r="VI27" s="19"/>
      <c r="VJ27" s="19"/>
      <c r="VK27" s="19"/>
      <c r="VL27" s="19"/>
      <c r="VM27" s="19"/>
      <c r="VN27" s="19"/>
      <c r="VO27" s="19"/>
      <c r="VP27" s="19"/>
      <c r="VQ27" s="19"/>
      <c r="VR27" s="19"/>
      <c r="VS27" s="19"/>
      <c r="VT27" s="19"/>
      <c r="VU27" s="19"/>
      <c r="VV27" s="19"/>
      <c r="VW27" s="19"/>
      <c r="VX27" s="19"/>
      <c r="VY27" s="19"/>
      <c r="VZ27" s="19"/>
      <c r="WA27" s="19"/>
      <c r="WB27" s="19"/>
      <c r="WC27" s="19"/>
      <c r="WD27" s="19"/>
      <c r="WE27" s="19"/>
      <c r="WF27" s="19"/>
      <c r="WG27" s="19"/>
      <c r="WH27" s="19"/>
      <c r="WI27" s="19"/>
      <c r="WJ27" s="19"/>
      <c r="WK27" s="19"/>
      <c r="WL27" s="19"/>
      <c r="WM27" s="19"/>
      <c r="WN27" s="19"/>
      <c r="WO27" s="19"/>
      <c r="WP27" s="19"/>
      <c r="WQ27" s="19"/>
      <c r="WR27" s="19"/>
      <c r="WS27" s="19"/>
      <c r="WT27" s="19"/>
      <c r="WU27" s="19"/>
      <c r="WV27" s="19"/>
      <c r="WW27" s="19"/>
      <c r="WX27" s="19"/>
      <c r="WY27" s="19"/>
      <c r="WZ27" s="19"/>
      <c r="XA27" s="19"/>
      <c r="XB27" s="19"/>
      <c r="XC27" s="19"/>
      <c r="XD27" s="19"/>
      <c r="XE27" s="19"/>
      <c r="XF27" s="19"/>
      <c r="XG27" s="19"/>
      <c r="XH27" s="19"/>
      <c r="XI27" s="19"/>
      <c r="XJ27" s="19"/>
      <c r="XK27" s="19"/>
      <c r="XL27" s="19"/>
      <c r="XM27" s="19"/>
      <c r="XN27" s="19"/>
      <c r="XO27" s="19"/>
      <c r="XP27" s="19"/>
      <c r="XQ27" s="19"/>
      <c r="XR27" s="19"/>
      <c r="XS27" s="19"/>
      <c r="XT27" s="19"/>
      <c r="XU27" s="19"/>
      <c r="XV27" s="19"/>
      <c r="XW27" s="19"/>
      <c r="XX27" s="19"/>
      <c r="XY27" s="19"/>
      <c r="XZ27" s="19"/>
      <c r="YA27" s="19"/>
      <c r="YB27" s="19"/>
      <c r="YC27" s="19"/>
      <c r="YD27" s="19"/>
      <c r="YE27" s="19"/>
      <c r="YF27" s="19"/>
      <c r="YG27" s="19"/>
      <c r="YH27" s="19"/>
      <c r="YI27" s="19"/>
      <c r="YJ27" s="19"/>
      <c r="YK27" s="19"/>
      <c r="YL27" s="19"/>
      <c r="YM27" s="19"/>
      <c r="YN27" s="19"/>
      <c r="YO27" s="19"/>
      <c r="YP27" s="19"/>
      <c r="YQ27" s="19"/>
      <c r="YR27" s="19"/>
      <c r="YS27" s="19"/>
      <c r="YT27" s="19"/>
      <c r="YU27" s="19"/>
      <c r="YV27" s="19"/>
      <c r="YW27" s="19"/>
      <c r="YX27" s="19"/>
      <c r="YY27" s="19"/>
      <c r="YZ27" s="19"/>
      <c r="ZA27" s="19"/>
      <c r="ZB27" s="19"/>
      <c r="ZC27" s="19"/>
      <c r="ZD27" s="19"/>
      <c r="ZE27" s="19"/>
      <c r="ZF27" s="19"/>
      <c r="ZG27" s="19"/>
      <c r="ZH27" s="19"/>
      <c r="ZI27" s="19"/>
      <c r="ZJ27" s="19"/>
      <c r="ZK27" s="19"/>
      <c r="ZL27" s="19"/>
      <c r="ZM27" s="19"/>
      <c r="ZN27" s="19"/>
      <c r="ZO27" s="19"/>
      <c r="ZP27" s="19"/>
      <c r="ZQ27" s="19"/>
      <c r="ZR27" s="19"/>
      <c r="ZS27" s="19"/>
      <c r="ZT27" s="19"/>
      <c r="ZU27" s="19"/>
      <c r="ZV27" s="19"/>
      <c r="ZW27" s="19"/>
      <c r="ZX27" s="19"/>
      <c r="ZY27" s="19"/>
      <c r="ZZ27" s="19"/>
      <c r="AAA27" s="19"/>
      <c r="AAB27" s="19"/>
      <c r="AAC27" s="19"/>
      <c r="AAD27" s="19"/>
      <c r="AAE27" s="19"/>
      <c r="AAF27" s="19"/>
      <c r="AAG27" s="19"/>
      <c r="AAH27" s="19"/>
      <c r="AAI27" s="19"/>
      <c r="AAJ27" s="19"/>
      <c r="AAK27" s="19"/>
      <c r="AAL27" s="19"/>
      <c r="AAM27" s="19"/>
      <c r="AAN27" s="19"/>
      <c r="AAO27" s="19"/>
      <c r="AAP27" s="19"/>
      <c r="AAQ27" s="19"/>
      <c r="AAR27" s="19"/>
      <c r="AAS27" s="19"/>
      <c r="AAT27" s="19"/>
      <c r="AAU27" s="19"/>
      <c r="AAV27" s="19"/>
      <c r="AAW27" s="19"/>
      <c r="AAX27" s="19"/>
      <c r="AAY27" s="19"/>
      <c r="AAZ27" s="19"/>
      <c r="ABA27" s="19"/>
      <c r="ABB27" s="19"/>
      <c r="ABC27" s="19"/>
      <c r="ABD27" s="19"/>
      <c r="ABE27" s="19"/>
      <c r="ABF27" s="19"/>
      <c r="ABG27" s="19"/>
      <c r="ABH27" s="19"/>
      <c r="ABI27" s="19"/>
      <c r="ABJ27" s="19"/>
      <c r="ABK27" s="19"/>
      <c r="ABL27" s="19"/>
      <c r="ABM27" s="19"/>
      <c r="ABN27" s="19"/>
      <c r="ABO27" s="19"/>
      <c r="ABP27" s="19"/>
      <c r="ABQ27" s="19"/>
      <c r="ABR27" s="19"/>
      <c r="ABS27" s="19"/>
      <c r="ABT27" s="19"/>
      <c r="ABU27" s="19"/>
      <c r="ABV27" s="19"/>
      <c r="ABW27" s="19"/>
      <c r="ABX27" s="19"/>
      <c r="ABY27" s="19"/>
      <c r="ABZ27" s="19"/>
      <c r="ACA27" s="19"/>
      <c r="ACB27" s="19"/>
      <c r="ACC27" s="19"/>
      <c r="ACD27" s="19"/>
      <c r="ACE27" s="19"/>
      <c r="ACF27" s="19"/>
      <c r="ACG27" s="19"/>
      <c r="ACH27" s="19"/>
      <c r="ACI27" s="19"/>
      <c r="ACJ27" s="19"/>
      <c r="ACK27" s="19"/>
      <c r="ACL27" s="19"/>
      <c r="ACM27" s="19"/>
      <c r="ACN27" s="19"/>
      <c r="ACO27" s="19"/>
      <c r="ACP27" s="19"/>
      <c r="ACQ27" s="19"/>
      <c r="ACR27" s="19"/>
      <c r="ACS27" s="19"/>
      <c r="ACT27" s="19"/>
      <c r="ACU27" s="19"/>
      <c r="ACV27" s="19"/>
      <c r="ACW27" s="19"/>
      <c r="ACX27" s="19"/>
      <c r="ACY27" s="19"/>
      <c r="ACZ27" s="19"/>
      <c r="ADA27" s="19"/>
      <c r="ADB27" s="19"/>
      <c r="ADC27" s="19"/>
      <c r="ADD27" s="19"/>
      <c r="ADE27" s="19"/>
      <c r="ADF27" s="19"/>
      <c r="ADG27" s="19"/>
      <c r="ADH27" s="19"/>
      <c r="ADI27" s="19"/>
      <c r="ADJ27" s="19"/>
      <c r="ADK27" s="19"/>
      <c r="ADL27" s="19"/>
      <c r="ADM27" s="19"/>
      <c r="ADN27" s="19"/>
      <c r="ADO27" s="19"/>
      <c r="ADP27" s="19"/>
      <c r="ADQ27" s="19"/>
      <c r="ADR27" s="19"/>
      <c r="ADS27" s="19"/>
      <c r="ADT27" s="19"/>
      <c r="ADU27" s="19"/>
      <c r="ADV27" s="19"/>
      <c r="ADW27" s="19"/>
      <c r="ADX27" s="19"/>
      <c r="ADY27" s="19"/>
      <c r="ADZ27" s="19"/>
      <c r="AEA27" s="19"/>
      <c r="AEB27" s="19"/>
      <c r="AEC27" s="19"/>
      <c r="AED27" s="19"/>
      <c r="AEE27" s="19"/>
      <c r="AEF27" s="19"/>
      <c r="AEG27" s="19"/>
      <c r="AEH27" s="19"/>
      <c r="AEI27" s="19"/>
      <c r="AEJ27" s="19"/>
      <c r="AEK27" s="19"/>
      <c r="AEL27" s="19"/>
      <c r="AEM27" s="19"/>
      <c r="AEN27" s="19"/>
      <c r="AEO27" s="19"/>
      <c r="AEP27" s="19"/>
      <c r="AEQ27" s="19"/>
      <c r="AER27" s="19"/>
      <c r="AES27" s="19"/>
      <c r="AET27" s="19"/>
      <c r="AEU27" s="19"/>
      <c r="AEV27" s="19"/>
      <c r="AEW27" s="19"/>
      <c r="AEX27" s="19"/>
      <c r="AEY27" s="19"/>
      <c r="AEZ27" s="19"/>
      <c r="AFA27" s="19"/>
      <c r="AFB27" s="19"/>
      <c r="AFC27" s="19"/>
      <c r="AFD27" s="19"/>
      <c r="AFE27" s="19"/>
      <c r="AFF27" s="19"/>
      <c r="AFG27" s="19"/>
      <c r="AFH27" s="19"/>
      <c r="AFI27" s="19"/>
      <c r="AFJ27" s="19"/>
      <c r="AFK27" s="19"/>
      <c r="AFL27" s="19"/>
      <c r="AFM27" s="19"/>
      <c r="AFN27" s="19"/>
      <c r="AFO27" s="19"/>
      <c r="AFP27" s="19"/>
      <c r="AFQ27" s="19"/>
      <c r="AFR27" s="19"/>
      <c r="AFS27" s="19"/>
      <c r="AFT27" s="19"/>
      <c r="AFU27" s="19"/>
      <c r="AFV27" s="19"/>
      <c r="AFW27" s="19"/>
      <c r="AFX27" s="19"/>
      <c r="AFY27" s="19"/>
      <c r="AFZ27" s="19"/>
      <c r="AGA27" s="19"/>
      <c r="AGB27" s="19"/>
      <c r="AGC27" s="19"/>
      <c r="AGD27" s="19"/>
      <c r="AGE27" s="19"/>
      <c r="AGF27" s="19"/>
      <c r="AGG27" s="19"/>
      <c r="AGH27" s="19"/>
      <c r="AGI27" s="19"/>
      <c r="AGJ27" s="19"/>
      <c r="AGK27" s="19"/>
      <c r="AGL27" s="19"/>
      <c r="AGM27" s="19"/>
      <c r="AGN27" s="19"/>
      <c r="AGO27" s="19"/>
      <c r="AGP27" s="19"/>
      <c r="AGQ27" s="19"/>
      <c r="AGR27" s="19"/>
      <c r="AGS27" s="19"/>
      <c r="AGT27" s="19"/>
      <c r="AGU27" s="19"/>
      <c r="AGV27" s="19"/>
      <c r="AGW27" s="19"/>
      <c r="AGX27" s="19"/>
      <c r="AGY27" s="19"/>
      <c r="AGZ27" s="19"/>
      <c r="AHA27" s="19"/>
      <c r="AHB27" s="19"/>
      <c r="AHC27" s="19"/>
      <c r="AHD27" s="19"/>
      <c r="AHE27" s="19"/>
      <c r="AHF27" s="19"/>
      <c r="AHG27" s="19"/>
      <c r="AHH27" s="19"/>
      <c r="AHI27" s="19"/>
      <c r="AHJ27" s="19"/>
      <c r="AHK27" s="19"/>
      <c r="AHL27" s="19"/>
      <c r="AHM27" s="19"/>
      <c r="AHN27" s="19"/>
      <c r="AHO27" s="19"/>
      <c r="AHP27" s="19"/>
      <c r="AHQ27" s="19"/>
      <c r="AHR27" s="19"/>
      <c r="AHS27" s="19"/>
      <c r="AHT27" s="19"/>
      <c r="AHU27" s="19"/>
      <c r="AHV27" s="19"/>
      <c r="AHW27" s="19"/>
      <c r="AHX27" s="19"/>
      <c r="AHY27" s="19"/>
      <c r="AHZ27" s="19"/>
      <c r="AIA27" s="19"/>
      <c r="AIB27" s="19"/>
      <c r="AIC27" s="19"/>
      <c r="AID27" s="19"/>
      <c r="AIE27" s="19"/>
      <c r="AIF27" s="19"/>
      <c r="AIG27" s="19"/>
      <c r="AIH27" s="19"/>
      <c r="AII27" s="19"/>
      <c r="AIJ27" s="19"/>
      <c r="AIK27" s="19"/>
      <c r="AIL27" s="19"/>
      <c r="AIM27" s="19"/>
      <c r="AIN27" s="19"/>
      <c r="AIO27" s="19"/>
      <c r="AIP27" s="19"/>
      <c r="AIQ27" s="19"/>
      <c r="AIR27" s="19"/>
      <c r="AIS27" s="19"/>
      <c r="AIT27" s="19"/>
      <c r="AIU27" s="19"/>
      <c r="AIV27" s="19"/>
      <c r="AIW27" s="19"/>
      <c r="AIX27" s="19"/>
      <c r="AIY27" s="19"/>
      <c r="AIZ27" s="19"/>
      <c r="AJA27" s="19"/>
      <c r="AJB27" s="19"/>
      <c r="AJC27" s="19"/>
      <c r="AJD27" s="19"/>
      <c r="AJE27" s="19"/>
      <c r="AJF27" s="19"/>
      <c r="AJG27" s="19"/>
      <c r="AJH27" s="19"/>
      <c r="AJI27" s="19"/>
      <c r="AJJ27" s="19"/>
      <c r="AJK27" s="19"/>
      <c r="AJL27" s="19"/>
      <c r="AJM27" s="19"/>
      <c r="AJN27" s="19"/>
      <c r="AJO27" s="19"/>
      <c r="AJP27" s="19"/>
      <c r="AJQ27" s="19"/>
      <c r="AJR27" s="19"/>
      <c r="AJS27" s="19"/>
      <c r="AJT27" s="19"/>
      <c r="AJU27" s="19"/>
      <c r="AJV27" s="19"/>
      <c r="AJW27" s="19"/>
      <c r="AJX27" s="19"/>
      <c r="AJY27" s="19"/>
      <c r="AJZ27" s="19"/>
      <c r="AKA27" s="19"/>
      <c r="AKB27" s="19"/>
      <c r="AKC27" s="19"/>
      <c r="AKD27" s="19"/>
      <c r="AKE27" s="19"/>
      <c r="AKF27" s="19"/>
      <c r="AKG27" s="19"/>
      <c r="AKH27" s="19"/>
      <c r="AKI27" s="19"/>
      <c r="AKJ27" s="19"/>
      <c r="AKK27" s="19"/>
      <c r="AKL27" s="19"/>
      <c r="AKM27" s="19"/>
      <c r="AKN27" s="19"/>
      <c r="AKO27" s="19"/>
      <c r="AKP27" s="19"/>
      <c r="AKQ27" s="19"/>
      <c r="AKR27" s="19"/>
      <c r="AKS27" s="19"/>
      <c r="AKT27" s="19"/>
      <c r="AKU27" s="19"/>
      <c r="AKV27" s="19"/>
      <c r="AKW27" s="19"/>
      <c r="AKX27" s="19"/>
      <c r="AKY27" s="19"/>
      <c r="AKZ27" s="19"/>
      <c r="ALA27" s="19"/>
      <c r="ALB27" s="19"/>
      <c r="ALC27" s="19"/>
      <c r="ALD27" s="19"/>
      <c r="ALE27" s="19"/>
      <c r="ALF27" s="19"/>
      <c r="ALG27" s="19"/>
      <c r="ALH27" s="19"/>
      <c r="ALI27" s="19"/>
      <c r="ALJ27" s="19"/>
      <c r="ALK27" s="19"/>
      <c r="ALL27" s="19"/>
      <c r="ALM27" s="19"/>
      <c r="ALN27" s="19"/>
      <c r="ALO27" s="19"/>
      <c r="ALP27" s="19"/>
      <c r="ALQ27" s="19"/>
      <c r="ALR27" s="19"/>
      <c r="ALS27" s="19"/>
      <c r="ALT27" s="19"/>
      <c r="ALU27" s="19"/>
      <c r="ALV27" s="19"/>
      <c r="ALW27" s="19"/>
      <c r="ALX27" s="19"/>
      <c r="ALY27" s="19"/>
      <c r="ALZ27" s="19"/>
      <c r="AMA27" s="19"/>
      <c r="AMB27" s="19"/>
      <c r="AMC27" s="19"/>
      <c r="AMD27" s="19"/>
      <c r="AME27" s="19"/>
      <c r="AMF27" s="19"/>
      <c r="AMG27" s="19"/>
      <c r="AMH27" s="19"/>
      <c r="AMI27" s="19"/>
      <c r="AMJ27" s="19"/>
      <c r="AMK27" s="19"/>
      <c r="AML27" s="19"/>
      <c r="AMM27" s="19"/>
      <c r="AMN27" s="19"/>
      <c r="AMO27" s="19"/>
      <c r="AMP27" s="19"/>
      <c r="AMQ27" s="19"/>
      <c r="AMR27" s="19"/>
      <c r="AMS27" s="19"/>
      <c r="AMT27" s="19"/>
      <c r="AMU27" s="19"/>
      <c r="AMV27" s="19"/>
      <c r="AMW27" s="19"/>
      <c r="AMX27" s="19"/>
      <c r="AMY27" s="19"/>
      <c r="AMZ27" s="19"/>
      <c r="ANA27" s="19"/>
      <c r="ANB27" s="19"/>
      <c r="ANC27" s="19"/>
      <c r="AND27" s="19"/>
      <c r="ANE27" s="19"/>
      <c r="ANF27" s="19"/>
      <c r="ANG27" s="19"/>
      <c r="ANH27" s="19"/>
      <c r="ANI27" s="19"/>
      <c r="ANJ27" s="19"/>
      <c r="ANK27" s="19"/>
      <c r="ANL27" s="19"/>
      <c r="ANM27" s="19"/>
      <c r="ANN27" s="19"/>
      <c r="ANO27" s="19"/>
      <c r="ANP27" s="19"/>
      <c r="ANQ27" s="19"/>
      <c r="ANR27" s="19"/>
      <c r="ANS27" s="19"/>
      <c r="ANT27" s="19"/>
      <c r="ANU27" s="19"/>
      <c r="ANV27" s="19"/>
      <c r="ANW27" s="19"/>
      <c r="ANX27" s="19"/>
      <c r="ANY27" s="19"/>
      <c r="ANZ27" s="19"/>
      <c r="AOA27" s="19"/>
      <c r="AOB27" s="19"/>
      <c r="AOC27" s="19"/>
      <c r="AOD27" s="19"/>
      <c r="AOE27" s="19"/>
      <c r="AOF27" s="19"/>
      <c r="AOG27" s="19"/>
      <c r="AOH27" s="19"/>
      <c r="AOI27" s="19"/>
      <c r="AOJ27" s="19"/>
      <c r="AOK27" s="19"/>
      <c r="AOL27" s="19"/>
      <c r="AOM27" s="19"/>
      <c r="AON27" s="19"/>
      <c r="AOO27" s="19"/>
      <c r="AOP27" s="19"/>
      <c r="AOQ27" s="19"/>
      <c r="AOR27" s="19"/>
      <c r="AOS27" s="19"/>
      <c r="AOT27" s="19"/>
      <c r="AOU27" s="19"/>
      <c r="AOV27" s="19"/>
      <c r="AOW27" s="19"/>
      <c r="AOX27" s="19"/>
      <c r="AOY27" s="19"/>
      <c r="AOZ27" s="19"/>
      <c r="APA27" s="19"/>
      <c r="APB27" s="19"/>
      <c r="APC27" s="19"/>
      <c r="APD27" s="19"/>
      <c r="APE27" s="19"/>
      <c r="APF27" s="19"/>
      <c r="APG27" s="19"/>
      <c r="APH27" s="19"/>
      <c r="API27" s="19"/>
      <c r="APJ27" s="19"/>
      <c r="APK27" s="19"/>
      <c r="APL27" s="19"/>
      <c r="APM27" s="19"/>
      <c r="APN27" s="19"/>
      <c r="APO27" s="19"/>
      <c r="APP27" s="19"/>
      <c r="APQ27" s="19"/>
      <c r="APR27" s="19"/>
      <c r="APS27" s="19"/>
      <c r="APT27" s="19"/>
      <c r="APU27" s="19"/>
      <c r="APV27" s="19"/>
      <c r="APW27" s="19"/>
      <c r="APX27" s="19"/>
      <c r="APY27" s="19"/>
      <c r="APZ27" s="19"/>
      <c r="AQA27" s="19"/>
      <c r="AQB27" s="19"/>
      <c r="AQC27" s="19"/>
      <c r="AQD27" s="19"/>
      <c r="AQE27" s="19"/>
      <c r="AQF27" s="19"/>
      <c r="AQG27" s="19"/>
      <c r="AQH27" s="19"/>
      <c r="AQI27" s="19"/>
      <c r="AQJ27" s="19"/>
      <c r="AQK27" s="19"/>
      <c r="AQL27" s="19"/>
      <c r="AQM27" s="19"/>
      <c r="AQN27" s="19"/>
      <c r="AQO27" s="19"/>
      <c r="AQP27" s="19"/>
      <c r="AQQ27" s="19"/>
      <c r="AQR27" s="19"/>
      <c r="AQS27" s="19"/>
      <c r="AQT27" s="19"/>
      <c r="AQU27" s="19"/>
      <c r="AQV27" s="19"/>
      <c r="AQW27" s="19"/>
      <c r="AQX27" s="19"/>
      <c r="AQY27" s="19"/>
      <c r="AQZ27" s="19"/>
      <c r="ARA27" s="19"/>
      <c r="ARB27" s="19"/>
      <c r="ARC27" s="19"/>
      <c r="ARD27" s="19"/>
      <c r="ARE27" s="19"/>
      <c r="ARF27" s="19"/>
      <c r="ARG27" s="19"/>
      <c r="ARH27" s="19"/>
      <c r="ARI27" s="19"/>
      <c r="ARJ27" s="19"/>
      <c r="ARK27" s="19"/>
      <c r="ARL27" s="19"/>
      <c r="ARM27" s="19"/>
      <c r="ARN27" s="19"/>
      <c r="ARO27" s="19"/>
      <c r="ARP27" s="19"/>
      <c r="ARQ27" s="19"/>
      <c r="ARR27" s="19"/>
      <c r="ARS27" s="19"/>
      <c r="ART27" s="19"/>
      <c r="ARU27" s="19"/>
      <c r="ARV27" s="19"/>
      <c r="ARW27" s="19"/>
      <c r="ARX27" s="19"/>
      <c r="ARY27" s="19"/>
      <c r="ARZ27" s="19"/>
      <c r="ASA27" s="19"/>
      <c r="ASB27" s="19"/>
      <c r="ASC27" s="19"/>
      <c r="ASD27" s="19"/>
      <c r="ASE27" s="19"/>
      <c r="ASF27" s="19"/>
      <c r="ASG27" s="19"/>
      <c r="ASH27" s="19"/>
      <c r="ASI27" s="19"/>
      <c r="ASJ27" s="19"/>
      <c r="ASK27" s="19"/>
      <c r="ASL27" s="19"/>
      <c r="ASM27" s="19"/>
      <c r="ASN27" s="19"/>
      <c r="ASO27" s="19"/>
      <c r="ASP27" s="19"/>
      <c r="ASQ27" s="19"/>
      <c r="ASR27" s="19"/>
      <c r="ASS27" s="19"/>
      <c r="AST27" s="19"/>
      <c r="ASU27" s="19"/>
      <c r="ASV27" s="19"/>
      <c r="ASW27" s="19"/>
      <c r="ASX27" s="19"/>
      <c r="ASY27" s="19"/>
      <c r="ASZ27" s="19"/>
      <c r="ATA27" s="19"/>
      <c r="ATB27" s="19"/>
      <c r="ATC27" s="19"/>
      <c r="ATD27" s="19"/>
      <c r="ATE27" s="19"/>
      <c r="ATF27" s="19"/>
      <c r="ATG27" s="19"/>
      <c r="ATH27" s="19"/>
      <c r="ATI27" s="19"/>
      <c r="ATJ27" s="19"/>
      <c r="ATK27" s="19"/>
      <c r="ATL27" s="19"/>
      <c r="ATM27" s="19"/>
      <c r="ATN27" s="19"/>
      <c r="ATO27" s="19"/>
      <c r="ATP27" s="19"/>
      <c r="ATQ27" s="19"/>
      <c r="ATR27" s="19"/>
      <c r="ATS27" s="19"/>
      <c r="ATT27" s="19"/>
      <c r="ATU27" s="19"/>
      <c r="ATV27" s="19"/>
      <c r="ATW27" s="19"/>
      <c r="ATX27" s="19"/>
      <c r="ATY27" s="19"/>
      <c r="ATZ27" s="19"/>
      <c r="AUA27" s="19"/>
      <c r="AUB27" s="19"/>
      <c r="AUC27" s="19"/>
      <c r="AUD27" s="19"/>
      <c r="AUE27" s="19"/>
      <c r="AUF27" s="19"/>
      <c r="AUG27" s="19"/>
      <c r="AUH27" s="19"/>
      <c r="AUI27" s="19"/>
      <c r="AUJ27" s="19"/>
      <c r="AUK27" s="19"/>
      <c r="AUL27" s="19"/>
      <c r="AUM27" s="19"/>
      <c r="AUN27" s="19"/>
      <c r="AUO27" s="19"/>
      <c r="AUP27" s="19"/>
      <c r="AUQ27" s="19"/>
      <c r="AUR27" s="19"/>
      <c r="AUS27" s="19"/>
      <c r="AUT27" s="19"/>
      <c r="AUU27" s="19"/>
      <c r="AUV27" s="19"/>
      <c r="AUW27" s="19"/>
      <c r="AUX27" s="19"/>
      <c r="AUY27" s="19"/>
      <c r="AUZ27" s="19"/>
      <c r="AVA27" s="19"/>
      <c r="AVB27" s="19"/>
      <c r="AVC27" s="19"/>
      <c r="AVD27" s="19"/>
      <c r="AVE27" s="19"/>
      <c r="AVF27" s="19"/>
      <c r="AVG27" s="19"/>
      <c r="AVH27" s="19"/>
      <c r="AVI27" s="19"/>
      <c r="AVJ27" s="19"/>
      <c r="AVK27" s="19"/>
      <c r="AVL27" s="19"/>
      <c r="AVM27" s="19"/>
      <c r="AVN27" s="19"/>
      <c r="AVO27" s="19"/>
      <c r="AVP27" s="19"/>
      <c r="AVQ27" s="19"/>
      <c r="AVR27" s="19"/>
      <c r="AVS27" s="19"/>
      <c r="AVT27" s="19"/>
      <c r="AVU27" s="19"/>
      <c r="AVV27" s="19"/>
      <c r="AVW27" s="19"/>
      <c r="AVX27" s="19"/>
      <c r="AVY27" s="19"/>
      <c r="AVZ27" s="19"/>
      <c r="AWA27" s="19"/>
      <c r="AWB27" s="19"/>
      <c r="AWC27" s="19"/>
      <c r="AWD27" s="19"/>
      <c r="AWE27" s="19"/>
      <c r="AWF27" s="19"/>
      <c r="AWG27" s="19"/>
      <c r="AWH27" s="19"/>
      <c r="AWI27" s="19"/>
      <c r="AWJ27" s="19"/>
      <c r="AWK27" s="19"/>
      <c r="AWL27" s="19"/>
      <c r="AWM27" s="19"/>
      <c r="AWN27" s="19"/>
      <c r="AWO27" s="19"/>
      <c r="AWP27" s="19"/>
      <c r="AWQ27" s="19"/>
      <c r="AWR27" s="19"/>
      <c r="AWS27" s="19"/>
      <c r="AWT27" s="19"/>
      <c r="AWU27" s="19"/>
      <c r="AWV27" s="19"/>
      <c r="AWW27" s="19"/>
      <c r="AWX27" s="19"/>
      <c r="AWY27" s="19"/>
      <c r="AWZ27" s="19"/>
      <c r="AXA27" s="19"/>
      <c r="AXB27" s="19"/>
      <c r="AXC27" s="19"/>
      <c r="AXD27" s="19"/>
      <c r="AXE27" s="19"/>
      <c r="AXF27" s="19"/>
      <c r="AXG27" s="19"/>
      <c r="AXH27" s="19"/>
      <c r="AXI27" s="19"/>
      <c r="AXJ27" s="19"/>
      <c r="AXK27" s="19"/>
      <c r="AXL27" s="19"/>
      <c r="AXM27" s="19"/>
      <c r="AXN27" s="19"/>
      <c r="AXO27" s="19"/>
      <c r="AXP27" s="19"/>
      <c r="AXQ27" s="19"/>
      <c r="AXR27" s="19"/>
      <c r="AXS27" s="19"/>
      <c r="AXT27" s="19"/>
      <c r="AXU27" s="19"/>
      <c r="AXV27" s="19"/>
      <c r="AXW27" s="19"/>
      <c r="AXX27" s="19"/>
      <c r="AXY27" s="19"/>
      <c r="AXZ27" s="19"/>
      <c r="AYA27" s="19"/>
      <c r="AYB27" s="19"/>
      <c r="AYC27" s="19"/>
      <c r="AYD27" s="19"/>
      <c r="AYE27" s="19"/>
      <c r="AYF27" s="19"/>
      <c r="AYG27" s="19"/>
      <c r="AYH27" s="19"/>
      <c r="AYI27" s="19"/>
      <c r="AYJ27" s="19"/>
      <c r="AYK27" s="19"/>
      <c r="AYL27" s="19"/>
      <c r="AYM27" s="19"/>
      <c r="AYN27" s="19"/>
      <c r="AYO27" s="19"/>
      <c r="AYP27" s="19"/>
      <c r="AYQ27" s="19"/>
      <c r="AYR27" s="19"/>
      <c r="AYS27" s="19"/>
      <c r="AYT27" s="19"/>
      <c r="AYU27" s="19"/>
      <c r="AYV27" s="19"/>
      <c r="AYW27" s="19"/>
      <c r="AYX27" s="19"/>
      <c r="AYY27" s="19"/>
      <c r="AYZ27" s="19"/>
      <c r="AZA27" s="19"/>
      <c r="AZB27" s="19"/>
      <c r="AZC27" s="19"/>
      <c r="AZD27" s="19"/>
      <c r="AZE27" s="19"/>
      <c r="AZF27" s="19"/>
      <c r="AZG27" s="19"/>
      <c r="AZH27" s="19"/>
      <c r="AZI27" s="19"/>
      <c r="AZJ27" s="19"/>
      <c r="AZK27" s="19"/>
      <c r="AZL27" s="19"/>
      <c r="AZM27" s="19"/>
      <c r="AZN27" s="19"/>
      <c r="AZO27" s="19"/>
      <c r="AZP27" s="19"/>
      <c r="AZQ27" s="19"/>
      <c r="AZR27" s="19"/>
      <c r="AZS27" s="19"/>
      <c r="AZT27" s="19"/>
      <c r="AZU27" s="19"/>
      <c r="AZV27" s="19"/>
      <c r="AZW27" s="19"/>
      <c r="AZX27" s="19"/>
      <c r="AZY27" s="19"/>
      <c r="AZZ27" s="19"/>
      <c r="BAA27" s="19"/>
      <c r="BAB27" s="19"/>
      <c r="BAC27" s="19"/>
      <c r="BAD27" s="19"/>
      <c r="BAE27" s="19"/>
      <c r="BAF27" s="19"/>
      <c r="BAG27" s="19"/>
      <c r="BAH27" s="19"/>
      <c r="BAI27" s="19"/>
      <c r="BAJ27" s="19"/>
      <c r="BAK27" s="19"/>
      <c r="BAL27" s="19"/>
      <c r="BAM27" s="19"/>
      <c r="BAN27" s="19"/>
      <c r="BAO27" s="19"/>
      <c r="BAP27" s="19"/>
      <c r="BAQ27" s="19"/>
      <c r="BAR27" s="19"/>
      <c r="BAS27" s="19"/>
      <c r="BAT27" s="19"/>
      <c r="BAU27" s="19"/>
      <c r="BAV27" s="19"/>
      <c r="BAW27" s="19"/>
      <c r="BAX27" s="19"/>
      <c r="BAY27" s="19"/>
      <c r="BAZ27" s="19"/>
      <c r="BBA27" s="19"/>
      <c r="BBB27" s="19"/>
      <c r="BBC27" s="19"/>
      <c r="BBD27" s="19"/>
      <c r="BBE27" s="19"/>
      <c r="BBF27" s="19"/>
      <c r="BBG27" s="19"/>
      <c r="BBH27" s="19"/>
      <c r="BBI27" s="19"/>
      <c r="BBJ27" s="19"/>
      <c r="BBK27" s="19"/>
      <c r="BBL27" s="19"/>
      <c r="BBM27" s="19"/>
      <c r="BBN27" s="19"/>
      <c r="BBO27" s="19"/>
      <c r="BBP27" s="19"/>
      <c r="BBQ27" s="19"/>
      <c r="BBR27" s="19"/>
      <c r="BBS27" s="19"/>
      <c r="BBT27" s="19"/>
      <c r="BBU27" s="19"/>
      <c r="BBV27" s="19"/>
      <c r="BBW27" s="19"/>
      <c r="BBX27" s="19"/>
      <c r="BBY27" s="19"/>
      <c r="BBZ27" s="19"/>
      <c r="BCA27" s="19"/>
      <c r="BCB27" s="19"/>
      <c r="BCC27" s="19"/>
      <c r="BCD27" s="19"/>
      <c r="BCE27" s="19"/>
      <c r="BCF27" s="19"/>
      <c r="BCG27" s="19"/>
      <c r="BCH27" s="19"/>
      <c r="BCI27" s="19"/>
      <c r="BCJ27" s="19"/>
      <c r="BCK27" s="19"/>
      <c r="BCL27" s="19"/>
      <c r="BCM27" s="19"/>
      <c r="BCN27" s="19"/>
      <c r="BCO27" s="19"/>
      <c r="BCP27" s="19"/>
      <c r="BCQ27" s="19"/>
      <c r="BCR27" s="19"/>
      <c r="BCS27" s="19"/>
      <c r="BCT27" s="19"/>
      <c r="BCU27" s="19"/>
      <c r="BCV27" s="19"/>
      <c r="BCW27" s="19"/>
      <c r="BCX27" s="19"/>
      <c r="BCY27" s="19"/>
      <c r="BCZ27" s="19"/>
      <c r="BDA27" s="19"/>
      <c r="BDB27" s="19"/>
      <c r="BDC27" s="19"/>
      <c r="BDD27" s="19"/>
      <c r="BDE27" s="19"/>
      <c r="BDF27" s="19"/>
      <c r="BDG27" s="19"/>
      <c r="BDH27" s="19"/>
      <c r="BDI27" s="19"/>
      <c r="BDJ27" s="19"/>
      <c r="BDK27" s="19"/>
      <c r="BDL27" s="19"/>
      <c r="BDM27" s="19"/>
      <c r="BDN27" s="19"/>
      <c r="BDO27" s="19"/>
      <c r="BDP27" s="19"/>
      <c r="BDQ27" s="19"/>
      <c r="BDR27" s="19"/>
      <c r="BDS27" s="19"/>
      <c r="BDT27" s="19"/>
      <c r="BDU27" s="19"/>
      <c r="BDV27" s="19"/>
      <c r="BDW27" s="19"/>
      <c r="BDX27" s="19"/>
      <c r="BDY27" s="19"/>
      <c r="BDZ27" s="19"/>
      <c r="BEA27" s="19"/>
      <c r="BEB27" s="19"/>
      <c r="BEC27" s="19"/>
      <c r="BED27" s="19"/>
      <c r="BEE27" s="19"/>
      <c r="BEF27" s="19"/>
      <c r="BEG27" s="19"/>
      <c r="BEH27" s="19"/>
      <c r="BEI27" s="19"/>
      <c r="BEJ27" s="19"/>
      <c r="BEK27" s="19"/>
      <c r="BEL27" s="19"/>
      <c r="BEM27" s="19"/>
      <c r="BEN27" s="19"/>
      <c r="BEO27" s="19"/>
      <c r="BEP27" s="19"/>
      <c r="BEQ27" s="19"/>
      <c r="BER27" s="19"/>
      <c r="BES27" s="19"/>
      <c r="BET27" s="19"/>
      <c r="BEU27" s="19"/>
      <c r="BEV27" s="19"/>
      <c r="BEW27" s="19"/>
      <c r="BEX27" s="19"/>
      <c r="BEY27" s="19"/>
      <c r="BEZ27" s="19"/>
      <c r="BFA27" s="19"/>
      <c r="BFB27" s="19"/>
      <c r="BFC27" s="19"/>
      <c r="BFD27" s="19"/>
      <c r="BFE27" s="19"/>
      <c r="BFF27" s="19"/>
      <c r="BFG27" s="19"/>
      <c r="BFH27" s="19"/>
      <c r="BFI27" s="19"/>
      <c r="BFJ27" s="19"/>
      <c r="BFK27" s="19"/>
      <c r="BFL27" s="19"/>
      <c r="BFM27" s="19"/>
      <c r="BFN27" s="19"/>
      <c r="BFO27" s="19"/>
      <c r="BFP27" s="19"/>
      <c r="BFQ27" s="19"/>
      <c r="BFR27" s="19"/>
      <c r="BFS27" s="19"/>
      <c r="BFT27" s="19"/>
      <c r="BFU27" s="19"/>
      <c r="BFV27" s="19"/>
      <c r="BFW27" s="19"/>
      <c r="BFX27" s="19"/>
      <c r="BFY27" s="19"/>
      <c r="BFZ27" s="19"/>
      <c r="BGA27" s="19"/>
      <c r="BGB27" s="19"/>
      <c r="BGC27" s="19"/>
      <c r="BGD27" s="19"/>
      <c r="BGE27" s="19"/>
      <c r="BGF27" s="19"/>
      <c r="BGG27" s="19"/>
      <c r="BGH27" s="19"/>
      <c r="BGI27" s="19"/>
      <c r="BGJ27" s="19"/>
      <c r="BGK27" s="19"/>
      <c r="BGL27" s="19"/>
      <c r="BGM27" s="19"/>
      <c r="BGN27" s="19"/>
      <c r="BGO27" s="19"/>
      <c r="BGP27" s="19"/>
      <c r="BGQ27" s="19"/>
      <c r="BGR27" s="19"/>
      <c r="BGS27" s="19"/>
      <c r="BGT27" s="19"/>
      <c r="BGU27" s="19"/>
      <c r="BGV27" s="19"/>
      <c r="BGW27" s="19"/>
      <c r="BGX27" s="19"/>
      <c r="BGY27" s="19"/>
      <c r="BGZ27" s="19"/>
      <c r="BHA27" s="19"/>
      <c r="BHB27" s="19"/>
      <c r="BHC27" s="19"/>
      <c r="BHD27" s="19"/>
      <c r="BHE27" s="19"/>
      <c r="BHF27" s="19"/>
      <c r="BHG27" s="19"/>
      <c r="BHH27" s="19"/>
      <c r="BHI27" s="19"/>
      <c r="BHJ27" s="19"/>
      <c r="BHK27" s="19"/>
      <c r="BHL27" s="19"/>
      <c r="BHM27" s="19"/>
      <c r="BHN27" s="19"/>
      <c r="BHO27" s="19"/>
      <c r="BHP27" s="19"/>
      <c r="BHQ27" s="19"/>
      <c r="BHR27" s="19"/>
      <c r="BHS27" s="19"/>
      <c r="BHT27" s="19"/>
      <c r="BHU27" s="19"/>
      <c r="BHV27" s="19"/>
      <c r="BHW27" s="19"/>
      <c r="BHX27" s="19"/>
      <c r="BHY27" s="19"/>
      <c r="BHZ27" s="19"/>
      <c r="BIA27" s="19"/>
      <c r="BIB27" s="19"/>
      <c r="BIC27" s="19"/>
      <c r="BID27" s="19"/>
      <c r="BIE27" s="19"/>
      <c r="BIF27" s="19"/>
      <c r="BIG27" s="19"/>
      <c r="BIH27" s="19"/>
      <c r="BII27" s="19"/>
      <c r="BIJ27" s="19"/>
      <c r="BIK27" s="19"/>
      <c r="BIL27" s="19"/>
      <c r="BIM27" s="19"/>
      <c r="BIN27" s="19"/>
      <c r="BIO27" s="19"/>
      <c r="BIP27" s="19"/>
      <c r="BIQ27" s="19"/>
      <c r="BIR27" s="19"/>
      <c r="BIS27" s="19"/>
      <c r="BIT27" s="19"/>
      <c r="BIU27" s="19"/>
      <c r="BIV27" s="19"/>
      <c r="BIW27" s="19"/>
      <c r="BIX27" s="19"/>
      <c r="BIY27" s="19"/>
      <c r="BIZ27" s="19"/>
      <c r="BJA27" s="19"/>
      <c r="BJB27" s="19"/>
      <c r="BJC27" s="19"/>
      <c r="BJD27" s="19"/>
      <c r="BJE27" s="19"/>
      <c r="BJF27" s="19"/>
      <c r="BJG27" s="19"/>
      <c r="BJH27" s="19"/>
      <c r="BJI27" s="19"/>
      <c r="BJJ27" s="19"/>
      <c r="BJK27" s="19"/>
      <c r="BJL27" s="19"/>
      <c r="BJM27" s="19"/>
      <c r="BJN27" s="19"/>
      <c r="BJO27" s="19"/>
      <c r="BJP27" s="19"/>
      <c r="BJQ27" s="19"/>
      <c r="BJR27" s="19"/>
      <c r="BJS27" s="19"/>
      <c r="BJT27" s="19"/>
      <c r="BJU27" s="19"/>
      <c r="BJV27" s="19"/>
      <c r="BJW27" s="19"/>
      <c r="BJX27" s="19"/>
      <c r="BJY27" s="19"/>
      <c r="BJZ27" s="19"/>
      <c r="BKA27" s="19"/>
      <c r="BKB27" s="19"/>
      <c r="BKC27" s="19"/>
      <c r="BKD27" s="19"/>
      <c r="BKE27" s="19"/>
      <c r="BKF27" s="19"/>
      <c r="BKG27" s="19"/>
      <c r="BKH27" s="19"/>
      <c r="BKI27" s="19"/>
      <c r="BKJ27" s="19"/>
      <c r="BKK27" s="19"/>
      <c r="BKL27" s="19"/>
      <c r="BKM27" s="19"/>
      <c r="BKN27" s="19"/>
      <c r="BKO27" s="19"/>
      <c r="BKP27" s="19"/>
      <c r="BKQ27" s="19"/>
      <c r="BKR27" s="19"/>
      <c r="BKS27" s="19"/>
      <c r="BKT27" s="19"/>
      <c r="BKU27" s="19"/>
      <c r="BKV27" s="19"/>
      <c r="BKW27" s="19"/>
      <c r="BKX27" s="19"/>
      <c r="BKY27" s="19"/>
      <c r="BKZ27" s="19"/>
      <c r="BLA27" s="19"/>
      <c r="BLB27" s="19"/>
      <c r="BLC27" s="19"/>
      <c r="BLD27" s="19"/>
      <c r="BLE27" s="19"/>
      <c r="BLF27" s="19"/>
      <c r="BLG27" s="19"/>
      <c r="BLH27" s="19"/>
      <c r="BLI27" s="19"/>
      <c r="BLJ27" s="19"/>
      <c r="BLK27" s="19"/>
      <c r="BLL27" s="19"/>
      <c r="BLM27" s="19"/>
      <c r="BLN27" s="19"/>
      <c r="BLO27" s="19"/>
      <c r="BLP27" s="19"/>
      <c r="BLQ27" s="19"/>
      <c r="BLR27" s="19"/>
      <c r="BLS27" s="19"/>
      <c r="BLT27" s="19"/>
      <c r="BLU27" s="19"/>
      <c r="BLV27" s="19"/>
      <c r="BLW27" s="19"/>
      <c r="BLX27" s="19"/>
      <c r="BLY27" s="19"/>
      <c r="BLZ27" s="19"/>
      <c r="BMA27" s="19"/>
      <c r="BMB27" s="19"/>
      <c r="BMC27" s="19"/>
      <c r="BMD27" s="19"/>
      <c r="BME27" s="19"/>
      <c r="BMF27" s="19"/>
      <c r="BMG27" s="19"/>
      <c r="BMH27" s="19"/>
      <c r="BMI27" s="19"/>
      <c r="BMJ27" s="19"/>
      <c r="BMK27" s="19"/>
      <c r="BML27" s="19"/>
      <c r="BMM27" s="19"/>
      <c r="BMN27" s="19"/>
      <c r="BMO27" s="19"/>
      <c r="BMP27" s="19"/>
      <c r="BMQ27" s="19"/>
      <c r="BMR27" s="19"/>
      <c r="BMS27" s="19"/>
      <c r="BMT27" s="19"/>
      <c r="BMU27" s="19"/>
      <c r="BMV27" s="19"/>
      <c r="BMW27" s="19"/>
      <c r="BMX27" s="19"/>
      <c r="BMY27" s="19"/>
      <c r="BMZ27" s="19"/>
      <c r="BNA27" s="19"/>
      <c r="BNB27" s="19"/>
      <c r="BNC27" s="19"/>
      <c r="BND27" s="19"/>
      <c r="BNE27" s="19"/>
      <c r="BNF27" s="19"/>
      <c r="BNG27" s="19"/>
      <c r="BNH27" s="19"/>
      <c r="BNI27" s="19"/>
      <c r="BNJ27" s="19"/>
      <c r="BNK27" s="19"/>
      <c r="BNL27" s="19"/>
      <c r="BNM27" s="19"/>
      <c r="BNN27" s="19"/>
      <c r="BNO27" s="19"/>
      <c r="BNP27" s="19"/>
      <c r="BNQ27" s="19"/>
      <c r="BNR27" s="19"/>
      <c r="BNS27" s="19"/>
      <c r="BNT27" s="19"/>
      <c r="BNU27" s="19"/>
      <c r="BNV27" s="19"/>
      <c r="BNW27" s="19"/>
      <c r="BNX27" s="19"/>
      <c r="BNY27" s="19"/>
      <c r="BNZ27" s="19"/>
      <c r="BOA27" s="19"/>
      <c r="BOB27" s="19"/>
      <c r="BOC27" s="19"/>
      <c r="BOD27" s="19"/>
      <c r="BOE27" s="19"/>
      <c r="BOF27" s="19"/>
      <c r="BOG27" s="19"/>
      <c r="BOH27" s="19"/>
      <c r="BOI27" s="19"/>
      <c r="BOJ27" s="19"/>
      <c r="BOK27" s="19"/>
      <c r="BOL27" s="19"/>
      <c r="BOM27" s="19"/>
      <c r="BON27" s="19"/>
      <c r="BOO27" s="19"/>
      <c r="BOP27" s="19"/>
      <c r="BOQ27" s="19"/>
      <c r="BOR27" s="19"/>
      <c r="BOS27" s="19"/>
      <c r="BOT27" s="19"/>
      <c r="BOU27" s="19"/>
      <c r="BOV27" s="19"/>
      <c r="BOW27" s="19"/>
      <c r="BOX27" s="19"/>
      <c r="BOY27" s="19"/>
      <c r="BOZ27" s="19"/>
      <c r="BPA27" s="19"/>
      <c r="BPB27" s="19"/>
      <c r="BPC27" s="19"/>
      <c r="BPD27" s="19"/>
      <c r="BPE27" s="19"/>
      <c r="BPF27" s="19"/>
      <c r="BPG27" s="19"/>
      <c r="BPH27" s="19"/>
      <c r="BPI27" s="19"/>
      <c r="BPJ27" s="19"/>
      <c r="BPK27" s="19"/>
      <c r="BPL27" s="19"/>
      <c r="BPM27" s="19"/>
      <c r="BPN27" s="19"/>
      <c r="BPO27" s="19"/>
      <c r="BPP27" s="19"/>
      <c r="BPQ27" s="19"/>
      <c r="BPR27" s="19"/>
      <c r="BPS27" s="19"/>
      <c r="BPT27" s="19"/>
      <c r="BPU27" s="19"/>
      <c r="BPV27" s="19"/>
      <c r="BPW27" s="19"/>
      <c r="BPX27" s="19"/>
      <c r="BPY27" s="19"/>
      <c r="BPZ27" s="19"/>
      <c r="BQA27" s="19"/>
      <c r="BQB27" s="19"/>
      <c r="BQC27" s="19"/>
      <c r="BQD27" s="19"/>
      <c r="BQE27" s="19"/>
      <c r="BQF27" s="19"/>
      <c r="BQG27" s="19"/>
      <c r="BQH27" s="19"/>
      <c r="BQI27" s="19"/>
      <c r="BQJ27" s="19"/>
      <c r="BQK27" s="19"/>
      <c r="BQL27" s="19"/>
      <c r="BQM27" s="19"/>
      <c r="BQN27" s="19"/>
      <c r="BQO27" s="19"/>
      <c r="BQP27" s="19"/>
      <c r="BQQ27" s="19"/>
      <c r="BQR27" s="19"/>
      <c r="BQS27" s="19"/>
      <c r="BQT27" s="19"/>
      <c r="BQU27" s="19"/>
      <c r="BQV27" s="19"/>
      <c r="BQW27" s="19"/>
      <c r="BQX27" s="19"/>
      <c r="BQY27" s="19"/>
      <c r="BQZ27" s="19"/>
      <c r="BRA27" s="19"/>
      <c r="BRB27" s="19"/>
      <c r="BRC27" s="19"/>
      <c r="BRD27" s="19"/>
      <c r="BRE27" s="19"/>
      <c r="BRF27" s="19"/>
      <c r="BRG27" s="19"/>
      <c r="BRH27" s="19"/>
      <c r="BRI27" s="19"/>
      <c r="BRJ27" s="19"/>
      <c r="BRK27" s="19"/>
      <c r="BRL27" s="19"/>
      <c r="BRM27" s="19"/>
      <c r="BRN27" s="19"/>
      <c r="BRO27" s="19"/>
      <c r="BRP27" s="19"/>
      <c r="BRQ27" s="19"/>
      <c r="BRR27" s="19"/>
      <c r="BRS27" s="19"/>
      <c r="BRT27" s="19"/>
      <c r="BRU27" s="19"/>
      <c r="BRV27" s="19"/>
      <c r="BRW27" s="19"/>
      <c r="BRX27" s="19"/>
      <c r="BRY27" s="19"/>
      <c r="BRZ27" s="19"/>
      <c r="BSA27" s="19"/>
      <c r="BSB27" s="19"/>
      <c r="BSC27" s="19"/>
      <c r="BSD27" s="19"/>
      <c r="BSE27" s="19"/>
      <c r="BSF27" s="19"/>
      <c r="BSG27" s="19"/>
      <c r="BSH27" s="19"/>
      <c r="BSI27" s="19"/>
      <c r="BSJ27" s="19"/>
      <c r="BSK27" s="19"/>
      <c r="BSL27" s="19"/>
      <c r="BSM27" s="19"/>
      <c r="BSN27" s="19"/>
      <c r="BSO27" s="19"/>
      <c r="BSP27" s="19"/>
      <c r="BSQ27" s="19"/>
      <c r="BSR27" s="19"/>
      <c r="BSS27" s="19"/>
      <c r="BST27" s="19"/>
      <c r="BSU27" s="19"/>
      <c r="BSV27" s="19"/>
      <c r="BSW27" s="19"/>
      <c r="BSX27" s="19"/>
      <c r="BSY27" s="19"/>
      <c r="BSZ27" s="19"/>
      <c r="BTA27" s="19"/>
      <c r="BTB27" s="19"/>
      <c r="BTC27" s="19"/>
      <c r="BTD27" s="19"/>
      <c r="BTE27" s="19"/>
      <c r="BTF27" s="19"/>
      <c r="BTG27" s="19"/>
      <c r="BTH27" s="19"/>
      <c r="BTI27" s="19"/>
      <c r="BTJ27" s="19"/>
      <c r="BTK27" s="19"/>
      <c r="BTL27" s="19"/>
      <c r="BTM27" s="19"/>
      <c r="BTN27" s="19"/>
      <c r="BTO27" s="19"/>
      <c r="BTP27" s="19"/>
      <c r="BTQ27" s="19"/>
      <c r="BTR27" s="19"/>
      <c r="BTS27" s="19"/>
      <c r="BTT27" s="19"/>
      <c r="BTU27" s="19"/>
      <c r="BTV27" s="19"/>
      <c r="BTW27" s="19"/>
      <c r="BTX27" s="19"/>
      <c r="BTY27" s="19"/>
      <c r="BTZ27" s="19"/>
      <c r="BUA27" s="19"/>
      <c r="BUB27" s="19"/>
      <c r="BUC27" s="19"/>
      <c r="BUD27" s="19"/>
      <c r="BUE27" s="19"/>
      <c r="BUF27" s="19"/>
      <c r="BUG27" s="19"/>
      <c r="BUH27" s="19"/>
      <c r="BUI27" s="19"/>
      <c r="BUJ27" s="19"/>
      <c r="BUK27" s="19"/>
      <c r="BUL27" s="19"/>
      <c r="BUM27" s="19"/>
      <c r="BUN27" s="19"/>
      <c r="BUO27" s="19"/>
      <c r="BUP27" s="19"/>
      <c r="BUQ27" s="19"/>
      <c r="BUR27" s="19"/>
      <c r="BUS27" s="19"/>
      <c r="BUT27" s="19"/>
      <c r="BUU27" s="19"/>
      <c r="BUV27" s="19"/>
      <c r="BUW27" s="19"/>
      <c r="BUX27" s="19"/>
      <c r="BUY27" s="19"/>
      <c r="BUZ27" s="19"/>
      <c r="BVA27" s="19"/>
      <c r="BVB27" s="19"/>
      <c r="BVC27" s="19"/>
      <c r="BVD27" s="19"/>
      <c r="BVE27" s="19"/>
      <c r="BVF27" s="19"/>
      <c r="BVG27" s="19"/>
      <c r="BVH27" s="19"/>
      <c r="BVI27" s="19"/>
      <c r="BVJ27" s="19"/>
      <c r="BVK27" s="19"/>
      <c r="BVL27" s="19"/>
      <c r="BVM27" s="19"/>
      <c r="BVN27" s="19"/>
      <c r="BVO27" s="19"/>
      <c r="BVP27" s="19"/>
      <c r="BVQ27" s="19"/>
      <c r="BVR27" s="19"/>
      <c r="BVS27" s="19"/>
      <c r="BVT27" s="19"/>
      <c r="BVU27" s="19"/>
      <c r="BVV27" s="19"/>
      <c r="BVW27" s="19"/>
      <c r="BVX27" s="19"/>
      <c r="BVY27" s="19"/>
      <c r="BVZ27" s="19"/>
      <c r="BWA27" s="19"/>
      <c r="BWB27" s="19"/>
      <c r="BWC27" s="19"/>
      <c r="BWD27" s="19"/>
      <c r="BWE27" s="19"/>
      <c r="BWF27" s="19"/>
      <c r="BWG27" s="19"/>
      <c r="BWH27" s="19"/>
      <c r="BWI27" s="19"/>
      <c r="BWJ27" s="19"/>
      <c r="BWK27" s="19"/>
      <c r="BWL27" s="19"/>
      <c r="BWM27" s="19"/>
      <c r="BWN27" s="19"/>
      <c r="BWO27" s="19"/>
      <c r="BWP27" s="19"/>
      <c r="BWQ27" s="19"/>
      <c r="BWR27" s="19"/>
      <c r="BWS27" s="19"/>
      <c r="BWT27" s="19"/>
      <c r="BWU27" s="19"/>
      <c r="BWV27" s="19"/>
      <c r="BWW27" s="19"/>
      <c r="BWX27" s="19"/>
      <c r="BWY27" s="19"/>
      <c r="BWZ27" s="19"/>
      <c r="BXA27" s="19"/>
      <c r="BXB27" s="19"/>
      <c r="BXC27" s="19"/>
      <c r="BXD27" s="19"/>
      <c r="BXE27" s="19"/>
      <c r="BXF27" s="19"/>
      <c r="BXG27" s="19"/>
      <c r="BXH27" s="19"/>
      <c r="BXI27" s="19"/>
      <c r="BXJ27" s="19"/>
      <c r="BXK27" s="19"/>
      <c r="BXL27" s="19"/>
      <c r="BXM27" s="19"/>
      <c r="BXN27" s="19"/>
      <c r="BXO27" s="19"/>
      <c r="BXP27" s="19"/>
      <c r="BXQ27" s="19"/>
      <c r="BXR27" s="19"/>
      <c r="BXS27" s="19"/>
      <c r="BXT27" s="19"/>
      <c r="BXU27" s="19"/>
      <c r="BXV27" s="19"/>
      <c r="BXW27" s="19"/>
      <c r="BXX27" s="19"/>
      <c r="BXY27" s="19"/>
      <c r="BXZ27" s="19"/>
      <c r="BYA27" s="19"/>
      <c r="BYB27" s="19"/>
      <c r="BYC27" s="19"/>
      <c r="BYD27" s="19"/>
      <c r="BYE27" s="19"/>
      <c r="BYF27" s="19"/>
      <c r="BYG27" s="19"/>
      <c r="BYH27" s="19"/>
      <c r="BYI27" s="19"/>
      <c r="BYJ27" s="19"/>
      <c r="BYK27" s="19"/>
      <c r="BYL27" s="19"/>
      <c r="BYM27" s="19"/>
      <c r="BYN27" s="19"/>
      <c r="BYO27" s="19"/>
      <c r="BYP27" s="19"/>
      <c r="BYQ27" s="19"/>
      <c r="BYR27" s="19"/>
      <c r="BYS27" s="19"/>
      <c r="BYT27" s="19"/>
      <c r="BYU27" s="19"/>
      <c r="BYV27" s="19"/>
      <c r="BYW27" s="19"/>
      <c r="BYX27" s="19"/>
      <c r="BYY27" s="19"/>
      <c r="BYZ27" s="19"/>
      <c r="BZA27" s="19"/>
      <c r="BZB27" s="19"/>
      <c r="BZC27" s="19"/>
      <c r="BZD27" s="19"/>
      <c r="BZE27" s="19"/>
      <c r="BZF27" s="19"/>
      <c r="BZG27" s="19"/>
      <c r="BZH27" s="19"/>
      <c r="BZI27" s="19"/>
      <c r="BZJ27" s="19"/>
      <c r="BZK27" s="19"/>
      <c r="BZL27" s="19"/>
      <c r="BZM27" s="19"/>
      <c r="BZN27" s="19"/>
      <c r="BZO27" s="19"/>
      <c r="BZP27" s="19"/>
      <c r="BZQ27" s="19"/>
      <c r="BZR27" s="19"/>
      <c r="BZS27" s="19"/>
      <c r="BZT27" s="19"/>
      <c r="BZU27" s="19"/>
      <c r="BZV27" s="19"/>
      <c r="BZW27" s="19"/>
      <c r="BZX27" s="19"/>
      <c r="BZY27" s="19"/>
      <c r="BZZ27" s="19"/>
      <c r="CAA27" s="19"/>
      <c r="CAB27" s="19"/>
      <c r="CAC27" s="19"/>
      <c r="CAD27" s="19"/>
      <c r="CAE27" s="19"/>
      <c r="CAF27" s="19"/>
      <c r="CAG27" s="19"/>
      <c r="CAH27" s="19"/>
      <c r="CAI27" s="19"/>
      <c r="CAJ27" s="19"/>
      <c r="CAK27" s="19"/>
      <c r="CAL27" s="19"/>
      <c r="CAM27" s="19"/>
      <c r="CAN27" s="19"/>
      <c r="CAO27" s="19"/>
      <c r="CAP27" s="19"/>
      <c r="CAQ27" s="19"/>
      <c r="CAR27" s="19"/>
      <c r="CAS27" s="19"/>
      <c r="CAT27" s="19"/>
      <c r="CAU27" s="19"/>
      <c r="CAV27" s="19"/>
      <c r="CAW27" s="19"/>
      <c r="CAX27" s="19"/>
      <c r="CAY27" s="19"/>
      <c r="CAZ27" s="19"/>
      <c r="CBA27" s="19"/>
      <c r="CBB27" s="19"/>
      <c r="CBC27" s="19"/>
      <c r="CBD27" s="19"/>
      <c r="CBE27" s="19"/>
      <c r="CBF27" s="19"/>
      <c r="CBG27" s="19"/>
      <c r="CBH27" s="19"/>
      <c r="CBI27" s="19"/>
      <c r="CBJ27" s="19"/>
      <c r="CBK27" s="19"/>
      <c r="CBL27" s="19"/>
      <c r="CBM27" s="19"/>
      <c r="CBN27" s="19"/>
      <c r="CBO27" s="19"/>
      <c r="CBP27" s="19"/>
      <c r="CBQ27" s="19"/>
      <c r="CBR27" s="19"/>
      <c r="CBS27" s="19"/>
      <c r="CBT27" s="19"/>
      <c r="CBU27" s="19"/>
      <c r="CBV27" s="19"/>
      <c r="CBW27" s="19"/>
      <c r="CBX27" s="19"/>
      <c r="CBY27" s="19"/>
      <c r="CBZ27" s="19"/>
      <c r="CCA27" s="19"/>
      <c r="CCB27" s="19"/>
      <c r="CCC27" s="19"/>
      <c r="CCD27" s="19"/>
      <c r="CCE27" s="19"/>
      <c r="CCF27" s="19"/>
      <c r="CCG27" s="19"/>
      <c r="CCH27" s="19"/>
      <c r="CCI27" s="19"/>
      <c r="CCJ27" s="19"/>
      <c r="CCK27" s="19"/>
      <c r="CCL27" s="19"/>
      <c r="CCM27" s="19"/>
      <c r="CCN27" s="19"/>
      <c r="CCO27" s="19"/>
      <c r="CCP27" s="19"/>
      <c r="CCQ27" s="19"/>
      <c r="CCR27" s="19"/>
      <c r="CCS27" s="19"/>
      <c r="CCT27" s="19"/>
      <c r="CCU27" s="19"/>
      <c r="CCV27" s="19"/>
      <c r="CCW27" s="19"/>
      <c r="CCX27" s="19"/>
      <c r="CCY27" s="19"/>
      <c r="CCZ27" s="19"/>
      <c r="CDA27" s="19"/>
      <c r="CDB27" s="19"/>
      <c r="CDC27" s="19"/>
      <c r="CDD27" s="19"/>
      <c r="CDE27" s="19"/>
      <c r="CDF27" s="19"/>
      <c r="CDG27" s="19"/>
      <c r="CDH27" s="19"/>
      <c r="CDI27" s="19"/>
      <c r="CDJ27" s="19"/>
      <c r="CDK27" s="19"/>
      <c r="CDL27" s="19"/>
      <c r="CDM27" s="19"/>
      <c r="CDN27" s="19"/>
      <c r="CDO27" s="19"/>
      <c r="CDP27" s="19"/>
      <c r="CDQ27" s="19"/>
      <c r="CDR27" s="19"/>
      <c r="CDS27" s="19"/>
      <c r="CDT27" s="19"/>
      <c r="CDU27" s="19"/>
      <c r="CDV27" s="19"/>
      <c r="CDW27" s="19"/>
      <c r="CDX27" s="19"/>
      <c r="CDY27" s="19"/>
      <c r="CDZ27" s="19"/>
      <c r="CEA27" s="19"/>
      <c r="CEB27" s="19"/>
      <c r="CEC27" s="19"/>
      <c r="CED27" s="19"/>
      <c r="CEE27" s="19"/>
      <c r="CEF27" s="19"/>
      <c r="CEG27" s="19"/>
      <c r="CEH27" s="19"/>
      <c r="CEI27" s="19"/>
      <c r="CEJ27" s="19"/>
      <c r="CEK27" s="19"/>
      <c r="CEL27" s="19"/>
      <c r="CEM27" s="19"/>
      <c r="CEN27" s="19"/>
      <c r="CEO27" s="19"/>
      <c r="CEP27" s="19"/>
      <c r="CEQ27" s="19"/>
      <c r="CER27" s="19"/>
      <c r="CES27" s="19"/>
      <c r="CET27" s="19"/>
      <c r="CEU27" s="19"/>
      <c r="CEV27" s="19"/>
      <c r="CEW27" s="19"/>
      <c r="CEX27" s="19"/>
      <c r="CEY27" s="19"/>
      <c r="CEZ27" s="19"/>
      <c r="CFA27" s="19"/>
      <c r="CFB27" s="19"/>
      <c r="CFC27" s="19"/>
      <c r="CFD27" s="19"/>
      <c r="CFE27" s="19"/>
      <c r="CFF27" s="19"/>
      <c r="CFG27" s="19"/>
      <c r="CFH27" s="19"/>
      <c r="CFI27" s="19"/>
      <c r="CFJ27" s="19"/>
      <c r="CFK27" s="19"/>
      <c r="CFL27" s="19"/>
      <c r="CFM27" s="19"/>
      <c r="CFN27" s="19"/>
      <c r="CFO27" s="19"/>
      <c r="CFP27" s="19"/>
      <c r="CFQ27" s="19"/>
      <c r="CFR27" s="19"/>
      <c r="CFS27" s="19"/>
      <c r="CFT27" s="19"/>
      <c r="CFU27" s="19"/>
      <c r="CFV27" s="19"/>
      <c r="CFW27" s="19"/>
      <c r="CFX27" s="19"/>
      <c r="CFY27" s="19"/>
      <c r="CFZ27" s="19"/>
      <c r="CGA27" s="19"/>
      <c r="CGB27" s="19"/>
      <c r="CGC27" s="19"/>
      <c r="CGD27" s="19"/>
      <c r="CGE27" s="19"/>
      <c r="CGF27" s="19"/>
      <c r="CGG27" s="19"/>
      <c r="CGH27" s="19"/>
      <c r="CGI27" s="19"/>
      <c r="CGJ27" s="19"/>
      <c r="CGK27" s="19"/>
      <c r="CGL27" s="19"/>
      <c r="CGM27" s="19"/>
      <c r="CGN27" s="19"/>
      <c r="CGO27" s="19"/>
      <c r="CGP27" s="19"/>
      <c r="CGQ27" s="19"/>
      <c r="CGR27" s="19"/>
      <c r="CGS27" s="19"/>
      <c r="CGT27" s="19"/>
      <c r="CGU27" s="19"/>
      <c r="CGV27" s="19"/>
      <c r="CGW27" s="19"/>
      <c r="CGX27" s="19"/>
      <c r="CGY27" s="19"/>
      <c r="CGZ27" s="19"/>
      <c r="CHA27" s="19"/>
      <c r="CHB27" s="19"/>
      <c r="CHC27" s="19"/>
      <c r="CHD27" s="19"/>
      <c r="CHE27" s="19"/>
      <c r="CHF27" s="19"/>
      <c r="CHG27" s="19"/>
      <c r="CHH27" s="19"/>
      <c r="CHI27" s="19"/>
      <c r="CHJ27" s="19"/>
      <c r="CHK27" s="19"/>
      <c r="CHL27" s="19"/>
      <c r="CHM27" s="19"/>
      <c r="CHN27" s="19"/>
      <c r="CHO27" s="19"/>
      <c r="CHP27" s="19"/>
      <c r="CHQ27" s="19"/>
      <c r="CHR27" s="19"/>
      <c r="CHS27" s="19"/>
      <c r="CHT27" s="19"/>
      <c r="CHU27" s="19"/>
      <c r="CHV27" s="19"/>
      <c r="CHW27" s="19"/>
      <c r="CHX27" s="19"/>
      <c r="CHY27" s="19"/>
      <c r="CHZ27" s="19"/>
      <c r="CIA27" s="19"/>
      <c r="CIB27" s="19"/>
      <c r="CIC27" s="19"/>
      <c r="CID27" s="19"/>
      <c r="CIE27" s="19"/>
      <c r="CIF27" s="19"/>
      <c r="CIG27" s="19"/>
      <c r="CIH27" s="19"/>
      <c r="CII27" s="19"/>
      <c r="CIJ27" s="19"/>
      <c r="CIK27" s="19"/>
      <c r="CIL27" s="19"/>
      <c r="CIM27" s="19"/>
      <c r="CIN27" s="19"/>
      <c r="CIO27" s="19"/>
      <c r="CIP27" s="19"/>
      <c r="CIQ27" s="19"/>
      <c r="CIR27" s="19"/>
      <c r="CIS27" s="19"/>
      <c r="CIT27" s="19"/>
      <c r="CIU27" s="19"/>
      <c r="CIV27" s="19"/>
      <c r="CIW27" s="19"/>
      <c r="CIX27" s="19"/>
      <c r="CIY27" s="19"/>
      <c r="CIZ27" s="19"/>
      <c r="CJA27" s="19"/>
      <c r="CJB27" s="19"/>
      <c r="CJC27" s="19"/>
      <c r="CJD27" s="19"/>
      <c r="CJE27" s="19"/>
      <c r="CJF27" s="19"/>
      <c r="CJG27" s="19"/>
      <c r="CJH27" s="19"/>
      <c r="CJI27" s="19"/>
      <c r="CJJ27" s="19"/>
      <c r="CJK27" s="19"/>
      <c r="CJL27" s="19"/>
      <c r="CJM27" s="19"/>
      <c r="CJN27" s="19"/>
      <c r="CJO27" s="19"/>
      <c r="CJP27" s="19"/>
      <c r="CJQ27" s="19"/>
      <c r="CJR27" s="19"/>
      <c r="CJS27" s="19"/>
      <c r="CJT27" s="19"/>
      <c r="CJU27" s="19"/>
      <c r="CJV27" s="19"/>
      <c r="CJW27" s="19"/>
      <c r="CJX27" s="19"/>
      <c r="CJY27" s="19"/>
      <c r="CJZ27" s="19"/>
      <c r="CKA27" s="19"/>
      <c r="CKB27" s="19"/>
      <c r="CKC27" s="19"/>
      <c r="CKD27" s="19"/>
      <c r="CKE27" s="19"/>
      <c r="CKF27" s="19"/>
      <c r="CKG27" s="19"/>
      <c r="CKH27" s="19"/>
      <c r="CKI27" s="19"/>
      <c r="CKJ27" s="19"/>
      <c r="CKK27" s="19"/>
      <c r="CKL27" s="19"/>
      <c r="CKM27" s="19"/>
      <c r="CKN27" s="19"/>
      <c r="CKO27" s="19"/>
      <c r="CKP27" s="19"/>
      <c r="CKQ27" s="19"/>
      <c r="CKR27" s="19"/>
      <c r="CKS27" s="19"/>
      <c r="CKT27" s="19"/>
      <c r="CKU27" s="19"/>
      <c r="CKV27" s="19"/>
      <c r="CKW27" s="19"/>
      <c r="CKX27" s="19"/>
      <c r="CKY27" s="19"/>
      <c r="CKZ27" s="19"/>
      <c r="CLA27" s="19"/>
      <c r="CLB27" s="19"/>
      <c r="CLC27" s="19"/>
      <c r="CLD27" s="19"/>
      <c r="CLE27" s="19"/>
      <c r="CLF27" s="19"/>
      <c r="CLG27" s="19"/>
      <c r="CLH27" s="19"/>
      <c r="CLI27" s="19"/>
      <c r="CLJ27" s="19"/>
      <c r="CLK27" s="19"/>
      <c r="CLL27" s="19"/>
      <c r="CLM27" s="19"/>
      <c r="CLN27" s="19"/>
      <c r="CLO27" s="19"/>
      <c r="CLP27" s="19"/>
      <c r="CLQ27" s="19"/>
      <c r="CLR27" s="19"/>
      <c r="CLS27" s="19"/>
      <c r="CLT27" s="19"/>
      <c r="CLU27" s="19"/>
      <c r="CLV27" s="19"/>
      <c r="CLW27" s="19"/>
      <c r="CLX27" s="19"/>
      <c r="CLY27" s="19"/>
      <c r="CLZ27" s="19"/>
      <c r="CMA27" s="19"/>
      <c r="CMB27" s="19"/>
      <c r="CMC27" s="19"/>
      <c r="CMD27" s="19"/>
      <c r="CME27" s="19"/>
      <c r="CMF27" s="19"/>
      <c r="CMG27" s="19"/>
      <c r="CMH27" s="19"/>
      <c r="CMI27" s="19"/>
      <c r="CMJ27" s="19"/>
      <c r="CMK27" s="19"/>
      <c r="CML27" s="19"/>
      <c r="CMM27" s="19"/>
      <c r="CMN27" s="19"/>
      <c r="CMO27" s="19"/>
      <c r="CMP27" s="19"/>
      <c r="CMQ27" s="19"/>
      <c r="CMR27" s="19"/>
      <c r="CMS27" s="19"/>
      <c r="CMT27" s="19"/>
      <c r="CMU27" s="19"/>
      <c r="CMV27" s="19"/>
      <c r="CMW27" s="19"/>
      <c r="CMX27" s="19"/>
      <c r="CMY27" s="19"/>
      <c r="CMZ27" s="19"/>
      <c r="CNA27" s="19"/>
      <c r="CNB27" s="19"/>
      <c r="CNC27" s="19"/>
      <c r="CND27" s="19"/>
      <c r="CNE27" s="19"/>
      <c r="CNF27" s="19"/>
      <c r="CNG27" s="19"/>
      <c r="CNH27" s="19"/>
      <c r="CNI27" s="19"/>
      <c r="CNJ27" s="19"/>
      <c r="CNK27" s="19"/>
      <c r="CNL27" s="19"/>
      <c r="CNM27" s="19"/>
      <c r="CNN27" s="19"/>
      <c r="CNO27" s="19"/>
      <c r="CNP27" s="19"/>
      <c r="CNQ27" s="19"/>
      <c r="CNR27" s="19"/>
      <c r="CNS27" s="19"/>
      <c r="CNT27" s="19"/>
      <c r="CNU27" s="19"/>
      <c r="CNV27" s="19"/>
      <c r="CNW27" s="19"/>
      <c r="CNX27" s="19"/>
      <c r="CNY27" s="19"/>
      <c r="CNZ27" s="19"/>
      <c r="COA27" s="19"/>
      <c r="COB27" s="19"/>
      <c r="COC27" s="19"/>
      <c r="COD27" s="19"/>
      <c r="COE27" s="19"/>
      <c r="COF27" s="19"/>
      <c r="COG27" s="19"/>
      <c r="COH27" s="19"/>
      <c r="COI27" s="19"/>
      <c r="COJ27" s="19"/>
      <c r="COK27" s="19"/>
      <c r="COL27" s="19"/>
      <c r="COM27" s="19"/>
      <c r="CON27" s="19"/>
      <c r="COO27" s="19"/>
      <c r="COP27" s="19"/>
      <c r="COQ27" s="19"/>
      <c r="COR27" s="19"/>
      <c r="COS27" s="19"/>
      <c r="COT27" s="19"/>
      <c r="COU27" s="19"/>
      <c r="COV27" s="19"/>
      <c r="COW27" s="19"/>
      <c r="COX27" s="19"/>
      <c r="COY27" s="19"/>
      <c r="COZ27" s="19"/>
      <c r="CPA27" s="19"/>
      <c r="CPB27" s="19"/>
      <c r="CPC27" s="19"/>
      <c r="CPD27" s="19"/>
      <c r="CPE27" s="19"/>
      <c r="CPF27" s="19"/>
      <c r="CPG27" s="19"/>
      <c r="CPH27" s="19"/>
      <c r="CPI27" s="19"/>
      <c r="CPJ27" s="19"/>
      <c r="CPK27" s="19"/>
      <c r="CPL27" s="19"/>
      <c r="CPM27" s="19"/>
      <c r="CPN27" s="19"/>
      <c r="CPO27" s="19"/>
      <c r="CPP27" s="19"/>
      <c r="CPQ27" s="19"/>
      <c r="CPR27" s="19"/>
      <c r="CPS27" s="19"/>
      <c r="CPT27" s="19"/>
      <c r="CPU27" s="19"/>
      <c r="CPV27" s="19"/>
      <c r="CPW27" s="19"/>
      <c r="CPX27" s="19"/>
      <c r="CPY27" s="19"/>
      <c r="CPZ27" s="19"/>
      <c r="CQA27" s="19"/>
      <c r="CQB27" s="19"/>
      <c r="CQC27" s="19"/>
      <c r="CQD27" s="19"/>
      <c r="CQE27" s="19"/>
      <c r="CQF27" s="19"/>
      <c r="CQG27" s="19"/>
      <c r="CQH27" s="19"/>
      <c r="CQI27" s="19"/>
      <c r="CQJ27" s="19"/>
      <c r="CQK27" s="19"/>
      <c r="CQL27" s="19"/>
      <c r="CQM27" s="19"/>
      <c r="CQN27" s="19"/>
      <c r="CQO27" s="19"/>
      <c r="CQP27" s="19"/>
      <c r="CQQ27" s="19"/>
      <c r="CQR27" s="19"/>
      <c r="CQS27" s="19"/>
      <c r="CQT27" s="19"/>
      <c r="CQU27" s="19"/>
      <c r="CQV27" s="19"/>
      <c r="CQW27" s="19"/>
      <c r="CQX27" s="19"/>
      <c r="CQY27" s="19"/>
      <c r="CQZ27" s="19"/>
      <c r="CRA27" s="19"/>
      <c r="CRB27" s="19"/>
      <c r="CRC27" s="19"/>
      <c r="CRD27" s="19"/>
      <c r="CRE27" s="19"/>
      <c r="CRF27" s="19"/>
      <c r="CRG27" s="19"/>
      <c r="CRH27" s="19"/>
      <c r="CRI27" s="19"/>
      <c r="CRJ27" s="19"/>
      <c r="CRK27" s="19"/>
      <c r="CRL27" s="19"/>
      <c r="CRM27" s="19"/>
      <c r="CRN27" s="19"/>
      <c r="CRO27" s="19"/>
      <c r="CRP27" s="19"/>
      <c r="CRQ27" s="19"/>
      <c r="CRR27" s="19"/>
      <c r="CRS27" s="19"/>
      <c r="CRT27" s="19"/>
      <c r="CRU27" s="19"/>
      <c r="CRV27" s="19"/>
      <c r="CRW27" s="19"/>
      <c r="CRX27" s="19"/>
      <c r="CRY27" s="19"/>
      <c r="CRZ27" s="19"/>
      <c r="CSA27" s="19"/>
      <c r="CSB27" s="19"/>
      <c r="CSC27" s="19"/>
      <c r="CSD27" s="19"/>
      <c r="CSE27" s="19"/>
      <c r="CSF27" s="19"/>
      <c r="CSG27" s="19"/>
      <c r="CSH27" s="19"/>
      <c r="CSI27" s="19"/>
      <c r="CSJ27" s="19"/>
      <c r="CSK27" s="19"/>
      <c r="CSL27" s="19"/>
      <c r="CSM27" s="19"/>
      <c r="CSN27" s="19"/>
      <c r="CSO27" s="19"/>
      <c r="CSP27" s="19"/>
      <c r="CSQ27" s="19"/>
      <c r="CSR27" s="19"/>
      <c r="CSS27" s="19"/>
      <c r="CST27" s="19"/>
      <c r="CSU27" s="19"/>
      <c r="CSV27" s="19"/>
      <c r="CSW27" s="19"/>
      <c r="CSX27" s="19"/>
      <c r="CSY27" s="19"/>
      <c r="CSZ27" s="19"/>
      <c r="CTA27" s="19"/>
      <c r="CTB27" s="19"/>
      <c r="CTC27" s="19"/>
      <c r="CTD27" s="19"/>
      <c r="CTE27" s="19"/>
      <c r="CTF27" s="19"/>
      <c r="CTG27" s="19"/>
      <c r="CTH27" s="19"/>
      <c r="CTI27" s="19"/>
      <c r="CTJ27" s="19"/>
      <c r="CTK27" s="19"/>
      <c r="CTL27" s="19"/>
      <c r="CTM27" s="19"/>
      <c r="CTN27" s="19"/>
      <c r="CTO27" s="19"/>
      <c r="CTP27" s="19"/>
      <c r="CTQ27" s="19"/>
      <c r="CTR27" s="19"/>
      <c r="CTS27" s="19"/>
      <c r="CTT27" s="19"/>
      <c r="CTU27" s="19"/>
      <c r="CTV27" s="19"/>
      <c r="CTW27" s="19"/>
      <c r="CTX27" s="19"/>
      <c r="CTY27" s="19"/>
      <c r="CTZ27" s="19"/>
      <c r="CUA27" s="19"/>
      <c r="CUB27" s="19"/>
      <c r="CUC27" s="19"/>
      <c r="CUD27" s="19"/>
      <c r="CUE27" s="19"/>
      <c r="CUF27" s="19"/>
      <c r="CUG27" s="19"/>
      <c r="CUH27" s="19"/>
      <c r="CUI27" s="19"/>
      <c r="CUJ27" s="19"/>
      <c r="CUK27" s="19"/>
      <c r="CUL27" s="19"/>
      <c r="CUM27" s="19"/>
      <c r="CUN27" s="19"/>
      <c r="CUO27" s="19"/>
      <c r="CUP27" s="19"/>
      <c r="CUQ27" s="19"/>
      <c r="CUR27" s="19"/>
      <c r="CUS27" s="19"/>
      <c r="CUT27" s="19"/>
      <c r="CUU27" s="19"/>
      <c r="CUV27" s="19"/>
      <c r="CUW27" s="19"/>
      <c r="CUX27" s="19"/>
      <c r="CUY27" s="19"/>
      <c r="CUZ27" s="19"/>
      <c r="CVA27" s="19"/>
      <c r="CVB27" s="19"/>
      <c r="CVC27" s="19"/>
      <c r="CVD27" s="19"/>
      <c r="CVE27" s="19"/>
      <c r="CVF27" s="19"/>
      <c r="CVG27" s="19"/>
      <c r="CVH27" s="19"/>
      <c r="CVI27" s="19"/>
      <c r="CVJ27" s="19"/>
      <c r="CVK27" s="19"/>
      <c r="CVL27" s="19"/>
      <c r="CVM27" s="19"/>
      <c r="CVN27" s="19"/>
      <c r="CVO27" s="19"/>
      <c r="CVP27" s="19"/>
      <c r="CVQ27" s="19"/>
      <c r="CVR27" s="19"/>
      <c r="CVS27" s="19"/>
      <c r="CVT27" s="19"/>
      <c r="CVU27" s="19"/>
      <c r="CVV27" s="19"/>
      <c r="CVW27" s="19"/>
      <c r="CVX27" s="19"/>
      <c r="CVY27" s="19"/>
      <c r="CVZ27" s="19"/>
      <c r="CWA27" s="19"/>
      <c r="CWB27" s="19"/>
      <c r="CWC27" s="19"/>
      <c r="CWD27" s="19"/>
      <c r="CWE27" s="19"/>
      <c r="CWF27" s="19"/>
      <c r="CWG27" s="19"/>
      <c r="CWH27" s="19"/>
      <c r="CWI27" s="19"/>
      <c r="CWJ27" s="19"/>
      <c r="CWK27" s="19"/>
      <c r="CWL27" s="19"/>
      <c r="CWM27" s="19"/>
      <c r="CWN27" s="19"/>
      <c r="CWO27" s="19"/>
      <c r="CWP27" s="19"/>
      <c r="CWQ27" s="19"/>
      <c r="CWR27" s="19"/>
      <c r="CWS27" s="19"/>
      <c r="CWT27" s="19"/>
      <c r="CWU27" s="19"/>
      <c r="CWV27" s="19"/>
      <c r="CWW27" s="19"/>
      <c r="CWX27" s="19"/>
      <c r="CWY27" s="19"/>
      <c r="CWZ27" s="19"/>
      <c r="CXA27" s="19"/>
      <c r="CXB27" s="19"/>
      <c r="CXC27" s="19"/>
      <c r="CXD27" s="19"/>
      <c r="CXE27" s="19"/>
      <c r="CXF27" s="19"/>
      <c r="CXG27" s="19"/>
      <c r="CXH27" s="19"/>
      <c r="CXI27" s="19"/>
      <c r="CXJ27" s="19"/>
      <c r="CXK27" s="19"/>
      <c r="CXL27" s="19"/>
      <c r="CXM27" s="19"/>
      <c r="CXN27" s="19"/>
      <c r="CXO27" s="19"/>
      <c r="CXP27" s="19"/>
      <c r="CXQ27" s="19"/>
      <c r="CXR27" s="19"/>
      <c r="CXS27" s="19"/>
      <c r="CXT27" s="19"/>
      <c r="CXU27" s="19"/>
      <c r="CXV27" s="19"/>
      <c r="CXW27" s="19"/>
      <c r="CXX27" s="19"/>
      <c r="CXY27" s="19"/>
      <c r="CXZ27" s="19"/>
      <c r="CYA27" s="19"/>
      <c r="CYB27" s="19"/>
      <c r="CYC27" s="19"/>
      <c r="CYD27" s="19"/>
      <c r="CYE27" s="19"/>
      <c r="CYF27" s="19"/>
      <c r="CYG27" s="19"/>
      <c r="CYH27" s="19"/>
      <c r="CYI27" s="19"/>
      <c r="CYJ27" s="19"/>
      <c r="CYK27" s="19"/>
      <c r="CYL27" s="19"/>
      <c r="CYM27" s="19"/>
      <c r="CYN27" s="19"/>
      <c r="CYO27" s="19"/>
      <c r="CYP27" s="19"/>
      <c r="CYQ27" s="19"/>
      <c r="CYR27" s="19"/>
      <c r="CYS27" s="19"/>
      <c r="CYT27" s="19"/>
      <c r="CYU27" s="19"/>
      <c r="CYV27" s="19"/>
      <c r="CYW27" s="19"/>
      <c r="CYX27" s="19"/>
      <c r="CYY27" s="19"/>
      <c r="CYZ27" s="19"/>
      <c r="CZA27" s="19"/>
      <c r="CZB27" s="19"/>
      <c r="CZC27" s="19"/>
      <c r="CZD27" s="19"/>
      <c r="CZE27" s="19"/>
      <c r="CZF27" s="19"/>
      <c r="CZG27" s="19"/>
      <c r="CZH27" s="19"/>
      <c r="CZI27" s="19"/>
      <c r="CZJ27" s="19"/>
      <c r="CZK27" s="19"/>
      <c r="CZL27" s="19"/>
      <c r="CZM27" s="19"/>
      <c r="CZN27" s="19"/>
      <c r="CZO27" s="19"/>
      <c r="CZP27" s="19"/>
      <c r="CZQ27" s="19"/>
      <c r="CZR27" s="19"/>
      <c r="CZS27" s="19"/>
      <c r="CZT27" s="19"/>
      <c r="CZU27" s="19"/>
      <c r="CZV27" s="19"/>
      <c r="CZW27" s="19"/>
      <c r="CZX27" s="19"/>
      <c r="CZY27" s="19"/>
      <c r="CZZ27" s="19"/>
      <c r="DAA27" s="19"/>
      <c r="DAB27" s="19"/>
      <c r="DAC27" s="19"/>
      <c r="DAD27" s="19"/>
      <c r="DAE27" s="19"/>
      <c r="DAF27" s="19"/>
      <c r="DAG27" s="19"/>
      <c r="DAH27" s="19"/>
      <c r="DAI27" s="19"/>
      <c r="DAJ27" s="19"/>
      <c r="DAK27" s="19"/>
      <c r="DAL27" s="19"/>
      <c r="DAM27" s="19"/>
      <c r="DAN27" s="19"/>
      <c r="DAO27" s="19"/>
      <c r="DAP27" s="19"/>
      <c r="DAQ27" s="19"/>
      <c r="DAR27" s="19"/>
      <c r="DAS27" s="19"/>
      <c r="DAT27" s="19"/>
      <c r="DAU27" s="19"/>
      <c r="DAV27" s="19"/>
      <c r="DAW27" s="19"/>
      <c r="DAX27" s="19"/>
      <c r="DAY27" s="19"/>
      <c r="DAZ27" s="19"/>
      <c r="DBA27" s="19"/>
      <c r="DBB27" s="19"/>
      <c r="DBC27" s="19"/>
      <c r="DBD27" s="19"/>
      <c r="DBE27" s="19"/>
      <c r="DBF27" s="19"/>
      <c r="DBG27" s="19"/>
      <c r="DBH27" s="19"/>
      <c r="DBI27" s="19"/>
      <c r="DBJ27" s="19"/>
      <c r="DBK27" s="19"/>
      <c r="DBL27" s="19"/>
      <c r="DBM27" s="19"/>
      <c r="DBN27" s="19"/>
      <c r="DBO27" s="19"/>
      <c r="DBP27" s="19"/>
      <c r="DBQ27" s="19"/>
      <c r="DBR27" s="19"/>
      <c r="DBS27" s="19"/>
      <c r="DBT27" s="19"/>
      <c r="DBU27" s="19"/>
      <c r="DBV27" s="19"/>
      <c r="DBW27" s="19"/>
      <c r="DBX27" s="19"/>
      <c r="DBY27" s="19"/>
      <c r="DBZ27" s="19"/>
      <c r="DCA27" s="19"/>
      <c r="DCB27" s="19"/>
      <c r="DCC27" s="19"/>
      <c r="DCD27" s="19"/>
      <c r="DCE27" s="19"/>
      <c r="DCF27" s="19"/>
      <c r="DCG27" s="19"/>
      <c r="DCH27" s="19"/>
      <c r="DCI27" s="19"/>
      <c r="DCJ27" s="19"/>
      <c r="DCK27" s="19"/>
      <c r="DCL27" s="19"/>
      <c r="DCM27" s="19"/>
      <c r="DCN27" s="19"/>
      <c r="DCO27" s="19"/>
      <c r="DCP27" s="19"/>
      <c r="DCQ27" s="19"/>
      <c r="DCR27" s="19"/>
      <c r="DCS27" s="19"/>
      <c r="DCT27" s="19"/>
      <c r="DCU27" s="19"/>
      <c r="DCV27" s="19"/>
      <c r="DCW27" s="19"/>
      <c r="DCX27" s="19"/>
      <c r="DCY27" s="19"/>
      <c r="DCZ27" s="19"/>
      <c r="DDA27" s="19"/>
      <c r="DDB27" s="19"/>
      <c r="DDC27" s="19"/>
      <c r="DDD27" s="19"/>
      <c r="DDE27" s="19"/>
      <c r="DDF27" s="19"/>
      <c r="DDG27" s="19"/>
      <c r="DDH27" s="19"/>
      <c r="DDI27" s="19"/>
      <c r="DDJ27" s="19"/>
      <c r="DDK27" s="19"/>
      <c r="DDL27" s="19"/>
      <c r="DDM27" s="19"/>
      <c r="DDN27" s="19"/>
      <c r="DDO27" s="19"/>
      <c r="DDP27" s="19"/>
      <c r="DDQ27" s="19"/>
      <c r="DDR27" s="19"/>
      <c r="DDS27" s="19"/>
      <c r="DDT27" s="19"/>
      <c r="DDU27" s="19"/>
      <c r="DDV27" s="19"/>
      <c r="DDW27" s="19"/>
      <c r="DDX27" s="19"/>
      <c r="DDY27" s="19"/>
      <c r="DDZ27" s="19"/>
      <c r="DEA27" s="19"/>
      <c r="DEB27" s="19"/>
      <c r="DEC27" s="19"/>
      <c r="DED27" s="19"/>
      <c r="DEE27" s="19"/>
      <c r="DEF27" s="19"/>
      <c r="DEG27" s="19"/>
      <c r="DEH27" s="19"/>
      <c r="DEI27" s="19"/>
      <c r="DEJ27" s="19"/>
      <c r="DEK27" s="19"/>
      <c r="DEL27" s="19"/>
      <c r="DEM27" s="19"/>
      <c r="DEN27" s="19"/>
      <c r="DEO27" s="19"/>
      <c r="DEP27" s="19"/>
      <c r="DEQ27" s="19"/>
      <c r="DER27" s="19"/>
      <c r="DES27" s="19"/>
      <c r="DET27" s="19"/>
      <c r="DEU27" s="19"/>
      <c r="DEV27" s="19"/>
      <c r="DEW27" s="19"/>
      <c r="DEX27" s="19"/>
      <c r="DEY27" s="19"/>
      <c r="DEZ27" s="19"/>
      <c r="DFA27" s="19"/>
      <c r="DFB27" s="19"/>
      <c r="DFC27" s="19"/>
      <c r="DFD27" s="19"/>
      <c r="DFE27" s="19"/>
      <c r="DFF27" s="19"/>
      <c r="DFG27" s="19"/>
      <c r="DFH27" s="19"/>
      <c r="DFI27" s="19"/>
      <c r="DFJ27" s="19"/>
      <c r="DFK27" s="19"/>
      <c r="DFL27" s="19"/>
      <c r="DFM27" s="19"/>
      <c r="DFN27" s="19"/>
      <c r="DFO27" s="19"/>
      <c r="DFP27" s="19"/>
      <c r="DFQ27" s="19"/>
      <c r="DFR27" s="19"/>
      <c r="DFS27" s="19"/>
      <c r="DFT27" s="19"/>
      <c r="DFU27" s="19"/>
      <c r="DFV27" s="19"/>
      <c r="DFW27" s="19"/>
      <c r="DFX27" s="19"/>
      <c r="DFY27" s="19"/>
      <c r="DFZ27" s="19"/>
      <c r="DGA27" s="19"/>
      <c r="DGB27" s="19"/>
      <c r="DGC27" s="19"/>
      <c r="DGD27" s="19"/>
      <c r="DGE27" s="19"/>
      <c r="DGF27" s="19"/>
      <c r="DGG27" s="19"/>
      <c r="DGH27" s="19"/>
      <c r="DGI27" s="19"/>
      <c r="DGJ27" s="19"/>
      <c r="DGK27" s="19"/>
      <c r="DGL27" s="19"/>
      <c r="DGM27" s="19"/>
      <c r="DGN27" s="19"/>
      <c r="DGO27" s="19"/>
      <c r="DGP27" s="19"/>
      <c r="DGQ27" s="19"/>
      <c r="DGR27" s="19"/>
      <c r="DGS27" s="19"/>
      <c r="DGT27" s="19"/>
      <c r="DGU27" s="19"/>
      <c r="DGV27" s="19"/>
      <c r="DGW27" s="19"/>
      <c r="DGX27" s="19"/>
      <c r="DGY27" s="19"/>
      <c r="DGZ27" s="19"/>
      <c r="DHA27" s="19"/>
      <c r="DHB27" s="19"/>
      <c r="DHC27" s="19"/>
      <c r="DHD27" s="19"/>
      <c r="DHE27" s="19"/>
      <c r="DHF27" s="19"/>
      <c r="DHG27" s="19"/>
      <c r="DHH27" s="19"/>
      <c r="DHI27" s="19"/>
      <c r="DHJ27" s="19"/>
      <c r="DHK27" s="19"/>
      <c r="DHL27" s="19"/>
      <c r="DHM27" s="19"/>
      <c r="DHN27" s="19"/>
      <c r="DHO27" s="19"/>
      <c r="DHP27" s="19"/>
      <c r="DHQ27" s="19"/>
      <c r="DHR27" s="19"/>
      <c r="DHS27" s="19"/>
      <c r="DHT27" s="19"/>
      <c r="DHU27" s="19"/>
      <c r="DHV27" s="19"/>
      <c r="DHW27" s="19"/>
      <c r="DHX27" s="19"/>
      <c r="DHY27" s="19"/>
      <c r="DHZ27" s="19"/>
      <c r="DIA27" s="19"/>
      <c r="DIB27" s="19"/>
      <c r="DIC27" s="19"/>
      <c r="DID27" s="19"/>
      <c r="DIE27" s="19"/>
      <c r="DIF27" s="19"/>
      <c r="DIG27" s="19"/>
      <c r="DIH27" s="19"/>
      <c r="DII27" s="19"/>
      <c r="DIJ27" s="19"/>
      <c r="DIK27" s="19"/>
      <c r="DIL27" s="19"/>
      <c r="DIM27" s="19"/>
      <c r="DIN27" s="19"/>
      <c r="DIO27" s="19"/>
      <c r="DIP27" s="19"/>
      <c r="DIQ27" s="19"/>
      <c r="DIR27" s="19"/>
      <c r="DIS27" s="19"/>
      <c r="DIT27" s="19"/>
      <c r="DIU27" s="19"/>
      <c r="DIV27" s="19"/>
      <c r="DIW27" s="19"/>
      <c r="DIX27" s="19"/>
      <c r="DIY27" s="19"/>
      <c r="DIZ27" s="19"/>
      <c r="DJA27" s="19"/>
      <c r="DJB27" s="19"/>
      <c r="DJC27" s="19"/>
      <c r="DJD27" s="19"/>
      <c r="DJE27" s="19"/>
      <c r="DJF27" s="19"/>
      <c r="DJG27" s="19"/>
      <c r="DJH27" s="19"/>
      <c r="DJI27" s="19"/>
      <c r="DJJ27" s="19"/>
      <c r="DJK27" s="19"/>
      <c r="DJL27" s="19"/>
      <c r="DJM27" s="19"/>
      <c r="DJN27" s="19"/>
      <c r="DJO27" s="19"/>
      <c r="DJP27" s="19"/>
      <c r="DJQ27" s="19"/>
      <c r="DJR27" s="19"/>
      <c r="DJS27" s="19"/>
      <c r="DJT27" s="19"/>
      <c r="DJU27" s="19"/>
      <c r="DJV27" s="19"/>
      <c r="DJW27" s="19"/>
      <c r="DJX27" s="19"/>
      <c r="DJY27" s="19"/>
      <c r="DJZ27" s="19"/>
      <c r="DKA27" s="19"/>
      <c r="DKB27" s="19"/>
      <c r="DKC27" s="19"/>
      <c r="DKD27" s="19"/>
      <c r="DKE27" s="19"/>
      <c r="DKF27" s="19"/>
      <c r="DKG27" s="19"/>
      <c r="DKH27" s="19"/>
      <c r="DKI27" s="19"/>
      <c r="DKJ27" s="19"/>
      <c r="DKK27" s="19"/>
      <c r="DKL27" s="19"/>
      <c r="DKM27" s="19"/>
      <c r="DKN27" s="19"/>
      <c r="DKO27" s="19"/>
      <c r="DKP27" s="19"/>
      <c r="DKQ27" s="19"/>
      <c r="DKR27" s="19"/>
      <c r="DKS27" s="19"/>
      <c r="DKT27" s="19"/>
      <c r="DKU27" s="19"/>
      <c r="DKV27" s="19"/>
      <c r="DKW27" s="19"/>
      <c r="DKX27" s="19"/>
      <c r="DKY27" s="19"/>
      <c r="DKZ27" s="19"/>
      <c r="DLA27" s="19"/>
      <c r="DLB27" s="19"/>
      <c r="DLC27" s="19"/>
      <c r="DLD27" s="19"/>
      <c r="DLE27" s="19"/>
      <c r="DLF27" s="19"/>
      <c r="DLG27" s="19"/>
      <c r="DLH27" s="19"/>
      <c r="DLI27" s="19"/>
      <c r="DLJ27" s="19"/>
      <c r="DLK27" s="19"/>
      <c r="DLL27" s="19"/>
      <c r="DLM27" s="19"/>
      <c r="DLN27" s="19"/>
      <c r="DLO27" s="19"/>
      <c r="DLP27" s="19"/>
      <c r="DLQ27" s="19"/>
      <c r="DLR27" s="19"/>
      <c r="DLS27" s="19"/>
      <c r="DLT27" s="19"/>
      <c r="DLU27" s="19"/>
      <c r="DLV27" s="19"/>
      <c r="DLW27" s="19"/>
      <c r="DLX27" s="19"/>
      <c r="DLY27" s="19"/>
      <c r="DLZ27" s="19"/>
      <c r="DMA27" s="19"/>
      <c r="DMB27" s="19"/>
      <c r="DMC27" s="19"/>
      <c r="DMD27" s="19"/>
      <c r="DME27" s="19"/>
      <c r="DMF27" s="19"/>
      <c r="DMG27" s="19"/>
      <c r="DMH27" s="19"/>
      <c r="DMI27" s="19"/>
      <c r="DMJ27" s="19"/>
      <c r="DMK27" s="19"/>
      <c r="DML27" s="19"/>
      <c r="DMM27" s="19"/>
      <c r="DMN27" s="19"/>
      <c r="DMO27" s="19"/>
      <c r="DMP27" s="19"/>
      <c r="DMQ27" s="19"/>
      <c r="DMR27" s="19"/>
      <c r="DMS27" s="19"/>
      <c r="DMT27" s="19"/>
      <c r="DMU27" s="19"/>
      <c r="DMV27" s="19"/>
      <c r="DMW27" s="19"/>
      <c r="DMX27" s="19"/>
      <c r="DMY27" s="19"/>
      <c r="DMZ27" s="19"/>
      <c r="DNA27" s="19"/>
      <c r="DNB27" s="19"/>
      <c r="DNC27" s="19"/>
      <c r="DND27" s="19"/>
      <c r="DNE27" s="19"/>
      <c r="DNF27" s="19"/>
      <c r="DNG27" s="19"/>
      <c r="DNH27" s="19"/>
      <c r="DNI27" s="19"/>
      <c r="DNJ27" s="19"/>
      <c r="DNK27" s="19"/>
      <c r="DNL27" s="19"/>
      <c r="DNM27" s="19"/>
      <c r="DNN27" s="19"/>
      <c r="DNO27" s="19"/>
      <c r="DNP27" s="19"/>
      <c r="DNQ27" s="19"/>
      <c r="DNR27" s="19"/>
      <c r="DNS27" s="19"/>
      <c r="DNT27" s="19"/>
      <c r="DNU27" s="19"/>
      <c r="DNV27" s="19"/>
      <c r="DNW27" s="19"/>
      <c r="DNX27" s="19"/>
      <c r="DNY27" s="19"/>
      <c r="DNZ27" s="19"/>
      <c r="DOA27" s="19"/>
      <c r="DOB27" s="19"/>
      <c r="DOC27" s="19"/>
      <c r="DOD27" s="19"/>
      <c r="DOE27" s="19"/>
      <c r="DOF27" s="19"/>
      <c r="DOG27" s="19"/>
      <c r="DOH27" s="19"/>
      <c r="DOI27" s="19"/>
      <c r="DOJ27" s="19"/>
      <c r="DOK27" s="19"/>
      <c r="DOL27" s="19"/>
      <c r="DOM27" s="19"/>
      <c r="DON27" s="19"/>
      <c r="DOO27" s="19"/>
      <c r="DOP27" s="19"/>
      <c r="DOQ27" s="19"/>
      <c r="DOR27" s="19"/>
      <c r="DOS27" s="19"/>
      <c r="DOT27" s="19"/>
      <c r="DOU27" s="19"/>
      <c r="DOV27" s="19"/>
      <c r="DOW27" s="19"/>
      <c r="DOX27" s="19"/>
      <c r="DOY27" s="19"/>
      <c r="DOZ27" s="19"/>
      <c r="DPA27" s="19"/>
      <c r="DPB27" s="19"/>
      <c r="DPC27" s="19"/>
      <c r="DPD27" s="19"/>
      <c r="DPE27" s="19"/>
      <c r="DPF27" s="19"/>
      <c r="DPG27" s="19"/>
      <c r="DPH27" s="19"/>
      <c r="DPI27" s="19"/>
      <c r="DPJ27" s="19"/>
      <c r="DPK27" s="19"/>
      <c r="DPL27" s="19"/>
      <c r="DPM27" s="19"/>
      <c r="DPN27" s="19"/>
      <c r="DPO27" s="19"/>
      <c r="DPP27" s="19"/>
      <c r="DPQ27" s="19"/>
      <c r="DPR27" s="19"/>
      <c r="DPS27" s="19"/>
      <c r="DPT27" s="19"/>
      <c r="DPU27" s="19"/>
      <c r="DPV27" s="19"/>
      <c r="DPW27" s="19"/>
      <c r="DPX27" s="19"/>
      <c r="DPY27" s="19"/>
      <c r="DPZ27" s="19"/>
      <c r="DQA27" s="19"/>
      <c r="DQB27" s="19"/>
      <c r="DQC27" s="19"/>
      <c r="DQD27" s="19"/>
      <c r="DQE27" s="19"/>
      <c r="DQF27" s="19"/>
      <c r="DQG27" s="19"/>
      <c r="DQH27" s="19"/>
      <c r="DQI27" s="19"/>
      <c r="DQJ27" s="19"/>
      <c r="DQK27" s="19"/>
      <c r="DQL27" s="19"/>
      <c r="DQM27" s="19"/>
      <c r="DQN27" s="19"/>
      <c r="DQO27" s="19"/>
      <c r="DQP27" s="19"/>
      <c r="DQQ27" s="19"/>
      <c r="DQR27" s="19"/>
      <c r="DQS27" s="19"/>
      <c r="DQT27" s="19"/>
      <c r="DQU27" s="19"/>
      <c r="DQV27" s="19"/>
      <c r="DQW27" s="19"/>
      <c r="DQX27" s="19"/>
      <c r="DQY27" s="19"/>
      <c r="DQZ27" s="19"/>
      <c r="DRA27" s="19"/>
      <c r="DRB27" s="19"/>
      <c r="DRC27" s="19"/>
      <c r="DRD27" s="19"/>
      <c r="DRE27" s="19"/>
      <c r="DRF27" s="19"/>
      <c r="DRG27" s="19"/>
      <c r="DRH27" s="19"/>
      <c r="DRI27" s="19"/>
      <c r="DRJ27" s="19"/>
      <c r="DRK27" s="19"/>
      <c r="DRL27" s="19"/>
      <c r="DRM27" s="19"/>
      <c r="DRN27" s="19"/>
      <c r="DRO27" s="19"/>
      <c r="DRP27" s="19"/>
      <c r="DRQ27" s="19"/>
      <c r="DRR27" s="19"/>
      <c r="DRS27" s="19"/>
      <c r="DRT27" s="19"/>
      <c r="DRU27" s="19"/>
      <c r="DRV27" s="19"/>
      <c r="DRW27" s="19"/>
      <c r="DRX27" s="19"/>
      <c r="DRY27" s="19"/>
      <c r="DRZ27" s="19"/>
      <c r="DSA27" s="19"/>
      <c r="DSB27" s="19"/>
      <c r="DSC27" s="19"/>
      <c r="DSD27" s="19"/>
      <c r="DSE27" s="19"/>
      <c r="DSF27" s="19"/>
      <c r="DSG27" s="19"/>
      <c r="DSH27" s="19"/>
      <c r="DSI27" s="19"/>
      <c r="DSJ27" s="19"/>
      <c r="DSK27" s="19"/>
      <c r="DSL27" s="19"/>
      <c r="DSM27" s="19"/>
      <c r="DSN27" s="19"/>
      <c r="DSO27" s="19"/>
      <c r="DSP27" s="19"/>
      <c r="DSQ27" s="19"/>
      <c r="DSR27" s="19"/>
      <c r="DSS27" s="19"/>
      <c r="DST27" s="19"/>
      <c r="DSU27" s="19"/>
      <c r="DSV27" s="19"/>
      <c r="DSW27" s="19"/>
      <c r="DSX27" s="19"/>
      <c r="DSY27" s="19"/>
      <c r="DSZ27" s="19"/>
      <c r="DTA27" s="19"/>
      <c r="DTB27" s="19"/>
      <c r="DTC27" s="19"/>
      <c r="DTD27" s="19"/>
      <c r="DTE27" s="19"/>
      <c r="DTF27" s="19"/>
      <c r="DTG27" s="19"/>
      <c r="DTH27" s="19"/>
      <c r="DTI27" s="19"/>
      <c r="DTJ27" s="19"/>
      <c r="DTK27" s="19"/>
      <c r="DTL27" s="19"/>
      <c r="DTM27" s="19"/>
      <c r="DTN27" s="19"/>
      <c r="DTO27" s="19"/>
      <c r="DTP27" s="19"/>
      <c r="DTQ27" s="19"/>
      <c r="DTR27" s="19"/>
      <c r="DTS27" s="19"/>
      <c r="DTT27" s="19"/>
      <c r="DTU27" s="19"/>
      <c r="DTV27" s="19"/>
      <c r="DTW27" s="19"/>
      <c r="DTX27" s="19"/>
      <c r="DTY27" s="19"/>
      <c r="DTZ27" s="19"/>
      <c r="DUA27" s="19"/>
      <c r="DUB27" s="19"/>
      <c r="DUC27" s="19"/>
      <c r="DUD27" s="19"/>
      <c r="DUE27" s="19"/>
      <c r="DUF27" s="19"/>
      <c r="DUG27" s="19"/>
      <c r="DUH27" s="19"/>
      <c r="DUI27" s="19"/>
      <c r="DUJ27" s="19"/>
      <c r="DUK27" s="19"/>
      <c r="DUL27" s="19"/>
      <c r="DUM27" s="19"/>
      <c r="DUN27" s="19"/>
      <c r="DUO27" s="19"/>
      <c r="DUP27" s="19"/>
      <c r="DUQ27" s="19"/>
      <c r="DUR27" s="19"/>
      <c r="DUS27" s="19"/>
      <c r="DUT27" s="19"/>
      <c r="DUU27" s="19"/>
      <c r="DUV27" s="19"/>
      <c r="DUW27" s="19"/>
      <c r="DUX27" s="19"/>
      <c r="DUY27" s="19"/>
      <c r="DUZ27" s="19"/>
      <c r="DVA27" s="19"/>
      <c r="DVB27" s="19"/>
      <c r="DVC27" s="19"/>
      <c r="DVD27" s="19"/>
      <c r="DVE27" s="19"/>
      <c r="DVF27" s="19"/>
      <c r="DVG27" s="19"/>
      <c r="DVH27" s="19"/>
      <c r="DVI27" s="19"/>
      <c r="DVJ27" s="19"/>
      <c r="DVK27" s="19"/>
      <c r="DVL27" s="19"/>
      <c r="DVM27" s="19"/>
      <c r="DVN27" s="19"/>
      <c r="DVO27" s="19"/>
      <c r="DVP27" s="19"/>
      <c r="DVQ27" s="19"/>
      <c r="DVR27" s="19"/>
      <c r="DVS27" s="19"/>
      <c r="DVT27" s="19"/>
      <c r="DVU27" s="19"/>
      <c r="DVV27" s="19"/>
      <c r="DVW27" s="19"/>
      <c r="DVX27" s="19"/>
      <c r="DVY27" s="19"/>
      <c r="DVZ27" s="19"/>
      <c r="DWA27" s="19"/>
      <c r="DWB27" s="19"/>
      <c r="DWC27" s="19"/>
      <c r="DWD27" s="19"/>
      <c r="DWE27" s="19"/>
      <c r="DWF27" s="19"/>
      <c r="DWG27" s="19"/>
      <c r="DWH27" s="19"/>
      <c r="DWI27" s="19"/>
      <c r="DWJ27" s="19"/>
      <c r="DWK27" s="19"/>
      <c r="DWL27" s="19"/>
      <c r="DWM27" s="19"/>
      <c r="DWN27" s="19"/>
      <c r="DWO27" s="19"/>
      <c r="DWP27" s="19"/>
      <c r="DWQ27" s="19"/>
      <c r="DWR27" s="19"/>
      <c r="DWS27" s="19"/>
      <c r="DWT27" s="19"/>
      <c r="DWU27" s="19"/>
      <c r="DWV27" s="19"/>
      <c r="DWW27" s="19"/>
      <c r="DWX27" s="19"/>
      <c r="DWY27" s="19"/>
      <c r="DWZ27" s="19"/>
      <c r="DXA27" s="19"/>
      <c r="DXB27" s="19"/>
      <c r="DXC27" s="19"/>
      <c r="DXD27" s="19"/>
      <c r="DXE27" s="19"/>
      <c r="DXF27" s="19"/>
      <c r="DXG27" s="19"/>
      <c r="DXH27" s="19"/>
      <c r="DXI27" s="19"/>
      <c r="DXJ27" s="19"/>
      <c r="DXK27" s="19"/>
      <c r="DXL27" s="19"/>
      <c r="DXM27" s="19"/>
      <c r="DXN27" s="19"/>
      <c r="DXO27" s="19"/>
      <c r="DXP27" s="19"/>
      <c r="DXQ27" s="19"/>
      <c r="DXR27" s="19"/>
      <c r="DXS27" s="19"/>
      <c r="DXT27" s="19"/>
      <c r="DXU27" s="19"/>
      <c r="DXV27" s="19"/>
      <c r="DXW27" s="19"/>
      <c r="DXX27" s="19"/>
      <c r="DXY27" s="19"/>
      <c r="DXZ27" s="19"/>
      <c r="DYA27" s="19"/>
      <c r="DYB27" s="19"/>
      <c r="DYC27" s="19"/>
      <c r="DYD27" s="19"/>
      <c r="DYE27" s="19"/>
      <c r="DYF27" s="19"/>
      <c r="DYG27" s="19"/>
      <c r="DYH27" s="19"/>
      <c r="DYI27" s="19"/>
      <c r="DYJ27" s="19"/>
      <c r="DYK27" s="19"/>
      <c r="DYL27" s="19"/>
      <c r="DYM27" s="19"/>
      <c r="DYN27" s="19"/>
      <c r="DYO27" s="19"/>
      <c r="DYP27" s="19"/>
      <c r="DYQ27" s="19"/>
      <c r="DYR27" s="19"/>
      <c r="DYS27" s="19"/>
      <c r="DYT27" s="19"/>
      <c r="DYU27" s="19"/>
      <c r="DYV27" s="19"/>
      <c r="DYW27" s="19"/>
      <c r="DYX27" s="19"/>
      <c r="DYY27" s="19"/>
      <c r="DYZ27" s="19"/>
      <c r="DZA27" s="19"/>
      <c r="DZB27" s="19"/>
      <c r="DZC27" s="19"/>
      <c r="DZD27" s="19"/>
      <c r="DZE27" s="19"/>
      <c r="DZF27" s="19"/>
      <c r="DZG27" s="19"/>
      <c r="DZH27" s="19"/>
      <c r="DZI27" s="19"/>
      <c r="DZJ27" s="19"/>
      <c r="DZK27" s="19"/>
      <c r="DZL27" s="19"/>
      <c r="DZM27" s="19"/>
      <c r="DZN27" s="19"/>
      <c r="DZO27" s="19"/>
      <c r="DZP27" s="19"/>
      <c r="DZQ27" s="19"/>
      <c r="DZR27" s="19"/>
      <c r="DZS27" s="19"/>
      <c r="DZT27" s="19"/>
      <c r="DZU27" s="19"/>
      <c r="DZV27" s="19"/>
      <c r="DZW27" s="19"/>
      <c r="DZX27" s="19"/>
      <c r="DZY27" s="19"/>
      <c r="DZZ27" s="19"/>
      <c r="EAA27" s="19"/>
      <c r="EAB27" s="19"/>
      <c r="EAC27" s="19"/>
      <c r="EAD27" s="19"/>
      <c r="EAE27" s="19"/>
      <c r="EAF27" s="19"/>
      <c r="EAG27" s="19"/>
      <c r="EAH27" s="19"/>
      <c r="EAI27" s="19"/>
      <c r="EAJ27" s="19"/>
      <c r="EAK27" s="19"/>
      <c r="EAL27" s="19"/>
      <c r="EAM27" s="19"/>
      <c r="EAN27" s="19"/>
      <c r="EAO27" s="19"/>
      <c r="EAP27" s="19"/>
      <c r="EAQ27" s="19"/>
      <c r="EAR27" s="19"/>
      <c r="EAS27" s="19"/>
      <c r="EAT27" s="19"/>
      <c r="EAU27" s="19"/>
      <c r="EAV27" s="19"/>
      <c r="EAW27" s="19"/>
      <c r="EAX27" s="19"/>
      <c r="EAY27" s="19"/>
      <c r="EAZ27" s="19"/>
      <c r="EBA27" s="19"/>
      <c r="EBB27" s="19"/>
      <c r="EBC27" s="19"/>
      <c r="EBD27" s="19"/>
      <c r="EBE27" s="19"/>
      <c r="EBF27" s="19"/>
      <c r="EBG27" s="19"/>
      <c r="EBH27" s="19"/>
      <c r="EBI27" s="19"/>
      <c r="EBJ27" s="19"/>
      <c r="EBK27" s="19"/>
      <c r="EBL27" s="19"/>
      <c r="EBM27" s="19"/>
      <c r="EBN27" s="19"/>
      <c r="EBO27" s="19"/>
      <c r="EBP27" s="19"/>
      <c r="EBQ27" s="19"/>
      <c r="EBR27" s="19"/>
      <c r="EBS27" s="19"/>
      <c r="EBT27" s="19"/>
      <c r="EBU27" s="19"/>
      <c r="EBV27" s="19"/>
      <c r="EBW27" s="19"/>
      <c r="EBX27" s="19"/>
      <c r="EBY27" s="19"/>
      <c r="EBZ27" s="19"/>
      <c r="ECA27" s="19"/>
      <c r="ECB27" s="19"/>
      <c r="ECC27" s="19"/>
      <c r="ECD27" s="19"/>
      <c r="ECE27" s="19"/>
      <c r="ECF27" s="19"/>
      <c r="ECG27" s="19"/>
      <c r="ECH27" s="19"/>
      <c r="ECI27" s="19"/>
      <c r="ECJ27" s="19"/>
      <c r="ECK27" s="19"/>
      <c r="ECL27" s="19"/>
      <c r="ECM27" s="19"/>
      <c r="ECN27" s="19"/>
      <c r="ECO27" s="19"/>
      <c r="ECP27" s="19"/>
      <c r="ECQ27" s="19"/>
      <c r="ECR27" s="19"/>
      <c r="ECS27" s="19"/>
      <c r="ECT27" s="19"/>
      <c r="ECU27" s="19"/>
      <c r="ECV27" s="19"/>
      <c r="ECW27" s="19"/>
      <c r="ECX27" s="19"/>
      <c r="ECY27" s="19"/>
      <c r="ECZ27" s="19"/>
      <c r="EDA27" s="19"/>
      <c r="EDB27" s="19"/>
      <c r="EDC27" s="19"/>
      <c r="EDD27" s="19"/>
      <c r="EDE27" s="19"/>
      <c r="EDF27" s="19"/>
      <c r="EDG27" s="19"/>
      <c r="EDH27" s="19"/>
      <c r="EDI27" s="19"/>
      <c r="EDJ27" s="19"/>
      <c r="EDK27" s="19"/>
      <c r="EDL27" s="19"/>
      <c r="EDM27" s="19"/>
      <c r="EDN27" s="19"/>
      <c r="EDO27" s="19"/>
      <c r="EDP27" s="19"/>
      <c r="EDQ27" s="19"/>
      <c r="EDR27" s="19"/>
      <c r="EDS27" s="19"/>
      <c r="EDT27" s="19"/>
      <c r="EDU27" s="19"/>
      <c r="EDV27" s="19"/>
      <c r="EDW27" s="19"/>
      <c r="EDX27" s="19"/>
      <c r="EDY27" s="19"/>
      <c r="EDZ27" s="19"/>
      <c r="EEA27" s="19"/>
      <c r="EEB27" s="19"/>
      <c r="EEC27" s="19"/>
      <c r="EED27" s="19"/>
      <c r="EEE27" s="19"/>
      <c r="EEF27" s="19"/>
      <c r="EEG27" s="19"/>
      <c r="EEH27" s="19"/>
      <c r="EEI27" s="19"/>
      <c r="EEJ27" s="19"/>
      <c r="EEK27" s="19"/>
      <c r="EEL27" s="19"/>
      <c r="EEM27" s="19"/>
      <c r="EEN27" s="19"/>
      <c r="EEO27" s="19"/>
      <c r="EEP27" s="19"/>
      <c r="EEQ27" s="19"/>
      <c r="EER27" s="19"/>
      <c r="EES27" s="19"/>
      <c r="EET27" s="19"/>
      <c r="EEU27" s="19"/>
      <c r="EEV27" s="19"/>
      <c r="EEW27" s="19"/>
      <c r="EEX27" s="19"/>
      <c r="EEY27" s="19"/>
      <c r="EEZ27" s="19"/>
      <c r="EFA27" s="19"/>
      <c r="EFB27" s="19"/>
      <c r="EFC27" s="19"/>
      <c r="EFD27" s="19"/>
      <c r="EFE27" s="19"/>
      <c r="EFF27" s="19"/>
      <c r="EFG27" s="19"/>
      <c r="EFH27" s="19"/>
      <c r="EFI27" s="19"/>
      <c r="EFJ27" s="19"/>
      <c r="EFK27" s="19"/>
      <c r="EFL27" s="19"/>
      <c r="EFM27" s="19"/>
      <c r="EFN27" s="19"/>
      <c r="EFO27" s="19"/>
      <c r="EFP27" s="19"/>
      <c r="EFQ27" s="19"/>
      <c r="EFR27" s="19"/>
      <c r="EFS27" s="19"/>
      <c r="EFT27" s="19"/>
      <c r="EFU27" s="19"/>
      <c r="EFV27" s="19"/>
      <c r="EFW27" s="19"/>
      <c r="EFX27" s="19"/>
      <c r="EFY27" s="19"/>
      <c r="EFZ27" s="19"/>
      <c r="EGA27" s="19"/>
      <c r="EGB27" s="19"/>
      <c r="EGC27" s="19"/>
      <c r="EGD27" s="19"/>
      <c r="EGE27" s="19"/>
      <c r="EGF27" s="19"/>
      <c r="EGG27" s="19"/>
      <c r="EGH27" s="19"/>
      <c r="EGI27" s="19"/>
      <c r="EGJ27" s="19"/>
      <c r="EGK27" s="19"/>
      <c r="EGL27" s="19"/>
      <c r="EGM27" s="19"/>
      <c r="EGN27" s="19"/>
      <c r="EGO27" s="19"/>
      <c r="EGP27" s="19"/>
      <c r="EGQ27" s="19"/>
      <c r="EGR27" s="19"/>
      <c r="EGS27" s="19"/>
      <c r="EGT27" s="19"/>
      <c r="EGU27" s="19"/>
      <c r="EGV27" s="19"/>
      <c r="EGW27" s="19"/>
      <c r="EGX27" s="19"/>
      <c r="EGY27" s="19"/>
      <c r="EGZ27" s="19"/>
      <c r="EHA27" s="19"/>
      <c r="EHB27" s="19"/>
      <c r="EHC27" s="19"/>
      <c r="EHD27" s="19"/>
      <c r="EHE27" s="19"/>
      <c r="EHF27" s="19"/>
      <c r="EHG27" s="19"/>
      <c r="EHH27" s="19"/>
      <c r="EHI27" s="19"/>
      <c r="EHJ27" s="19"/>
      <c r="EHK27" s="19"/>
      <c r="EHL27" s="19"/>
      <c r="EHM27" s="19"/>
      <c r="EHN27" s="19"/>
      <c r="EHO27" s="19"/>
      <c r="EHP27" s="19"/>
      <c r="EHQ27" s="19"/>
      <c r="EHR27" s="19"/>
      <c r="EHS27" s="19"/>
      <c r="EHT27" s="19"/>
      <c r="EHU27" s="19"/>
      <c r="EHV27" s="19"/>
      <c r="EHW27" s="19"/>
      <c r="EHX27" s="19"/>
      <c r="EHY27" s="19"/>
      <c r="EHZ27" s="19"/>
      <c r="EIA27" s="19"/>
      <c r="EIB27" s="19"/>
      <c r="EIC27" s="19"/>
      <c r="EID27" s="19"/>
      <c r="EIE27" s="19"/>
      <c r="EIF27" s="19"/>
      <c r="EIG27" s="19"/>
      <c r="EIH27" s="19"/>
      <c r="EII27" s="19"/>
      <c r="EIJ27" s="19"/>
      <c r="EIK27" s="19"/>
      <c r="EIL27" s="19"/>
      <c r="EIM27" s="19"/>
      <c r="EIN27" s="19"/>
      <c r="EIO27" s="19"/>
      <c r="EIP27" s="19"/>
      <c r="EIQ27" s="19"/>
      <c r="EIR27" s="19"/>
      <c r="EIS27" s="19"/>
      <c r="EIT27" s="19"/>
      <c r="EIU27" s="19"/>
      <c r="EIV27" s="19"/>
      <c r="EIW27" s="19"/>
      <c r="EIX27" s="19"/>
      <c r="EIY27" s="19"/>
      <c r="EIZ27" s="19"/>
      <c r="EJA27" s="19"/>
      <c r="EJB27" s="19"/>
      <c r="EJC27" s="19"/>
      <c r="EJD27" s="19"/>
      <c r="EJE27" s="19"/>
      <c r="EJF27" s="19"/>
      <c r="EJG27" s="19"/>
      <c r="EJH27" s="19"/>
      <c r="EJI27" s="19"/>
      <c r="EJJ27" s="19"/>
      <c r="EJK27" s="19"/>
      <c r="EJL27" s="19"/>
      <c r="EJM27" s="19"/>
      <c r="EJN27" s="19"/>
      <c r="EJO27" s="19"/>
      <c r="EJP27" s="19"/>
      <c r="EJQ27" s="19"/>
      <c r="EJR27" s="19"/>
      <c r="EJS27" s="19"/>
      <c r="EJT27" s="19"/>
      <c r="EJU27" s="19"/>
      <c r="EJV27" s="19"/>
      <c r="EJW27" s="19"/>
      <c r="EJX27" s="19"/>
      <c r="EJY27" s="19"/>
      <c r="EJZ27" s="19"/>
      <c r="EKA27" s="19"/>
      <c r="EKB27" s="19"/>
      <c r="EKC27" s="19"/>
      <c r="EKD27" s="19"/>
      <c r="EKE27" s="19"/>
      <c r="EKF27" s="19"/>
      <c r="EKG27" s="19"/>
      <c r="EKH27" s="19"/>
      <c r="EKI27" s="19"/>
      <c r="EKJ27" s="19"/>
      <c r="EKK27" s="19"/>
      <c r="EKL27" s="19"/>
      <c r="EKM27" s="19"/>
      <c r="EKN27" s="19"/>
      <c r="EKO27" s="19"/>
      <c r="EKP27" s="19"/>
      <c r="EKQ27" s="19"/>
      <c r="EKR27" s="19"/>
      <c r="EKS27" s="19"/>
      <c r="EKT27" s="19"/>
      <c r="EKU27" s="19"/>
      <c r="EKV27" s="19"/>
      <c r="EKW27" s="19"/>
      <c r="EKX27" s="19"/>
      <c r="EKY27" s="19"/>
      <c r="EKZ27" s="19"/>
      <c r="ELA27" s="19"/>
      <c r="ELB27" s="19"/>
      <c r="ELC27" s="19"/>
      <c r="ELD27" s="19"/>
      <c r="ELE27" s="19"/>
      <c r="ELF27" s="19"/>
      <c r="ELG27" s="19"/>
      <c r="ELH27" s="19"/>
      <c r="ELI27" s="19"/>
      <c r="ELJ27" s="19"/>
      <c r="ELK27" s="19"/>
      <c r="ELL27" s="19"/>
      <c r="ELM27" s="19"/>
      <c r="ELN27" s="19"/>
      <c r="ELO27" s="19"/>
      <c r="ELP27" s="19"/>
      <c r="ELQ27" s="19"/>
      <c r="ELR27" s="19"/>
      <c r="ELS27" s="19"/>
      <c r="ELT27" s="19"/>
      <c r="ELU27" s="19"/>
      <c r="ELV27" s="19"/>
      <c r="ELW27" s="19"/>
      <c r="ELX27" s="19"/>
      <c r="ELY27" s="19"/>
      <c r="ELZ27" s="19"/>
      <c r="EMA27" s="19"/>
      <c r="EMB27" s="19"/>
      <c r="EMC27" s="19"/>
      <c r="EMD27" s="19"/>
      <c r="EME27" s="19"/>
      <c r="EMF27" s="19"/>
      <c r="EMG27" s="19"/>
      <c r="EMH27" s="19"/>
      <c r="EMI27" s="19"/>
      <c r="EMJ27" s="19"/>
      <c r="EMK27" s="19"/>
      <c r="EML27" s="19"/>
      <c r="EMM27" s="19"/>
      <c r="EMN27" s="19"/>
      <c r="EMO27" s="19"/>
      <c r="EMP27" s="19"/>
      <c r="EMQ27" s="19"/>
      <c r="EMR27" s="19"/>
      <c r="EMS27" s="19"/>
      <c r="EMT27" s="19"/>
      <c r="EMU27" s="19"/>
      <c r="EMV27" s="19"/>
      <c r="EMW27" s="19"/>
      <c r="EMX27" s="19"/>
      <c r="EMY27" s="19"/>
      <c r="EMZ27" s="19"/>
      <c r="ENA27" s="19"/>
      <c r="ENB27" s="19"/>
      <c r="ENC27" s="19"/>
      <c r="END27" s="19"/>
      <c r="ENE27" s="19"/>
      <c r="ENF27" s="19"/>
      <c r="ENG27" s="19"/>
      <c r="ENH27" s="19"/>
      <c r="ENI27" s="19"/>
      <c r="ENJ27" s="19"/>
      <c r="ENK27" s="19"/>
      <c r="ENL27" s="19"/>
      <c r="ENM27" s="19"/>
      <c r="ENN27" s="19"/>
      <c r="ENO27" s="19"/>
      <c r="ENP27" s="19"/>
      <c r="ENQ27" s="19"/>
      <c r="ENR27" s="19"/>
      <c r="ENS27" s="19"/>
      <c r="ENT27" s="19"/>
      <c r="ENU27" s="19"/>
      <c r="ENV27" s="19"/>
      <c r="ENW27" s="19"/>
      <c r="ENX27" s="19"/>
      <c r="ENY27" s="19"/>
      <c r="ENZ27" s="19"/>
      <c r="EOA27" s="19"/>
      <c r="EOB27" s="19"/>
      <c r="EOC27" s="19"/>
      <c r="EOD27" s="19"/>
      <c r="EOE27" s="19"/>
      <c r="EOF27" s="19"/>
      <c r="EOG27" s="19"/>
      <c r="EOH27" s="19"/>
      <c r="EOI27" s="19"/>
      <c r="EOJ27" s="19"/>
      <c r="EOK27" s="19"/>
      <c r="EOL27" s="19"/>
      <c r="EOM27" s="19"/>
      <c r="EON27" s="19"/>
      <c r="EOO27" s="19"/>
      <c r="EOP27" s="19"/>
      <c r="EOQ27" s="19"/>
      <c r="EOR27" s="19"/>
      <c r="EOS27" s="19"/>
      <c r="EOT27" s="19"/>
      <c r="EOU27" s="19"/>
      <c r="EOV27" s="19"/>
      <c r="EOW27" s="19"/>
      <c r="EOX27" s="19"/>
      <c r="EOY27" s="19"/>
      <c r="EOZ27" s="19"/>
      <c r="EPA27" s="19"/>
      <c r="EPB27" s="19"/>
      <c r="EPC27" s="19"/>
      <c r="EPD27" s="19"/>
      <c r="EPE27" s="19"/>
      <c r="EPF27" s="19"/>
      <c r="EPG27" s="19"/>
      <c r="EPH27" s="19"/>
      <c r="EPI27" s="19"/>
      <c r="EPJ27" s="19"/>
      <c r="EPK27" s="19"/>
      <c r="EPL27" s="19"/>
      <c r="EPM27" s="19"/>
      <c r="EPN27" s="19"/>
      <c r="EPO27" s="19"/>
      <c r="EPP27" s="19"/>
      <c r="EPQ27" s="19"/>
      <c r="EPR27" s="19"/>
      <c r="EPS27" s="19"/>
      <c r="EPT27" s="19"/>
      <c r="EPU27" s="19"/>
      <c r="EPV27" s="19"/>
      <c r="EPW27" s="19"/>
      <c r="EPX27" s="19"/>
      <c r="EPY27" s="19"/>
      <c r="EPZ27" s="19"/>
      <c r="EQA27" s="19"/>
      <c r="EQB27" s="19"/>
      <c r="EQC27" s="19"/>
      <c r="EQD27" s="19"/>
      <c r="EQE27" s="19"/>
      <c r="EQF27" s="19"/>
      <c r="EQG27" s="19"/>
      <c r="EQH27" s="19"/>
      <c r="EQI27" s="19"/>
      <c r="EQJ27" s="19"/>
      <c r="EQK27" s="19"/>
      <c r="EQL27" s="19"/>
      <c r="EQM27" s="19"/>
      <c r="EQN27" s="19"/>
      <c r="EQO27" s="19"/>
      <c r="EQP27" s="19"/>
      <c r="EQQ27" s="19"/>
      <c r="EQR27" s="19"/>
      <c r="EQS27" s="19"/>
      <c r="EQT27" s="19"/>
      <c r="EQU27" s="19"/>
      <c r="EQV27" s="19"/>
      <c r="EQW27" s="19"/>
      <c r="EQX27" s="19"/>
      <c r="EQY27" s="19"/>
      <c r="EQZ27" s="19"/>
      <c r="ERA27" s="19"/>
      <c r="ERB27" s="19"/>
      <c r="ERC27" s="19"/>
      <c r="ERD27" s="19"/>
      <c r="ERE27" s="19"/>
      <c r="ERF27" s="19"/>
      <c r="ERG27" s="19"/>
      <c r="ERH27" s="19"/>
      <c r="ERI27" s="19"/>
      <c r="ERJ27" s="19"/>
      <c r="ERK27" s="19"/>
      <c r="ERL27" s="19"/>
      <c r="ERM27" s="19"/>
      <c r="ERN27" s="19"/>
      <c r="ERO27" s="19"/>
      <c r="ERP27" s="19"/>
      <c r="ERQ27" s="19"/>
      <c r="ERR27" s="19"/>
      <c r="ERS27" s="19"/>
      <c r="ERT27" s="19"/>
      <c r="ERU27" s="19"/>
      <c r="ERV27" s="19"/>
      <c r="ERW27" s="19"/>
      <c r="ERX27" s="19"/>
      <c r="ERY27" s="19"/>
      <c r="ERZ27" s="19"/>
      <c r="ESA27" s="19"/>
      <c r="ESB27" s="19"/>
      <c r="ESC27" s="19"/>
      <c r="ESD27" s="19"/>
      <c r="ESE27" s="19"/>
      <c r="ESF27" s="19"/>
      <c r="ESG27" s="19"/>
      <c r="ESH27" s="19"/>
      <c r="ESI27" s="19"/>
      <c r="ESJ27" s="19"/>
      <c r="ESK27" s="19"/>
      <c r="ESL27" s="19"/>
      <c r="ESM27" s="19"/>
      <c r="ESN27" s="19"/>
      <c r="ESO27" s="19"/>
      <c r="ESP27" s="19"/>
      <c r="ESQ27" s="19"/>
      <c r="ESR27" s="19"/>
      <c r="ESS27" s="19"/>
      <c r="EST27" s="19"/>
      <c r="ESU27" s="19"/>
      <c r="ESV27" s="19"/>
      <c r="ESW27" s="19"/>
      <c r="ESX27" s="19"/>
      <c r="ESY27" s="19"/>
      <c r="ESZ27" s="19"/>
      <c r="ETA27" s="19"/>
      <c r="ETB27" s="19"/>
      <c r="ETC27" s="19"/>
      <c r="ETD27" s="19"/>
      <c r="ETE27" s="19"/>
      <c r="ETF27" s="19"/>
      <c r="ETG27" s="19"/>
      <c r="ETH27" s="19"/>
      <c r="ETI27" s="19"/>
      <c r="ETJ27" s="19"/>
      <c r="ETK27" s="19"/>
      <c r="ETL27" s="19"/>
      <c r="ETM27" s="19"/>
      <c r="ETN27" s="19"/>
      <c r="ETO27" s="19"/>
      <c r="ETP27" s="19"/>
      <c r="ETQ27" s="19"/>
      <c r="ETR27" s="19"/>
      <c r="ETS27" s="19"/>
      <c r="ETT27" s="19"/>
      <c r="ETU27" s="19"/>
      <c r="ETV27" s="19"/>
      <c r="ETW27" s="19"/>
      <c r="ETX27" s="19"/>
      <c r="ETY27" s="19"/>
      <c r="ETZ27" s="19"/>
      <c r="EUA27" s="19"/>
      <c r="EUB27" s="19"/>
      <c r="EUC27" s="19"/>
      <c r="EUD27" s="19"/>
      <c r="EUE27" s="19"/>
      <c r="EUF27" s="19"/>
      <c r="EUG27" s="19"/>
      <c r="EUH27" s="19"/>
      <c r="EUI27" s="19"/>
      <c r="EUJ27" s="19"/>
      <c r="EUK27" s="19"/>
      <c r="EUL27" s="19"/>
      <c r="EUM27" s="19"/>
      <c r="EUN27" s="19"/>
      <c r="EUO27" s="19"/>
      <c r="EUP27" s="19"/>
      <c r="EUQ27" s="19"/>
      <c r="EUR27" s="19"/>
      <c r="EUS27" s="19"/>
      <c r="EUT27" s="19"/>
      <c r="EUU27" s="19"/>
      <c r="EUV27" s="19"/>
      <c r="EUW27" s="19"/>
      <c r="EUX27" s="19"/>
      <c r="EUY27" s="19"/>
      <c r="EUZ27" s="19"/>
      <c r="EVA27" s="19"/>
      <c r="EVB27" s="19"/>
      <c r="EVC27" s="19"/>
      <c r="EVD27" s="19"/>
      <c r="EVE27" s="19"/>
      <c r="EVF27" s="19"/>
      <c r="EVG27" s="19"/>
      <c r="EVH27" s="19"/>
      <c r="EVI27" s="19"/>
      <c r="EVJ27" s="19"/>
      <c r="EVK27" s="19"/>
      <c r="EVL27" s="19"/>
      <c r="EVM27" s="19"/>
      <c r="EVN27" s="19"/>
      <c r="EVO27" s="19"/>
      <c r="EVP27" s="19"/>
      <c r="EVQ27" s="19"/>
      <c r="EVR27" s="19"/>
      <c r="EVS27" s="19"/>
      <c r="EVT27" s="19"/>
      <c r="EVU27" s="19"/>
      <c r="EVV27" s="19"/>
      <c r="EVW27" s="19"/>
      <c r="EVX27" s="19"/>
      <c r="EVY27" s="19"/>
      <c r="EVZ27" s="19"/>
      <c r="EWA27" s="19"/>
      <c r="EWB27" s="19"/>
      <c r="EWC27" s="19"/>
      <c r="EWD27" s="19"/>
      <c r="EWE27" s="19"/>
      <c r="EWF27" s="19"/>
      <c r="EWG27" s="19"/>
      <c r="EWH27" s="19"/>
      <c r="EWI27" s="19"/>
      <c r="EWJ27" s="19"/>
      <c r="EWK27" s="19"/>
      <c r="EWL27" s="19"/>
      <c r="EWM27" s="19"/>
      <c r="EWN27" s="19"/>
      <c r="EWO27" s="19"/>
      <c r="EWP27" s="19"/>
      <c r="EWQ27" s="19"/>
      <c r="EWR27" s="19"/>
      <c r="EWS27" s="19"/>
      <c r="EWT27" s="19"/>
      <c r="EWU27" s="19"/>
      <c r="EWV27" s="19"/>
      <c r="EWW27" s="19"/>
      <c r="EWX27" s="19"/>
      <c r="EWY27" s="19"/>
      <c r="EWZ27" s="19"/>
      <c r="EXA27" s="19"/>
      <c r="EXB27" s="19"/>
      <c r="EXC27" s="19"/>
      <c r="EXD27" s="19"/>
      <c r="EXE27" s="19"/>
      <c r="EXF27" s="19"/>
      <c r="EXG27" s="19"/>
      <c r="EXH27" s="19"/>
      <c r="EXI27" s="19"/>
      <c r="EXJ27" s="19"/>
      <c r="EXK27" s="19"/>
      <c r="EXL27" s="19"/>
      <c r="EXM27" s="19"/>
      <c r="EXN27" s="19"/>
      <c r="EXO27" s="19"/>
      <c r="EXP27" s="19"/>
      <c r="EXQ27" s="19"/>
      <c r="EXR27" s="19"/>
      <c r="EXS27" s="19"/>
      <c r="EXT27" s="19"/>
      <c r="EXU27" s="19"/>
      <c r="EXV27" s="19"/>
      <c r="EXW27" s="19"/>
      <c r="EXX27" s="19"/>
      <c r="EXY27" s="19"/>
      <c r="EXZ27" s="19"/>
      <c r="EYA27" s="19"/>
      <c r="EYB27" s="19"/>
      <c r="EYC27" s="19"/>
      <c r="EYD27" s="19"/>
      <c r="EYE27" s="19"/>
      <c r="EYF27" s="19"/>
      <c r="EYG27" s="19"/>
      <c r="EYH27" s="19"/>
      <c r="EYI27" s="19"/>
      <c r="EYJ27" s="19"/>
      <c r="EYK27" s="19"/>
      <c r="EYL27" s="19"/>
      <c r="EYM27" s="19"/>
      <c r="EYN27" s="19"/>
      <c r="EYO27" s="19"/>
      <c r="EYP27" s="19"/>
      <c r="EYQ27" s="19"/>
      <c r="EYR27" s="19"/>
      <c r="EYS27" s="19"/>
      <c r="EYT27" s="19"/>
      <c r="EYU27" s="19"/>
      <c r="EYV27" s="19"/>
      <c r="EYW27" s="19"/>
      <c r="EYX27" s="19"/>
      <c r="EYY27" s="19"/>
      <c r="EYZ27" s="19"/>
      <c r="EZA27" s="19"/>
      <c r="EZB27" s="19"/>
      <c r="EZC27" s="19"/>
      <c r="EZD27" s="19"/>
      <c r="EZE27" s="19"/>
      <c r="EZF27" s="19"/>
      <c r="EZG27" s="19"/>
      <c r="EZH27" s="19"/>
      <c r="EZI27" s="19"/>
      <c r="EZJ27" s="19"/>
      <c r="EZK27" s="19"/>
      <c r="EZL27" s="19"/>
      <c r="EZM27" s="19"/>
      <c r="EZN27" s="19"/>
      <c r="EZO27" s="19"/>
      <c r="EZP27" s="19"/>
      <c r="EZQ27" s="19"/>
      <c r="EZR27" s="19"/>
      <c r="EZS27" s="19"/>
      <c r="EZT27" s="19"/>
      <c r="EZU27" s="19"/>
      <c r="EZV27" s="19"/>
      <c r="EZW27" s="19"/>
      <c r="EZX27" s="19"/>
      <c r="EZY27" s="19"/>
      <c r="EZZ27" s="19"/>
      <c r="FAA27" s="19"/>
      <c r="FAB27" s="19"/>
      <c r="FAC27" s="19"/>
      <c r="FAD27" s="19"/>
      <c r="FAE27" s="19"/>
      <c r="FAF27" s="19"/>
      <c r="FAG27" s="19"/>
      <c r="FAH27" s="19"/>
      <c r="FAI27" s="19"/>
      <c r="FAJ27" s="19"/>
      <c r="FAK27" s="19"/>
      <c r="FAL27" s="19"/>
      <c r="FAM27" s="19"/>
      <c r="FAN27" s="19"/>
      <c r="FAO27" s="19"/>
      <c r="FAP27" s="19"/>
      <c r="FAQ27" s="19"/>
      <c r="FAR27" s="19"/>
      <c r="FAS27" s="19"/>
      <c r="FAT27" s="19"/>
      <c r="FAU27" s="19"/>
      <c r="FAV27" s="19"/>
      <c r="FAW27" s="19"/>
      <c r="FAX27" s="19"/>
      <c r="FAY27" s="19"/>
      <c r="FAZ27" s="19"/>
      <c r="FBA27" s="19"/>
      <c r="FBB27" s="19"/>
      <c r="FBC27" s="19"/>
      <c r="FBD27" s="19"/>
      <c r="FBE27" s="19"/>
      <c r="FBF27" s="19"/>
      <c r="FBG27" s="19"/>
      <c r="FBH27" s="19"/>
      <c r="FBI27" s="19"/>
      <c r="FBJ27" s="19"/>
      <c r="FBK27" s="19"/>
      <c r="FBL27" s="19"/>
      <c r="FBM27" s="19"/>
      <c r="FBN27" s="19"/>
      <c r="FBO27" s="19"/>
      <c r="FBP27" s="19"/>
      <c r="FBQ27" s="19"/>
      <c r="FBR27" s="19"/>
      <c r="FBS27" s="19"/>
      <c r="FBT27" s="19"/>
      <c r="FBU27" s="19"/>
      <c r="FBV27" s="19"/>
      <c r="FBW27" s="19"/>
      <c r="FBX27" s="19"/>
      <c r="FBY27" s="19"/>
      <c r="FBZ27" s="19"/>
      <c r="FCA27" s="19"/>
      <c r="FCB27" s="19"/>
      <c r="FCC27" s="19"/>
      <c r="FCD27" s="19"/>
      <c r="FCE27" s="19"/>
      <c r="FCF27" s="19"/>
      <c r="FCG27" s="19"/>
      <c r="FCH27" s="19"/>
      <c r="FCI27" s="19"/>
      <c r="FCJ27" s="19"/>
      <c r="FCK27" s="19"/>
      <c r="FCL27" s="19"/>
      <c r="FCM27" s="19"/>
      <c r="FCN27" s="19"/>
      <c r="FCO27" s="19"/>
      <c r="FCP27" s="19"/>
      <c r="FCQ27" s="19"/>
      <c r="FCR27" s="19"/>
      <c r="FCS27" s="19"/>
      <c r="FCT27" s="19"/>
      <c r="FCU27" s="19"/>
      <c r="FCV27" s="19"/>
      <c r="FCW27" s="19"/>
      <c r="FCX27" s="19"/>
      <c r="FCY27" s="19"/>
      <c r="FCZ27" s="19"/>
      <c r="FDA27" s="19"/>
      <c r="FDB27" s="19"/>
      <c r="FDC27" s="19"/>
      <c r="FDD27" s="19"/>
      <c r="FDE27" s="19"/>
      <c r="FDF27" s="19"/>
      <c r="FDG27" s="19"/>
      <c r="FDH27" s="19"/>
      <c r="FDI27" s="19"/>
      <c r="FDJ27" s="19"/>
      <c r="FDK27" s="19"/>
      <c r="FDL27" s="19"/>
      <c r="FDM27" s="19"/>
      <c r="FDN27" s="19"/>
      <c r="FDO27" s="19"/>
      <c r="FDP27" s="19"/>
      <c r="FDQ27" s="19"/>
      <c r="FDR27" s="19"/>
      <c r="FDS27" s="19"/>
      <c r="FDT27" s="19"/>
      <c r="FDU27" s="19"/>
      <c r="FDV27" s="19"/>
      <c r="FDW27" s="19"/>
      <c r="FDX27" s="19"/>
      <c r="FDY27" s="19"/>
      <c r="FDZ27" s="19"/>
      <c r="FEA27" s="19"/>
      <c r="FEB27" s="19"/>
      <c r="FEC27" s="19"/>
      <c r="FED27" s="19"/>
      <c r="FEE27" s="19"/>
      <c r="FEF27" s="19"/>
      <c r="FEG27" s="19"/>
      <c r="FEH27" s="19"/>
      <c r="FEI27" s="19"/>
      <c r="FEJ27" s="19"/>
      <c r="FEK27" s="19"/>
      <c r="FEL27" s="19"/>
      <c r="FEM27" s="19"/>
      <c r="FEN27" s="19"/>
      <c r="FEO27" s="19"/>
      <c r="FEP27" s="19"/>
      <c r="FEQ27" s="19"/>
      <c r="FER27" s="19"/>
      <c r="FES27" s="19"/>
      <c r="FET27" s="19"/>
      <c r="FEU27" s="19"/>
      <c r="FEV27" s="19"/>
      <c r="FEW27" s="19"/>
      <c r="FEX27" s="19"/>
      <c r="FEY27" s="19"/>
      <c r="FEZ27" s="19"/>
      <c r="FFA27" s="19"/>
      <c r="FFB27" s="19"/>
      <c r="FFC27" s="19"/>
      <c r="FFD27" s="19"/>
      <c r="FFE27" s="19"/>
      <c r="FFF27" s="19"/>
      <c r="FFG27" s="19"/>
      <c r="FFH27" s="19"/>
      <c r="FFI27" s="19"/>
      <c r="FFJ27" s="19"/>
      <c r="FFK27" s="19"/>
      <c r="FFL27" s="19"/>
      <c r="FFM27" s="19"/>
      <c r="FFN27" s="19"/>
      <c r="FFO27" s="19"/>
      <c r="FFP27" s="19"/>
      <c r="FFQ27" s="19"/>
      <c r="FFR27" s="19"/>
      <c r="FFS27" s="19"/>
      <c r="FFT27" s="19"/>
      <c r="FFU27" s="19"/>
      <c r="FFV27" s="19"/>
      <c r="FFW27" s="19"/>
      <c r="FFX27" s="19"/>
      <c r="FFY27" s="19"/>
      <c r="FFZ27" s="19"/>
      <c r="FGA27" s="19"/>
      <c r="FGB27" s="19"/>
      <c r="FGC27" s="19"/>
      <c r="FGD27" s="19"/>
      <c r="FGE27" s="19"/>
      <c r="FGF27" s="19"/>
      <c r="FGG27" s="19"/>
      <c r="FGH27" s="19"/>
      <c r="FGI27" s="19"/>
      <c r="FGJ27" s="19"/>
      <c r="FGK27" s="19"/>
      <c r="FGL27" s="19"/>
      <c r="FGM27" s="19"/>
      <c r="FGN27" s="19"/>
      <c r="FGO27" s="19"/>
      <c r="FGP27" s="19"/>
      <c r="FGQ27" s="19"/>
      <c r="FGR27" s="19"/>
      <c r="FGS27" s="19"/>
      <c r="FGT27" s="19"/>
      <c r="FGU27" s="19"/>
      <c r="FGV27" s="19"/>
      <c r="FGW27" s="19"/>
      <c r="FGX27" s="19"/>
      <c r="FGY27" s="19"/>
      <c r="FGZ27" s="19"/>
      <c r="FHA27" s="19"/>
      <c r="FHB27" s="19"/>
      <c r="FHC27" s="19"/>
      <c r="FHD27" s="19"/>
      <c r="FHE27" s="19"/>
      <c r="FHF27" s="19"/>
      <c r="FHG27" s="19"/>
      <c r="FHH27" s="19"/>
      <c r="FHI27" s="19"/>
      <c r="FHJ27" s="19"/>
      <c r="FHK27" s="19"/>
      <c r="FHL27" s="19"/>
      <c r="FHM27" s="19"/>
      <c r="FHN27" s="19"/>
      <c r="FHO27" s="19"/>
      <c r="FHP27" s="19"/>
      <c r="FHQ27" s="19"/>
      <c r="FHR27" s="19"/>
      <c r="FHS27" s="19"/>
      <c r="FHT27" s="19"/>
      <c r="FHU27" s="19"/>
      <c r="FHV27" s="19"/>
      <c r="FHW27" s="19"/>
      <c r="FHX27" s="19"/>
      <c r="FHY27" s="19"/>
      <c r="FHZ27" s="19"/>
      <c r="FIA27" s="19"/>
      <c r="FIB27" s="19"/>
      <c r="FIC27" s="19"/>
      <c r="FID27" s="19"/>
      <c r="FIE27" s="19"/>
      <c r="FIF27" s="19"/>
      <c r="FIG27" s="19"/>
      <c r="FIH27" s="19"/>
      <c r="FII27" s="19"/>
      <c r="FIJ27" s="19"/>
      <c r="FIK27" s="19"/>
      <c r="FIL27" s="19"/>
      <c r="FIM27" s="19"/>
      <c r="FIN27" s="19"/>
      <c r="FIO27" s="19"/>
      <c r="FIP27" s="19"/>
      <c r="FIQ27" s="19"/>
      <c r="FIR27" s="19"/>
      <c r="FIS27" s="19"/>
      <c r="FIT27" s="19"/>
      <c r="FIU27" s="19"/>
      <c r="FIV27" s="19"/>
      <c r="FIW27" s="19"/>
      <c r="FIX27" s="19"/>
      <c r="FIY27" s="19"/>
      <c r="FIZ27" s="19"/>
      <c r="FJA27" s="19"/>
      <c r="FJB27" s="19"/>
      <c r="FJC27" s="19"/>
      <c r="FJD27" s="19"/>
      <c r="FJE27" s="19"/>
      <c r="FJF27" s="19"/>
      <c r="FJG27" s="19"/>
      <c r="FJH27" s="19"/>
      <c r="FJI27" s="19"/>
      <c r="FJJ27" s="19"/>
      <c r="FJK27" s="19"/>
      <c r="FJL27" s="19"/>
      <c r="FJM27" s="19"/>
      <c r="FJN27" s="19"/>
      <c r="FJO27" s="19"/>
      <c r="FJP27" s="19"/>
      <c r="FJQ27" s="19"/>
      <c r="FJR27" s="19"/>
      <c r="FJS27" s="19"/>
      <c r="FJT27" s="19"/>
      <c r="FJU27" s="19"/>
      <c r="FJV27" s="19"/>
      <c r="FJW27" s="19"/>
      <c r="FJX27" s="19"/>
      <c r="FJY27" s="19"/>
      <c r="FJZ27" s="19"/>
      <c r="FKA27" s="19"/>
      <c r="FKB27" s="19"/>
      <c r="FKC27" s="19"/>
      <c r="FKD27" s="19"/>
      <c r="FKE27" s="19"/>
      <c r="FKF27" s="19"/>
      <c r="FKG27" s="19"/>
      <c r="FKH27" s="19"/>
      <c r="FKI27" s="19"/>
      <c r="FKJ27" s="19"/>
      <c r="FKK27" s="19"/>
      <c r="FKL27" s="19"/>
      <c r="FKM27" s="19"/>
      <c r="FKN27" s="19"/>
      <c r="FKO27" s="19"/>
      <c r="FKP27" s="19"/>
      <c r="FKQ27" s="19"/>
      <c r="FKR27" s="19"/>
      <c r="FKS27" s="19"/>
      <c r="FKT27" s="19"/>
      <c r="FKU27" s="19"/>
      <c r="FKV27" s="19"/>
      <c r="FKW27" s="19"/>
      <c r="FKX27" s="19"/>
      <c r="FKY27" s="19"/>
      <c r="FKZ27" s="19"/>
      <c r="FLA27" s="19"/>
      <c r="FLB27" s="19"/>
      <c r="FLC27" s="19"/>
      <c r="FLD27" s="19"/>
      <c r="FLE27" s="19"/>
      <c r="FLF27" s="19"/>
      <c r="FLG27" s="19"/>
      <c r="FLH27" s="19"/>
      <c r="FLI27" s="19"/>
      <c r="FLJ27" s="19"/>
      <c r="FLK27" s="19"/>
      <c r="FLL27" s="19"/>
      <c r="FLM27" s="19"/>
      <c r="FLN27" s="19"/>
      <c r="FLO27" s="19"/>
      <c r="FLP27" s="19"/>
      <c r="FLQ27" s="19"/>
      <c r="FLR27" s="19"/>
      <c r="FLS27" s="19"/>
      <c r="FLT27" s="19"/>
      <c r="FLU27" s="19"/>
      <c r="FLV27" s="19"/>
      <c r="FLW27" s="19"/>
      <c r="FLX27" s="19"/>
      <c r="FLY27" s="19"/>
      <c r="FLZ27" s="19"/>
      <c r="FMA27" s="19"/>
      <c r="FMB27" s="19"/>
      <c r="FMC27" s="19"/>
      <c r="FMD27" s="19"/>
      <c r="FME27" s="19"/>
      <c r="FMF27" s="19"/>
      <c r="FMG27" s="19"/>
      <c r="FMH27" s="19"/>
      <c r="FMI27" s="19"/>
      <c r="FMJ27" s="19"/>
      <c r="FMK27" s="19"/>
      <c r="FML27" s="19"/>
      <c r="FMM27" s="19"/>
      <c r="FMN27" s="19"/>
      <c r="FMO27" s="19"/>
      <c r="FMP27" s="19"/>
      <c r="FMQ27" s="19"/>
      <c r="FMR27" s="19"/>
      <c r="FMS27" s="19"/>
      <c r="FMT27" s="19"/>
      <c r="FMU27" s="19"/>
      <c r="FMV27" s="19"/>
      <c r="FMW27" s="19"/>
      <c r="FMX27" s="19"/>
      <c r="FMY27" s="19"/>
      <c r="FMZ27" s="19"/>
      <c r="FNA27" s="19"/>
      <c r="FNB27" s="19"/>
      <c r="FNC27" s="19"/>
      <c r="FND27" s="19"/>
      <c r="FNE27" s="19"/>
      <c r="FNF27" s="19"/>
      <c r="FNG27" s="19"/>
      <c r="FNH27" s="19"/>
      <c r="FNI27" s="19"/>
      <c r="FNJ27" s="19"/>
      <c r="FNK27" s="19"/>
      <c r="FNL27" s="19"/>
      <c r="FNM27" s="19"/>
      <c r="FNN27" s="19"/>
      <c r="FNO27" s="19"/>
      <c r="FNP27" s="19"/>
      <c r="FNQ27" s="19"/>
      <c r="FNR27" s="19"/>
      <c r="FNS27" s="19"/>
      <c r="FNT27" s="19"/>
      <c r="FNU27" s="19"/>
      <c r="FNV27" s="19"/>
      <c r="FNW27" s="19"/>
      <c r="FNX27" s="19"/>
      <c r="FNY27" s="19"/>
      <c r="FNZ27" s="19"/>
      <c r="FOA27" s="19"/>
      <c r="FOB27" s="19"/>
      <c r="FOC27" s="19"/>
      <c r="FOD27" s="19"/>
      <c r="FOE27" s="19"/>
      <c r="FOF27" s="19"/>
      <c r="FOG27" s="19"/>
      <c r="FOH27" s="19"/>
      <c r="FOI27" s="19"/>
      <c r="FOJ27" s="19"/>
      <c r="FOK27" s="19"/>
      <c r="FOL27" s="19"/>
      <c r="FOM27" s="19"/>
      <c r="FON27" s="19"/>
      <c r="FOO27" s="19"/>
      <c r="FOP27" s="19"/>
      <c r="FOQ27" s="19"/>
      <c r="FOR27" s="19"/>
      <c r="FOS27" s="19"/>
      <c r="FOT27" s="19"/>
      <c r="FOU27" s="19"/>
      <c r="FOV27" s="19"/>
      <c r="FOW27" s="19"/>
      <c r="FOX27" s="19"/>
      <c r="FOY27" s="19"/>
      <c r="FOZ27" s="19"/>
      <c r="FPA27" s="19"/>
      <c r="FPB27" s="19"/>
      <c r="FPC27" s="19"/>
      <c r="FPD27" s="19"/>
      <c r="FPE27" s="19"/>
      <c r="FPF27" s="19"/>
      <c r="FPG27" s="19"/>
      <c r="FPH27" s="19"/>
      <c r="FPI27" s="19"/>
      <c r="FPJ27" s="19"/>
      <c r="FPK27" s="19"/>
      <c r="FPL27" s="19"/>
      <c r="FPM27" s="19"/>
      <c r="FPN27" s="19"/>
      <c r="FPO27" s="19"/>
      <c r="FPP27" s="19"/>
      <c r="FPQ27" s="19"/>
      <c r="FPR27" s="19"/>
      <c r="FPS27" s="19"/>
      <c r="FPT27" s="19"/>
      <c r="FPU27" s="19"/>
      <c r="FPV27" s="19"/>
      <c r="FPW27" s="19"/>
      <c r="FPX27" s="19"/>
      <c r="FPY27" s="19"/>
      <c r="FPZ27" s="19"/>
      <c r="FQA27" s="19"/>
      <c r="FQB27" s="19"/>
      <c r="FQC27" s="19"/>
      <c r="FQD27" s="19"/>
      <c r="FQE27" s="19"/>
      <c r="FQF27" s="19"/>
      <c r="FQG27" s="19"/>
      <c r="FQH27" s="19"/>
      <c r="FQI27" s="19"/>
      <c r="FQJ27" s="19"/>
      <c r="FQK27" s="19"/>
      <c r="FQL27" s="19"/>
      <c r="FQM27" s="19"/>
      <c r="FQN27" s="19"/>
      <c r="FQO27" s="19"/>
      <c r="FQP27" s="19"/>
      <c r="FQQ27" s="19"/>
      <c r="FQR27" s="19"/>
      <c r="FQS27" s="19"/>
      <c r="FQT27" s="19"/>
      <c r="FQU27" s="19"/>
      <c r="FQV27" s="19"/>
      <c r="FQW27" s="19"/>
      <c r="FQX27" s="19"/>
      <c r="FQY27" s="19"/>
      <c r="FQZ27" s="19"/>
      <c r="FRA27" s="19"/>
      <c r="FRB27" s="19"/>
      <c r="FRC27" s="19"/>
      <c r="FRD27" s="19"/>
      <c r="FRE27" s="19"/>
      <c r="FRF27" s="19"/>
      <c r="FRG27" s="19"/>
      <c r="FRH27" s="19"/>
      <c r="FRI27" s="19"/>
      <c r="FRJ27" s="19"/>
      <c r="FRK27" s="19"/>
      <c r="FRL27" s="19"/>
      <c r="FRM27" s="19"/>
      <c r="FRN27" s="19"/>
      <c r="FRO27" s="19"/>
      <c r="FRP27" s="19"/>
      <c r="FRQ27" s="19"/>
      <c r="FRR27" s="19"/>
      <c r="FRS27" s="19"/>
      <c r="FRT27" s="19"/>
      <c r="FRU27" s="19"/>
      <c r="FRV27" s="19"/>
      <c r="FRW27" s="19"/>
      <c r="FRX27" s="19"/>
      <c r="FRY27" s="19"/>
      <c r="FRZ27" s="19"/>
      <c r="FSA27" s="19"/>
      <c r="FSB27" s="19"/>
      <c r="FSC27" s="19"/>
      <c r="FSD27" s="19"/>
      <c r="FSE27" s="19"/>
      <c r="FSF27" s="19"/>
      <c r="FSG27" s="19"/>
      <c r="FSH27" s="19"/>
      <c r="FSI27" s="19"/>
      <c r="FSJ27" s="19"/>
      <c r="FSK27" s="19"/>
      <c r="FSL27" s="19"/>
      <c r="FSM27" s="19"/>
      <c r="FSN27" s="19"/>
      <c r="FSO27" s="19"/>
      <c r="FSP27" s="19"/>
      <c r="FSQ27" s="19"/>
      <c r="FSR27" s="19"/>
      <c r="FSS27" s="19"/>
      <c r="FST27" s="19"/>
      <c r="FSU27" s="19"/>
      <c r="FSV27" s="19"/>
      <c r="FSW27" s="19"/>
      <c r="FSX27" s="19"/>
      <c r="FSY27" s="19"/>
      <c r="FSZ27" s="19"/>
      <c r="FTA27" s="19"/>
      <c r="FTB27" s="19"/>
      <c r="FTC27" s="19"/>
      <c r="FTD27" s="19"/>
      <c r="FTE27" s="19"/>
      <c r="FTF27" s="19"/>
      <c r="FTG27" s="19"/>
      <c r="FTH27" s="19"/>
      <c r="FTI27" s="19"/>
      <c r="FTJ27" s="19"/>
      <c r="FTK27" s="19"/>
      <c r="FTL27" s="19"/>
      <c r="FTM27" s="19"/>
      <c r="FTN27" s="19"/>
      <c r="FTO27" s="19"/>
      <c r="FTP27" s="19"/>
      <c r="FTQ27" s="19"/>
      <c r="FTR27" s="19"/>
      <c r="FTS27" s="19"/>
      <c r="FTT27" s="19"/>
      <c r="FTU27" s="19"/>
      <c r="FTV27" s="19"/>
      <c r="FTW27" s="19"/>
      <c r="FTX27" s="19"/>
      <c r="FTY27" s="19"/>
      <c r="FTZ27" s="19"/>
      <c r="FUA27" s="19"/>
      <c r="FUB27" s="19"/>
      <c r="FUC27" s="19"/>
      <c r="FUD27" s="19"/>
      <c r="FUE27" s="19"/>
      <c r="FUF27" s="19"/>
      <c r="FUG27" s="19"/>
      <c r="FUH27" s="19"/>
      <c r="FUI27" s="19"/>
      <c r="FUJ27" s="19"/>
      <c r="FUK27" s="19"/>
      <c r="FUL27" s="19"/>
      <c r="FUM27" s="19"/>
      <c r="FUN27" s="19"/>
      <c r="FUO27" s="19"/>
      <c r="FUP27" s="19"/>
      <c r="FUQ27" s="19"/>
      <c r="FUR27" s="19"/>
      <c r="FUS27" s="19"/>
      <c r="FUT27" s="19"/>
      <c r="FUU27" s="19"/>
      <c r="FUV27" s="19"/>
      <c r="FUW27" s="19"/>
      <c r="FUX27" s="19"/>
      <c r="FUY27" s="19"/>
      <c r="FUZ27" s="19"/>
      <c r="FVA27" s="19"/>
      <c r="FVB27" s="19"/>
      <c r="FVC27" s="19"/>
      <c r="FVD27" s="19"/>
      <c r="FVE27" s="19"/>
      <c r="FVF27" s="19"/>
      <c r="FVG27" s="19"/>
      <c r="FVH27" s="19"/>
      <c r="FVI27" s="19"/>
      <c r="FVJ27" s="19"/>
      <c r="FVK27" s="19"/>
      <c r="FVL27" s="19"/>
      <c r="FVM27" s="19"/>
      <c r="FVN27" s="19"/>
      <c r="FVO27" s="19"/>
      <c r="FVP27" s="19"/>
      <c r="FVQ27" s="19"/>
      <c r="FVR27" s="19"/>
      <c r="FVS27" s="19"/>
      <c r="FVT27" s="19"/>
      <c r="FVU27" s="19"/>
      <c r="FVV27" s="19"/>
      <c r="FVW27" s="19"/>
      <c r="FVX27" s="19"/>
      <c r="FVY27" s="19"/>
      <c r="FVZ27" s="19"/>
      <c r="FWA27" s="19"/>
      <c r="FWB27" s="19"/>
      <c r="FWC27" s="19"/>
      <c r="FWD27" s="19"/>
      <c r="FWE27" s="19"/>
      <c r="FWF27" s="19"/>
      <c r="FWG27" s="19"/>
      <c r="FWH27" s="19"/>
      <c r="FWI27" s="19"/>
      <c r="FWJ27" s="19"/>
      <c r="FWK27" s="19"/>
      <c r="FWL27" s="19"/>
      <c r="FWM27" s="19"/>
      <c r="FWN27" s="19"/>
      <c r="FWO27" s="19"/>
      <c r="FWP27" s="19"/>
      <c r="FWQ27" s="19"/>
      <c r="FWR27" s="19"/>
      <c r="FWS27" s="19"/>
      <c r="FWT27" s="19"/>
      <c r="FWU27" s="19"/>
      <c r="FWV27" s="19"/>
      <c r="FWW27" s="19"/>
      <c r="FWX27" s="19"/>
      <c r="FWY27" s="19"/>
      <c r="FWZ27" s="19"/>
      <c r="FXA27" s="19"/>
      <c r="FXB27" s="19"/>
      <c r="FXC27" s="19"/>
      <c r="FXD27" s="19"/>
      <c r="FXE27" s="19"/>
      <c r="FXF27" s="19"/>
      <c r="FXG27" s="19"/>
      <c r="FXH27" s="19"/>
      <c r="FXI27" s="19"/>
      <c r="FXJ27" s="19"/>
      <c r="FXK27" s="19"/>
      <c r="FXL27" s="19"/>
      <c r="FXM27" s="19"/>
      <c r="FXN27" s="19"/>
      <c r="FXO27" s="19"/>
      <c r="FXP27" s="19"/>
      <c r="FXQ27" s="19"/>
      <c r="FXR27" s="19"/>
      <c r="FXS27" s="19"/>
      <c r="FXT27" s="19"/>
      <c r="FXU27" s="19"/>
      <c r="FXV27" s="19"/>
      <c r="FXW27" s="19"/>
      <c r="FXX27" s="19"/>
      <c r="FXY27" s="19"/>
      <c r="FXZ27" s="19"/>
      <c r="FYA27" s="19"/>
      <c r="FYB27" s="19"/>
      <c r="FYC27" s="19"/>
      <c r="FYD27" s="19"/>
      <c r="FYE27" s="19"/>
      <c r="FYF27" s="19"/>
      <c r="FYG27" s="19"/>
      <c r="FYH27" s="19"/>
      <c r="FYI27" s="19"/>
      <c r="FYJ27" s="19"/>
      <c r="FYK27" s="19"/>
      <c r="FYL27" s="19"/>
      <c r="FYM27" s="19"/>
      <c r="FYN27" s="19"/>
      <c r="FYO27" s="19"/>
      <c r="FYP27" s="19"/>
      <c r="FYQ27" s="19"/>
      <c r="FYR27" s="19"/>
      <c r="FYS27" s="19"/>
      <c r="FYT27" s="19"/>
      <c r="FYU27" s="19"/>
      <c r="FYV27" s="19"/>
      <c r="FYW27" s="19"/>
      <c r="FYX27" s="19"/>
      <c r="FYY27" s="19"/>
      <c r="FYZ27" s="19"/>
      <c r="FZA27" s="19"/>
      <c r="FZB27" s="19"/>
      <c r="FZC27" s="19"/>
      <c r="FZD27" s="19"/>
      <c r="FZE27" s="19"/>
      <c r="FZF27" s="19"/>
      <c r="FZG27" s="19"/>
      <c r="FZH27" s="19"/>
      <c r="FZI27" s="19"/>
      <c r="FZJ27" s="19"/>
      <c r="FZK27" s="19"/>
      <c r="FZL27" s="19"/>
      <c r="FZM27" s="19"/>
      <c r="FZN27" s="19"/>
      <c r="FZO27" s="19"/>
      <c r="FZP27" s="19"/>
      <c r="FZQ27" s="19"/>
      <c r="FZR27" s="19"/>
      <c r="FZS27" s="19"/>
      <c r="FZT27" s="19"/>
      <c r="FZU27" s="19"/>
      <c r="FZV27" s="19"/>
      <c r="FZW27" s="19"/>
      <c r="FZX27" s="19"/>
      <c r="FZY27" s="19"/>
      <c r="FZZ27" s="19"/>
      <c r="GAA27" s="19"/>
      <c r="GAB27" s="19"/>
      <c r="GAC27" s="19"/>
      <c r="GAD27" s="19"/>
      <c r="GAE27" s="19"/>
      <c r="GAF27" s="19"/>
      <c r="GAG27" s="19"/>
      <c r="GAH27" s="19"/>
      <c r="GAI27" s="19"/>
      <c r="GAJ27" s="19"/>
      <c r="GAK27" s="19"/>
      <c r="GAL27" s="19"/>
      <c r="GAM27" s="19"/>
      <c r="GAN27" s="19"/>
      <c r="GAO27" s="19"/>
      <c r="GAP27" s="19"/>
      <c r="GAQ27" s="19"/>
      <c r="GAR27" s="19"/>
      <c r="GAS27" s="19"/>
      <c r="GAT27" s="19"/>
      <c r="GAU27" s="19"/>
      <c r="GAV27" s="19"/>
      <c r="GAW27" s="19"/>
      <c r="GAX27" s="19"/>
      <c r="GAY27" s="19"/>
      <c r="GAZ27" s="19"/>
      <c r="GBA27" s="19"/>
      <c r="GBB27" s="19"/>
      <c r="GBC27" s="19"/>
      <c r="GBD27" s="19"/>
      <c r="GBE27" s="19"/>
      <c r="GBF27" s="19"/>
      <c r="GBG27" s="19"/>
      <c r="GBH27" s="19"/>
      <c r="GBI27" s="19"/>
      <c r="GBJ27" s="19"/>
      <c r="GBK27" s="19"/>
      <c r="GBL27" s="19"/>
      <c r="GBM27" s="19"/>
      <c r="GBN27" s="19"/>
      <c r="GBO27" s="19"/>
      <c r="GBP27" s="19"/>
      <c r="GBQ27" s="19"/>
      <c r="GBR27" s="19"/>
      <c r="GBS27" s="19"/>
      <c r="GBT27" s="19"/>
      <c r="GBU27" s="19"/>
      <c r="GBV27" s="19"/>
      <c r="GBW27" s="19"/>
      <c r="GBX27" s="19"/>
      <c r="GBY27" s="19"/>
      <c r="GBZ27" s="19"/>
      <c r="GCA27" s="19"/>
      <c r="GCB27" s="19"/>
      <c r="GCC27" s="19"/>
      <c r="GCD27" s="19"/>
      <c r="GCE27" s="19"/>
      <c r="GCF27" s="19"/>
      <c r="GCG27" s="19"/>
      <c r="GCH27" s="19"/>
      <c r="GCI27" s="19"/>
      <c r="GCJ27" s="19"/>
      <c r="GCK27" s="19"/>
      <c r="GCL27" s="19"/>
      <c r="GCM27" s="19"/>
      <c r="GCN27" s="19"/>
      <c r="GCO27" s="19"/>
      <c r="GCP27" s="19"/>
      <c r="GCQ27" s="19"/>
      <c r="GCR27" s="19"/>
      <c r="GCS27" s="19"/>
      <c r="GCT27" s="19"/>
      <c r="GCU27" s="19"/>
      <c r="GCV27" s="19"/>
      <c r="GCW27" s="19"/>
      <c r="GCX27" s="19"/>
      <c r="GCY27" s="19"/>
      <c r="GCZ27" s="19"/>
      <c r="GDA27" s="19"/>
      <c r="GDB27" s="19"/>
      <c r="GDC27" s="19"/>
      <c r="GDD27" s="19"/>
      <c r="GDE27" s="19"/>
      <c r="GDF27" s="19"/>
      <c r="GDG27" s="19"/>
      <c r="GDH27" s="19"/>
      <c r="GDI27" s="19"/>
      <c r="GDJ27" s="19"/>
      <c r="GDK27" s="19"/>
      <c r="GDL27" s="19"/>
      <c r="GDM27" s="19"/>
      <c r="GDN27" s="19"/>
      <c r="GDO27" s="19"/>
      <c r="GDP27" s="19"/>
      <c r="GDQ27" s="19"/>
      <c r="GDR27" s="19"/>
      <c r="GDS27" s="19"/>
      <c r="GDT27" s="19"/>
      <c r="GDU27" s="19"/>
      <c r="GDV27" s="19"/>
      <c r="GDW27" s="19"/>
      <c r="GDX27" s="19"/>
      <c r="GDY27" s="19"/>
      <c r="GDZ27" s="19"/>
      <c r="GEA27" s="19"/>
      <c r="GEB27" s="19"/>
      <c r="GEC27" s="19"/>
      <c r="GED27" s="19"/>
      <c r="GEE27" s="19"/>
      <c r="GEF27" s="19"/>
      <c r="GEG27" s="19"/>
      <c r="GEH27" s="19"/>
      <c r="GEI27" s="19"/>
      <c r="GEJ27" s="19"/>
      <c r="GEK27" s="19"/>
      <c r="GEL27" s="19"/>
      <c r="GEM27" s="19"/>
      <c r="GEN27" s="19"/>
      <c r="GEO27" s="19"/>
      <c r="GEP27" s="19"/>
      <c r="GEQ27" s="19"/>
      <c r="GER27" s="19"/>
      <c r="GES27" s="19"/>
      <c r="GET27" s="19"/>
      <c r="GEU27" s="19"/>
      <c r="GEV27" s="19"/>
      <c r="GEW27" s="19"/>
      <c r="GEX27" s="19"/>
      <c r="GEY27" s="19"/>
      <c r="GEZ27" s="19"/>
      <c r="GFA27" s="19"/>
      <c r="GFB27" s="19"/>
      <c r="GFC27" s="19"/>
      <c r="GFD27" s="19"/>
      <c r="GFE27" s="19"/>
      <c r="GFF27" s="19"/>
      <c r="GFG27" s="19"/>
      <c r="GFH27" s="19"/>
      <c r="GFI27" s="19"/>
      <c r="GFJ27" s="19"/>
      <c r="GFK27" s="19"/>
      <c r="GFL27" s="19"/>
      <c r="GFM27" s="19"/>
      <c r="GFN27" s="19"/>
      <c r="GFO27" s="19"/>
      <c r="GFP27" s="19"/>
      <c r="GFQ27" s="19"/>
      <c r="GFR27" s="19"/>
      <c r="GFS27" s="19"/>
      <c r="GFT27" s="19"/>
      <c r="GFU27" s="19"/>
      <c r="GFV27" s="19"/>
      <c r="GFW27" s="19"/>
      <c r="GFX27" s="19"/>
      <c r="GFY27" s="19"/>
      <c r="GFZ27" s="19"/>
      <c r="GGA27" s="19"/>
      <c r="GGB27" s="19"/>
      <c r="GGC27" s="19"/>
      <c r="GGD27" s="19"/>
      <c r="GGE27" s="19"/>
      <c r="GGF27" s="19"/>
      <c r="GGG27" s="19"/>
      <c r="GGH27" s="19"/>
      <c r="GGI27" s="19"/>
      <c r="GGJ27" s="19"/>
      <c r="GGK27" s="19"/>
      <c r="GGL27" s="19"/>
      <c r="GGM27" s="19"/>
      <c r="GGN27" s="19"/>
      <c r="GGO27" s="19"/>
      <c r="GGP27" s="19"/>
      <c r="GGQ27" s="19"/>
      <c r="GGR27" s="19"/>
      <c r="GGS27" s="19"/>
      <c r="GGT27" s="19"/>
      <c r="GGU27" s="19"/>
      <c r="GGV27" s="19"/>
      <c r="GGW27" s="19"/>
      <c r="GGX27" s="19"/>
      <c r="GGY27" s="19"/>
      <c r="GGZ27" s="19"/>
      <c r="GHA27" s="19"/>
      <c r="GHB27" s="19"/>
      <c r="GHC27" s="19"/>
      <c r="GHD27" s="19"/>
      <c r="GHE27" s="19"/>
      <c r="GHF27" s="19"/>
      <c r="GHG27" s="19"/>
      <c r="GHH27" s="19"/>
      <c r="GHI27" s="19"/>
      <c r="GHJ27" s="19"/>
      <c r="GHK27" s="19"/>
      <c r="GHL27" s="19"/>
      <c r="GHM27" s="19"/>
      <c r="GHN27" s="19"/>
      <c r="GHO27" s="19"/>
      <c r="GHP27" s="19"/>
      <c r="GHQ27" s="19"/>
      <c r="GHR27" s="19"/>
      <c r="GHS27" s="19"/>
      <c r="GHT27" s="19"/>
      <c r="GHU27" s="19"/>
      <c r="GHV27" s="19"/>
      <c r="GHW27" s="19"/>
      <c r="GHX27" s="19"/>
      <c r="GHY27" s="19"/>
      <c r="GHZ27" s="19"/>
      <c r="GIA27" s="19"/>
      <c r="GIB27" s="19"/>
      <c r="GIC27" s="19"/>
      <c r="GID27" s="19"/>
      <c r="GIE27" s="19"/>
      <c r="GIF27" s="19"/>
      <c r="GIG27" s="19"/>
      <c r="GIH27" s="19"/>
      <c r="GII27" s="19"/>
      <c r="GIJ27" s="19"/>
      <c r="GIK27" s="19"/>
      <c r="GIL27" s="19"/>
      <c r="GIM27" s="19"/>
      <c r="GIN27" s="19"/>
      <c r="GIO27" s="19"/>
      <c r="GIP27" s="19"/>
      <c r="GIQ27" s="19"/>
      <c r="GIR27" s="19"/>
      <c r="GIS27" s="19"/>
      <c r="GIT27" s="19"/>
      <c r="GIU27" s="19"/>
      <c r="GIV27" s="19"/>
      <c r="GIW27" s="19"/>
      <c r="GIX27" s="19"/>
      <c r="GIY27" s="19"/>
      <c r="GIZ27" s="19"/>
      <c r="GJA27" s="19"/>
      <c r="GJB27" s="19"/>
      <c r="GJC27" s="19"/>
      <c r="GJD27" s="19"/>
      <c r="GJE27" s="19"/>
      <c r="GJF27" s="19"/>
      <c r="GJG27" s="19"/>
      <c r="GJH27" s="19"/>
      <c r="GJI27" s="19"/>
      <c r="GJJ27" s="19"/>
      <c r="GJK27" s="19"/>
      <c r="GJL27" s="19"/>
      <c r="GJM27" s="19"/>
      <c r="GJN27" s="19"/>
      <c r="GJO27" s="19"/>
      <c r="GJP27" s="19"/>
      <c r="GJQ27" s="19"/>
      <c r="GJR27" s="19"/>
      <c r="GJS27" s="19"/>
      <c r="GJT27" s="19"/>
      <c r="GJU27" s="19"/>
      <c r="GJV27" s="19"/>
      <c r="GJW27" s="19"/>
      <c r="GJX27" s="19"/>
      <c r="GJY27" s="19"/>
      <c r="GJZ27" s="19"/>
      <c r="GKA27" s="19"/>
      <c r="GKB27" s="19"/>
      <c r="GKC27" s="19"/>
      <c r="GKD27" s="19"/>
      <c r="GKE27" s="19"/>
      <c r="GKF27" s="19"/>
      <c r="GKG27" s="19"/>
      <c r="GKH27" s="19"/>
      <c r="GKI27" s="19"/>
      <c r="GKJ27" s="19"/>
      <c r="GKK27" s="19"/>
      <c r="GKL27" s="19"/>
      <c r="GKM27" s="19"/>
      <c r="GKN27" s="19"/>
      <c r="GKO27" s="19"/>
      <c r="GKP27" s="19"/>
      <c r="GKQ27" s="19"/>
      <c r="GKR27" s="19"/>
      <c r="GKS27" s="19"/>
      <c r="GKT27" s="19"/>
      <c r="GKU27" s="19"/>
      <c r="GKV27" s="19"/>
      <c r="GKW27" s="19"/>
      <c r="GKX27" s="19"/>
      <c r="GKY27" s="19"/>
      <c r="GKZ27" s="19"/>
      <c r="GLA27" s="19"/>
      <c r="GLB27" s="19"/>
      <c r="GLC27" s="19"/>
      <c r="GLD27" s="19"/>
      <c r="GLE27" s="19"/>
      <c r="GLF27" s="19"/>
      <c r="GLG27" s="19"/>
      <c r="GLH27" s="19"/>
      <c r="GLI27" s="19"/>
      <c r="GLJ27" s="19"/>
      <c r="GLK27" s="19"/>
      <c r="GLL27" s="19"/>
      <c r="GLM27" s="19"/>
      <c r="GLN27" s="19"/>
      <c r="GLO27" s="19"/>
      <c r="GLP27" s="19"/>
      <c r="GLQ27" s="19"/>
      <c r="GLR27" s="19"/>
      <c r="GLS27" s="19"/>
      <c r="GLT27" s="19"/>
      <c r="GLU27" s="19"/>
      <c r="GLV27" s="19"/>
      <c r="GLW27" s="19"/>
      <c r="GLX27" s="19"/>
      <c r="GLY27" s="19"/>
      <c r="GLZ27" s="19"/>
      <c r="GMA27" s="19"/>
      <c r="GMB27" s="19"/>
      <c r="GMC27" s="19"/>
      <c r="GMD27" s="19"/>
      <c r="GME27" s="19"/>
      <c r="GMF27" s="19"/>
      <c r="GMG27" s="19"/>
      <c r="GMH27" s="19"/>
      <c r="GMI27" s="19"/>
      <c r="GMJ27" s="19"/>
      <c r="GMK27" s="19"/>
      <c r="GML27" s="19"/>
      <c r="GMM27" s="19"/>
      <c r="GMN27" s="19"/>
      <c r="GMO27" s="19"/>
      <c r="GMP27" s="19"/>
      <c r="GMQ27" s="19"/>
      <c r="GMR27" s="19"/>
      <c r="GMS27" s="19"/>
      <c r="GMT27" s="19"/>
      <c r="GMU27" s="19"/>
      <c r="GMV27" s="19"/>
      <c r="GMW27" s="19"/>
      <c r="GMX27" s="19"/>
      <c r="GMY27" s="19"/>
      <c r="GMZ27" s="19"/>
      <c r="GNA27" s="19"/>
      <c r="GNB27" s="19"/>
      <c r="GNC27" s="19"/>
      <c r="GND27" s="19"/>
      <c r="GNE27" s="19"/>
      <c r="GNF27" s="19"/>
      <c r="GNG27" s="19"/>
      <c r="GNH27" s="19"/>
      <c r="GNI27" s="19"/>
      <c r="GNJ27" s="19"/>
      <c r="GNK27" s="19"/>
      <c r="GNL27" s="19"/>
      <c r="GNM27" s="19"/>
      <c r="GNN27" s="19"/>
      <c r="GNO27" s="19"/>
      <c r="GNP27" s="19"/>
      <c r="GNQ27" s="19"/>
      <c r="GNR27" s="19"/>
      <c r="GNS27" s="19"/>
      <c r="GNT27" s="19"/>
      <c r="GNU27" s="19"/>
      <c r="GNV27" s="19"/>
      <c r="GNW27" s="19"/>
      <c r="GNX27" s="19"/>
      <c r="GNY27" s="19"/>
      <c r="GNZ27" s="19"/>
      <c r="GOA27" s="19"/>
      <c r="GOB27" s="19"/>
      <c r="GOC27" s="19"/>
      <c r="GOD27" s="19"/>
      <c r="GOE27" s="19"/>
      <c r="GOF27" s="19"/>
      <c r="GOG27" s="19"/>
      <c r="GOH27" s="19"/>
      <c r="GOI27" s="19"/>
      <c r="GOJ27" s="19"/>
      <c r="GOK27" s="19"/>
      <c r="GOL27" s="19"/>
      <c r="GOM27" s="19"/>
      <c r="GON27" s="19"/>
      <c r="GOO27" s="19"/>
      <c r="GOP27" s="19"/>
      <c r="GOQ27" s="19"/>
      <c r="GOR27" s="19"/>
      <c r="GOS27" s="19"/>
      <c r="GOT27" s="19"/>
      <c r="GOU27" s="19"/>
      <c r="GOV27" s="19"/>
      <c r="GOW27" s="19"/>
      <c r="GOX27" s="19"/>
      <c r="GOY27" s="19"/>
      <c r="GOZ27" s="19"/>
      <c r="GPA27" s="19"/>
      <c r="GPB27" s="19"/>
      <c r="GPC27" s="19"/>
      <c r="GPD27" s="19"/>
      <c r="GPE27" s="19"/>
      <c r="GPF27" s="19"/>
      <c r="GPG27" s="19"/>
      <c r="GPH27" s="19"/>
      <c r="GPI27" s="19"/>
      <c r="GPJ27" s="19"/>
      <c r="GPK27" s="19"/>
      <c r="GPL27" s="19"/>
      <c r="GPM27" s="19"/>
      <c r="GPN27" s="19"/>
      <c r="GPO27" s="19"/>
      <c r="GPP27" s="19"/>
      <c r="GPQ27" s="19"/>
      <c r="GPR27" s="19"/>
      <c r="GPS27" s="19"/>
      <c r="GPT27" s="19"/>
      <c r="GPU27" s="19"/>
      <c r="GPV27" s="19"/>
      <c r="GPW27" s="19"/>
      <c r="GPX27" s="19"/>
      <c r="GPY27" s="19"/>
      <c r="GPZ27" s="19"/>
      <c r="GQA27" s="19"/>
      <c r="GQB27" s="19"/>
      <c r="GQC27" s="19"/>
      <c r="GQD27" s="19"/>
      <c r="GQE27" s="19"/>
      <c r="GQF27" s="19"/>
      <c r="GQG27" s="19"/>
      <c r="GQH27" s="19"/>
      <c r="GQI27" s="19"/>
      <c r="GQJ27" s="19"/>
      <c r="GQK27" s="19"/>
      <c r="GQL27" s="19"/>
      <c r="GQM27" s="19"/>
      <c r="GQN27" s="19"/>
      <c r="GQO27" s="19"/>
      <c r="GQP27" s="19"/>
      <c r="GQQ27" s="19"/>
      <c r="GQR27" s="19"/>
      <c r="GQS27" s="19"/>
      <c r="GQT27" s="19"/>
      <c r="GQU27" s="19"/>
      <c r="GQV27" s="19"/>
      <c r="GQW27" s="19"/>
      <c r="GQX27" s="19"/>
      <c r="GQY27" s="19"/>
      <c r="GQZ27" s="19"/>
      <c r="GRA27" s="19"/>
      <c r="GRB27" s="19"/>
      <c r="GRC27" s="19"/>
      <c r="GRD27" s="19"/>
      <c r="GRE27" s="19"/>
      <c r="GRF27" s="19"/>
      <c r="GRG27" s="19"/>
      <c r="GRH27" s="19"/>
      <c r="GRI27" s="19"/>
      <c r="GRJ27" s="19"/>
      <c r="GRK27" s="19"/>
      <c r="GRL27" s="19"/>
      <c r="GRM27" s="19"/>
      <c r="GRN27" s="19"/>
      <c r="GRO27" s="19"/>
      <c r="GRP27" s="19"/>
      <c r="GRQ27" s="19"/>
      <c r="GRR27" s="19"/>
      <c r="GRS27" s="19"/>
      <c r="GRT27" s="19"/>
      <c r="GRU27" s="19"/>
      <c r="GRV27" s="19"/>
      <c r="GRW27" s="19"/>
      <c r="GRX27" s="19"/>
      <c r="GRY27" s="19"/>
      <c r="GRZ27" s="19"/>
      <c r="GSA27" s="19"/>
      <c r="GSB27" s="19"/>
      <c r="GSC27" s="19"/>
      <c r="GSD27" s="19"/>
      <c r="GSE27" s="19"/>
      <c r="GSF27" s="19"/>
      <c r="GSG27" s="19"/>
      <c r="GSH27" s="19"/>
      <c r="GSI27" s="19"/>
      <c r="GSJ27" s="19"/>
      <c r="GSK27" s="19"/>
      <c r="GSL27" s="19"/>
      <c r="GSM27" s="19"/>
      <c r="GSN27" s="19"/>
      <c r="GSO27" s="19"/>
      <c r="GSP27" s="19"/>
      <c r="GSQ27" s="19"/>
      <c r="GSR27" s="19"/>
      <c r="GSS27" s="19"/>
      <c r="GST27" s="19"/>
      <c r="GSU27" s="19"/>
      <c r="GSV27" s="19"/>
      <c r="GSW27" s="19"/>
      <c r="GSX27" s="19"/>
      <c r="GSY27" s="19"/>
      <c r="GSZ27" s="19"/>
      <c r="GTA27" s="19"/>
      <c r="GTB27" s="19"/>
      <c r="GTC27" s="19"/>
      <c r="GTD27" s="19"/>
      <c r="GTE27" s="19"/>
      <c r="GTF27" s="19"/>
      <c r="GTG27" s="19"/>
      <c r="GTH27" s="19"/>
      <c r="GTI27" s="19"/>
      <c r="GTJ27" s="19"/>
      <c r="GTK27" s="19"/>
      <c r="GTL27" s="19"/>
      <c r="GTM27" s="19"/>
      <c r="GTN27" s="19"/>
      <c r="GTO27" s="19"/>
      <c r="GTP27" s="19"/>
      <c r="GTQ27" s="19"/>
      <c r="GTR27" s="19"/>
      <c r="GTS27" s="19"/>
      <c r="GTT27" s="19"/>
      <c r="GTU27" s="19"/>
      <c r="GTV27" s="19"/>
      <c r="GTW27" s="19"/>
      <c r="GTX27" s="19"/>
      <c r="GTY27" s="19"/>
      <c r="GTZ27" s="19"/>
      <c r="GUA27" s="19"/>
      <c r="GUB27" s="19"/>
      <c r="GUC27" s="19"/>
      <c r="GUD27" s="19"/>
      <c r="GUE27" s="19"/>
      <c r="GUF27" s="19"/>
      <c r="GUG27" s="19"/>
      <c r="GUH27" s="19"/>
      <c r="GUI27" s="19"/>
      <c r="GUJ27" s="19"/>
      <c r="GUK27" s="19"/>
      <c r="GUL27" s="19"/>
      <c r="GUM27" s="19"/>
      <c r="GUN27" s="19"/>
      <c r="GUO27" s="19"/>
      <c r="GUP27" s="19"/>
      <c r="GUQ27" s="19"/>
      <c r="GUR27" s="19"/>
      <c r="GUS27" s="19"/>
      <c r="GUT27" s="19"/>
      <c r="GUU27" s="19"/>
      <c r="GUV27" s="19"/>
      <c r="GUW27" s="19"/>
      <c r="GUX27" s="19"/>
      <c r="GUY27" s="19"/>
      <c r="GUZ27" s="19"/>
      <c r="GVA27" s="19"/>
      <c r="GVB27" s="19"/>
      <c r="GVC27" s="19"/>
      <c r="GVD27" s="19"/>
      <c r="GVE27" s="19"/>
      <c r="GVF27" s="19"/>
      <c r="GVG27" s="19"/>
      <c r="GVH27" s="19"/>
      <c r="GVI27" s="19"/>
      <c r="GVJ27" s="19"/>
      <c r="GVK27" s="19"/>
      <c r="GVL27" s="19"/>
      <c r="GVM27" s="19"/>
      <c r="GVN27" s="19"/>
      <c r="GVO27" s="19"/>
      <c r="GVP27" s="19"/>
      <c r="GVQ27" s="19"/>
      <c r="GVR27" s="19"/>
      <c r="GVS27" s="19"/>
      <c r="GVT27" s="19"/>
      <c r="GVU27" s="19"/>
      <c r="GVV27" s="19"/>
      <c r="GVW27" s="19"/>
      <c r="GVX27" s="19"/>
      <c r="GVY27" s="19"/>
      <c r="GVZ27" s="19"/>
      <c r="GWA27" s="19"/>
      <c r="GWB27" s="19"/>
      <c r="GWC27" s="19"/>
      <c r="GWD27" s="19"/>
      <c r="GWE27" s="19"/>
      <c r="GWF27" s="19"/>
      <c r="GWG27" s="19"/>
      <c r="GWH27" s="19"/>
      <c r="GWI27" s="19"/>
      <c r="GWJ27" s="19"/>
      <c r="GWK27" s="19"/>
      <c r="GWL27" s="19"/>
      <c r="GWM27" s="19"/>
      <c r="GWN27" s="19"/>
      <c r="GWO27" s="19"/>
      <c r="GWP27" s="19"/>
      <c r="GWQ27" s="19"/>
      <c r="GWR27" s="19"/>
      <c r="GWS27" s="19"/>
      <c r="GWT27" s="19"/>
      <c r="GWU27" s="19"/>
      <c r="GWV27" s="19"/>
      <c r="GWW27" s="19"/>
      <c r="GWX27" s="19"/>
      <c r="GWY27" s="19"/>
      <c r="GWZ27" s="19"/>
      <c r="GXA27" s="19"/>
      <c r="GXB27" s="19"/>
      <c r="GXC27" s="19"/>
      <c r="GXD27" s="19"/>
      <c r="GXE27" s="19"/>
      <c r="GXF27" s="19"/>
      <c r="GXG27" s="19"/>
      <c r="GXH27" s="19"/>
      <c r="GXI27" s="19"/>
      <c r="GXJ27" s="19"/>
      <c r="GXK27" s="19"/>
      <c r="GXL27" s="19"/>
      <c r="GXM27" s="19"/>
      <c r="GXN27" s="19"/>
      <c r="GXO27" s="19"/>
      <c r="GXP27" s="19"/>
      <c r="GXQ27" s="19"/>
      <c r="GXR27" s="19"/>
      <c r="GXS27" s="19"/>
      <c r="GXT27" s="19"/>
      <c r="GXU27" s="19"/>
      <c r="GXV27" s="19"/>
      <c r="GXW27" s="19"/>
      <c r="GXX27" s="19"/>
      <c r="GXY27" s="19"/>
      <c r="GXZ27" s="19"/>
      <c r="GYA27" s="19"/>
      <c r="GYB27" s="19"/>
      <c r="GYC27" s="19"/>
      <c r="GYD27" s="19"/>
      <c r="GYE27" s="19"/>
      <c r="GYF27" s="19"/>
      <c r="GYG27" s="19"/>
      <c r="GYH27" s="19"/>
      <c r="GYI27" s="19"/>
      <c r="GYJ27" s="19"/>
      <c r="GYK27" s="19"/>
      <c r="GYL27" s="19"/>
      <c r="GYM27" s="19"/>
      <c r="GYN27" s="19"/>
      <c r="GYO27" s="19"/>
      <c r="GYP27" s="19"/>
      <c r="GYQ27" s="19"/>
      <c r="GYR27" s="19"/>
      <c r="GYS27" s="19"/>
      <c r="GYT27" s="19"/>
      <c r="GYU27" s="19"/>
      <c r="GYV27" s="19"/>
      <c r="GYW27" s="19"/>
      <c r="GYX27" s="19"/>
      <c r="GYY27" s="19"/>
      <c r="GYZ27" s="19"/>
      <c r="GZA27" s="19"/>
      <c r="GZB27" s="19"/>
      <c r="GZC27" s="19"/>
      <c r="GZD27" s="19"/>
      <c r="GZE27" s="19"/>
      <c r="GZF27" s="19"/>
      <c r="GZG27" s="19"/>
      <c r="GZH27" s="19"/>
      <c r="GZI27" s="19"/>
      <c r="GZJ27" s="19"/>
      <c r="GZK27" s="19"/>
      <c r="GZL27" s="19"/>
      <c r="GZM27" s="19"/>
      <c r="GZN27" s="19"/>
      <c r="GZO27" s="19"/>
      <c r="GZP27" s="19"/>
      <c r="GZQ27" s="19"/>
      <c r="GZR27" s="19"/>
      <c r="GZS27" s="19"/>
      <c r="GZT27" s="19"/>
      <c r="GZU27" s="19"/>
      <c r="GZV27" s="19"/>
      <c r="GZW27" s="19"/>
      <c r="GZX27" s="19"/>
      <c r="GZY27" s="19"/>
      <c r="GZZ27" s="19"/>
      <c r="HAA27" s="19"/>
      <c r="HAB27" s="19"/>
      <c r="HAC27" s="19"/>
      <c r="HAD27" s="19"/>
      <c r="HAE27" s="19"/>
      <c r="HAF27" s="19"/>
      <c r="HAG27" s="19"/>
      <c r="HAH27" s="19"/>
      <c r="HAI27" s="19"/>
      <c r="HAJ27" s="19"/>
      <c r="HAK27" s="19"/>
      <c r="HAL27" s="19"/>
      <c r="HAM27" s="19"/>
      <c r="HAN27" s="19"/>
      <c r="HAO27" s="19"/>
      <c r="HAP27" s="19"/>
      <c r="HAQ27" s="19"/>
      <c r="HAR27" s="19"/>
      <c r="HAS27" s="19"/>
      <c r="HAT27" s="19"/>
      <c r="HAU27" s="19"/>
      <c r="HAV27" s="19"/>
      <c r="HAW27" s="19"/>
      <c r="HAX27" s="19"/>
      <c r="HAY27" s="19"/>
      <c r="HAZ27" s="19"/>
      <c r="HBA27" s="19"/>
      <c r="HBB27" s="19"/>
      <c r="HBC27" s="19"/>
      <c r="HBD27" s="19"/>
      <c r="HBE27" s="19"/>
      <c r="HBF27" s="19"/>
      <c r="HBG27" s="19"/>
      <c r="HBH27" s="19"/>
      <c r="HBI27" s="19"/>
      <c r="HBJ27" s="19"/>
      <c r="HBK27" s="19"/>
      <c r="HBL27" s="19"/>
      <c r="HBM27" s="19"/>
      <c r="HBN27" s="19"/>
      <c r="HBO27" s="19"/>
      <c r="HBP27" s="19"/>
      <c r="HBQ27" s="19"/>
      <c r="HBR27" s="19"/>
      <c r="HBS27" s="19"/>
      <c r="HBT27" s="19"/>
      <c r="HBU27" s="19"/>
      <c r="HBV27" s="19"/>
      <c r="HBW27" s="19"/>
      <c r="HBX27" s="19"/>
      <c r="HBY27" s="19"/>
      <c r="HBZ27" s="19"/>
      <c r="HCA27" s="19"/>
      <c r="HCB27" s="19"/>
      <c r="HCC27" s="19"/>
      <c r="HCD27" s="19"/>
      <c r="HCE27" s="19"/>
      <c r="HCF27" s="19"/>
      <c r="HCG27" s="19"/>
      <c r="HCH27" s="19"/>
      <c r="HCI27" s="19"/>
      <c r="HCJ27" s="19"/>
      <c r="HCK27" s="19"/>
      <c r="HCL27" s="19"/>
      <c r="HCM27" s="19"/>
      <c r="HCN27" s="19"/>
      <c r="HCO27" s="19"/>
      <c r="HCP27" s="19"/>
      <c r="HCQ27" s="19"/>
      <c r="HCR27" s="19"/>
      <c r="HCS27" s="19"/>
      <c r="HCT27" s="19"/>
      <c r="HCU27" s="19"/>
      <c r="HCV27" s="19"/>
      <c r="HCW27" s="19"/>
      <c r="HCX27" s="19"/>
      <c r="HCY27" s="19"/>
      <c r="HCZ27" s="19"/>
      <c r="HDA27" s="19"/>
      <c r="HDB27" s="19"/>
      <c r="HDC27" s="19"/>
      <c r="HDD27" s="19"/>
      <c r="HDE27" s="19"/>
      <c r="HDF27" s="19"/>
      <c r="HDG27" s="19"/>
      <c r="HDH27" s="19"/>
      <c r="HDI27" s="19"/>
      <c r="HDJ27" s="19"/>
      <c r="HDK27" s="19"/>
      <c r="HDL27" s="19"/>
      <c r="HDM27" s="19"/>
      <c r="HDN27" s="19"/>
      <c r="HDO27" s="19"/>
      <c r="HDP27" s="19"/>
      <c r="HDQ27" s="19"/>
      <c r="HDR27" s="19"/>
      <c r="HDS27" s="19"/>
      <c r="HDT27" s="19"/>
      <c r="HDU27" s="19"/>
      <c r="HDV27" s="19"/>
      <c r="HDW27" s="19"/>
      <c r="HDX27" s="19"/>
      <c r="HDY27" s="19"/>
      <c r="HDZ27" s="19"/>
      <c r="HEA27" s="19"/>
      <c r="HEB27" s="19"/>
      <c r="HEC27" s="19"/>
      <c r="HED27" s="19"/>
      <c r="HEE27" s="19"/>
      <c r="HEF27" s="19"/>
      <c r="HEG27" s="19"/>
      <c r="HEH27" s="19"/>
      <c r="HEI27" s="19"/>
      <c r="HEJ27" s="19"/>
      <c r="HEK27" s="19"/>
      <c r="HEL27" s="19"/>
      <c r="HEM27" s="19"/>
      <c r="HEN27" s="19"/>
      <c r="HEO27" s="19"/>
      <c r="HEP27" s="19"/>
      <c r="HEQ27" s="19"/>
      <c r="HER27" s="19"/>
      <c r="HES27" s="19"/>
      <c r="HET27" s="19"/>
      <c r="HEU27" s="19"/>
      <c r="HEV27" s="19"/>
      <c r="HEW27" s="19"/>
      <c r="HEX27" s="19"/>
      <c r="HEY27" s="19"/>
      <c r="HEZ27" s="19"/>
      <c r="HFA27" s="19"/>
      <c r="HFB27" s="19"/>
      <c r="HFC27" s="19"/>
      <c r="HFD27" s="19"/>
      <c r="HFE27" s="19"/>
      <c r="HFF27" s="19"/>
      <c r="HFG27" s="19"/>
      <c r="HFH27" s="19"/>
      <c r="HFI27" s="19"/>
      <c r="HFJ27" s="19"/>
      <c r="HFK27" s="19"/>
      <c r="HFL27" s="19"/>
      <c r="HFM27" s="19"/>
      <c r="HFN27" s="19"/>
      <c r="HFO27" s="19"/>
      <c r="HFP27" s="19"/>
      <c r="HFQ27" s="19"/>
      <c r="HFR27" s="19"/>
      <c r="HFS27" s="19"/>
      <c r="HFT27" s="19"/>
      <c r="HFU27" s="19"/>
      <c r="HFV27" s="19"/>
      <c r="HFW27" s="19"/>
      <c r="HFX27" s="19"/>
      <c r="HFY27" s="19"/>
      <c r="HFZ27" s="19"/>
      <c r="HGA27" s="19"/>
      <c r="HGB27" s="19"/>
      <c r="HGC27" s="19"/>
      <c r="HGD27" s="19"/>
      <c r="HGE27" s="19"/>
      <c r="HGF27" s="19"/>
      <c r="HGG27" s="19"/>
      <c r="HGH27" s="19"/>
      <c r="HGI27" s="19"/>
      <c r="HGJ27" s="19"/>
      <c r="HGK27" s="19"/>
      <c r="HGL27" s="19"/>
      <c r="HGM27" s="19"/>
      <c r="HGN27" s="19"/>
      <c r="HGO27" s="19"/>
      <c r="HGP27" s="19"/>
      <c r="HGQ27" s="19"/>
      <c r="HGR27" s="19"/>
      <c r="HGS27" s="19"/>
      <c r="HGT27" s="19"/>
      <c r="HGU27" s="19"/>
      <c r="HGV27" s="19"/>
      <c r="HGW27" s="19"/>
      <c r="HGX27" s="19"/>
      <c r="HGY27" s="19"/>
      <c r="HGZ27" s="19"/>
      <c r="HHA27" s="19"/>
      <c r="HHB27" s="19"/>
      <c r="HHC27" s="19"/>
      <c r="HHD27" s="19"/>
      <c r="HHE27" s="19"/>
      <c r="HHF27" s="19"/>
      <c r="HHG27" s="19"/>
      <c r="HHH27" s="19"/>
      <c r="HHI27" s="19"/>
      <c r="HHJ27" s="19"/>
      <c r="HHK27" s="19"/>
      <c r="HHL27" s="19"/>
      <c r="HHM27" s="19"/>
      <c r="HHN27" s="19"/>
      <c r="HHO27" s="19"/>
      <c r="HHP27" s="19"/>
      <c r="HHQ27" s="19"/>
      <c r="HHR27" s="19"/>
      <c r="HHS27" s="19"/>
      <c r="HHT27" s="19"/>
      <c r="HHU27" s="19"/>
      <c r="HHV27" s="19"/>
      <c r="HHW27" s="19"/>
      <c r="HHX27" s="19"/>
      <c r="HHY27" s="19"/>
      <c r="HHZ27" s="19"/>
      <c r="HIA27" s="19"/>
      <c r="HIB27" s="19"/>
      <c r="HIC27" s="19"/>
      <c r="HID27" s="19"/>
      <c r="HIE27" s="19"/>
      <c r="HIF27" s="19"/>
      <c r="HIG27" s="19"/>
      <c r="HIH27" s="19"/>
      <c r="HII27" s="19"/>
      <c r="HIJ27" s="19"/>
      <c r="HIK27" s="19"/>
      <c r="HIL27" s="19"/>
      <c r="HIM27" s="19"/>
      <c r="HIN27" s="19"/>
      <c r="HIO27" s="19"/>
      <c r="HIP27" s="19"/>
      <c r="HIQ27" s="19"/>
      <c r="HIR27" s="19"/>
      <c r="HIS27" s="19"/>
      <c r="HIT27" s="19"/>
      <c r="HIU27" s="19"/>
      <c r="HIV27" s="19"/>
      <c r="HIW27" s="19"/>
      <c r="HIX27" s="19"/>
      <c r="HIY27" s="19"/>
      <c r="HIZ27" s="19"/>
      <c r="HJA27" s="19"/>
      <c r="HJB27" s="19"/>
      <c r="HJC27" s="19"/>
      <c r="HJD27" s="19"/>
      <c r="HJE27" s="19"/>
      <c r="HJF27" s="19"/>
      <c r="HJG27" s="19"/>
      <c r="HJH27" s="19"/>
      <c r="HJI27" s="19"/>
      <c r="HJJ27" s="19"/>
      <c r="HJK27" s="19"/>
      <c r="HJL27" s="19"/>
      <c r="HJM27" s="19"/>
      <c r="HJN27" s="19"/>
      <c r="HJO27" s="19"/>
      <c r="HJP27" s="19"/>
      <c r="HJQ27" s="19"/>
      <c r="HJR27" s="19"/>
      <c r="HJS27" s="19"/>
      <c r="HJT27" s="19"/>
      <c r="HJU27" s="19"/>
      <c r="HJV27" s="19"/>
      <c r="HJW27" s="19"/>
      <c r="HJX27" s="19"/>
      <c r="HJY27" s="19"/>
      <c r="HJZ27" s="19"/>
      <c r="HKA27" s="19"/>
      <c r="HKB27" s="19"/>
      <c r="HKC27" s="19"/>
      <c r="HKD27" s="19"/>
      <c r="HKE27" s="19"/>
      <c r="HKF27" s="19"/>
      <c r="HKG27" s="19"/>
      <c r="HKH27" s="19"/>
      <c r="HKI27" s="19"/>
      <c r="HKJ27" s="19"/>
      <c r="HKK27" s="19"/>
      <c r="HKL27" s="19"/>
      <c r="HKM27" s="19"/>
      <c r="HKN27" s="19"/>
      <c r="HKO27" s="19"/>
      <c r="HKP27" s="19"/>
      <c r="HKQ27" s="19"/>
      <c r="HKR27" s="19"/>
      <c r="HKS27" s="19"/>
      <c r="HKT27" s="19"/>
      <c r="HKU27" s="19"/>
      <c r="HKV27" s="19"/>
      <c r="HKW27" s="19"/>
      <c r="HKX27" s="19"/>
      <c r="HKY27" s="19"/>
      <c r="HKZ27" s="19"/>
      <c r="HLA27" s="19"/>
      <c r="HLB27" s="19"/>
      <c r="HLC27" s="19"/>
      <c r="HLD27" s="19"/>
      <c r="HLE27" s="19"/>
      <c r="HLF27" s="19"/>
      <c r="HLG27" s="19"/>
      <c r="HLH27" s="19"/>
      <c r="HLI27" s="19"/>
      <c r="HLJ27" s="19"/>
      <c r="HLK27" s="19"/>
      <c r="HLL27" s="19"/>
      <c r="HLM27" s="19"/>
      <c r="HLN27" s="19"/>
      <c r="HLO27" s="19"/>
      <c r="HLP27" s="19"/>
      <c r="HLQ27" s="19"/>
      <c r="HLR27" s="19"/>
      <c r="HLS27" s="19"/>
      <c r="HLT27" s="19"/>
      <c r="HLU27" s="19"/>
      <c r="HLV27" s="19"/>
      <c r="HLW27" s="19"/>
      <c r="HLX27" s="19"/>
      <c r="HLY27" s="19"/>
      <c r="HLZ27" s="19"/>
      <c r="HMA27" s="19"/>
      <c r="HMB27" s="19"/>
      <c r="HMC27" s="19"/>
      <c r="HMD27" s="19"/>
      <c r="HME27" s="19"/>
      <c r="HMF27" s="19"/>
      <c r="HMG27" s="19"/>
      <c r="HMH27" s="19"/>
      <c r="HMI27" s="19"/>
      <c r="HMJ27" s="19"/>
      <c r="HMK27" s="19"/>
      <c r="HML27" s="19"/>
      <c r="HMM27" s="19"/>
      <c r="HMN27" s="19"/>
      <c r="HMO27" s="19"/>
      <c r="HMP27" s="19"/>
      <c r="HMQ27" s="19"/>
      <c r="HMR27" s="19"/>
      <c r="HMS27" s="19"/>
      <c r="HMT27" s="19"/>
      <c r="HMU27" s="19"/>
      <c r="HMV27" s="19"/>
      <c r="HMW27" s="19"/>
      <c r="HMX27" s="19"/>
      <c r="HMY27" s="19"/>
      <c r="HMZ27" s="19"/>
      <c r="HNA27" s="19"/>
      <c r="HNB27" s="19"/>
      <c r="HNC27" s="19"/>
      <c r="HND27" s="19"/>
      <c r="HNE27" s="19"/>
      <c r="HNF27" s="19"/>
      <c r="HNG27" s="19"/>
      <c r="HNH27" s="19"/>
      <c r="HNI27" s="19"/>
      <c r="HNJ27" s="19"/>
      <c r="HNK27" s="19"/>
      <c r="HNL27" s="19"/>
      <c r="HNM27" s="19"/>
      <c r="HNN27" s="19"/>
      <c r="HNO27" s="19"/>
      <c r="HNP27" s="19"/>
      <c r="HNQ27" s="19"/>
      <c r="HNR27" s="19"/>
      <c r="HNS27" s="19"/>
      <c r="HNT27" s="19"/>
      <c r="HNU27" s="19"/>
      <c r="HNV27" s="19"/>
      <c r="HNW27" s="19"/>
      <c r="HNX27" s="19"/>
      <c r="HNY27" s="19"/>
      <c r="HNZ27" s="19"/>
      <c r="HOA27" s="19"/>
      <c r="HOB27" s="19"/>
      <c r="HOC27" s="19"/>
      <c r="HOD27" s="19"/>
      <c r="HOE27" s="19"/>
      <c r="HOF27" s="19"/>
      <c r="HOG27" s="19"/>
      <c r="HOH27" s="19"/>
      <c r="HOI27" s="19"/>
      <c r="HOJ27" s="19"/>
      <c r="HOK27" s="19"/>
      <c r="HOL27" s="19"/>
      <c r="HOM27" s="19"/>
      <c r="HON27" s="19"/>
      <c r="HOO27" s="19"/>
      <c r="HOP27" s="19"/>
      <c r="HOQ27" s="19"/>
      <c r="HOR27" s="19"/>
      <c r="HOS27" s="19"/>
      <c r="HOT27" s="19"/>
      <c r="HOU27" s="19"/>
      <c r="HOV27" s="19"/>
      <c r="HOW27" s="19"/>
      <c r="HOX27" s="19"/>
      <c r="HOY27" s="19"/>
      <c r="HOZ27" s="19"/>
      <c r="HPA27" s="19"/>
      <c r="HPB27" s="19"/>
      <c r="HPC27" s="19"/>
      <c r="HPD27" s="19"/>
      <c r="HPE27" s="19"/>
      <c r="HPF27" s="19"/>
      <c r="HPG27" s="19"/>
      <c r="HPH27" s="19"/>
      <c r="HPI27" s="19"/>
      <c r="HPJ27" s="19"/>
      <c r="HPK27" s="19"/>
      <c r="HPL27" s="19"/>
      <c r="HPM27" s="19"/>
      <c r="HPN27" s="19"/>
      <c r="HPO27" s="19"/>
      <c r="HPP27" s="19"/>
      <c r="HPQ27" s="19"/>
      <c r="HPR27" s="19"/>
      <c r="HPS27" s="19"/>
      <c r="HPT27" s="19"/>
      <c r="HPU27" s="19"/>
      <c r="HPV27" s="19"/>
      <c r="HPW27" s="19"/>
      <c r="HPX27" s="19"/>
      <c r="HPY27" s="19"/>
      <c r="HPZ27" s="19"/>
      <c r="HQA27" s="19"/>
      <c r="HQB27" s="19"/>
      <c r="HQC27" s="19"/>
      <c r="HQD27" s="19"/>
      <c r="HQE27" s="19"/>
      <c r="HQF27" s="19"/>
      <c r="HQG27" s="19"/>
      <c r="HQH27" s="19"/>
      <c r="HQI27" s="19"/>
      <c r="HQJ27" s="19"/>
      <c r="HQK27" s="19"/>
      <c r="HQL27" s="19"/>
      <c r="HQM27" s="19"/>
      <c r="HQN27" s="19"/>
      <c r="HQO27" s="19"/>
      <c r="HQP27" s="19"/>
      <c r="HQQ27" s="19"/>
      <c r="HQR27" s="19"/>
      <c r="HQS27" s="19"/>
      <c r="HQT27" s="19"/>
      <c r="HQU27" s="19"/>
      <c r="HQV27" s="19"/>
      <c r="HQW27" s="19"/>
      <c r="HQX27" s="19"/>
      <c r="HQY27" s="19"/>
      <c r="HQZ27" s="19"/>
      <c r="HRA27" s="19"/>
      <c r="HRB27" s="19"/>
      <c r="HRC27" s="19"/>
      <c r="HRD27" s="19"/>
      <c r="HRE27" s="19"/>
      <c r="HRF27" s="19"/>
      <c r="HRG27" s="19"/>
      <c r="HRH27" s="19"/>
      <c r="HRI27" s="19"/>
      <c r="HRJ27" s="19"/>
      <c r="HRK27" s="19"/>
      <c r="HRL27" s="19"/>
      <c r="HRM27" s="19"/>
      <c r="HRN27" s="19"/>
      <c r="HRO27" s="19"/>
      <c r="HRP27" s="19"/>
      <c r="HRQ27" s="19"/>
      <c r="HRR27" s="19"/>
      <c r="HRS27" s="19"/>
      <c r="HRT27" s="19"/>
      <c r="HRU27" s="19"/>
      <c r="HRV27" s="19"/>
      <c r="HRW27" s="19"/>
      <c r="HRX27" s="19"/>
      <c r="HRY27" s="19"/>
      <c r="HRZ27" s="19"/>
      <c r="HSA27" s="19"/>
      <c r="HSB27" s="19"/>
      <c r="HSC27" s="19"/>
      <c r="HSD27" s="19"/>
      <c r="HSE27" s="19"/>
      <c r="HSF27" s="19"/>
      <c r="HSG27" s="19"/>
      <c r="HSH27" s="19"/>
      <c r="HSI27" s="19"/>
      <c r="HSJ27" s="19"/>
      <c r="HSK27" s="19"/>
      <c r="HSL27" s="19"/>
      <c r="HSM27" s="19"/>
      <c r="HSN27" s="19"/>
      <c r="HSO27" s="19"/>
      <c r="HSP27" s="19"/>
      <c r="HSQ27" s="19"/>
      <c r="HSR27" s="19"/>
      <c r="HSS27" s="19"/>
      <c r="HST27" s="19"/>
      <c r="HSU27" s="19"/>
      <c r="HSV27" s="19"/>
      <c r="HSW27" s="19"/>
      <c r="HSX27" s="19"/>
      <c r="HSY27" s="19"/>
      <c r="HSZ27" s="19"/>
      <c r="HTA27" s="19"/>
      <c r="HTB27" s="19"/>
      <c r="HTC27" s="19"/>
      <c r="HTD27" s="19"/>
      <c r="HTE27" s="19"/>
      <c r="HTF27" s="19"/>
      <c r="HTG27" s="19"/>
      <c r="HTH27" s="19"/>
      <c r="HTI27" s="19"/>
      <c r="HTJ27" s="19"/>
      <c r="HTK27" s="19"/>
      <c r="HTL27" s="19"/>
      <c r="HTM27" s="19"/>
      <c r="HTN27" s="19"/>
      <c r="HTO27" s="19"/>
      <c r="HTP27" s="19"/>
      <c r="HTQ27" s="19"/>
      <c r="HTR27" s="19"/>
      <c r="HTS27" s="19"/>
      <c r="HTT27" s="19"/>
      <c r="HTU27" s="19"/>
      <c r="HTV27" s="19"/>
      <c r="HTW27" s="19"/>
      <c r="HTX27" s="19"/>
      <c r="HTY27" s="19"/>
      <c r="HTZ27" s="19"/>
      <c r="HUA27" s="19"/>
      <c r="HUB27" s="19"/>
      <c r="HUC27" s="19"/>
      <c r="HUD27" s="19"/>
      <c r="HUE27" s="19"/>
      <c r="HUF27" s="19"/>
      <c r="HUG27" s="19"/>
      <c r="HUH27" s="19"/>
      <c r="HUI27" s="19"/>
      <c r="HUJ27" s="19"/>
      <c r="HUK27" s="19"/>
      <c r="HUL27" s="19"/>
      <c r="HUM27" s="19"/>
      <c r="HUN27" s="19"/>
      <c r="HUO27" s="19"/>
      <c r="HUP27" s="19"/>
      <c r="HUQ27" s="19"/>
      <c r="HUR27" s="19"/>
      <c r="HUS27" s="19"/>
      <c r="HUT27" s="19"/>
      <c r="HUU27" s="19"/>
      <c r="HUV27" s="19"/>
      <c r="HUW27" s="19"/>
      <c r="HUX27" s="19"/>
      <c r="HUY27" s="19"/>
      <c r="HUZ27" s="19"/>
      <c r="HVA27" s="19"/>
      <c r="HVB27" s="19"/>
      <c r="HVC27" s="19"/>
      <c r="HVD27" s="19"/>
      <c r="HVE27" s="19"/>
      <c r="HVF27" s="19"/>
      <c r="HVG27" s="19"/>
      <c r="HVH27" s="19"/>
      <c r="HVI27" s="19"/>
      <c r="HVJ27" s="19"/>
      <c r="HVK27" s="19"/>
      <c r="HVL27" s="19"/>
      <c r="HVM27" s="19"/>
      <c r="HVN27" s="19"/>
      <c r="HVO27" s="19"/>
      <c r="HVP27" s="19"/>
      <c r="HVQ27" s="19"/>
      <c r="HVR27" s="19"/>
      <c r="HVS27" s="19"/>
      <c r="HVT27" s="19"/>
      <c r="HVU27" s="19"/>
      <c r="HVV27" s="19"/>
      <c r="HVW27" s="19"/>
      <c r="HVX27" s="19"/>
      <c r="HVY27" s="19"/>
      <c r="HVZ27" s="19"/>
      <c r="HWA27" s="19"/>
      <c r="HWB27" s="19"/>
      <c r="HWC27" s="19"/>
      <c r="HWD27" s="19"/>
      <c r="HWE27" s="19"/>
      <c r="HWF27" s="19"/>
      <c r="HWG27" s="19"/>
      <c r="HWH27" s="19"/>
      <c r="HWI27" s="19"/>
      <c r="HWJ27" s="19"/>
      <c r="HWK27" s="19"/>
      <c r="HWL27" s="19"/>
      <c r="HWM27" s="19"/>
      <c r="HWN27" s="19"/>
      <c r="HWO27" s="19"/>
      <c r="HWP27" s="19"/>
      <c r="HWQ27" s="19"/>
      <c r="HWR27" s="19"/>
      <c r="HWS27" s="19"/>
      <c r="HWT27" s="19"/>
      <c r="HWU27" s="19"/>
      <c r="HWV27" s="19"/>
      <c r="HWW27" s="19"/>
      <c r="HWX27" s="19"/>
      <c r="HWY27" s="19"/>
      <c r="HWZ27" s="19"/>
      <c r="HXA27" s="19"/>
      <c r="HXB27" s="19"/>
      <c r="HXC27" s="19"/>
      <c r="HXD27" s="19"/>
      <c r="HXE27" s="19"/>
      <c r="HXF27" s="19"/>
      <c r="HXG27" s="19"/>
      <c r="HXH27" s="19"/>
      <c r="HXI27" s="19"/>
      <c r="HXJ27" s="19"/>
      <c r="HXK27" s="19"/>
      <c r="HXL27" s="19"/>
      <c r="HXM27" s="19"/>
      <c r="HXN27" s="19"/>
      <c r="HXO27" s="19"/>
      <c r="HXP27" s="19"/>
      <c r="HXQ27" s="19"/>
      <c r="HXR27" s="19"/>
      <c r="HXS27" s="19"/>
      <c r="HXT27" s="19"/>
      <c r="HXU27" s="19"/>
      <c r="HXV27" s="19"/>
      <c r="HXW27" s="19"/>
      <c r="HXX27" s="19"/>
      <c r="HXY27" s="19"/>
      <c r="HXZ27" s="19"/>
      <c r="HYA27" s="19"/>
      <c r="HYB27" s="19"/>
      <c r="HYC27" s="19"/>
      <c r="HYD27" s="19"/>
      <c r="HYE27" s="19"/>
      <c r="HYF27" s="19"/>
      <c r="HYG27" s="19"/>
      <c r="HYH27" s="19"/>
      <c r="HYI27" s="19"/>
      <c r="HYJ27" s="19"/>
      <c r="HYK27" s="19"/>
      <c r="HYL27" s="19"/>
      <c r="HYM27" s="19"/>
      <c r="HYN27" s="19"/>
      <c r="HYO27" s="19"/>
      <c r="HYP27" s="19"/>
      <c r="HYQ27" s="19"/>
      <c r="HYR27" s="19"/>
      <c r="HYS27" s="19"/>
      <c r="HYT27" s="19"/>
      <c r="HYU27" s="19"/>
      <c r="HYV27" s="19"/>
      <c r="HYW27" s="19"/>
      <c r="HYX27" s="19"/>
      <c r="HYY27" s="19"/>
      <c r="HYZ27" s="19"/>
      <c r="HZA27" s="19"/>
      <c r="HZB27" s="19"/>
      <c r="HZC27" s="19"/>
      <c r="HZD27" s="19"/>
      <c r="HZE27" s="19"/>
      <c r="HZF27" s="19"/>
      <c r="HZG27" s="19"/>
      <c r="HZH27" s="19"/>
      <c r="HZI27" s="19"/>
      <c r="HZJ27" s="19"/>
      <c r="HZK27" s="19"/>
      <c r="HZL27" s="19"/>
      <c r="HZM27" s="19"/>
      <c r="HZN27" s="19"/>
      <c r="HZO27" s="19"/>
      <c r="HZP27" s="19"/>
      <c r="HZQ27" s="19"/>
      <c r="HZR27" s="19"/>
      <c r="HZS27" s="19"/>
      <c r="HZT27" s="19"/>
      <c r="HZU27" s="19"/>
      <c r="HZV27" s="19"/>
      <c r="HZW27" s="19"/>
      <c r="HZX27" s="19"/>
      <c r="HZY27" s="19"/>
      <c r="HZZ27" s="19"/>
      <c r="IAA27" s="19"/>
      <c r="IAB27" s="19"/>
      <c r="IAC27" s="19"/>
      <c r="IAD27" s="19"/>
      <c r="IAE27" s="19"/>
      <c r="IAF27" s="19"/>
      <c r="IAG27" s="19"/>
      <c r="IAH27" s="19"/>
      <c r="IAI27" s="19"/>
      <c r="IAJ27" s="19"/>
      <c r="IAK27" s="19"/>
      <c r="IAL27" s="19"/>
      <c r="IAM27" s="19"/>
      <c r="IAN27" s="19"/>
      <c r="IAO27" s="19"/>
      <c r="IAP27" s="19"/>
      <c r="IAQ27" s="19"/>
      <c r="IAR27" s="19"/>
      <c r="IAS27" s="19"/>
      <c r="IAT27" s="19"/>
      <c r="IAU27" s="19"/>
      <c r="IAV27" s="19"/>
      <c r="IAW27" s="19"/>
      <c r="IAX27" s="19"/>
      <c r="IAY27" s="19"/>
      <c r="IAZ27" s="19"/>
      <c r="IBA27" s="19"/>
      <c r="IBB27" s="19"/>
      <c r="IBC27" s="19"/>
      <c r="IBD27" s="19"/>
      <c r="IBE27" s="19"/>
      <c r="IBF27" s="19"/>
      <c r="IBG27" s="19"/>
      <c r="IBH27" s="19"/>
      <c r="IBI27" s="19"/>
      <c r="IBJ27" s="19"/>
      <c r="IBK27" s="19"/>
      <c r="IBL27" s="19"/>
      <c r="IBM27" s="19"/>
      <c r="IBN27" s="19"/>
      <c r="IBO27" s="19"/>
      <c r="IBP27" s="19"/>
      <c r="IBQ27" s="19"/>
      <c r="IBR27" s="19"/>
      <c r="IBS27" s="19"/>
      <c r="IBT27" s="19"/>
      <c r="IBU27" s="19"/>
      <c r="IBV27" s="19"/>
      <c r="IBW27" s="19"/>
      <c r="IBX27" s="19"/>
      <c r="IBY27" s="19"/>
      <c r="IBZ27" s="19"/>
      <c r="ICA27" s="19"/>
      <c r="ICB27" s="19"/>
      <c r="ICC27" s="19"/>
      <c r="ICD27" s="19"/>
      <c r="ICE27" s="19"/>
      <c r="ICF27" s="19"/>
      <c r="ICG27" s="19"/>
      <c r="ICH27" s="19"/>
      <c r="ICI27" s="19"/>
      <c r="ICJ27" s="19"/>
      <c r="ICK27" s="19"/>
      <c r="ICL27" s="19"/>
      <c r="ICM27" s="19"/>
      <c r="ICN27" s="19"/>
      <c r="ICO27" s="19"/>
      <c r="ICP27" s="19"/>
      <c r="ICQ27" s="19"/>
      <c r="ICR27" s="19"/>
      <c r="ICS27" s="19"/>
      <c r="ICT27" s="19"/>
      <c r="ICU27" s="19"/>
      <c r="ICV27" s="19"/>
      <c r="ICW27" s="19"/>
      <c r="ICX27" s="19"/>
      <c r="ICY27" s="19"/>
      <c r="ICZ27" s="19"/>
      <c r="IDA27" s="19"/>
      <c r="IDB27" s="19"/>
      <c r="IDC27" s="19"/>
      <c r="IDD27" s="19"/>
      <c r="IDE27" s="19"/>
      <c r="IDF27" s="19"/>
      <c r="IDG27" s="19"/>
      <c r="IDH27" s="19"/>
      <c r="IDI27" s="19"/>
      <c r="IDJ27" s="19"/>
      <c r="IDK27" s="19"/>
      <c r="IDL27" s="19"/>
      <c r="IDM27" s="19"/>
      <c r="IDN27" s="19"/>
      <c r="IDO27" s="19"/>
      <c r="IDP27" s="19"/>
      <c r="IDQ27" s="19"/>
      <c r="IDR27" s="19"/>
      <c r="IDS27" s="19"/>
      <c r="IDT27" s="19"/>
      <c r="IDU27" s="19"/>
      <c r="IDV27" s="19"/>
      <c r="IDW27" s="19"/>
      <c r="IDX27" s="19"/>
      <c r="IDY27" s="19"/>
      <c r="IDZ27" s="19"/>
      <c r="IEA27" s="19"/>
      <c r="IEB27" s="19"/>
      <c r="IEC27" s="19"/>
      <c r="IED27" s="19"/>
      <c r="IEE27" s="19"/>
      <c r="IEF27" s="19"/>
      <c r="IEG27" s="19"/>
      <c r="IEH27" s="19"/>
      <c r="IEI27" s="19"/>
      <c r="IEJ27" s="19"/>
      <c r="IEK27" s="19"/>
      <c r="IEL27" s="19"/>
      <c r="IEM27" s="19"/>
      <c r="IEN27" s="19"/>
      <c r="IEO27" s="19"/>
      <c r="IEP27" s="19"/>
      <c r="IEQ27" s="19"/>
      <c r="IER27" s="19"/>
      <c r="IES27" s="19"/>
      <c r="IET27" s="19"/>
      <c r="IEU27" s="19"/>
      <c r="IEV27" s="19"/>
      <c r="IEW27" s="19"/>
      <c r="IEX27" s="19"/>
      <c r="IEY27" s="19"/>
      <c r="IEZ27" s="19"/>
      <c r="IFA27" s="19"/>
      <c r="IFB27" s="19"/>
      <c r="IFC27" s="19"/>
      <c r="IFD27" s="19"/>
      <c r="IFE27" s="19"/>
      <c r="IFF27" s="19"/>
      <c r="IFG27" s="19"/>
      <c r="IFH27" s="19"/>
      <c r="IFI27" s="19"/>
      <c r="IFJ27" s="19"/>
      <c r="IFK27" s="19"/>
      <c r="IFL27" s="19"/>
      <c r="IFM27" s="19"/>
      <c r="IFN27" s="19"/>
      <c r="IFO27" s="19"/>
      <c r="IFP27" s="19"/>
      <c r="IFQ27" s="19"/>
      <c r="IFR27" s="19"/>
      <c r="IFS27" s="19"/>
      <c r="IFT27" s="19"/>
      <c r="IFU27" s="19"/>
      <c r="IFV27" s="19"/>
      <c r="IFW27" s="19"/>
      <c r="IFX27" s="19"/>
      <c r="IFY27" s="19"/>
      <c r="IFZ27" s="19"/>
      <c r="IGA27" s="19"/>
      <c r="IGB27" s="19"/>
      <c r="IGC27" s="19"/>
      <c r="IGD27" s="19"/>
      <c r="IGE27" s="19"/>
      <c r="IGF27" s="19"/>
      <c r="IGG27" s="19"/>
      <c r="IGH27" s="19"/>
      <c r="IGI27" s="19"/>
      <c r="IGJ27" s="19"/>
      <c r="IGK27" s="19"/>
      <c r="IGL27" s="19"/>
      <c r="IGM27" s="19"/>
      <c r="IGN27" s="19"/>
      <c r="IGO27" s="19"/>
      <c r="IGP27" s="19"/>
      <c r="IGQ27" s="19"/>
      <c r="IGR27" s="19"/>
      <c r="IGS27" s="19"/>
      <c r="IGT27" s="19"/>
      <c r="IGU27" s="19"/>
      <c r="IGV27" s="19"/>
      <c r="IGW27" s="19"/>
      <c r="IGX27" s="19"/>
      <c r="IGY27" s="19"/>
      <c r="IGZ27" s="19"/>
      <c r="IHA27" s="19"/>
      <c r="IHB27" s="19"/>
      <c r="IHC27" s="19"/>
      <c r="IHD27" s="19"/>
      <c r="IHE27" s="19"/>
      <c r="IHF27" s="19"/>
      <c r="IHG27" s="19"/>
      <c r="IHH27" s="19"/>
      <c r="IHI27" s="19"/>
      <c r="IHJ27" s="19"/>
      <c r="IHK27" s="19"/>
      <c r="IHL27" s="19"/>
      <c r="IHM27" s="19"/>
      <c r="IHN27" s="19"/>
      <c r="IHO27" s="19"/>
      <c r="IHP27" s="19"/>
      <c r="IHQ27" s="19"/>
      <c r="IHR27" s="19"/>
      <c r="IHS27" s="19"/>
      <c r="IHT27" s="19"/>
      <c r="IHU27" s="19"/>
      <c r="IHV27" s="19"/>
      <c r="IHW27" s="19"/>
      <c r="IHX27" s="19"/>
      <c r="IHY27" s="19"/>
      <c r="IHZ27" s="19"/>
      <c r="IIA27" s="19"/>
      <c r="IIB27" s="19"/>
      <c r="IIC27" s="19"/>
      <c r="IID27" s="19"/>
      <c r="IIE27" s="19"/>
      <c r="IIF27" s="19"/>
      <c r="IIG27" s="19"/>
      <c r="IIH27" s="19"/>
      <c r="III27" s="19"/>
      <c r="IIJ27" s="19"/>
      <c r="IIK27" s="19"/>
      <c r="IIL27" s="19"/>
      <c r="IIM27" s="19"/>
      <c r="IIN27" s="19"/>
      <c r="IIO27" s="19"/>
      <c r="IIP27" s="19"/>
      <c r="IIQ27" s="19"/>
      <c r="IIR27" s="19"/>
      <c r="IIS27" s="19"/>
      <c r="IIT27" s="19"/>
      <c r="IIU27" s="19"/>
      <c r="IIV27" s="19"/>
      <c r="IIW27" s="19"/>
      <c r="IIX27" s="19"/>
      <c r="IIY27" s="19"/>
      <c r="IIZ27" s="19"/>
      <c r="IJA27" s="19"/>
      <c r="IJB27" s="19"/>
      <c r="IJC27" s="19"/>
      <c r="IJD27" s="19"/>
      <c r="IJE27" s="19"/>
      <c r="IJF27" s="19"/>
      <c r="IJG27" s="19"/>
      <c r="IJH27" s="19"/>
      <c r="IJI27" s="19"/>
      <c r="IJJ27" s="19"/>
      <c r="IJK27" s="19"/>
      <c r="IJL27" s="19"/>
      <c r="IJM27" s="19"/>
      <c r="IJN27" s="19"/>
      <c r="IJO27" s="19"/>
      <c r="IJP27" s="19"/>
      <c r="IJQ27" s="19"/>
      <c r="IJR27" s="19"/>
      <c r="IJS27" s="19"/>
      <c r="IJT27" s="19"/>
      <c r="IJU27" s="19"/>
      <c r="IJV27" s="19"/>
      <c r="IJW27" s="19"/>
      <c r="IJX27" s="19"/>
      <c r="IJY27" s="19"/>
      <c r="IJZ27" s="19"/>
      <c r="IKA27" s="19"/>
      <c r="IKB27" s="19"/>
      <c r="IKC27" s="19"/>
      <c r="IKD27" s="19"/>
      <c r="IKE27" s="19"/>
      <c r="IKF27" s="19"/>
      <c r="IKG27" s="19"/>
      <c r="IKH27" s="19"/>
      <c r="IKI27" s="19"/>
      <c r="IKJ27" s="19"/>
      <c r="IKK27" s="19"/>
      <c r="IKL27" s="19"/>
      <c r="IKM27" s="19"/>
      <c r="IKN27" s="19"/>
      <c r="IKO27" s="19"/>
      <c r="IKP27" s="19"/>
      <c r="IKQ27" s="19"/>
      <c r="IKR27" s="19"/>
      <c r="IKS27" s="19"/>
      <c r="IKT27" s="19"/>
      <c r="IKU27" s="19"/>
      <c r="IKV27" s="19"/>
      <c r="IKW27" s="19"/>
      <c r="IKX27" s="19"/>
      <c r="IKY27" s="19"/>
      <c r="IKZ27" s="19"/>
      <c r="ILA27" s="19"/>
      <c r="ILB27" s="19"/>
      <c r="ILC27" s="19"/>
      <c r="ILD27" s="19"/>
      <c r="ILE27" s="19"/>
      <c r="ILF27" s="19"/>
      <c r="ILG27" s="19"/>
      <c r="ILH27" s="19"/>
      <c r="ILI27" s="19"/>
      <c r="ILJ27" s="19"/>
      <c r="ILK27" s="19"/>
      <c r="ILL27" s="19"/>
      <c r="ILM27" s="19"/>
      <c r="ILN27" s="19"/>
      <c r="ILO27" s="19"/>
      <c r="ILP27" s="19"/>
      <c r="ILQ27" s="19"/>
      <c r="ILR27" s="19"/>
      <c r="ILS27" s="19"/>
      <c r="ILT27" s="19"/>
      <c r="ILU27" s="19"/>
      <c r="ILV27" s="19"/>
      <c r="ILW27" s="19"/>
      <c r="ILX27" s="19"/>
      <c r="ILY27" s="19"/>
      <c r="ILZ27" s="19"/>
      <c r="IMA27" s="19"/>
      <c r="IMB27" s="19"/>
      <c r="IMC27" s="19"/>
      <c r="IMD27" s="19"/>
      <c r="IME27" s="19"/>
      <c r="IMF27" s="19"/>
      <c r="IMG27" s="19"/>
      <c r="IMH27" s="19"/>
      <c r="IMI27" s="19"/>
      <c r="IMJ27" s="19"/>
      <c r="IMK27" s="19"/>
      <c r="IML27" s="19"/>
      <c r="IMM27" s="19"/>
      <c r="IMN27" s="19"/>
      <c r="IMO27" s="19"/>
      <c r="IMP27" s="19"/>
      <c r="IMQ27" s="19"/>
      <c r="IMR27" s="19"/>
      <c r="IMS27" s="19"/>
      <c r="IMT27" s="19"/>
      <c r="IMU27" s="19"/>
      <c r="IMV27" s="19"/>
      <c r="IMW27" s="19"/>
      <c r="IMX27" s="19"/>
      <c r="IMY27" s="19"/>
      <c r="IMZ27" s="19"/>
      <c r="INA27" s="19"/>
      <c r="INB27" s="19"/>
      <c r="INC27" s="19"/>
      <c r="IND27" s="19"/>
      <c r="INE27" s="19"/>
      <c r="INF27" s="19"/>
      <c r="ING27" s="19"/>
      <c r="INH27" s="19"/>
      <c r="INI27" s="19"/>
      <c r="INJ27" s="19"/>
      <c r="INK27" s="19"/>
      <c r="INL27" s="19"/>
      <c r="INM27" s="19"/>
      <c r="INN27" s="19"/>
      <c r="INO27" s="19"/>
      <c r="INP27" s="19"/>
      <c r="INQ27" s="19"/>
      <c r="INR27" s="19"/>
      <c r="INS27" s="19"/>
      <c r="INT27" s="19"/>
      <c r="INU27" s="19"/>
      <c r="INV27" s="19"/>
      <c r="INW27" s="19"/>
      <c r="INX27" s="19"/>
      <c r="INY27" s="19"/>
      <c r="INZ27" s="19"/>
      <c r="IOA27" s="19"/>
      <c r="IOB27" s="19"/>
      <c r="IOC27" s="19"/>
      <c r="IOD27" s="19"/>
      <c r="IOE27" s="19"/>
      <c r="IOF27" s="19"/>
      <c r="IOG27" s="19"/>
      <c r="IOH27" s="19"/>
      <c r="IOI27" s="19"/>
      <c r="IOJ27" s="19"/>
      <c r="IOK27" s="19"/>
      <c r="IOL27" s="19"/>
      <c r="IOM27" s="19"/>
      <c r="ION27" s="19"/>
      <c r="IOO27" s="19"/>
      <c r="IOP27" s="19"/>
      <c r="IOQ27" s="19"/>
      <c r="IOR27" s="19"/>
      <c r="IOS27" s="19"/>
      <c r="IOT27" s="19"/>
      <c r="IOU27" s="19"/>
      <c r="IOV27" s="19"/>
      <c r="IOW27" s="19"/>
      <c r="IOX27" s="19"/>
      <c r="IOY27" s="19"/>
      <c r="IOZ27" s="19"/>
      <c r="IPA27" s="19"/>
      <c r="IPB27" s="19"/>
      <c r="IPC27" s="19"/>
      <c r="IPD27" s="19"/>
      <c r="IPE27" s="19"/>
      <c r="IPF27" s="19"/>
      <c r="IPG27" s="19"/>
      <c r="IPH27" s="19"/>
      <c r="IPI27" s="19"/>
      <c r="IPJ27" s="19"/>
      <c r="IPK27" s="19"/>
      <c r="IPL27" s="19"/>
      <c r="IPM27" s="19"/>
      <c r="IPN27" s="19"/>
      <c r="IPO27" s="19"/>
      <c r="IPP27" s="19"/>
      <c r="IPQ27" s="19"/>
      <c r="IPR27" s="19"/>
      <c r="IPS27" s="19"/>
      <c r="IPT27" s="19"/>
      <c r="IPU27" s="19"/>
      <c r="IPV27" s="19"/>
      <c r="IPW27" s="19"/>
      <c r="IPX27" s="19"/>
      <c r="IPY27" s="19"/>
      <c r="IPZ27" s="19"/>
      <c r="IQA27" s="19"/>
      <c r="IQB27" s="19"/>
      <c r="IQC27" s="19"/>
      <c r="IQD27" s="19"/>
      <c r="IQE27" s="19"/>
      <c r="IQF27" s="19"/>
      <c r="IQG27" s="19"/>
      <c r="IQH27" s="19"/>
      <c r="IQI27" s="19"/>
      <c r="IQJ27" s="19"/>
      <c r="IQK27" s="19"/>
      <c r="IQL27" s="19"/>
      <c r="IQM27" s="19"/>
      <c r="IQN27" s="19"/>
      <c r="IQO27" s="19"/>
      <c r="IQP27" s="19"/>
      <c r="IQQ27" s="19"/>
      <c r="IQR27" s="19"/>
      <c r="IQS27" s="19"/>
      <c r="IQT27" s="19"/>
      <c r="IQU27" s="19"/>
      <c r="IQV27" s="19"/>
      <c r="IQW27" s="19"/>
      <c r="IQX27" s="19"/>
      <c r="IQY27" s="19"/>
      <c r="IQZ27" s="19"/>
      <c r="IRA27" s="19"/>
      <c r="IRB27" s="19"/>
      <c r="IRC27" s="19"/>
      <c r="IRD27" s="19"/>
      <c r="IRE27" s="19"/>
      <c r="IRF27" s="19"/>
      <c r="IRG27" s="19"/>
      <c r="IRH27" s="19"/>
      <c r="IRI27" s="19"/>
      <c r="IRJ27" s="19"/>
      <c r="IRK27" s="19"/>
      <c r="IRL27" s="19"/>
      <c r="IRM27" s="19"/>
      <c r="IRN27" s="19"/>
      <c r="IRO27" s="19"/>
      <c r="IRP27" s="19"/>
      <c r="IRQ27" s="19"/>
      <c r="IRR27" s="19"/>
      <c r="IRS27" s="19"/>
      <c r="IRT27" s="19"/>
      <c r="IRU27" s="19"/>
      <c r="IRV27" s="19"/>
      <c r="IRW27" s="19"/>
      <c r="IRX27" s="19"/>
      <c r="IRY27" s="19"/>
      <c r="IRZ27" s="19"/>
      <c r="ISA27" s="19"/>
      <c r="ISB27" s="19"/>
      <c r="ISC27" s="19"/>
      <c r="ISD27" s="19"/>
      <c r="ISE27" s="19"/>
      <c r="ISF27" s="19"/>
      <c r="ISG27" s="19"/>
      <c r="ISH27" s="19"/>
      <c r="ISI27" s="19"/>
      <c r="ISJ27" s="19"/>
      <c r="ISK27" s="19"/>
      <c r="ISL27" s="19"/>
      <c r="ISM27" s="19"/>
      <c r="ISN27" s="19"/>
      <c r="ISO27" s="19"/>
      <c r="ISP27" s="19"/>
      <c r="ISQ27" s="19"/>
      <c r="ISR27" s="19"/>
      <c r="ISS27" s="19"/>
      <c r="IST27" s="19"/>
      <c r="ISU27" s="19"/>
      <c r="ISV27" s="19"/>
      <c r="ISW27" s="19"/>
      <c r="ISX27" s="19"/>
      <c r="ISY27" s="19"/>
      <c r="ISZ27" s="19"/>
      <c r="ITA27" s="19"/>
      <c r="ITB27" s="19"/>
      <c r="ITC27" s="19"/>
      <c r="ITD27" s="19"/>
      <c r="ITE27" s="19"/>
      <c r="ITF27" s="19"/>
      <c r="ITG27" s="19"/>
      <c r="ITH27" s="19"/>
      <c r="ITI27" s="19"/>
      <c r="ITJ27" s="19"/>
      <c r="ITK27" s="19"/>
      <c r="ITL27" s="19"/>
      <c r="ITM27" s="19"/>
      <c r="ITN27" s="19"/>
      <c r="ITO27" s="19"/>
      <c r="ITP27" s="19"/>
      <c r="ITQ27" s="19"/>
      <c r="ITR27" s="19"/>
      <c r="ITS27" s="19"/>
      <c r="ITT27" s="19"/>
      <c r="ITU27" s="19"/>
      <c r="ITV27" s="19"/>
      <c r="ITW27" s="19"/>
      <c r="ITX27" s="19"/>
      <c r="ITY27" s="19"/>
      <c r="ITZ27" s="19"/>
      <c r="IUA27" s="19"/>
      <c r="IUB27" s="19"/>
      <c r="IUC27" s="19"/>
      <c r="IUD27" s="19"/>
      <c r="IUE27" s="19"/>
      <c r="IUF27" s="19"/>
      <c r="IUG27" s="19"/>
      <c r="IUH27" s="19"/>
      <c r="IUI27" s="19"/>
      <c r="IUJ27" s="19"/>
      <c r="IUK27" s="19"/>
      <c r="IUL27" s="19"/>
      <c r="IUM27" s="19"/>
      <c r="IUN27" s="19"/>
      <c r="IUO27" s="19"/>
      <c r="IUP27" s="19"/>
      <c r="IUQ27" s="19"/>
      <c r="IUR27" s="19"/>
      <c r="IUS27" s="19"/>
      <c r="IUT27" s="19"/>
      <c r="IUU27" s="19"/>
      <c r="IUV27" s="19"/>
      <c r="IUW27" s="19"/>
      <c r="IUX27" s="19"/>
      <c r="IUY27" s="19"/>
      <c r="IUZ27" s="19"/>
      <c r="IVA27" s="19"/>
      <c r="IVB27" s="19"/>
      <c r="IVC27" s="19"/>
      <c r="IVD27" s="19"/>
      <c r="IVE27" s="19"/>
      <c r="IVF27" s="19"/>
      <c r="IVG27" s="19"/>
      <c r="IVH27" s="19"/>
      <c r="IVI27" s="19"/>
      <c r="IVJ27" s="19"/>
      <c r="IVK27" s="19"/>
      <c r="IVL27" s="19"/>
      <c r="IVM27" s="19"/>
      <c r="IVN27" s="19"/>
      <c r="IVO27" s="19"/>
      <c r="IVP27" s="19"/>
      <c r="IVQ27" s="19"/>
      <c r="IVR27" s="19"/>
      <c r="IVS27" s="19"/>
      <c r="IVT27" s="19"/>
      <c r="IVU27" s="19"/>
      <c r="IVV27" s="19"/>
      <c r="IVW27" s="19"/>
      <c r="IVX27" s="19"/>
      <c r="IVY27" s="19"/>
      <c r="IVZ27" s="19"/>
      <c r="IWA27" s="19"/>
      <c r="IWB27" s="19"/>
      <c r="IWC27" s="19"/>
      <c r="IWD27" s="19"/>
      <c r="IWE27" s="19"/>
      <c r="IWF27" s="19"/>
      <c r="IWG27" s="19"/>
      <c r="IWH27" s="19"/>
      <c r="IWI27" s="19"/>
      <c r="IWJ27" s="19"/>
      <c r="IWK27" s="19"/>
      <c r="IWL27" s="19"/>
      <c r="IWM27" s="19"/>
      <c r="IWN27" s="19"/>
      <c r="IWO27" s="19"/>
      <c r="IWP27" s="19"/>
      <c r="IWQ27" s="19"/>
      <c r="IWR27" s="19"/>
      <c r="IWS27" s="19"/>
      <c r="IWT27" s="19"/>
      <c r="IWU27" s="19"/>
      <c r="IWV27" s="19"/>
      <c r="IWW27" s="19"/>
      <c r="IWX27" s="19"/>
      <c r="IWY27" s="19"/>
      <c r="IWZ27" s="19"/>
      <c r="IXA27" s="19"/>
      <c r="IXB27" s="19"/>
      <c r="IXC27" s="19"/>
      <c r="IXD27" s="19"/>
      <c r="IXE27" s="19"/>
      <c r="IXF27" s="19"/>
      <c r="IXG27" s="19"/>
      <c r="IXH27" s="19"/>
      <c r="IXI27" s="19"/>
      <c r="IXJ27" s="19"/>
      <c r="IXK27" s="19"/>
      <c r="IXL27" s="19"/>
      <c r="IXM27" s="19"/>
      <c r="IXN27" s="19"/>
      <c r="IXO27" s="19"/>
      <c r="IXP27" s="19"/>
      <c r="IXQ27" s="19"/>
      <c r="IXR27" s="19"/>
      <c r="IXS27" s="19"/>
      <c r="IXT27" s="19"/>
      <c r="IXU27" s="19"/>
      <c r="IXV27" s="19"/>
      <c r="IXW27" s="19"/>
      <c r="IXX27" s="19"/>
      <c r="IXY27" s="19"/>
      <c r="IXZ27" s="19"/>
      <c r="IYA27" s="19"/>
      <c r="IYB27" s="19"/>
      <c r="IYC27" s="19"/>
      <c r="IYD27" s="19"/>
      <c r="IYE27" s="19"/>
      <c r="IYF27" s="19"/>
      <c r="IYG27" s="19"/>
      <c r="IYH27" s="19"/>
      <c r="IYI27" s="19"/>
      <c r="IYJ27" s="19"/>
      <c r="IYK27" s="19"/>
      <c r="IYL27" s="19"/>
      <c r="IYM27" s="19"/>
      <c r="IYN27" s="19"/>
      <c r="IYO27" s="19"/>
      <c r="IYP27" s="19"/>
      <c r="IYQ27" s="19"/>
      <c r="IYR27" s="19"/>
      <c r="IYS27" s="19"/>
      <c r="IYT27" s="19"/>
      <c r="IYU27" s="19"/>
      <c r="IYV27" s="19"/>
      <c r="IYW27" s="19"/>
      <c r="IYX27" s="19"/>
      <c r="IYY27" s="19"/>
      <c r="IYZ27" s="19"/>
      <c r="IZA27" s="19"/>
      <c r="IZB27" s="19"/>
      <c r="IZC27" s="19"/>
      <c r="IZD27" s="19"/>
      <c r="IZE27" s="19"/>
      <c r="IZF27" s="19"/>
      <c r="IZG27" s="19"/>
      <c r="IZH27" s="19"/>
      <c r="IZI27" s="19"/>
      <c r="IZJ27" s="19"/>
      <c r="IZK27" s="19"/>
      <c r="IZL27" s="19"/>
      <c r="IZM27" s="19"/>
      <c r="IZN27" s="19"/>
      <c r="IZO27" s="19"/>
      <c r="IZP27" s="19"/>
      <c r="IZQ27" s="19"/>
      <c r="IZR27" s="19"/>
      <c r="IZS27" s="19"/>
      <c r="IZT27" s="19"/>
      <c r="IZU27" s="19"/>
      <c r="IZV27" s="19"/>
      <c r="IZW27" s="19"/>
      <c r="IZX27" s="19"/>
      <c r="IZY27" s="19"/>
      <c r="IZZ27" s="19"/>
      <c r="JAA27" s="19"/>
      <c r="JAB27" s="19"/>
      <c r="JAC27" s="19"/>
      <c r="JAD27" s="19"/>
      <c r="JAE27" s="19"/>
      <c r="JAF27" s="19"/>
      <c r="JAG27" s="19"/>
      <c r="JAH27" s="19"/>
      <c r="JAI27" s="19"/>
      <c r="JAJ27" s="19"/>
      <c r="JAK27" s="19"/>
      <c r="JAL27" s="19"/>
      <c r="JAM27" s="19"/>
      <c r="JAN27" s="19"/>
      <c r="JAO27" s="19"/>
      <c r="JAP27" s="19"/>
      <c r="JAQ27" s="19"/>
      <c r="JAR27" s="19"/>
      <c r="JAS27" s="19"/>
      <c r="JAT27" s="19"/>
      <c r="JAU27" s="19"/>
      <c r="JAV27" s="19"/>
      <c r="JAW27" s="19"/>
      <c r="JAX27" s="19"/>
      <c r="JAY27" s="19"/>
      <c r="JAZ27" s="19"/>
      <c r="JBA27" s="19"/>
      <c r="JBB27" s="19"/>
      <c r="JBC27" s="19"/>
      <c r="JBD27" s="19"/>
      <c r="JBE27" s="19"/>
      <c r="JBF27" s="19"/>
      <c r="JBG27" s="19"/>
      <c r="JBH27" s="19"/>
      <c r="JBI27" s="19"/>
      <c r="JBJ27" s="19"/>
      <c r="JBK27" s="19"/>
      <c r="JBL27" s="19"/>
      <c r="JBM27" s="19"/>
      <c r="JBN27" s="19"/>
      <c r="JBO27" s="19"/>
      <c r="JBP27" s="19"/>
      <c r="JBQ27" s="19"/>
      <c r="JBR27" s="19"/>
      <c r="JBS27" s="19"/>
      <c r="JBT27" s="19"/>
      <c r="JBU27" s="19"/>
      <c r="JBV27" s="19"/>
      <c r="JBW27" s="19"/>
      <c r="JBX27" s="19"/>
      <c r="JBY27" s="19"/>
      <c r="JBZ27" s="19"/>
      <c r="JCA27" s="19"/>
      <c r="JCB27" s="19"/>
      <c r="JCC27" s="19"/>
      <c r="JCD27" s="19"/>
      <c r="JCE27" s="19"/>
      <c r="JCF27" s="19"/>
      <c r="JCG27" s="19"/>
      <c r="JCH27" s="19"/>
      <c r="JCI27" s="19"/>
      <c r="JCJ27" s="19"/>
      <c r="JCK27" s="19"/>
      <c r="JCL27" s="19"/>
      <c r="JCM27" s="19"/>
      <c r="JCN27" s="19"/>
      <c r="JCO27" s="19"/>
      <c r="JCP27" s="19"/>
      <c r="JCQ27" s="19"/>
      <c r="JCR27" s="19"/>
      <c r="JCS27" s="19"/>
      <c r="JCT27" s="19"/>
      <c r="JCU27" s="19"/>
      <c r="JCV27" s="19"/>
      <c r="JCW27" s="19"/>
      <c r="JCX27" s="19"/>
      <c r="JCY27" s="19"/>
      <c r="JCZ27" s="19"/>
      <c r="JDA27" s="19"/>
      <c r="JDB27" s="19"/>
      <c r="JDC27" s="19"/>
      <c r="JDD27" s="19"/>
      <c r="JDE27" s="19"/>
      <c r="JDF27" s="19"/>
      <c r="JDG27" s="19"/>
      <c r="JDH27" s="19"/>
      <c r="JDI27" s="19"/>
      <c r="JDJ27" s="19"/>
      <c r="JDK27" s="19"/>
      <c r="JDL27" s="19"/>
      <c r="JDM27" s="19"/>
      <c r="JDN27" s="19"/>
      <c r="JDO27" s="19"/>
      <c r="JDP27" s="19"/>
      <c r="JDQ27" s="19"/>
      <c r="JDR27" s="19"/>
      <c r="JDS27" s="19"/>
      <c r="JDT27" s="19"/>
      <c r="JDU27" s="19"/>
      <c r="JDV27" s="19"/>
      <c r="JDW27" s="19"/>
      <c r="JDX27" s="19"/>
      <c r="JDY27" s="19"/>
      <c r="JDZ27" s="19"/>
      <c r="JEA27" s="19"/>
      <c r="JEB27" s="19"/>
      <c r="JEC27" s="19"/>
      <c r="JED27" s="19"/>
      <c r="JEE27" s="19"/>
      <c r="JEF27" s="19"/>
      <c r="JEG27" s="19"/>
      <c r="JEH27" s="19"/>
      <c r="JEI27" s="19"/>
      <c r="JEJ27" s="19"/>
      <c r="JEK27" s="19"/>
      <c r="JEL27" s="19"/>
      <c r="JEM27" s="19"/>
      <c r="JEN27" s="19"/>
      <c r="JEO27" s="19"/>
      <c r="JEP27" s="19"/>
      <c r="JEQ27" s="19"/>
      <c r="JER27" s="19"/>
      <c r="JES27" s="19"/>
      <c r="JET27" s="19"/>
      <c r="JEU27" s="19"/>
      <c r="JEV27" s="19"/>
      <c r="JEW27" s="19"/>
      <c r="JEX27" s="19"/>
      <c r="JEY27" s="19"/>
      <c r="JEZ27" s="19"/>
      <c r="JFA27" s="19"/>
      <c r="JFB27" s="19"/>
      <c r="JFC27" s="19"/>
      <c r="JFD27" s="19"/>
      <c r="JFE27" s="19"/>
      <c r="JFF27" s="19"/>
      <c r="JFG27" s="19"/>
      <c r="JFH27" s="19"/>
      <c r="JFI27" s="19"/>
      <c r="JFJ27" s="19"/>
      <c r="JFK27" s="19"/>
      <c r="JFL27" s="19"/>
      <c r="JFM27" s="19"/>
      <c r="JFN27" s="19"/>
      <c r="JFO27" s="19"/>
      <c r="JFP27" s="19"/>
      <c r="JFQ27" s="19"/>
      <c r="JFR27" s="19"/>
      <c r="JFS27" s="19"/>
      <c r="JFT27" s="19"/>
      <c r="JFU27" s="19"/>
      <c r="JFV27" s="19"/>
      <c r="JFW27" s="19"/>
      <c r="JFX27" s="19"/>
      <c r="JFY27" s="19"/>
      <c r="JFZ27" s="19"/>
      <c r="JGA27" s="19"/>
      <c r="JGB27" s="19"/>
      <c r="JGC27" s="19"/>
      <c r="JGD27" s="19"/>
      <c r="JGE27" s="19"/>
      <c r="JGF27" s="19"/>
      <c r="JGG27" s="19"/>
      <c r="JGH27" s="19"/>
      <c r="JGI27" s="19"/>
      <c r="JGJ27" s="19"/>
      <c r="JGK27" s="19"/>
      <c r="JGL27" s="19"/>
      <c r="JGM27" s="19"/>
      <c r="JGN27" s="19"/>
      <c r="JGO27" s="19"/>
      <c r="JGP27" s="19"/>
      <c r="JGQ27" s="19"/>
      <c r="JGR27" s="19"/>
      <c r="JGS27" s="19"/>
      <c r="JGT27" s="19"/>
      <c r="JGU27" s="19"/>
      <c r="JGV27" s="19"/>
      <c r="JGW27" s="19"/>
      <c r="JGX27" s="19"/>
      <c r="JGY27" s="19"/>
      <c r="JGZ27" s="19"/>
      <c r="JHA27" s="19"/>
      <c r="JHB27" s="19"/>
      <c r="JHC27" s="19"/>
      <c r="JHD27" s="19"/>
      <c r="JHE27" s="19"/>
      <c r="JHF27" s="19"/>
      <c r="JHG27" s="19"/>
      <c r="JHH27" s="19"/>
      <c r="JHI27" s="19"/>
      <c r="JHJ27" s="19"/>
      <c r="JHK27" s="19"/>
      <c r="JHL27" s="19"/>
      <c r="JHM27" s="19"/>
      <c r="JHN27" s="19"/>
      <c r="JHO27" s="19"/>
      <c r="JHP27" s="19"/>
      <c r="JHQ27" s="19"/>
      <c r="JHR27" s="19"/>
      <c r="JHS27" s="19"/>
      <c r="JHT27" s="19"/>
      <c r="JHU27" s="19"/>
      <c r="JHV27" s="19"/>
      <c r="JHW27" s="19"/>
      <c r="JHX27" s="19"/>
      <c r="JHY27" s="19"/>
      <c r="JHZ27" s="19"/>
      <c r="JIA27" s="19"/>
      <c r="JIB27" s="19"/>
      <c r="JIC27" s="19"/>
      <c r="JID27" s="19"/>
      <c r="JIE27" s="19"/>
      <c r="JIF27" s="19"/>
      <c r="JIG27" s="19"/>
      <c r="JIH27" s="19"/>
      <c r="JII27" s="19"/>
      <c r="JIJ27" s="19"/>
      <c r="JIK27" s="19"/>
      <c r="JIL27" s="19"/>
      <c r="JIM27" s="19"/>
      <c r="JIN27" s="19"/>
      <c r="JIO27" s="19"/>
      <c r="JIP27" s="19"/>
      <c r="JIQ27" s="19"/>
      <c r="JIR27" s="19"/>
      <c r="JIS27" s="19"/>
      <c r="JIT27" s="19"/>
      <c r="JIU27" s="19"/>
      <c r="JIV27" s="19"/>
      <c r="JIW27" s="19"/>
      <c r="JIX27" s="19"/>
      <c r="JIY27" s="19"/>
      <c r="JIZ27" s="19"/>
      <c r="JJA27" s="19"/>
      <c r="JJB27" s="19"/>
      <c r="JJC27" s="19"/>
      <c r="JJD27" s="19"/>
      <c r="JJE27" s="19"/>
      <c r="JJF27" s="19"/>
      <c r="JJG27" s="19"/>
      <c r="JJH27" s="19"/>
      <c r="JJI27" s="19"/>
      <c r="JJJ27" s="19"/>
      <c r="JJK27" s="19"/>
      <c r="JJL27" s="19"/>
      <c r="JJM27" s="19"/>
      <c r="JJN27" s="19"/>
      <c r="JJO27" s="19"/>
      <c r="JJP27" s="19"/>
      <c r="JJQ27" s="19"/>
      <c r="JJR27" s="19"/>
      <c r="JJS27" s="19"/>
      <c r="JJT27" s="19"/>
      <c r="JJU27" s="19"/>
      <c r="JJV27" s="19"/>
      <c r="JJW27" s="19"/>
      <c r="JJX27" s="19"/>
      <c r="JJY27" s="19"/>
      <c r="JJZ27" s="19"/>
      <c r="JKA27" s="19"/>
      <c r="JKB27" s="19"/>
      <c r="JKC27" s="19"/>
      <c r="JKD27" s="19"/>
      <c r="JKE27" s="19"/>
      <c r="JKF27" s="19"/>
      <c r="JKG27" s="19"/>
      <c r="JKH27" s="19"/>
      <c r="JKI27" s="19"/>
      <c r="JKJ27" s="19"/>
      <c r="JKK27" s="19"/>
      <c r="JKL27" s="19"/>
      <c r="JKM27" s="19"/>
      <c r="JKN27" s="19"/>
      <c r="JKO27" s="19"/>
      <c r="JKP27" s="19"/>
      <c r="JKQ27" s="19"/>
      <c r="JKR27" s="19"/>
      <c r="JKS27" s="19"/>
      <c r="JKT27" s="19"/>
      <c r="JKU27" s="19"/>
      <c r="JKV27" s="19"/>
      <c r="JKW27" s="19"/>
      <c r="JKX27" s="19"/>
      <c r="JKY27" s="19"/>
      <c r="JKZ27" s="19"/>
      <c r="JLA27" s="19"/>
      <c r="JLB27" s="19"/>
      <c r="JLC27" s="19"/>
      <c r="JLD27" s="19"/>
      <c r="JLE27" s="19"/>
      <c r="JLF27" s="19"/>
      <c r="JLG27" s="19"/>
      <c r="JLH27" s="19"/>
      <c r="JLI27" s="19"/>
      <c r="JLJ27" s="19"/>
      <c r="JLK27" s="19"/>
      <c r="JLL27" s="19"/>
      <c r="JLM27" s="19"/>
      <c r="JLN27" s="19"/>
      <c r="JLO27" s="19"/>
      <c r="JLP27" s="19"/>
      <c r="JLQ27" s="19"/>
      <c r="JLR27" s="19"/>
      <c r="JLS27" s="19"/>
      <c r="JLT27" s="19"/>
      <c r="JLU27" s="19"/>
      <c r="JLV27" s="19"/>
      <c r="JLW27" s="19"/>
      <c r="JLX27" s="19"/>
      <c r="JLY27" s="19"/>
      <c r="JLZ27" s="19"/>
      <c r="JMA27" s="19"/>
      <c r="JMB27" s="19"/>
      <c r="JMC27" s="19"/>
      <c r="JMD27" s="19"/>
      <c r="JME27" s="19"/>
      <c r="JMF27" s="19"/>
      <c r="JMG27" s="19"/>
      <c r="JMH27" s="19"/>
      <c r="JMI27" s="19"/>
      <c r="JMJ27" s="19"/>
      <c r="JMK27" s="19"/>
      <c r="JML27" s="19"/>
      <c r="JMM27" s="19"/>
      <c r="JMN27" s="19"/>
      <c r="JMO27" s="19"/>
      <c r="JMP27" s="19"/>
      <c r="JMQ27" s="19"/>
      <c r="JMR27" s="19"/>
      <c r="JMS27" s="19"/>
      <c r="JMT27" s="19"/>
      <c r="JMU27" s="19"/>
      <c r="JMV27" s="19"/>
      <c r="JMW27" s="19"/>
      <c r="JMX27" s="19"/>
      <c r="JMY27" s="19"/>
      <c r="JMZ27" s="19"/>
      <c r="JNA27" s="19"/>
      <c r="JNB27" s="19"/>
      <c r="JNC27" s="19"/>
      <c r="JND27" s="19"/>
      <c r="JNE27" s="19"/>
      <c r="JNF27" s="19"/>
      <c r="JNG27" s="19"/>
      <c r="JNH27" s="19"/>
      <c r="JNI27" s="19"/>
      <c r="JNJ27" s="19"/>
      <c r="JNK27" s="19"/>
      <c r="JNL27" s="19"/>
      <c r="JNM27" s="19"/>
      <c r="JNN27" s="19"/>
      <c r="JNO27" s="19"/>
      <c r="JNP27" s="19"/>
      <c r="JNQ27" s="19"/>
      <c r="JNR27" s="19"/>
      <c r="JNS27" s="19"/>
      <c r="JNT27" s="19"/>
      <c r="JNU27" s="19"/>
      <c r="JNV27" s="19"/>
      <c r="JNW27" s="19"/>
      <c r="JNX27" s="19"/>
      <c r="JNY27" s="19"/>
      <c r="JNZ27" s="19"/>
      <c r="JOA27" s="19"/>
      <c r="JOB27" s="19"/>
      <c r="JOC27" s="19"/>
      <c r="JOD27" s="19"/>
      <c r="JOE27" s="19"/>
      <c r="JOF27" s="19"/>
      <c r="JOG27" s="19"/>
      <c r="JOH27" s="19"/>
      <c r="JOI27" s="19"/>
      <c r="JOJ27" s="19"/>
      <c r="JOK27" s="19"/>
      <c r="JOL27" s="19"/>
      <c r="JOM27" s="19"/>
      <c r="JON27" s="19"/>
      <c r="JOO27" s="19"/>
      <c r="JOP27" s="19"/>
      <c r="JOQ27" s="19"/>
      <c r="JOR27" s="19"/>
      <c r="JOS27" s="19"/>
      <c r="JOT27" s="19"/>
      <c r="JOU27" s="19"/>
      <c r="JOV27" s="19"/>
      <c r="JOW27" s="19"/>
      <c r="JOX27" s="19"/>
      <c r="JOY27" s="19"/>
      <c r="JOZ27" s="19"/>
      <c r="JPA27" s="19"/>
      <c r="JPB27" s="19"/>
      <c r="JPC27" s="19"/>
      <c r="JPD27" s="19"/>
      <c r="JPE27" s="19"/>
      <c r="JPF27" s="19"/>
      <c r="JPG27" s="19"/>
      <c r="JPH27" s="19"/>
      <c r="JPI27" s="19"/>
      <c r="JPJ27" s="19"/>
      <c r="JPK27" s="19"/>
      <c r="JPL27" s="19"/>
      <c r="JPM27" s="19"/>
      <c r="JPN27" s="19"/>
      <c r="JPO27" s="19"/>
      <c r="JPP27" s="19"/>
      <c r="JPQ27" s="19"/>
      <c r="JPR27" s="19"/>
      <c r="JPS27" s="19"/>
      <c r="JPT27" s="19"/>
      <c r="JPU27" s="19"/>
      <c r="JPV27" s="19"/>
      <c r="JPW27" s="19"/>
      <c r="JPX27" s="19"/>
      <c r="JPY27" s="19"/>
      <c r="JPZ27" s="19"/>
      <c r="JQA27" s="19"/>
      <c r="JQB27" s="19"/>
      <c r="JQC27" s="19"/>
      <c r="JQD27" s="19"/>
      <c r="JQE27" s="19"/>
      <c r="JQF27" s="19"/>
      <c r="JQG27" s="19"/>
      <c r="JQH27" s="19"/>
      <c r="JQI27" s="19"/>
      <c r="JQJ27" s="19"/>
      <c r="JQK27" s="19"/>
      <c r="JQL27" s="19"/>
      <c r="JQM27" s="19"/>
      <c r="JQN27" s="19"/>
      <c r="JQO27" s="19"/>
      <c r="JQP27" s="19"/>
      <c r="JQQ27" s="19"/>
      <c r="JQR27" s="19"/>
      <c r="JQS27" s="19"/>
      <c r="JQT27" s="19"/>
      <c r="JQU27" s="19"/>
      <c r="JQV27" s="19"/>
      <c r="JQW27" s="19"/>
      <c r="JQX27" s="19"/>
      <c r="JQY27" s="19"/>
      <c r="JQZ27" s="19"/>
      <c r="JRA27" s="19"/>
      <c r="JRB27" s="19"/>
      <c r="JRC27" s="19"/>
      <c r="JRD27" s="19"/>
      <c r="JRE27" s="19"/>
      <c r="JRF27" s="19"/>
      <c r="JRG27" s="19"/>
      <c r="JRH27" s="19"/>
      <c r="JRI27" s="19"/>
      <c r="JRJ27" s="19"/>
      <c r="JRK27" s="19"/>
      <c r="JRL27" s="19"/>
      <c r="JRM27" s="19"/>
      <c r="JRN27" s="19"/>
      <c r="JRO27" s="19"/>
      <c r="JRP27" s="19"/>
      <c r="JRQ27" s="19"/>
      <c r="JRR27" s="19"/>
      <c r="JRS27" s="19"/>
      <c r="JRT27" s="19"/>
      <c r="JRU27" s="19"/>
      <c r="JRV27" s="19"/>
      <c r="JRW27" s="19"/>
      <c r="JRX27" s="19"/>
      <c r="JRY27" s="19"/>
      <c r="JRZ27" s="19"/>
      <c r="JSA27" s="19"/>
      <c r="JSB27" s="19"/>
      <c r="JSC27" s="19"/>
      <c r="JSD27" s="19"/>
      <c r="JSE27" s="19"/>
      <c r="JSF27" s="19"/>
      <c r="JSG27" s="19"/>
      <c r="JSH27" s="19"/>
      <c r="JSI27" s="19"/>
      <c r="JSJ27" s="19"/>
      <c r="JSK27" s="19"/>
      <c r="JSL27" s="19"/>
      <c r="JSM27" s="19"/>
      <c r="JSN27" s="19"/>
      <c r="JSO27" s="19"/>
      <c r="JSP27" s="19"/>
      <c r="JSQ27" s="19"/>
      <c r="JSR27" s="19"/>
      <c r="JSS27" s="19"/>
      <c r="JST27" s="19"/>
      <c r="JSU27" s="19"/>
      <c r="JSV27" s="19"/>
      <c r="JSW27" s="19"/>
      <c r="JSX27" s="19"/>
      <c r="JSY27" s="19"/>
      <c r="JSZ27" s="19"/>
      <c r="JTA27" s="19"/>
      <c r="JTB27" s="19"/>
      <c r="JTC27" s="19"/>
      <c r="JTD27" s="19"/>
      <c r="JTE27" s="19"/>
      <c r="JTF27" s="19"/>
      <c r="JTG27" s="19"/>
      <c r="JTH27" s="19"/>
      <c r="JTI27" s="19"/>
      <c r="JTJ27" s="19"/>
      <c r="JTK27" s="19"/>
      <c r="JTL27" s="19"/>
      <c r="JTM27" s="19"/>
      <c r="JTN27" s="19"/>
      <c r="JTO27" s="19"/>
      <c r="JTP27" s="19"/>
      <c r="JTQ27" s="19"/>
      <c r="JTR27" s="19"/>
      <c r="JTS27" s="19"/>
      <c r="JTT27" s="19"/>
      <c r="JTU27" s="19"/>
      <c r="JTV27" s="19"/>
      <c r="JTW27" s="19"/>
      <c r="JTX27" s="19"/>
      <c r="JTY27" s="19"/>
      <c r="JTZ27" s="19"/>
      <c r="JUA27" s="19"/>
      <c r="JUB27" s="19"/>
      <c r="JUC27" s="19"/>
      <c r="JUD27" s="19"/>
      <c r="JUE27" s="19"/>
      <c r="JUF27" s="19"/>
      <c r="JUG27" s="19"/>
      <c r="JUH27" s="19"/>
      <c r="JUI27" s="19"/>
      <c r="JUJ27" s="19"/>
      <c r="JUK27" s="19"/>
      <c r="JUL27" s="19"/>
      <c r="JUM27" s="19"/>
      <c r="JUN27" s="19"/>
      <c r="JUO27" s="19"/>
      <c r="JUP27" s="19"/>
      <c r="JUQ27" s="19"/>
      <c r="JUR27" s="19"/>
      <c r="JUS27" s="19"/>
      <c r="JUT27" s="19"/>
      <c r="JUU27" s="19"/>
      <c r="JUV27" s="19"/>
      <c r="JUW27" s="19"/>
      <c r="JUX27" s="19"/>
      <c r="JUY27" s="19"/>
      <c r="JUZ27" s="19"/>
      <c r="JVA27" s="19"/>
      <c r="JVB27" s="19"/>
      <c r="JVC27" s="19"/>
      <c r="JVD27" s="19"/>
      <c r="JVE27" s="19"/>
      <c r="JVF27" s="19"/>
      <c r="JVG27" s="19"/>
      <c r="JVH27" s="19"/>
      <c r="JVI27" s="19"/>
      <c r="JVJ27" s="19"/>
      <c r="JVK27" s="19"/>
      <c r="JVL27" s="19"/>
      <c r="JVM27" s="19"/>
      <c r="JVN27" s="19"/>
      <c r="JVO27" s="19"/>
      <c r="JVP27" s="19"/>
      <c r="JVQ27" s="19"/>
      <c r="JVR27" s="19"/>
      <c r="JVS27" s="19"/>
      <c r="JVT27" s="19"/>
      <c r="JVU27" s="19"/>
      <c r="JVV27" s="19"/>
      <c r="JVW27" s="19"/>
      <c r="JVX27" s="19"/>
      <c r="JVY27" s="19"/>
      <c r="JVZ27" s="19"/>
      <c r="JWA27" s="19"/>
      <c r="JWB27" s="19"/>
      <c r="JWC27" s="19"/>
      <c r="JWD27" s="19"/>
      <c r="JWE27" s="19"/>
      <c r="JWF27" s="19"/>
      <c r="JWG27" s="19"/>
      <c r="JWH27" s="19"/>
      <c r="JWI27" s="19"/>
      <c r="JWJ27" s="19"/>
      <c r="JWK27" s="19"/>
      <c r="JWL27" s="19"/>
      <c r="JWM27" s="19"/>
      <c r="JWN27" s="19"/>
      <c r="JWO27" s="19"/>
      <c r="JWP27" s="19"/>
      <c r="JWQ27" s="19"/>
      <c r="JWR27" s="19"/>
      <c r="JWS27" s="19"/>
      <c r="JWT27" s="19"/>
      <c r="JWU27" s="19"/>
      <c r="JWV27" s="19"/>
      <c r="JWW27" s="19"/>
      <c r="JWX27" s="19"/>
      <c r="JWY27" s="19"/>
      <c r="JWZ27" s="19"/>
      <c r="JXA27" s="19"/>
      <c r="JXB27" s="19"/>
      <c r="JXC27" s="19"/>
      <c r="JXD27" s="19"/>
      <c r="JXE27" s="19"/>
      <c r="JXF27" s="19"/>
      <c r="JXG27" s="19"/>
      <c r="JXH27" s="19"/>
      <c r="JXI27" s="19"/>
      <c r="JXJ27" s="19"/>
      <c r="JXK27" s="19"/>
      <c r="JXL27" s="19"/>
      <c r="JXM27" s="19"/>
      <c r="JXN27" s="19"/>
      <c r="JXO27" s="19"/>
      <c r="JXP27" s="19"/>
      <c r="JXQ27" s="19"/>
      <c r="JXR27" s="19"/>
      <c r="JXS27" s="19"/>
      <c r="JXT27" s="19"/>
      <c r="JXU27" s="19"/>
      <c r="JXV27" s="19"/>
      <c r="JXW27" s="19"/>
      <c r="JXX27" s="19"/>
      <c r="JXY27" s="19"/>
      <c r="JXZ27" s="19"/>
      <c r="JYA27" s="19"/>
      <c r="JYB27" s="19"/>
      <c r="JYC27" s="19"/>
      <c r="JYD27" s="19"/>
      <c r="JYE27" s="19"/>
      <c r="JYF27" s="19"/>
      <c r="JYG27" s="19"/>
      <c r="JYH27" s="19"/>
      <c r="JYI27" s="19"/>
      <c r="JYJ27" s="19"/>
      <c r="JYK27" s="19"/>
      <c r="JYL27" s="19"/>
      <c r="JYM27" s="19"/>
      <c r="JYN27" s="19"/>
      <c r="JYO27" s="19"/>
      <c r="JYP27" s="19"/>
      <c r="JYQ27" s="19"/>
      <c r="JYR27" s="19"/>
      <c r="JYS27" s="19"/>
      <c r="JYT27" s="19"/>
      <c r="JYU27" s="19"/>
      <c r="JYV27" s="19"/>
      <c r="JYW27" s="19"/>
      <c r="JYX27" s="19"/>
      <c r="JYY27" s="19"/>
      <c r="JYZ27" s="19"/>
      <c r="JZA27" s="19"/>
      <c r="JZB27" s="19"/>
      <c r="JZC27" s="19"/>
      <c r="JZD27" s="19"/>
      <c r="JZE27" s="19"/>
      <c r="JZF27" s="19"/>
      <c r="JZG27" s="19"/>
      <c r="JZH27" s="19"/>
      <c r="JZI27" s="19"/>
      <c r="JZJ27" s="19"/>
      <c r="JZK27" s="19"/>
      <c r="JZL27" s="19"/>
      <c r="JZM27" s="19"/>
      <c r="JZN27" s="19"/>
      <c r="JZO27" s="19"/>
      <c r="JZP27" s="19"/>
      <c r="JZQ27" s="19"/>
      <c r="JZR27" s="19"/>
      <c r="JZS27" s="19"/>
      <c r="JZT27" s="19"/>
      <c r="JZU27" s="19"/>
      <c r="JZV27" s="19"/>
      <c r="JZW27" s="19"/>
      <c r="JZX27" s="19"/>
      <c r="JZY27" s="19"/>
      <c r="JZZ27" s="19"/>
      <c r="KAA27" s="19"/>
      <c r="KAB27" s="19"/>
      <c r="KAC27" s="19"/>
      <c r="KAD27" s="19"/>
      <c r="KAE27" s="19"/>
      <c r="KAF27" s="19"/>
      <c r="KAG27" s="19"/>
      <c r="KAH27" s="19"/>
      <c r="KAI27" s="19"/>
      <c r="KAJ27" s="19"/>
      <c r="KAK27" s="19"/>
      <c r="KAL27" s="19"/>
      <c r="KAM27" s="19"/>
      <c r="KAN27" s="19"/>
      <c r="KAO27" s="19"/>
      <c r="KAP27" s="19"/>
      <c r="KAQ27" s="19"/>
      <c r="KAR27" s="19"/>
      <c r="KAS27" s="19"/>
      <c r="KAT27" s="19"/>
      <c r="KAU27" s="19"/>
      <c r="KAV27" s="19"/>
      <c r="KAW27" s="19"/>
      <c r="KAX27" s="19"/>
      <c r="KAY27" s="19"/>
      <c r="KAZ27" s="19"/>
      <c r="KBA27" s="19"/>
      <c r="KBB27" s="19"/>
      <c r="KBC27" s="19"/>
      <c r="KBD27" s="19"/>
      <c r="KBE27" s="19"/>
      <c r="KBF27" s="19"/>
      <c r="KBG27" s="19"/>
      <c r="KBH27" s="19"/>
      <c r="KBI27" s="19"/>
      <c r="KBJ27" s="19"/>
      <c r="KBK27" s="19"/>
      <c r="KBL27" s="19"/>
      <c r="KBM27" s="19"/>
      <c r="KBN27" s="19"/>
      <c r="KBO27" s="19"/>
      <c r="KBP27" s="19"/>
      <c r="KBQ27" s="19"/>
      <c r="KBR27" s="19"/>
      <c r="KBS27" s="19"/>
      <c r="KBT27" s="19"/>
      <c r="KBU27" s="19"/>
      <c r="KBV27" s="19"/>
      <c r="KBW27" s="19"/>
      <c r="KBX27" s="19"/>
      <c r="KBY27" s="19"/>
      <c r="KBZ27" s="19"/>
      <c r="KCA27" s="19"/>
      <c r="KCB27" s="19"/>
      <c r="KCC27" s="19"/>
      <c r="KCD27" s="19"/>
      <c r="KCE27" s="19"/>
      <c r="KCF27" s="19"/>
      <c r="KCG27" s="19"/>
      <c r="KCH27" s="19"/>
      <c r="KCI27" s="19"/>
      <c r="KCJ27" s="19"/>
      <c r="KCK27" s="19"/>
      <c r="KCL27" s="19"/>
      <c r="KCM27" s="19"/>
      <c r="KCN27" s="19"/>
      <c r="KCO27" s="19"/>
      <c r="KCP27" s="19"/>
      <c r="KCQ27" s="19"/>
      <c r="KCR27" s="19"/>
      <c r="KCS27" s="19"/>
      <c r="KCT27" s="19"/>
      <c r="KCU27" s="19"/>
      <c r="KCV27" s="19"/>
      <c r="KCW27" s="19"/>
      <c r="KCX27" s="19"/>
      <c r="KCY27" s="19"/>
      <c r="KCZ27" s="19"/>
      <c r="KDA27" s="19"/>
      <c r="KDB27" s="19"/>
      <c r="KDC27" s="19"/>
      <c r="KDD27" s="19"/>
      <c r="KDE27" s="19"/>
      <c r="KDF27" s="19"/>
      <c r="KDG27" s="19"/>
      <c r="KDH27" s="19"/>
      <c r="KDI27" s="19"/>
      <c r="KDJ27" s="19"/>
      <c r="KDK27" s="19"/>
      <c r="KDL27" s="19"/>
      <c r="KDM27" s="19"/>
      <c r="KDN27" s="19"/>
      <c r="KDO27" s="19"/>
      <c r="KDP27" s="19"/>
      <c r="KDQ27" s="19"/>
      <c r="KDR27" s="19"/>
      <c r="KDS27" s="19"/>
      <c r="KDT27" s="19"/>
      <c r="KDU27" s="19"/>
      <c r="KDV27" s="19"/>
      <c r="KDW27" s="19"/>
      <c r="KDX27" s="19"/>
      <c r="KDY27" s="19"/>
      <c r="KDZ27" s="19"/>
      <c r="KEA27" s="19"/>
      <c r="KEB27" s="19"/>
      <c r="KEC27" s="19"/>
      <c r="KED27" s="19"/>
      <c r="KEE27" s="19"/>
      <c r="KEF27" s="19"/>
      <c r="KEG27" s="19"/>
      <c r="KEH27" s="19"/>
      <c r="KEI27" s="19"/>
      <c r="KEJ27" s="19"/>
      <c r="KEK27" s="19"/>
      <c r="KEL27" s="19"/>
      <c r="KEM27" s="19"/>
      <c r="KEN27" s="19"/>
      <c r="KEO27" s="19"/>
      <c r="KEP27" s="19"/>
      <c r="KEQ27" s="19"/>
      <c r="KER27" s="19"/>
      <c r="KES27" s="19"/>
      <c r="KET27" s="19"/>
      <c r="KEU27" s="19"/>
      <c r="KEV27" s="19"/>
      <c r="KEW27" s="19"/>
      <c r="KEX27" s="19"/>
      <c r="KEY27" s="19"/>
      <c r="KEZ27" s="19"/>
      <c r="KFA27" s="19"/>
      <c r="KFB27" s="19"/>
      <c r="KFC27" s="19"/>
      <c r="KFD27" s="19"/>
      <c r="KFE27" s="19"/>
      <c r="KFF27" s="19"/>
      <c r="KFG27" s="19"/>
      <c r="KFH27" s="19"/>
      <c r="KFI27" s="19"/>
      <c r="KFJ27" s="19"/>
      <c r="KFK27" s="19"/>
      <c r="KFL27" s="19"/>
      <c r="KFM27" s="19"/>
      <c r="KFN27" s="19"/>
      <c r="KFO27" s="19"/>
      <c r="KFP27" s="19"/>
      <c r="KFQ27" s="19"/>
      <c r="KFR27" s="19"/>
      <c r="KFS27" s="19"/>
      <c r="KFT27" s="19"/>
      <c r="KFU27" s="19"/>
      <c r="KFV27" s="19"/>
      <c r="KFW27" s="19"/>
      <c r="KFX27" s="19"/>
      <c r="KFY27" s="19"/>
      <c r="KFZ27" s="19"/>
      <c r="KGA27" s="19"/>
      <c r="KGB27" s="19"/>
      <c r="KGC27" s="19"/>
      <c r="KGD27" s="19"/>
      <c r="KGE27" s="19"/>
      <c r="KGF27" s="19"/>
      <c r="KGG27" s="19"/>
      <c r="KGH27" s="19"/>
      <c r="KGI27" s="19"/>
      <c r="KGJ27" s="19"/>
      <c r="KGK27" s="19"/>
      <c r="KGL27" s="19"/>
      <c r="KGM27" s="19"/>
      <c r="KGN27" s="19"/>
      <c r="KGO27" s="19"/>
      <c r="KGP27" s="19"/>
      <c r="KGQ27" s="19"/>
      <c r="KGR27" s="19"/>
      <c r="KGS27" s="19"/>
      <c r="KGT27" s="19"/>
      <c r="KGU27" s="19"/>
      <c r="KGV27" s="19"/>
      <c r="KGW27" s="19"/>
      <c r="KGX27" s="19"/>
      <c r="KGY27" s="19"/>
      <c r="KGZ27" s="19"/>
      <c r="KHA27" s="19"/>
      <c r="KHB27" s="19"/>
      <c r="KHC27" s="19"/>
      <c r="KHD27" s="19"/>
      <c r="KHE27" s="19"/>
      <c r="KHF27" s="19"/>
      <c r="KHG27" s="19"/>
      <c r="KHH27" s="19"/>
      <c r="KHI27" s="19"/>
      <c r="KHJ27" s="19"/>
      <c r="KHK27" s="19"/>
      <c r="KHL27" s="19"/>
      <c r="KHM27" s="19"/>
      <c r="KHN27" s="19"/>
      <c r="KHO27" s="19"/>
      <c r="KHP27" s="19"/>
      <c r="KHQ27" s="19"/>
      <c r="KHR27" s="19"/>
      <c r="KHS27" s="19"/>
      <c r="KHT27" s="19"/>
      <c r="KHU27" s="19"/>
      <c r="KHV27" s="19"/>
      <c r="KHW27" s="19"/>
      <c r="KHX27" s="19"/>
      <c r="KHY27" s="19"/>
      <c r="KHZ27" s="19"/>
      <c r="KIA27" s="19"/>
      <c r="KIB27" s="19"/>
      <c r="KIC27" s="19"/>
      <c r="KID27" s="19"/>
      <c r="KIE27" s="19"/>
      <c r="KIF27" s="19"/>
      <c r="KIG27" s="19"/>
      <c r="KIH27" s="19"/>
      <c r="KII27" s="19"/>
      <c r="KIJ27" s="19"/>
      <c r="KIK27" s="19"/>
      <c r="KIL27" s="19"/>
      <c r="KIM27" s="19"/>
      <c r="KIN27" s="19"/>
      <c r="KIO27" s="19"/>
      <c r="KIP27" s="19"/>
      <c r="KIQ27" s="19"/>
      <c r="KIR27" s="19"/>
      <c r="KIS27" s="19"/>
      <c r="KIT27" s="19"/>
      <c r="KIU27" s="19"/>
      <c r="KIV27" s="19"/>
      <c r="KIW27" s="19"/>
      <c r="KIX27" s="19"/>
      <c r="KIY27" s="19"/>
      <c r="KIZ27" s="19"/>
      <c r="KJA27" s="19"/>
      <c r="KJB27" s="19"/>
      <c r="KJC27" s="19"/>
      <c r="KJD27" s="19"/>
      <c r="KJE27" s="19"/>
      <c r="KJF27" s="19"/>
      <c r="KJG27" s="19"/>
      <c r="KJH27" s="19"/>
      <c r="KJI27" s="19"/>
      <c r="KJJ27" s="19"/>
      <c r="KJK27" s="19"/>
      <c r="KJL27" s="19"/>
      <c r="KJM27" s="19"/>
      <c r="KJN27" s="19"/>
      <c r="KJO27" s="19"/>
      <c r="KJP27" s="19"/>
      <c r="KJQ27" s="19"/>
      <c r="KJR27" s="19"/>
      <c r="KJS27" s="19"/>
      <c r="KJT27" s="19"/>
      <c r="KJU27" s="19"/>
      <c r="KJV27" s="19"/>
      <c r="KJW27" s="19"/>
      <c r="KJX27" s="19"/>
      <c r="KJY27" s="19"/>
      <c r="KJZ27" s="19"/>
      <c r="KKA27" s="19"/>
      <c r="KKB27" s="19"/>
      <c r="KKC27" s="19"/>
      <c r="KKD27" s="19"/>
      <c r="KKE27" s="19"/>
      <c r="KKF27" s="19"/>
      <c r="KKG27" s="19"/>
      <c r="KKH27" s="19"/>
      <c r="KKI27" s="19"/>
      <c r="KKJ27" s="19"/>
      <c r="KKK27" s="19"/>
      <c r="KKL27" s="19"/>
      <c r="KKM27" s="19"/>
      <c r="KKN27" s="19"/>
      <c r="KKO27" s="19"/>
      <c r="KKP27" s="19"/>
      <c r="KKQ27" s="19"/>
      <c r="KKR27" s="19"/>
      <c r="KKS27" s="19"/>
      <c r="KKT27" s="19"/>
      <c r="KKU27" s="19"/>
      <c r="KKV27" s="19"/>
      <c r="KKW27" s="19"/>
      <c r="KKX27" s="19"/>
      <c r="KKY27" s="19"/>
      <c r="KKZ27" s="19"/>
      <c r="KLA27" s="19"/>
      <c r="KLB27" s="19"/>
      <c r="KLC27" s="19"/>
      <c r="KLD27" s="19"/>
      <c r="KLE27" s="19"/>
      <c r="KLF27" s="19"/>
      <c r="KLG27" s="19"/>
      <c r="KLH27" s="19"/>
      <c r="KLI27" s="19"/>
      <c r="KLJ27" s="19"/>
      <c r="KLK27" s="19"/>
      <c r="KLL27" s="19"/>
      <c r="KLM27" s="19"/>
      <c r="KLN27" s="19"/>
      <c r="KLO27" s="19"/>
      <c r="KLP27" s="19"/>
      <c r="KLQ27" s="19"/>
      <c r="KLR27" s="19"/>
      <c r="KLS27" s="19"/>
      <c r="KLT27" s="19"/>
      <c r="KLU27" s="19"/>
      <c r="KLV27" s="19"/>
      <c r="KLW27" s="19"/>
      <c r="KLX27" s="19"/>
      <c r="KLY27" s="19"/>
      <c r="KLZ27" s="19"/>
      <c r="KMA27" s="19"/>
      <c r="KMB27" s="19"/>
      <c r="KMC27" s="19"/>
      <c r="KMD27" s="19"/>
      <c r="KME27" s="19"/>
      <c r="KMF27" s="19"/>
      <c r="KMG27" s="19"/>
      <c r="KMH27" s="19"/>
      <c r="KMI27" s="19"/>
      <c r="KMJ27" s="19"/>
      <c r="KMK27" s="19"/>
      <c r="KML27" s="19"/>
      <c r="KMM27" s="19"/>
      <c r="KMN27" s="19"/>
      <c r="KMO27" s="19"/>
      <c r="KMP27" s="19"/>
      <c r="KMQ27" s="19"/>
      <c r="KMR27" s="19"/>
      <c r="KMS27" s="19"/>
      <c r="KMT27" s="19"/>
      <c r="KMU27" s="19"/>
      <c r="KMV27" s="19"/>
      <c r="KMW27" s="19"/>
      <c r="KMX27" s="19"/>
      <c r="KMY27" s="19"/>
      <c r="KMZ27" s="19"/>
      <c r="KNA27" s="19"/>
      <c r="KNB27" s="19"/>
      <c r="KNC27" s="19"/>
      <c r="KND27" s="19"/>
      <c r="KNE27" s="19"/>
      <c r="KNF27" s="19"/>
      <c r="KNG27" s="19"/>
      <c r="KNH27" s="19"/>
      <c r="KNI27" s="19"/>
      <c r="KNJ27" s="19"/>
      <c r="KNK27" s="19"/>
      <c r="KNL27" s="19"/>
      <c r="KNM27" s="19"/>
      <c r="KNN27" s="19"/>
      <c r="KNO27" s="19"/>
      <c r="KNP27" s="19"/>
      <c r="KNQ27" s="19"/>
      <c r="KNR27" s="19"/>
      <c r="KNS27" s="19"/>
      <c r="KNT27" s="19"/>
      <c r="KNU27" s="19"/>
      <c r="KNV27" s="19"/>
      <c r="KNW27" s="19"/>
      <c r="KNX27" s="19"/>
      <c r="KNY27" s="19"/>
      <c r="KNZ27" s="19"/>
      <c r="KOA27" s="19"/>
      <c r="KOB27" s="19"/>
      <c r="KOC27" s="19"/>
      <c r="KOD27" s="19"/>
      <c r="KOE27" s="19"/>
      <c r="KOF27" s="19"/>
      <c r="KOG27" s="19"/>
      <c r="KOH27" s="19"/>
      <c r="KOI27" s="19"/>
      <c r="KOJ27" s="19"/>
      <c r="KOK27" s="19"/>
      <c r="KOL27" s="19"/>
      <c r="KOM27" s="19"/>
      <c r="KON27" s="19"/>
      <c r="KOO27" s="19"/>
      <c r="KOP27" s="19"/>
      <c r="KOQ27" s="19"/>
      <c r="KOR27" s="19"/>
      <c r="KOS27" s="19"/>
      <c r="KOT27" s="19"/>
      <c r="KOU27" s="19"/>
      <c r="KOV27" s="19"/>
      <c r="KOW27" s="19"/>
      <c r="KOX27" s="19"/>
      <c r="KOY27" s="19"/>
      <c r="KOZ27" s="19"/>
      <c r="KPA27" s="19"/>
      <c r="KPB27" s="19"/>
      <c r="KPC27" s="19"/>
      <c r="KPD27" s="19"/>
      <c r="KPE27" s="19"/>
      <c r="KPF27" s="19"/>
      <c r="KPG27" s="19"/>
      <c r="KPH27" s="19"/>
      <c r="KPI27" s="19"/>
      <c r="KPJ27" s="19"/>
      <c r="KPK27" s="19"/>
      <c r="KPL27" s="19"/>
      <c r="KPM27" s="19"/>
      <c r="KPN27" s="19"/>
      <c r="KPO27" s="19"/>
      <c r="KPP27" s="19"/>
      <c r="KPQ27" s="19"/>
      <c r="KPR27" s="19"/>
      <c r="KPS27" s="19"/>
      <c r="KPT27" s="19"/>
      <c r="KPU27" s="19"/>
      <c r="KPV27" s="19"/>
      <c r="KPW27" s="19"/>
      <c r="KPX27" s="19"/>
      <c r="KPY27" s="19"/>
      <c r="KPZ27" s="19"/>
      <c r="KQA27" s="19"/>
      <c r="KQB27" s="19"/>
      <c r="KQC27" s="19"/>
      <c r="KQD27" s="19"/>
      <c r="KQE27" s="19"/>
      <c r="KQF27" s="19"/>
      <c r="KQG27" s="19"/>
      <c r="KQH27" s="19"/>
      <c r="KQI27" s="19"/>
      <c r="KQJ27" s="19"/>
      <c r="KQK27" s="19"/>
      <c r="KQL27" s="19"/>
      <c r="KQM27" s="19"/>
      <c r="KQN27" s="19"/>
      <c r="KQO27" s="19"/>
      <c r="KQP27" s="19"/>
      <c r="KQQ27" s="19"/>
      <c r="KQR27" s="19"/>
      <c r="KQS27" s="19"/>
      <c r="KQT27" s="19"/>
      <c r="KQU27" s="19"/>
      <c r="KQV27" s="19"/>
      <c r="KQW27" s="19"/>
      <c r="KQX27" s="19"/>
      <c r="KQY27" s="19"/>
      <c r="KQZ27" s="19"/>
      <c r="KRA27" s="19"/>
      <c r="KRB27" s="19"/>
      <c r="KRC27" s="19"/>
      <c r="KRD27" s="19"/>
      <c r="KRE27" s="19"/>
      <c r="KRF27" s="19"/>
      <c r="KRG27" s="19"/>
      <c r="KRH27" s="19"/>
      <c r="KRI27" s="19"/>
      <c r="KRJ27" s="19"/>
      <c r="KRK27" s="19"/>
      <c r="KRL27" s="19"/>
      <c r="KRM27" s="19"/>
      <c r="KRN27" s="19"/>
      <c r="KRO27" s="19"/>
      <c r="KRP27" s="19"/>
      <c r="KRQ27" s="19"/>
      <c r="KRR27" s="19"/>
      <c r="KRS27" s="19"/>
      <c r="KRT27" s="19"/>
      <c r="KRU27" s="19"/>
      <c r="KRV27" s="19"/>
      <c r="KRW27" s="19"/>
      <c r="KRX27" s="19"/>
      <c r="KRY27" s="19"/>
      <c r="KRZ27" s="19"/>
      <c r="KSA27" s="19"/>
      <c r="KSB27" s="19"/>
      <c r="KSC27" s="19"/>
      <c r="KSD27" s="19"/>
      <c r="KSE27" s="19"/>
      <c r="KSF27" s="19"/>
      <c r="KSG27" s="19"/>
      <c r="KSH27" s="19"/>
      <c r="KSI27" s="19"/>
      <c r="KSJ27" s="19"/>
      <c r="KSK27" s="19"/>
      <c r="KSL27" s="19"/>
      <c r="KSM27" s="19"/>
      <c r="KSN27" s="19"/>
      <c r="KSO27" s="19"/>
      <c r="KSP27" s="19"/>
      <c r="KSQ27" s="19"/>
      <c r="KSR27" s="19"/>
      <c r="KSS27" s="19"/>
      <c r="KST27" s="19"/>
      <c r="KSU27" s="19"/>
      <c r="KSV27" s="19"/>
      <c r="KSW27" s="19"/>
      <c r="KSX27" s="19"/>
      <c r="KSY27" s="19"/>
      <c r="KSZ27" s="19"/>
      <c r="KTA27" s="19"/>
      <c r="KTB27" s="19"/>
      <c r="KTC27" s="19"/>
      <c r="KTD27" s="19"/>
      <c r="KTE27" s="19"/>
      <c r="KTF27" s="19"/>
      <c r="KTG27" s="19"/>
      <c r="KTH27" s="19"/>
      <c r="KTI27" s="19"/>
      <c r="KTJ27" s="19"/>
      <c r="KTK27" s="19"/>
      <c r="KTL27" s="19"/>
      <c r="KTM27" s="19"/>
      <c r="KTN27" s="19"/>
      <c r="KTO27" s="19"/>
      <c r="KTP27" s="19"/>
      <c r="KTQ27" s="19"/>
      <c r="KTR27" s="19"/>
      <c r="KTS27" s="19"/>
      <c r="KTT27" s="19"/>
      <c r="KTU27" s="19"/>
      <c r="KTV27" s="19"/>
      <c r="KTW27" s="19"/>
      <c r="KTX27" s="19"/>
      <c r="KTY27" s="19"/>
      <c r="KTZ27" s="19"/>
      <c r="KUA27" s="19"/>
      <c r="KUB27" s="19"/>
      <c r="KUC27" s="19"/>
      <c r="KUD27" s="19"/>
      <c r="KUE27" s="19"/>
      <c r="KUF27" s="19"/>
      <c r="KUG27" s="19"/>
      <c r="KUH27" s="19"/>
      <c r="KUI27" s="19"/>
      <c r="KUJ27" s="19"/>
      <c r="KUK27" s="19"/>
      <c r="KUL27" s="19"/>
      <c r="KUM27" s="19"/>
      <c r="KUN27" s="19"/>
      <c r="KUO27" s="19"/>
      <c r="KUP27" s="19"/>
      <c r="KUQ27" s="19"/>
      <c r="KUR27" s="19"/>
      <c r="KUS27" s="19"/>
      <c r="KUT27" s="19"/>
      <c r="KUU27" s="19"/>
      <c r="KUV27" s="19"/>
      <c r="KUW27" s="19"/>
      <c r="KUX27" s="19"/>
      <c r="KUY27" s="19"/>
      <c r="KUZ27" s="19"/>
      <c r="KVA27" s="19"/>
      <c r="KVB27" s="19"/>
      <c r="KVC27" s="19"/>
      <c r="KVD27" s="19"/>
      <c r="KVE27" s="19"/>
      <c r="KVF27" s="19"/>
      <c r="KVG27" s="19"/>
      <c r="KVH27" s="19"/>
      <c r="KVI27" s="19"/>
      <c r="KVJ27" s="19"/>
      <c r="KVK27" s="19"/>
      <c r="KVL27" s="19"/>
      <c r="KVM27" s="19"/>
      <c r="KVN27" s="19"/>
      <c r="KVO27" s="19"/>
      <c r="KVP27" s="19"/>
      <c r="KVQ27" s="19"/>
      <c r="KVR27" s="19"/>
      <c r="KVS27" s="19"/>
      <c r="KVT27" s="19"/>
      <c r="KVU27" s="19"/>
      <c r="KVV27" s="19"/>
      <c r="KVW27" s="19"/>
      <c r="KVX27" s="19"/>
      <c r="KVY27" s="19"/>
      <c r="KVZ27" s="19"/>
      <c r="KWA27" s="19"/>
      <c r="KWB27" s="19"/>
      <c r="KWC27" s="19"/>
      <c r="KWD27" s="19"/>
      <c r="KWE27" s="19"/>
      <c r="KWF27" s="19"/>
      <c r="KWG27" s="19"/>
      <c r="KWH27" s="19"/>
      <c r="KWI27" s="19"/>
      <c r="KWJ27" s="19"/>
      <c r="KWK27" s="19"/>
      <c r="KWL27" s="19"/>
      <c r="KWM27" s="19"/>
      <c r="KWN27" s="19"/>
      <c r="KWO27" s="19"/>
      <c r="KWP27" s="19"/>
      <c r="KWQ27" s="19"/>
      <c r="KWR27" s="19"/>
      <c r="KWS27" s="19"/>
      <c r="KWT27" s="19"/>
      <c r="KWU27" s="19"/>
      <c r="KWV27" s="19"/>
      <c r="KWW27" s="19"/>
      <c r="KWX27" s="19"/>
      <c r="KWY27" s="19"/>
      <c r="KWZ27" s="19"/>
      <c r="KXA27" s="19"/>
      <c r="KXB27" s="19"/>
      <c r="KXC27" s="19"/>
      <c r="KXD27" s="19"/>
      <c r="KXE27" s="19"/>
      <c r="KXF27" s="19"/>
      <c r="KXG27" s="19"/>
      <c r="KXH27" s="19"/>
      <c r="KXI27" s="19"/>
      <c r="KXJ27" s="19"/>
      <c r="KXK27" s="19"/>
      <c r="KXL27" s="19"/>
      <c r="KXM27" s="19"/>
      <c r="KXN27" s="19"/>
      <c r="KXO27" s="19"/>
      <c r="KXP27" s="19"/>
      <c r="KXQ27" s="19"/>
      <c r="KXR27" s="19"/>
      <c r="KXS27" s="19"/>
      <c r="KXT27" s="19"/>
      <c r="KXU27" s="19"/>
      <c r="KXV27" s="19"/>
      <c r="KXW27" s="19"/>
      <c r="KXX27" s="19"/>
      <c r="KXY27" s="19"/>
      <c r="KXZ27" s="19"/>
      <c r="KYA27" s="19"/>
      <c r="KYB27" s="19"/>
      <c r="KYC27" s="19"/>
      <c r="KYD27" s="19"/>
      <c r="KYE27" s="19"/>
      <c r="KYF27" s="19"/>
      <c r="KYG27" s="19"/>
      <c r="KYH27" s="19"/>
      <c r="KYI27" s="19"/>
      <c r="KYJ27" s="19"/>
      <c r="KYK27" s="19"/>
      <c r="KYL27" s="19"/>
      <c r="KYM27" s="19"/>
      <c r="KYN27" s="19"/>
      <c r="KYO27" s="19"/>
      <c r="KYP27" s="19"/>
      <c r="KYQ27" s="19"/>
      <c r="KYR27" s="19"/>
      <c r="KYS27" s="19"/>
      <c r="KYT27" s="19"/>
      <c r="KYU27" s="19"/>
      <c r="KYV27" s="19"/>
      <c r="KYW27" s="19"/>
      <c r="KYX27" s="19"/>
      <c r="KYY27" s="19"/>
      <c r="KYZ27" s="19"/>
      <c r="KZA27" s="19"/>
      <c r="KZB27" s="19"/>
      <c r="KZC27" s="19"/>
      <c r="KZD27" s="19"/>
      <c r="KZE27" s="19"/>
      <c r="KZF27" s="19"/>
      <c r="KZG27" s="19"/>
      <c r="KZH27" s="19"/>
      <c r="KZI27" s="19"/>
      <c r="KZJ27" s="19"/>
      <c r="KZK27" s="19"/>
      <c r="KZL27" s="19"/>
      <c r="KZM27" s="19"/>
      <c r="KZN27" s="19"/>
      <c r="KZO27" s="19"/>
      <c r="KZP27" s="19"/>
      <c r="KZQ27" s="19"/>
      <c r="KZR27" s="19"/>
      <c r="KZS27" s="19"/>
      <c r="KZT27" s="19"/>
      <c r="KZU27" s="19"/>
      <c r="KZV27" s="19"/>
      <c r="KZW27" s="19"/>
      <c r="KZX27" s="19"/>
      <c r="KZY27" s="19"/>
      <c r="KZZ27" s="19"/>
      <c r="LAA27" s="19"/>
      <c r="LAB27" s="19"/>
      <c r="LAC27" s="19"/>
      <c r="LAD27" s="19"/>
      <c r="LAE27" s="19"/>
      <c r="LAF27" s="19"/>
      <c r="LAG27" s="19"/>
      <c r="LAH27" s="19"/>
      <c r="LAI27" s="19"/>
      <c r="LAJ27" s="19"/>
      <c r="LAK27" s="19"/>
      <c r="LAL27" s="19"/>
      <c r="LAM27" s="19"/>
      <c r="LAN27" s="19"/>
      <c r="LAO27" s="19"/>
      <c r="LAP27" s="19"/>
      <c r="LAQ27" s="19"/>
      <c r="LAR27" s="19"/>
      <c r="LAS27" s="19"/>
      <c r="LAT27" s="19"/>
      <c r="LAU27" s="19"/>
      <c r="LAV27" s="19"/>
      <c r="LAW27" s="19"/>
      <c r="LAX27" s="19"/>
      <c r="LAY27" s="19"/>
      <c r="LAZ27" s="19"/>
      <c r="LBA27" s="19"/>
      <c r="LBB27" s="19"/>
      <c r="LBC27" s="19"/>
      <c r="LBD27" s="19"/>
      <c r="LBE27" s="19"/>
      <c r="LBF27" s="19"/>
      <c r="LBG27" s="19"/>
      <c r="LBH27" s="19"/>
      <c r="LBI27" s="19"/>
      <c r="LBJ27" s="19"/>
      <c r="LBK27" s="19"/>
      <c r="LBL27" s="19"/>
      <c r="LBM27" s="19"/>
      <c r="LBN27" s="19"/>
      <c r="LBO27" s="19"/>
      <c r="LBP27" s="19"/>
      <c r="LBQ27" s="19"/>
      <c r="LBR27" s="19"/>
      <c r="LBS27" s="19"/>
      <c r="LBT27" s="19"/>
      <c r="LBU27" s="19"/>
      <c r="LBV27" s="19"/>
      <c r="LBW27" s="19"/>
      <c r="LBX27" s="19"/>
      <c r="LBY27" s="19"/>
      <c r="LBZ27" s="19"/>
      <c r="LCA27" s="19"/>
      <c r="LCB27" s="19"/>
      <c r="LCC27" s="19"/>
      <c r="LCD27" s="19"/>
      <c r="LCE27" s="19"/>
      <c r="LCF27" s="19"/>
      <c r="LCG27" s="19"/>
      <c r="LCH27" s="19"/>
      <c r="LCI27" s="19"/>
      <c r="LCJ27" s="19"/>
      <c r="LCK27" s="19"/>
      <c r="LCL27" s="19"/>
      <c r="LCM27" s="19"/>
      <c r="LCN27" s="19"/>
      <c r="LCO27" s="19"/>
      <c r="LCP27" s="19"/>
      <c r="LCQ27" s="19"/>
      <c r="LCR27" s="19"/>
      <c r="LCS27" s="19"/>
      <c r="LCT27" s="19"/>
      <c r="LCU27" s="19"/>
      <c r="LCV27" s="19"/>
      <c r="LCW27" s="19"/>
      <c r="LCX27" s="19"/>
      <c r="LCY27" s="19"/>
      <c r="LCZ27" s="19"/>
      <c r="LDA27" s="19"/>
      <c r="LDB27" s="19"/>
      <c r="LDC27" s="19"/>
      <c r="LDD27" s="19"/>
      <c r="LDE27" s="19"/>
      <c r="LDF27" s="19"/>
      <c r="LDG27" s="19"/>
      <c r="LDH27" s="19"/>
      <c r="LDI27" s="19"/>
      <c r="LDJ27" s="19"/>
      <c r="LDK27" s="19"/>
      <c r="LDL27" s="19"/>
      <c r="LDM27" s="19"/>
      <c r="LDN27" s="19"/>
      <c r="LDO27" s="19"/>
      <c r="LDP27" s="19"/>
      <c r="LDQ27" s="19"/>
      <c r="LDR27" s="19"/>
      <c r="LDS27" s="19"/>
      <c r="LDT27" s="19"/>
      <c r="LDU27" s="19"/>
      <c r="LDV27" s="19"/>
      <c r="LDW27" s="19"/>
      <c r="LDX27" s="19"/>
      <c r="LDY27" s="19"/>
      <c r="LDZ27" s="19"/>
      <c r="LEA27" s="19"/>
      <c r="LEB27" s="19"/>
      <c r="LEC27" s="19"/>
      <c r="LED27" s="19"/>
      <c r="LEE27" s="19"/>
      <c r="LEF27" s="19"/>
      <c r="LEG27" s="19"/>
      <c r="LEH27" s="19"/>
      <c r="LEI27" s="19"/>
      <c r="LEJ27" s="19"/>
      <c r="LEK27" s="19"/>
      <c r="LEL27" s="19"/>
      <c r="LEM27" s="19"/>
      <c r="LEN27" s="19"/>
      <c r="LEO27" s="19"/>
      <c r="LEP27" s="19"/>
      <c r="LEQ27" s="19"/>
      <c r="LER27" s="19"/>
      <c r="LES27" s="19"/>
      <c r="LET27" s="19"/>
      <c r="LEU27" s="19"/>
      <c r="LEV27" s="19"/>
      <c r="LEW27" s="19"/>
      <c r="LEX27" s="19"/>
      <c r="LEY27" s="19"/>
      <c r="LEZ27" s="19"/>
      <c r="LFA27" s="19"/>
      <c r="LFB27" s="19"/>
      <c r="LFC27" s="19"/>
      <c r="LFD27" s="19"/>
      <c r="LFE27" s="19"/>
      <c r="LFF27" s="19"/>
      <c r="LFG27" s="19"/>
      <c r="LFH27" s="19"/>
      <c r="LFI27" s="19"/>
      <c r="LFJ27" s="19"/>
      <c r="LFK27" s="19"/>
      <c r="LFL27" s="19"/>
      <c r="LFM27" s="19"/>
      <c r="LFN27" s="19"/>
      <c r="LFO27" s="19"/>
      <c r="LFP27" s="19"/>
      <c r="LFQ27" s="19"/>
      <c r="LFR27" s="19"/>
      <c r="LFS27" s="19"/>
      <c r="LFT27" s="19"/>
      <c r="LFU27" s="19"/>
      <c r="LFV27" s="19"/>
      <c r="LFW27" s="19"/>
      <c r="LFX27" s="19"/>
      <c r="LFY27" s="19"/>
      <c r="LFZ27" s="19"/>
      <c r="LGA27" s="19"/>
      <c r="LGB27" s="19"/>
      <c r="LGC27" s="19"/>
      <c r="LGD27" s="19"/>
      <c r="LGE27" s="19"/>
      <c r="LGF27" s="19"/>
      <c r="LGG27" s="19"/>
      <c r="LGH27" s="19"/>
      <c r="LGI27" s="19"/>
      <c r="LGJ27" s="19"/>
      <c r="LGK27" s="19"/>
      <c r="LGL27" s="19"/>
      <c r="LGM27" s="19"/>
      <c r="LGN27" s="19"/>
      <c r="LGO27" s="19"/>
      <c r="LGP27" s="19"/>
      <c r="LGQ27" s="19"/>
      <c r="LGR27" s="19"/>
      <c r="LGS27" s="19"/>
      <c r="LGT27" s="19"/>
      <c r="LGU27" s="19"/>
      <c r="LGV27" s="19"/>
      <c r="LGW27" s="19"/>
      <c r="LGX27" s="19"/>
      <c r="LGY27" s="19"/>
      <c r="LGZ27" s="19"/>
      <c r="LHA27" s="19"/>
      <c r="LHB27" s="19"/>
      <c r="LHC27" s="19"/>
      <c r="LHD27" s="19"/>
      <c r="LHE27" s="19"/>
      <c r="LHF27" s="19"/>
      <c r="LHG27" s="19"/>
      <c r="LHH27" s="19"/>
      <c r="LHI27" s="19"/>
      <c r="LHJ27" s="19"/>
      <c r="LHK27" s="19"/>
      <c r="LHL27" s="19"/>
      <c r="LHM27" s="19"/>
      <c r="LHN27" s="19"/>
      <c r="LHO27" s="19"/>
      <c r="LHP27" s="19"/>
      <c r="LHQ27" s="19"/>
      <c r="LHR27" s="19"/>
      <c r="LHS27" s="19"/>
      <c r="LHT27" s="19"/>
      <c r="LHU27" s="19"/>
      <c r="LHV27" s="19"/>
      <c r="LHW27" s="19"/>
      <c r="LHX27" s="19"/>
      <c r="LHY27" s="19"/>
      <c r="LHZ27" s="19"/>
      <c r="LIA27" s="19"/>
      <c r="LIB27" s="19"/>
      <c r="LIC27" s="19"/>
      <c r="LID27" s="19"/>
      <c r="LIE27" s="19"/>
      <c r="LIF27" s="19"/>
      <c r="LIG27" s="19"/>
      <c r="LIH27" s="19"/>
      <c r="LII27" s="19"/>
      <c r="LIJ27" s="19"/>
      <c r="LIK27" s="19"/>
      <c r="LIL27" s="19"/>
      <c r="LIM27" s="19"/>
      <c r="LIN27" s="19"/>
      <c r="LIO27" s="19"/>
      <c r="LIP27" s="19"/>
      <c r="LIQ27" s="19"/>
      <c r="LIR27" s="19"/>
      <c r="LIS27" s="19"/>
      <c r="LIT27" s="19"/>
      <c r="LIU27" s="19"/>
      <c r="LIV27" s="19"/>
      <c r="LIW27" s="19"/>
      <c r="LIX27" s="19"/>
      <c r="LIY27" s="19"/>
      <c r="LIZ27" s="19"/>
      <c r="LJA27" s="19"/>
      <c r="LJB27" s="19"/>
      <c r="LJC27" s="19"/>
      <c r="LJD27" s="19"/>
      <c r="LJE27" s="19"/>
      <c r="LJF27" s="19"/>
      <c r="LJG27" s="19"/>
      <c r="LJH27" s="19"/>
      <c r="LJI27" s="19"/>
      <c r="LJJ27" s="19"/>
      <c r="LJK27" s="19"/>
      <c r="LJL27" s="19"/>
      <c r="LJM27" s="19"/>
      <c r="LJN27" s="19"/>
      <c r="LJO27" s="19"/>
      <c r="LJP27" s="19"/>
      <c r="LJQ27" s="19"/>
      <c r="LJR27" s="19"/>
      <c r="LJS27" s="19"/>
      <c r="LJT27" s="19"/>
      <c r="LJU27" s="19"/>
      <c r="LJV27" s="19"/>
      <c r="LJW27" s="19"/>
      <c r="LJX27" s="19"/>
      <c r="LJY27" s="19"/>
      <c r="LJZ27" s="19"/>
      <c r="LKA27" s="19"/>
      <c r="LKB27" s="19"/>
      <c r="LKC27" s="19"/>
      <c r="LKD27" s="19"/>
      <c r="LKE27" s="19"/>
      <c r="LKF27" s="19"/>
      <c r="LKG27" s="19"/>
      <c r="LKH27" s="19"/>
      <c r="LKI27" s="19"/>
      <c r="LKJ27" s="19"/>
      <c r="LKK27" s="19"/>
      <c r="LKL27" s="19"/>
      <c r="LKM27" s="19"/>
      <c r="LKN27" s="19"/>
      <c r="LKO27" s="19"/>
      <c r="LKP27" s="19"/>
      <c r="LKQ27" s="19"/>
      <c r="LKR27" s="19"/>
      <c r="LKS27" s="19"/>
      <c r="LKT27" s="19"/>
      <c r="LKU27" s="19"/>
      <c r="LKV27" s="19"/>
      <c r="LKW27" s="19"/>
      <c r="LKX27" s="19"/>
      <c r="LKY27" s="19"/>
      <c r="LKZ27" s="19"/>
      <c r="LLA27" s="19"/>
      <c r="LLB27" s="19"/>
      <c r="LLC27" s="19"/>
      <c r="LLD27" s="19"/>
      <c r="LLE27" s="19"/>
      <c r="LLF27" s="19"/>
      <c r="LLG27" s="19"/>
      <c r="LLH27" s="19"/>
      <c r="LLI27" s="19"/>
      <c r="LLJ27" s="19"/>
      <c r="LLK27" s="19"/>
      <c r="LLL27" s="19"/>
      <c r="LLM27" s="19"/>
      <c r="LLN27" s="19"/>
      <c r="LLO27" s="19"/>
      <c r="LLP27" s="19"/>
      <c r="LLQ27" s="19"/>
      <c r="LLR27" s="19"/>
      <c r="LLS27" s="19"/>
      <c r="LLT27" s="19"/>
      <c r="LLU27" s="19"/>
      <c r="LLV27" s="19"/>
      <c r="LLW27" s="19"/>
      <c r="LLX27" s="19"/>
      <c r="LLY27" s="19"/>
      <c r="LLZ27" s="19"/>
      <c r="LMA27" s="19"/>
      <c r="LMB27" s="19"/>
      <c r="LMC27" s="19"/>
      <c r="LMD27" s="19"/>
      <c r="LME27" s="19"/>
      <c r="LMF27" s="19"/>
      <c r="LMG27" s="19"/>
      <c r="LMH27" s="19"/>
      <c r="LMI27" s="19"/>
      <c r="LMJ27" s="19"/>
      <c r="LMK27" s="19"/>
      <c r="LML27" s="19"/>
      <c r="LMM27" s="19"/>
      <c r="LMN27" s="19"/>
      <c r="LMO27" s="19"/>
      <c r="LMP27" s="19"/>
      <c r="LMQ27" s="19"/>
      <c r="LMR27" s="19"/>
      <c r="LMS27" s="19"/>
      <c r="LMT27" s="19"/>
      <c r="LMU27" s="19"/>
      <c r="LMV27" s="19"/>
      <c r="LMW27" s="19"/>
      <c r="LMX27" s="19"/>
      <c r="LMY27" s="19"/>
      <c r="LMZ27" s="19"/>
      <c r="LNA27" s="19"/>
      <c r="LNB27" s="19"/>
      <c r="LNC27" s="19"/>
      <c r="LND27" s="19"/>
      <c r="LNE27" s="19"/>
      <c r="LNF27" s="19"/>
      <c r="LNG27" s="19"/>
      <c r="LNH27" s="19"/>
      <c r="LNI27" s="19"/>
      <c r="LNJ27" s="19"/>
      <c r="LNK27" s="19"/>
      <c r="LNL27" s="19"/>
      <c r="LNM27" s="19"/>
      <c r="LNN27" s="19"/>
      <c r="LNO27" s="19"/>
      <c r="LNP27" s="19"/>
      <c r="LNQ27" s="19"/>
      <c r="LNR27" s="19"/>
      <c r="LNS27" s="19"/>
      <c r="LNT27" s="19"/>
      <c r="LNU27" s="19"/>
      <c r="LNV27" s="19"/>
      <c r="LNW27" s="19"/>
      <c r="LNX27" s="19"/>
      <c r="LNY27" s="19"/>
      <c r="LNZ27" s="19"/>
      <c r="LOA27" s="19"/>
      <c r="LOB27" s="19"/>
      <c r="LOC27" s="19"/>
      <c r="LOD27" s="19"/>
      <c r="LOE27" s="19"/>
      <c r="LOF27" s="19"/>
      <c r="LOG27" s="19"/>
      <c r="LOH27" s="19"/>
      <c r="LOI27" s="19"/>
      <c r="LOJ27" s="19"/>
      <c r="LOK27" s="19"/>
      <c r="LOL27" s="19"/>
      <c r="LOM27" s="19"/>
      <c r="LON27" s="19"/>
      <c r="LOO27" s="19"/>
      <c r="LOP27" s="19"/>
      <c r="LOQ27" s="19"/>
      <c r="LOR27" s="19"/>
      <c r="LOS27" s="19"/>
      <c r="LOT27" s="19"/>
      <c r="LOU27" s="19"/>
      <c r="LOV27" s="19"/>
      <c r="LOW27" s="19"/>
      <c r="LOX27" s="19"/>
      <c r="LOY27" s="19"/>
      <c r="LOZ27" s="19"/>
      <c r="LPA27" s="19"/>
      <c r="LPB27" s="19"/>
      <c r="LPC27" s="19"/>
      <c r="LPD27" s="19"/>
      <c r="LPE27" s="19"/>
      <c r="LPF27" s="19"/>
      <c r="LPG27" s="19"/>
      <c r="LPH27" s="19"/>
      <c r="LPI27" s="19"/>
      <c r="LPJ27" s="19"/>
      <c r="LPK27" s="19"/>
      <c r="LPL27" s="19"/>
      <c r="LPM27" s="19"/>
      <c r="LPN27" s="19"/>
      <c r="LPO27" s="19"/>
      <c r="LPP27" s="19"/>
      <c r="LPQ27" s="19"/>
      <c r="LPR27" s="19"/>
      <c r="LPS27" s="19"/>
      <c r="LPT27" s="19"/>
      <c r="LPU27" s="19"/>
      <c r="LPV27" s="19"/>
      <c r="LPW27" s="19"/>
      <c r="LPX27" s="19"/>
      <c r="LPY27" s="19"/>
      <c r="LPZ27" s="19"/>
      <c r="LQA27" s="19"/>
      <c r="LQB27" s="19"/>
      <c r="LQC27" s="19"/>
      <c r="LQD27" s="19"/>
      <c r="LQE27" s="19"/>
      <c r="LQF27" s="19"/>
      <c r="LQG27" s="19"/>
      <c r="LQH27" s="19"/>
      <c r="LQI27" s="19"/>
      <c r="LQJ27" s="19"/>
      <c r="LQK27" s="19"/>
      <c r="LQL27" s="19"/>
      <c r="LQM27" s="19"/>
      <c r="LQN27" s="19"/>
      <c r="LQO27" s="19"/>
      <c r="LQP27" s="19"/>
      <c r="LQQ27" s="19"/>
      <c r="LQR27" s="19"/>
      <c r="LQS27" s="19"/>
      <c r="LQT27" s="19"/>
      <c r="LQU27" s="19"/>
      <c r="LQV27" s="19"/>
      <c r="LQW27" s="19"/>
      <c r="LQX27" s="19"/>
      <c r="LQY27" s="19"/>
      <c r="LQZ27" s="19"/>
      <c r="LRA27" s="19"/>
      <c r="LRB27" s="19"/>
      <c r="LRC27" s="19"/>
      <c r="LRD27" s="19"/>
      <c r="LRE27" s="19"/>
      <c r="LRF27" s="19"/>
      <c r="LRG27" s="19"/>
      <c r="LRH27" s="19"/>
      <c r="LRI27" s="19"/>
      <c r="LRJ27" s="19"/>
      <c r="LRK27" s="19"/>
      <c r="LRL27" s="19"/>
      <c r="LRM27" s="19"/>
      <c r="LRN27" s="19"/>
      <c r="LRO27" s="19"/>
      <c r="LRP27" s="19"/>
      <c r="LRQ27" s="19"/>
      <c r="LRR27" s="19"/>
      <c r="LRS27" s="19"/>
      <c r="LRT27" s="19"/>
      <c r="LRU27" s="19"/>
      <c r="LRV27" s="19"/>
      <c r="LRW27" s="19"/>
      <c r="LRX27" s="19"/>
      <c r="LRY27" s="19"/>
      <c r="LRZ27" s="19"/>
      <c r="LSA27" s="19"/>
      <c r="LSB27" s="19"/>
      <c r="LSC27" s="19"/>
      <c r="LSD27" s="19"/>
      <c r="LSE27" s="19"/>
      <c r="LSF27" s="19"/>
      <c r="LSG27" s="19"/>
      <c r="LSH27" s="19"/>
      <c r="LSI27" s="19"/>
      <c r="LSJ27" s="19"/>
      <c r="LSK27" s="19"/>
      <c r="LSL27" s="19"/>
      <c r="LSM27" s="19"/>
      <c r="LSN27" s="19"/>
      <c r="LSO27" s="19"/>
      <c r="LSP27" s="19"/>
      <c r="LSQ27" s="19"/>
      <c r="LSR27" s="19"/>
      <c r="LSS27" s="19"/>
      <c r="LST27" s="19"/>
      <c r="LSU27" s="19"/>
      <c r="LSV27" s="19"/>
      <c r="LSW27" s="19"/>
      <c r="LSX27" s="19"/>
      <c r="LSY27" s="19"/>
      <c r="LSZ27" s="19"/>
      <c r="LTA27" s="19"/>
      <c r="LTB27" s="19"/>
      <c r="LTC27" s="19"/>
      <c r="LTD27" s="19"/>
      <c r="LTE27" s="19"/>
      <c r="LTF27" s="19"/>
      <c r="LTG27" s="19"/>
      <c r="LTH27" s="19"/>
      <c r="LTI27" s="19"/>
      <c r="LTJ27" s="19"/>
      <c r="LTK27" s="19"/>
      <c r="LTL27" s="19"/>
      <c r="LTM27" s="19"/>
      <c r="LTN27" s="19"/>
      <c r="LTO27" s="19"/>
      <c r="LTP27" s="19"/>
      <c r="LTQ27" s="19"/>
      <c r="LTR27" s="19"/>
      <c r="LTS27" s="19"/>
      <c r="LTT27" s="19"/>
      <c r="LTU27" s="19"/>
      <c r="LTV27" s="19"/>
      <c r="LTW27" s="19"/>
      <c r="LTX27" s="19"/>
      <c r="LTY27" s="19"/>
      <c r="LTZ27" s="19"/>
      <c r="LUA27" s="19"/>
      <c r="LUB27" s="19"/>
      <c r="LUC27" s="19"/>
      <c r="LUD27" s="19"/>
      <c r="LUE27" s="19"/>
      <c r="LUF27" s="19"/>
      <c r="LUG27" s="19"/>
      <c r="LUH27" s="19"/>
      <c r="LUI27" s="19"/>
      <c r="LUJ27" s="19"/>
      <c r="LUK27" s="19"/>
      <c r="LUL27" s="19"/>
      <c r="LUM27" s="19"/>
      <c r="LUN27" s="19"/>
      <c r="LUO27" s="19"/>
      <c r="LUP27" s="19"/>
      <c r="LUQ27" s="19"/>
      <c r="LUR27" s="19"/>
      <c r="LUS27" s="19"/>
      <c r="LUT27" s="19"/>
      <c r="LUU27" s="19"/>
      <c r="LUV27" s="19"/>
      <c r="LUW27" s="19"/>
      <c r="LUX27" s="19"/>
      <c r="LUY27" s="19"/>
      <c r="LUZ27" s="19"/>
      <c r="LVA27" s="19"/>
      <c r="LVB27" s="19"/>
      <c r="LVC27" s="19"/>
      <c r="LVD27" s="19"/>
      <c r="LVE27" s="19"/>
      <c r="LVF27" s="19"/>
      <c r="LVG27" s="19"/>
      <c r="LVH27" s="19"/>
      <c r="LVI27" s="19"/>
      <c r="LVJ27" s="19"/>
      <c r="LVK27" s="19"/>
      <c r="LVL27" s="19"/>
      <c r="LVM27" s="19"/>
      <c r="LVN27" s="19"/>
      <c r="LVO27" s="19"/>
      <c r="LVP27" s="19"/>
      <c r="LVQ27" s="19"/>
      <c r="LVR27" s="19"/>
      <c r="LVS27" s="19"/>
      <c r="LVT27" s="19"/>
      <c r="LVU27" s="19"/>
      <c r="LVV27" s="19"/>
      <c r="LVW27" s="19"/>
      <c r="LVX27" s="19"/>
      <c r="LVY27" s="19"/>
      <c r="LVZ27" s="19"/>
      <c r="LWA27" s="19"/>
      <c r="LWB27" s="19"/>
      <c r="LWC27" s="19"/>
      <c r="LWD27" s="19"/>
      <c r="LWE27" s="19"/>
      <c r="LWF27" s="19"/>
      <c r="LWG27" s="19"/>
      <c r="LWH27" s="19"/>
      <c r="LWI27" s="19"/>
      <c r="LWJ27" s="19"/>
      <c r="LWK27" s="19"/>
      <c r="LWL27" s="19"/>
      <c r="LWM27" s="19"/>
      <c r="LWN27" s="19"/>
      <c r="LWO27" s="19"/>
      <c r="LWP27" s="19"/>
      <c r="LWQ27" s="19"/>
      <c r="LWR27" s="19"/>
      <c r="LWS27" s="19"/>
      <c r="LWT27" s="19"/>
      <c r="LWU27" s="19"/>
      <c r="LWV27" s="19"/>
      <c r="LWW27" s="19"/>
      <c r="LWX27" s="19"/>
      <c r="LWY27" s="19"/>
      <c r="LWZ27" s="19"/>
      <c r="LXA27" s="19"/>
      <c r="LXB27" s="19"/>
      <c r="LXC27" s="19"/>
      <c r="LXD27" s="19"/>
      <c r="LXE27" s="19"/>
      <c r="LXF27" s="19"/>
      <c r="LXG27" s="19"/>
      <c r="LXH27" s="19"/>
      <c r="LXI27" s="19"/>
      <c r="LXJ27" s="19"/>
      <c r="LXK27" s="19"/>
      <c r="LXL27" s="19"/>
      <c r="LXM27" s="19"/>
      <c r="LXN27" s="19"/>
      <c r="LXO27" s="19"/>
      <c r="LXP27" s="19"/>
      <c r="LXQ27" s="19"/>
      <c r="LXR27" s="19"/>
      <c r="LXS27" s="19"/>
      <c r="LXT27" s="19"/>
      <c r="LXU27" s="19"/>
      <c r="LXV27" s="19"/>
      <c r="LXW27" s="19"/>
      <c r="LXX27" s="19"/>
      <c r="LXY27" s="19"/>
      <c r="LXZ27" s="19"/>
      <c r="LYA27" s="19"/>
      <c r="LYB27" s="19"/>
      <c r="LYC27" s="19"/>
      <c r="LYD27" s="19"/>
      <c r="LYE27" s="19"/>
      <c r="LYF27" s="19"/>
      <c r="LYG27" s="19"/>
      <c r="LYH27" s="19"/>
      <c r="LYI27" s="19"/>
      <c r="LYJ27" s="19"/>
      <c r="LYK27" s="19"/>
      <c r="LYL27" s="19"/>
      <c r="LYM27" s="19"/>
      <c r="LYN27" s="19"/>
      <c r="LYO27" s="19"/>
      <c r="LYP27" s="19"/>
      <c r="LYQ27" s="19"/>
      <c r="LYR27" s="19"/>
      <c r="LYS27" s="19"/>
      <c r="LYT27" s="19"/>
      <c r="LYU27" s="19"/>
      <c r="LYV27" s="19"/>
      <c r="LYW27" s="19"/>
      <c r="LYX27" s="19"/>
      <c r="LYY27" s="19"/>
      <c r="LYZ27" s="19"/>
      <c r="LZA27" s="19"/>
      <c r="LZB27" s="19"/>
      <c r="LZC27" s="19"/>
      <c r="LZD27" s="19"/>
      <c r="LZE27" s="19"/>
      <c r="LZF27" s="19"/>
      <c r="LZG27" s="19"/>
      <c r="LZH27" s="19"/>
      <c r="LZI27" s="19"/>
      <c r="LZJ27" s="19"/>
      <c r="LZK27" s="19"/>
      <c r="LZL27" s="19"/>
      <c r="LZM27" s="19"/>
      <c r="LZN27" s="19"/>
      <c r="LZO27" s="19"/>
      <c r="LZP27" s="19"/>
      <c r="LZQ27" s="19"/>
      <c r="LZR27" s="19"/>
      <c r="LZS27" s="19"/>
      <c r="LZT27" s="19"/>
      <c r="LZU27" s="19"/>
      <c r="LZV27" s="19"/>
      <c r="LZW27" s="19"/>
      <c r="LZX27" s="19"/>
      <c r="LZY27" s="19"/>
      <c r="LZZ27" s="19"/>
      <c r="MAA27" s="19"/>
      <c r="MAB27" s="19"/>
      <c r="MAC27" s="19"/>
      <c r="MAD27" s="19"/>
      <c r="MAE27" s="19"/>
      <c r="MAF27" s="19"/>
      <c r="MAG27" s="19"/>
      <c r="MAH27" s="19"/>
      <c r="MAI27" s="19"/>
      <c r="MAJ27" s="19"/>
      <c r="MAK27" s="19"/>
      <c r="MAL27" s="19"/>
      <c r="MAM27" s="19"/>
      <c r="MAN27" s="19"/>
      <c r="MAO27" s="19"/>
      <c r="MAP27" s="19"/>
      <c r="MAQ27" s="19"/>
      <c r="MAR27" s="19"/>
      <c r="MAS27" s="19"/>
      <c r="MAT27" s="19"/>
      <c r="MAU27" s="19"/>
      <c r="MAV27" s="19"/>
      <c r="MAW27" s="19"/>
      <c r="MAX27" s="19"/>
      <c r="MAY27" s="19"/>
      <c r="MAZ27" s="19"/>
      <c r="MBA27" s="19"/>
      <c r="MBB27" s="19"/>
      <c r="MBC27" s="19"/>
      <c r="MBD27" s="19"/>
      <c r="MBE27" s="19"/>
      <c r="MBF27" s="19"/>
      <c r="MBG27" s="19"/>
      <c r="MBH27" s="19"/>
      <c r="MBI27" s="19"/>
      <c r="MBJ27" s="19"/>
      <c r="MBK27" s="19"/>
      <c r="MBL27" s="19"/>
      <c r="MBM27" s="19"/>
      <c r="MBN27" s="19"/>
      <c r="MBO27" s="19"/>
      <c r="MBP27" s="19"/>
      <c r="MBQ27" s="19"/>
      <c r="MBR27" s="19"/>
      <c r="MBS27" s="19"/>
      <c r="MBT27" s="19"/>
      <c r="MBU27" s="19"/>
      <c r="MBV27" s="19"/>
      <c r="MBW27" s="19"/>
      <c r="MBX27" s="19"/>
      <c r="MBY27" s="19"/>
      <c r="MBZ27" s="19"/>
      <c r="MCA27" s="19"/>
      <c r="MCB27" s="19"/>
      <c r="MCC27" s="19"/>
      <c r="MCD27" s="19"/>
      <c r="MCE27" s="19"/>
      <c r="MCF27" s="19"/>
      <c r="MCG27" s="19"/>
      <c r="MCH27" s="19"/>
      <c r="MCI27" s="19"/>
      <c r="MCJ27" s="19"/>
      <c r="MCK27" s="19"/>
      <c r="MCL27" s="19"/>
      <c r="MCM27" s="19"/>
      <c r="MCN27" s="19"/>
      <c r="MCO27" s="19"/>
      <c r="MCP27" s="19"/>
      <c r="MCQ27" s="19"/>
      <c r="MCR27" s="19"/>
      <c r="MCS27" s="19"/>
      <c r="MCT27" s="19"/>
      <c r="MCU27" s="19"/>
      <c r="MCV27" s="19"/>
      <c r="MCW27" s="19"/>
      <c r="MCX27" s="19"/>
      <c r="MCY27" s="19"/>
      <c r="MCZ27" s="19"/>
      <c r="MDA27" s="19"/>
      <c r="MDB27" s="19"/>
      <c r="MDC27" s="19"/>
      <c r="MDD27" s="19"/>
      <c r="MDE27" s="19"/>
      <c r="MDF27" s="19"/>
      <c r="MDG27" s="19"/>
      <c r="MDH27" s="19"/>
      <c r="MDI27" s="19"/>
      <c r="MDJ27" s="19"/>
      <c r="MDK27" s="19"/>
      <c r="MDL27" s="19"/>
      <c r="MDM27" s="19"/>
      <c r="MDN27" s="19"/>
      <c r="MDO27" s="19"/>
      <c r="MDP27" s="19"/>
      <c r="MDQ27" s="19"/>
      <c r="MDR27" s="19"/>
      <c r="MDS27" s="19"/>
      <c r="MDT27" s="19"/>
      <c r="MDU27" s="19"/>
      <c r="MDV27" s="19"/>
      <c r="MDW27" s="19"/>
      <c r="MDX27" s="19"/>
      <c r="MDY27" s="19"/>
      <c r="MDZ27" s="19"/>
      <c r="MEA27" s="19"/>
      <c r="MEB27" s="19"/>
      <c r="MEC27" s="19"/>
      <c r="MED27" s="19"/>
      <c r="MEE27" s="19"/>
      <c r="MEF27" s="19"/>
      <c r="MEG27" s="19"/>
      <c r="MEH27" s="19"/>
      <c r="MEI27" s="19"/>
      <c r="MEJ27" s="19"/>
      <c r="MEK27" s="19"/>
      <c r="MEL27" s="19"/>
      <c r="MEM27" s="19"/>
      <c r="MEN27" s="19"/>
      <c r="MEO27" s="19"/>
      <c r="MEP27" s="19"/>
      <c r="MEQ27" s="19"/>
      <c r="MER27" s="19"/>
      <c r="MES27" s="19"/>
      <c r="MET27" s="19"/>
      <c r="MEU27" s="19"/>
      <c r="MEV27" s="19"/>
      <c r="MEW27" s="19"/>
      <c r="MEX27" s="19"/>
      <c r="MEY27" s="19"/>
      <c r="MEZ27" s="19"/>
      <c r="MFA27" s="19"/>
      <c r="MFB27" s="19"/>
      <c r="MFC27" s="19"/>
      <c r="MFD27" s="19"/>
      <c r="MFE27" s="19"/>
      <c r="MFF27" s="19"/>
      <c r="MFG27" s="19"/>
      <c r="MFH27" s="19"/>
      <c r="MFI27" s="19"/>
      <c r="MFJ27" s="19"/>
      <c r="MFK27" s="19"/>
      <c r="MFL27" s="19"/>
      <c r="MFM27" s="19"/>
      <c r="MFN27" s="19"/>
      <c r="MFO27" s="19"/>
      <c r="MFP27" s="19"/>
      <c r="MFQ27" s="19"/>
      <c r="MFR27" s="19"/>
      <c r="MFS27" s="19"/>
      <c r="MFT27" s="19"/>
      <c r="MFU27" s="19"/>
      <c r="MFV27" s="19"/>
      <c r="MFW27" s="19"/>
      <c r="MFX27" s="19"/>
      <c r="MFY27" s="19"/>
      <c r="MFZ27" s="19"/>
      <c r="MGA27" s="19"/>
      <c r="MGB27" s="19"/>
      <c r="MGC27" s="19"/>
      <c r="MGD27" s="19"/>
      <c r="MGE27" s="19"/>
      <c r="MGF27" s="19"/>
      <c r="MGG27" s="19"/>
      <c r="MGH27" s="19"/>
      <c r="MGI27" s="19"/>
      <c r="MGJ27" s="19"/>
      <c r="MGK27" s="19"/>
      <c r="MGL27" s="19"/>
      <c r="MGM27" s="19"/>
      <c r="MGN27" s="19"/>
      <c r="MGO27" s="19"/>
      <c r="MGP27" s="19"/>
      <c r="MGQ27" s="19"/>
      <c r="MGR27" s="19"/>
      <c r="MGS27" s="19"/>
      <c r="MGT27" s="19"/>
      <c r="MGU27" s="19"/>
      <c r="MGV27" s="19"/>
      <c r="MGW27" s="19"/>
      <c r="MGX27" s="19"/>
      <c r="MGY27" s="19"/>
      <c r="MGZ27" s="19"/>
      <c r="MHA27" s="19"/>
      <c r="MHB27" s="19"/>
      <c r="MHC27" s="19"/>
      <c r="MHD27" s="19"/>
      <c r="MHE27" s="19"/>
      <c r="MHF27" s="19"/>
      <c r="MHG27" s="19"/>
      <c r="MHH27" s="19"/>
      <c r="MHI27" s="19"/>
      <c r="MHJ27" s="19"/>
      <c r="MHK27" s="19"/>
      <c r="MHL27" s="19"/>
      <c r="MHM27" s="19"/>
      <c r="MHN27" s="19"/>
      <c r="MHO27" s="19"/>
      <c r="MHP27" s="19"/>
      <c r="MHQ27" s="19"/>
      <c r="MHR27" s="19"/>
      <c r="MHS27" s="19"/>
      <c r="MHT27" s="19"/>
      <c r="MHU27" s="19"/>
      <c r="MHV27" s="19"/>
      <c r="MHW27" s="19"/>
      <c r="MHX27" s="19"/>
      <c r="MHY27" s="19"/>
      <c r="MHZ27" s="19"/>
      <c r="MIA27" s="19"/>
      <c r="MIB27" s="19"/>
      <c r="MIC27" s="19"/>
      <c r="MID27" s="19"/>
      <c r="MIE27" s="19"/>
      <c r="MIF27" s="19"/>
      <c r="MIG27" s="19"/>
      <c r="MIH27" s="19"/>
      <c r="MII27" s="19"/>
      <c r="MIJ27" s="19"/>
      <c r="MIK27" s="19"/>
      <c r="MIL27" s="19"/>
      <c r="MIM27" s="19"/>
      <c r="MIN27" s="19"/>
      <c r="MIO27" s="19"/>
      <c r="MIP27" s="19"/>
      <c r="MIQ27" s="19"/>
      <c r="MIR27" s="19"/>
      <c r="MIS27" s="19"/>
      <c r="MIT27" s="19"/>
      <c r="MIU27" s="19"/>
      <c r="MIV27" s="19"/>
      <c r="MIW27" s="19"/>
      <c r="MIX27" s="19"/>
      <c r="MIY27" s="19"/>
      <c r="MIZ27" s="19"/>
      <c r="MJA27" s="19"/>
      <c r="MJB27" s="19"/>
      <c r="MJC27" s="19"/>
      <c r="MJD27" s="19"/>
      <c r="MJE27" s="19"/>
      <c r="MJF27" s="19"/>
      <c r="MJG27" s="19"/>
      <c r="MJH27" s="19"/>
      <c r="MJI27" s="19"/>
      <c r="MJJ27" s="19"/>
      <c r="MJK27" s="19"/>
      <c r="MJL27" s="19"/>
      <c r="MJM27" s="19"/>
      <c r="MJN27" s="19"/>
      <c r="MJO27" s="19"/>
      <c r="MJP27" s="19"/>
      <c r="MJQ27" s="19"/>
      <c r="MJR27" s="19"/>
      <c r="MJS27" s="19"/>
      <c r="MJT27" s="19"/>
      <c r="MJU27" s="19"/>
      <c r="MJV27" s="19"/>
      <c r="MJW27" s="19"/>
      <c r="MJX27" s="19"/>
      <c r="MJY27" s="19"/>
      <c r="MJZ27" s="19"/>
      <c r="MKA27" s="19"/>
      <c r="MKB27" s="19"/>
      <c r="MKC27" s="19"/>
      <c r="MKD27" s="19"/>
      <c r="MKE27" s="19"/>
      <c r="MKF27" s="19"/>
      <c r="MKG27" s="19"/>
      <c r="MKH27" s="19"/>
      <c r="MKI27" s="19"/>
      <c r="MKJ27" s="19"/>
      <c r="MKK27" s="19"/>
      <c r="MKL27" s="19"/>
      <c r="MKM27" s="19"/>
      <c r="MKN27" s="19"/>
      <c r="MKO27" s="19"/>
      <c r="MKP27" s="19"/>
      <c r="MKQ27" s="19"/>
      <c r="MKR27" s="19"/>
      <c r="MKS27" s="19"/>
      <c r="MKT27" s="19"/>
      <c r="MKU27" s="19"/>
      <c r="MKV27" s="19"/>
      <c r="MKW27" s="19"/>
      <c r="MKX27" s="19"/>
      <c r="MKY27" s="19"/>
      <c r="MKZ27" s="19"/>
      <c r="MLA27" s="19"/>
      <c r="MLB27" s="19"/>
      <c r="MLC27" s="19"/>
      <c r="MLD27" s="19"/>
      <c r="MLE27" s="19"/>
      <c r="MLF27" s="19"/>
      <c r="MLG27" s="19"/>
      <c r="MLH27" s="19"/>
      <c r="MLI27" s="19"/>
      <c r="MLJ27" s="19"/>
      <c r="MLK27" s="19"/>
      <c r="MLL27" s="19"/>
      <c r="MLM27" s="19"/>
      <c r="MLN27" s="19"/>
      <c r="MLO27" s="19"/>
      <c r="MLP27" s="19"/>
      <c r="MLQ27" s="19"/>
      <c r="MLR27" s="19"/>
      <c r="MLS27" s="19"/>
      <c r="MLT27" s="19"/>
      <c r="MLU27" s="19"/>
      <c r="MLV27" s="19"/>
      <c r="MLW27" s="19"/>
      <c r="MLX27" s="19"/>
      <c r="MLY27" s="19"/>
      <c r="MLZ27" s="19"/>
      <c r="MMA27" s="19"/>
      <c r="MMB27" s="19"/>
      <c r="MMC27" s="19"/>
      <c r="MMD27" s="19"/>
      <c r="MME27" s="19"/>
      <c r="MMF27" s="19"/>
      <c r="MMG27" s="19"/>
      <c r="MMH27" s="19"/>
      <c r="MMI27" s="19"/>
      <c r="MMJ27" s="19"/>
      <c r="MMK27" s="19"/>
      <c r="MML27" s="19"/>
      <c r="MMM27" s="19"/>
      <c r="MMN27" s="19"/>
      <c r="MMO27" s="19"/>
      <c r="MMP27" s="19"/>
      <c r="MMQ27" s="19"/>
      <c r="MMR27" s="19"/>
      <c r="MMS27" s="19"/>
      <c r="MMT27" s="19"/>
      <c r="MMU27" s="19"/>
      <c r="MMV27" s="19"/>
      <c r="MMW27" s="19"/>
      <c r="MMX27" s="19"/>
      <c r="MMY27" s="19"/>
      <c r="MMZ27" s="19"/>
      <c r="MNA27" s="19"/>
      <c r="MNB27" s="19"/>
      <c r="MNC27" s="19"/>
      <c r="MND27" s="19"/>
      <c r="MNE27" s="19"/>
      <c r="MNF27" s="19"/>
      <c r="MNG27" s="19"/>
      <c r="MNH27" s="19"/>
      <c r="MNI27" s="19"/>
      <c r="MNJ27" s="19"/>
      <c r="MNK27" s="19"/>
      <c r="MNL27" s="19"/>
      <c r="MNM27" s="19"/>
      <c r="MNN27" s="19"/>
      <c r="MNO27" s="19"/>
      <c r="MNP27" s="19"/>
      <c r="MNQ27" s="19"/>
      <c r="MNR27" s="19"/>
      <c r="MNS27" s="19"/>
      <c r="MNT27" s="19"/>
      <c r="MNU27" s="19"/>
      <c r="MNV27" s="19"/>
      <c r="MNW27" s="19"/>
      <c r="MNX27" s="19"/>
      <c r="MNY27" s="19"/>
      <c r="MNZ27" s="19"/>
      <c r="MOA27" s="19"/>
      <c r="MOB27" s="19"/>
      <c r="MOC27" s="19"/>
      <c r="MOD27" s="19"/>
      <c r="MOE27" s="19"/>
      <c r="MOF27" s="19"/>
      <c r="MOG27" s="19"/>
      <c r="MOH27" s="19"/>
      <c r="MOI27" s="19"/>
      <c r="MOJ27" s="19"/>
      <c r="MOK27" s="19"/>
      <c r="MOL27" s="19"/>
      <c r="MOM27" s="19"/>
      <c r="MON27" s="19"/>
      <c r="MOO27" s="19"/>
      <c r="MOP27" s="19"/>
      <c r="MOQ27" s="19"/>
      <c r="MOR27" s="19"/>
      <c r="MOS27" s="19"/>
      <c r="MOT27" s="19"/>
      <c r="MOU27" s="19"/>
      <c r="MOV27" s="19"/>
      <c r="MOW27" s="19"/>
      <c r="MOX27" s="19"/>
      <c r="MOY27" s="19"/>
      <c r="MOZ27" s="19"/>
      <c r="MPA27" s="19"/>
      <c r="MPB27" s="19"/>
      <c r="MPC27" s="19"/>
      <c r="MPD27" s="19"/>
      <c r="MPE27" s="19"/>
      <c r="MPF27" s="19"/>
      <c r="MPG27" s="19"/>
      <c r="MPH27" s="19"/>
      <c r="MPI27" s="19"/>
      <c r="MPJ27" s="19"/>
      <c r="MPK27" s="19"/>
      <c r="MPL27" s="19"/>
      <c r="MPM27" s="19"/>
      <c r="MPN27" s="19"/>
      <c r="MPO27" s="19"/>
      <c r="MPP27" s="19"/>
      <c r="MPQ27" s="19"/>
      <c r="MPR27" s="19"/>
      <c r="MPS27" s="19"/>
      <c r="MPT27" s="19"/>
      <c r="MPU27" s="19"/>
      <c r="MPV27" s="19"/>
      <c r="MPW27" s="19"/>
      <c r="MPX27" s="19"/>
      <c r="MPY27" s="19"/>
      <c r="MPZ27" s="19"/>
      <c r="MQA27" s="19"/>
      <c r="MQB27" s="19"/>
      <c r="MQC27" s="19"/>
      <c r="MQD27" s="19"/>
      <c r="MQE27" s="19"/>
      <c r="MQF27" s="19"/>
      <c r="MQG27" s="19"/>
      <c r="MQH27" s="19"/>
      <c r="MQI27" s="19"/>
      <c r="MQJ27" s="19"/>
      <c r="MQK27" s="19"/>
      <c r="MQL27" s="19"/>
      <c r="MQM27" s="19"/>
      <c r="MQN27" s="19"/>
      <c r="MQO27" s="19"/>
      <c r="MQP27" s="19"/>
      <c r="MQQ27" s="19"/>
      <c r="MQR27" s="19"/>
      <c r="MQS27" s="19"/>
      <c r="MQT27" s="19"/>
      <c r="MQU27" s="19"/>
      <c r="MQV27" s="19"/>
      <c r="MQW27" s="19"/>
      <c r="MQX27" s="19"/>
      <c r="MQY27" s="19"/>
      <c r="MQZ27" s="19"/>
      <c r="MRA27" s="19"/>
      <c r="MRB27" s="19"/>
      <c r="MRC27" s="19"/>
      <c r="MRD27" s="19"/>
      <c r="MRE27" s="19"/>
      <c r="MRF27" s="19"/>
      <c r="MRG27" s="19"/>
      <c r="MRH27" s="19"/>
      <c r="MRI27" s="19"/>
      <c r="MRJ27" s="19"/>
      <c r="MRK27" s="19"/>
      <c r="MRL27" s="19"/>
      <c r="MRM27" s="19"/>
      <c r="MRN27" s="19"/>
      <c r="MRO27" s="19"/>
      <c r="MRP27" s="19"/>
      <c r="MRQ27" s="19"/>
      <c r="MRR27" s="19"/>
      <c r="MRS27" s="19"/>
      <c r="MRT27" s="19"/>
      <c r="MRU27" s="19"/>
      <c r="MRV27" s="19"/>
      <c r="MRW27" s="19"/>
      <c r="MRX27" s="19"/>
      <c r="MRY27" s="19"/>
      <c r="MRZ27" s="19"/>
      <c r="MSA27" s="19"/>
      <c r="MSB27" s="19"/>
      <c r="MSC27" s="19"/>
      <c r="MSD27" s="19"/>
      <c r="MSE27" s="19"/>
      <c r="MSF27" s="19"/>
      <c r="MSG27" s="19"/>
      <c r="MSH27" s="19"/>
      <c r="MSI27" s="19"/>
      <c r="MSJ27" s="19"/>
      <c r="MSK27" s="19"/>
      <c r="MSL27" s="19"/>
      <c r="MSM27" s="19"/>
      <c r="MSN27" s="19"/>
      <c r="MSO27" s="19"/>
      <c r="MSP27" s="19"/>
      <c r="MSQ27" s="19"/>
      <c r="MSR27" s="19"/>
      <c r="MSS27" s="19"/>
      <c r="MST27" s="19"/>
      <c r="MSU27" s="19"/>
      <c r="MSV27" s="19"/>
      <c r="MSW27" s="19"/>
      <c r="MSX27" s="19"/>
      <c r="MSY27" s="19"/>
      <c r="MSZ27" s="19"/>
      <c r="MTA27" s="19"/>
      <c r="MTB27" s="19"/>
      <c r="MTC27" s="19"/>
      <c r="MTD27" s="19"/>
      <c r="MTE27" s="19"/>
      <c r="MTF27" s="19"/>
      <c r="MTG27" s="19"/>
      <c r="MTH27" s="19"/>
      <c r="MTI27" s="19"/>
      <c r="MTJ27" s="19"/>
      <c r="MTK27" s="19"/>
      <c r="MTL27" s="19"/>
      <c r="MTM27" s="19"/>
      <c r="MTN27" s="19"/>
      <c r="MTO27" s="19"/>
      <c r="MTP27" s="19"/>
      <c r="MTQ27" s="19"/>
      <c r="MTR27" s="19"/>
      <c r="MTS27" s="19"/>
      <c r="MTT27" s="19"/>
      <c r="MTU27" s="19"/>
      <c r="MTV27" s="19"/>
      <c r="MTW27" s="19"/>
      <c r="MTX27" s="19"/>
      <c r="MTY27" s="19"/>
      <c r="MTZ27" s="19"/>
      <c r="MUA27" s="19"/>
      <c r="MUB27" s="19"/>
      <c r="MUC27" s="19"/>
      <c r="MUD27" s="19"/>
      <c r="MUE27" s="19"/>
      <c r="MUF27" s="19"/>
      <c r="MUG27" s="19"/>
      <c r="MUH27" s="19"/>
      <c r="MUI27" s="19"/>
      <c r="MUJ27" s="19"/>
      <c r="MUK27" s="19"/>
      <c r="MUL27" s="19"/>
      <c r="MUM27" s="19"/>
      <c r="MUN27" s="19"/>
      <c r="MUO27" s="19"/>
      <c r="MUP27" s="19"/>
      <c r="MUQ27" s="19"/>
      <c r="MUR27" s="19"/>
      <c r="MUS27" s="19"/>
      <c r="MUT27" s="19"/>
      <c r="MUU27" s="19"/>
      <c r="MUV27" s="19"/>
      <c r="MUW27" s="19"/>
      <c r="MUX27" s="19"/>
      <c r="MUY27" s="19"/>
      <c r="MUZ27" s="19"/>
      <c r="MVA27" s="19"/>
      <c r="MVB27" s="19"/>
      <c r="MVC27" s="19"/>
      <c r="MVD27" s="19"/>
      <c r="MVE27" s="19"/>
      <c r="MVF27" s="19"/>
      <c r="MVG27" s="19"/>
      <c r="MVH27" s="19"/>
      <c r="MVI27" s="19"/>
      <c r="MVJ27" s="19"/>
      <c r="MVK27" s="19"/>
      <c r="MVL27" s="19"/>
      <c r="MVM27" s="19"/>
      <c r="MVN27" s="19"/>
      <c r="MVO27" s="19"/>
      <c r="MVP27" s="19"/>
      <c r="MVQ27" s="19"/>
      <c r="MVR27" s="19"/>
      <c r="MVS27" s="19"/>
      <c r="MVT27" s="19"/>
      <c r="MVU27" s="19"/>
      <c r="MVV27" s="19"/>
      <c r="MVW27" s="19"/>
      <c r="MVX27" s="19"/>
      <c r="MVY27" s="19"/>
      <c r="MVZ27" s="19"/>
      <c r="MWA27" s="19"/>
      <c r="MWB27" s="19"/>
      <c r="MWC27" s="19"/>
      <c r="MWD27" s="19"/>
      <c r="MWE27" s="19"/>
      <c r="MWF27" s="19"/>
      <c r="MWG27" s="19"/>
      <c r="MWH27" s="19"/>
      <c r="MWI27" s="19"/>
      <c r="MWJ27" s="19"/>
      <c r="MWK27" s="19"/>
      <c r="MWL27" s="19"/>
      <c r="MWM27" s="19"/>
      <c r="MWN27" s="19"/>
      <c r="MWO27" s="19"/>
      <c r="MWP27" s="19"/>
      <c r="MWQ27" s="19"/>
      <c r="MWR27" s="19"/>
      <c r="MWS27" s="19"/>
      <c r="MWT27" s="19"/>
      <c r="MWU27" s="19"/>
      <c r="MWV27" s="19"/>
      <c r="MWW27" s="19"/>
      <c r="MWX27" s="19"/>
      <c r="MWY27" s="19"/>
      <c r="MWZ27" s="19"/>
      <c r="MXA27" s="19"/>
      <c r="MXB27" s="19"/>
      <c r="MXC27" s="19"/>
      <c r="MXD27" s="19"/>
      <c r="MXE27" s="19"/>
      <c r="MXF27" s="19"/>
      <c r="MXG27" s="19"/>
      <c r="MXH27" s="19"/>
      <c r="MXI27" s="19"/>
      <c r="MXJ27" s="19"/>
      <c r="MXK27" s="19"/>
      <c r="MXL27" s="19"/>
      <c r="MXM27" s="19"/>
      <c r="MXN27" s="19"/>
      <c r="MXO27" s="19"/>
      <c r="MXP27" s="19"/>
      <c r="MXQ27" s="19"/>
      <c r="MXR27" s="19"/>
      <c r="MXS27" s="19"/>
      <c r="MXT27" s="19"/>
      <c r="MXU27" s="19"/>
      <c r="MXV27" s="19"/>
      <c r="MXW27" s="19"/>
      <c r="MXX27" s="19"/>
      <c r="MXY27" s="19"/>
      <c r="MXZ27" s="19"/>
      <c r="MYA27" s="19"/>
      <c r="MYB27" s="19"/>
      <c r="MYC27" s="19"/>
      <c r="MYD27" s="19"/>
      <c r="MYE27" s="19"/>
      <c r="MYF27" s="19"/>
      <c r="MYG27" s="19"/>
      <c r="MYH27" s="19"/>
      <c r="MYI27" s="19"/>
      <c r="MYJ27" s="19"/>
      <c r="MYK27" s="19"/>
      <c r="MYL27" s="19"/>
      <c r="MYM27" s="19"/>
      <c r="MYN27" s="19"/>
      <c r="MYO27" s="19"/>
      <c r="MYP27" s="19"/>
      <c r="MYQ27" s="19"/>
      <c r="MYR27" s="19"/>
      <c r="MYS27" s="19"/>
      <c r="MYT27" s="19"/>
      <c r="MYU27" s="19"/>
      <c r="MYV27" s="19"/>
      <c r="MYW27" s="19"/>
      <c r="MYX27" s="19"/>
      <c r="MYY27" s="19"/>
      <c r="MYZ27" s="19"/>
      <c r="MZA27" s="19"/>
      <c r="MZB27" s="19"/>
      <c r="MZC27" s="19"/>
      <c r="MZD27" s="19"/>
      <c r="MZE27" s="19"/>
      <c r="MZF27" s="19"/>
      <c r="MZG27" s="19"/>
      <c r="MZH27" s="19"/>
      <c r="MZI27" s="19"/>
      <c r="MZJ27" s="19"/>
      <c r="MZK27" s="19"/>
      <c r="MZL27" s="19"/>
      <c r="MZM27" s="19"/>
      <c r="MZN27" s="19"/>
      <c r="MZO27" s="19"/>
      <c r="MZP27" s="19"/>
      <c r="MZQ27" s="19"/>
      <c r="MZR27" s="19"/>
      <c r="MZS27" s="19"/>
      <c r="MZT27" s="19"/>
      <c r="MZU27" s="19"/>
      <c r="MZV27" s="19"/>
      <c r="MZW27" s="19"/>
      <c r="MZX27" s="19"/>
      <c r="MZY27" s="19"/>
      <c r="MZZ27" s="19"/>
      <c r="NAA27" s="19"/>
      <c r="NAB27" s="19"/>
      <c r="NAC27" s="19"/>
      <c r="NAD27" s="19"/>
      <c r="NAE27" s="19"/>
      <c r="NAF27" s="19"/>
      <c r="NAG27" s="19"/>
      <c r="NAH27" s="19"/>
      <c r="NAI27" s="19"/>
      <c r="NAJ27" s="19"/>
      <c r="NAK27" s="19"/>
      <c r="NAL27" s="19"/>
      <c r="NAM27" s="19"/>
      <c r="NAN27" s="19"/>
      <c r="NAO27" s="19"/>
      <c r="NAP27" s="19"/>
      <c r="NAQ27" s="19"/>
      <c r="NAR27" s="19"/>
      <c r="NAS27" s="19"/>
      <c r="NAT27" s="19"/>
      <c r="NAU27" s="19"/>
      <c r="NAV27" s="19"/>
      <c r="NAW27" s="19"/>
      <c r="NAX27" s="19"/>
      <c r="NAY27" s="19"/>
      <c r="NAZ27" s="19"/>
      <c r="NBA27" s="19"/>
      <c r="NBB27" s="19"/>
      <c r="NBC27" s="19"/>
      <c r="NBD27" s="19"/>
      <c r="NBE27" s="19"/>
      <c r="NBF27" s="19"/>
      <c r="NBG27" s="19"/>
      <c r="NBH27" s="19"/>
      <c r="NBI27" s="19"/>
      <c r="NBJ27" s="19"/>
      <c r="NBK27" s="19"/>
      <c r="NBL27" s="19"/>
      <c r="NBM27" s="19"/>
      <c r="NBN27" s="19"/>
      <c r="NBO27" s="19"/>
      <c r="NBP27" s="19"/>
      <c r="NBQ27" s="19"/>
      <c r="NBR27" s="19"/>
      <c r="NBS27" s="19"/>
      <c r="NBT27" s="19"/>
      <c r="NBU27" s="19"/>
      <c r="NBV27" s="19"/>
      <c r="NBW27" s="19"/>
      <c r="NBX27" s="19"/>
      <c r="NBY27" s="19"/>
      <c r="NBZ27" s="19"/>
      <c r="NCA27" s="19"/>
      <c r="NCB27" s="19"/>
      <c r="NCC27" s="19"/>
      <c r="NCD27" s="19"/>
      <c r="NCE27" s="19"/>
      <c r="NCF27" s="19"/>
      <c r="NCG27" s="19"/>
      <c r="NCH27" s="19"/>
      <c r="NCI27" s="19"/>
      <c r="NCJ27" s="19"/>
      <c r="NCK27" s="19"/>
      <c r="NCL27" s="19"/>
      <c r="NCM27" s="19"/>
      <c r="NCN27" s="19"/>
      <c r="NCO27" s="19"/>
      <c r="NCP27" s="19"/>
      <c r="NCQ27" s="19"/>
      <c r="NCR27" s="19"/>
      <c r="NCS27" s="19"/>
      <c r="NCT27" s="19"/>
      <c r="NCU27" s="19"/>
      <c r="NCV27" s="19"/>
      <c r="NCW27" s="19"/>
      <c r="NCX27" s="19"/>
      <c r="NCY27" s="19"/>
      <c r="NCZ27" s="19"/>
      <c r="NDA27" s="19"/>
      <c r="NDB27" s="19"/>
      <c r="NDC27" s="19"/>
      <c r="NDD27" s="19"/>
      <c r="NDE27" s="19"/>
      <c r="NDF27" s="19"/>
      <c r="NDG27" s="19"/>
      <c r="NDH27" s="19"/>
      <c r="NDI27" s="19"/>
      <c r="NDJ27" s="19"/>
      <c r="NDK27" s="19"/>
      <c r="NDL27" s="19"/>
      <c r="NDM27" s="19"/>
      <c r="NDN27" s="19"/>
      <c r="NDO27" s="19"/>
      <c r="NDP27" s="19"/>
      <c r="NDQ27" s="19"/>
      <c r="NDR27" s="19"/>
      <c r="NDS27" s="19"/>
      <c r="NDT27" s="19"/>
      <c r="NDU27" s="19"/>
      <c r="NDV27" s="19"/>
      <c r="NDW27" s="19"/>
      <c r="NDX27" s="19"/>
      <c r="NDY27" s="19"/>
      <c r="NDZ27" s="19"/>
      <c r="NEA27" s="19"/>
      <c r="NEB27" s="19"/>
      <c r="NEC27" s="19"/>
      <c r="NED27" s="19"/>
      <c r="NEE27" s="19"/>
      <c r="NEF27" s="19"/>
      <c r="NEG27" s="19"/>
      <c r="NEH27" s="19"/>
      <c r="NEI27" s="19"/>
      <c r="NEJ27" s="19"/>
      <c r="NEK27" s="19"/>
      <c r="NEL27" s="19"/>
      <c r="NEM27" s="19"/>
      <c r="NEN27" s="19"/>
      <c r="NEO27" s="19"/>
      <c r="NEP27" s="19"/>
      <c r="NEQ27" s="19"/>
      <c r="NER27" s="19"/>
      <c r="NES27" s="19"/>
      <c r="NET27" s="19"/>
      <c r="NEU27" s="19"/>
      <c r="NEV27" s="19"/>
      <c r="NEW27" s="19"/>
      <c r="NEX27" s="19"/>
      <c r="NEY27" s="19"/>
      <c r="NEZ27" s="19"/>
      <c r="NFA27" s="19"/>
      <c r="NFB27" s="19"/>
      <c r="NFC27" s="19"/>
      <c r="NFD27" s="19"/>
      <c r="NFE27" s="19"/>
      <c r="NFF27" s="19"/>
      <c r="NFG27" s="19"/>
      <c r="NFH27" s="19"/>
      <c r="NFI27" s="19"/>
      <c r="NFJ27" s="19"/>
      <c r="NFK27" s="19"/>
      <c r="NFL27" s="19"/>
      <c r="NFM27" s="19"/>
      <c r="NFN27" s="19"/>
      <c r="NFO27" s="19"/>
      <c r="NFP27" s="19"/>
      <c r="NFQ27" s="19"/>
      <c r="NFR27" s="19"/>
      <c r="NFS27" s="19"/>
      <c r="NFT27" s="19"/>
      <c r="NFU27" s="19"/>
      <c r="NFV27" s="19"/>
      <c r="NFW27" s="19"/>
      <c r="NFX27" s="19"/>
      <c r="NFY27" s="19"/>
      <c r="NFZ27" s="19"/>
      <c r="NGA27" s="19"/>
      <c r="NGB27" s="19"/>
      <c r="NGC27" s="19"/>
      <c r="NGD27" s="19"/>
      <c r="NGE27" s="19"/>
      <c r="NGF27" s="19"/>
      <c r="NGG27" s="19"/>
      <c r="NGH27" s="19"/>
      <c r="NGI27" s="19"/>
      <c r="NGJ27" s="19"/>
      <c r="NGK27" s="19"/>
      <c r="NGL27" s="19"/>
      <c r="NGM27" s="19"/>
      <c r="NGN27" s="19"/>
      <c r="NGO27" s="19"/>
      <c r="NGP27" s="19"/>
      <c r="NGQ27" s="19"/>
      <c r="NGR27" s="19"/>
      <c r="NGS27" s="19"/>
      <c r="NGT27" s="19"/>
      <c r="NGU27" s="19"/>
      <c r="NGV27" s="19"/>
      <c r="NGW27" s="19"/>
      <c r="NGX27" s="19"/>
      <c r="NGY27" s="19"/>
      <c r="NGZ27" s="19"/>
      <c r="NHA27" s="19"/>
      <c r="NHB27" s="19"/>
      <c r="NHC27" s="19"/>
      <c r="NHD27" s="19"/>
      <c r="NHE27" s="19"/>
      <c r="NHF27" s="19"/>
      <c r="NHG27" s="19"/>
      <c r="NHH27" s="19"/>
      <c r="NHI27" s="19"/>
      <c r="NHJ27" s="19"/>
      <c r="NHK27" s="19"/>
      <c r="NHL27" s="19"/>
      <c r="NHM27" s="19"/>
      <c r="NHN27" s="19"/>
      <c r="NHO27" s="19"/>
      <c r="NHP27" s="19"/>
      <c r="NHQ27" s="19"/>
      <c r="NHR27" s="19"/>
      <c r="NHS27" s="19"/>
      <c r="NHT27" s="19"/>
      <c r="NHU27" s="19"/>
      <c r="NHV27" s="19"/>
      <c r="NHW27" s="19"/>
      <c r="NHX27" s="19"/>
      <c r="NHY27" s="19"/>
      <c r="NHZ27" s="19"/>
      <c r="NIA27" s="19"/>
      <c r="NIB27" s="19"/>
      <c r="NIC27" s="19"/>
      <c r="NID27" s="19"/>
      <c r="NIE27" s="19"/>
      <c r="NIF27" s="19"/>
      <c r="NIG27" s="19"/>
      <c r="NIH27" s="19"/>
      <c r="NII27" s="19"/>
      <c r="NIJ27" s="19"/>
      <c r="NIK27" s="19"/>
      <c r="NIL27" s="19"/>
      <c r="NIM27" s="19"/>
      <c r="NIN27" s="19"/>
      <c r="NIO27" s="19"/>
      <c r="NIP27" s="19"/>
      <c r="NIQ27" s="19"/>
      <c r="NIR27" s="19"/>
      <c r="NIS27" s="19"/>
      <c r="NIT27" s="19"/>
      <c r="NIU27" s="19"/>
      <c r="NIV27" s="19"/>
      <c r="NIW27" s="19"/>
      <c r="NIX27" s="19"/>
      <c r="NIY27" s="19"/>
      <c r="NIZ27" s="19"/>
      <c r="NJA27" s="19"/>
      <c r="NJB27" s="19"/>
      <c r="NJC27" s="19"/>
      <c r="NJD27" s="19"/>
      <c r="NJE27" s="19"/>
      <c r="NJF27" s="19"/>
      <c r="NJG27" s="19"/>
      <c r="NJH27" s="19"/>
      <c r="NJI27" s="19"/>
      <c r="NJJ27" s="19"/>
      <c r="NJK27" s="19"/>
      <c r="NJL27" s="19"/>
      <c r="NJM27" s="19"/>
      <c r="NJN27" s="19"/>
      <c r="NJO27" s="19"/>
      <c r="NJP27" s="19"/>
      <c r="NJQ27" s="19"/>
      <c r="NJR27" s="19"/>
      <c r="NJS27" s="19"/>
      <c r="NJT27" s="19"/>
      <c r="NJU27" s="19"/>
      <c r="NJV27" s="19"/>
      <c r="NJW27" s="19"/>
      <c r="NJX27" s="19"/>
      <c r="NJY27" s="19"/>
      <c r="NJZ27" s="19"/>
      <c r="NKA27" s="19"/>
      <c r="NKB27" s="19"/>
      <c r="NKC27" s="19"/>
      <c r="NKD27" s="19"/>
      <c r="NKE27" s="19"/>
      <c r="NKF27" s="19"/>
      <c r="NKG27" s="19"/>
      <c r="NKH27" s="19"/>
      <c r="NKI27" s="19"/>
      <c r="NKJ27" s="19"/>
      <c r="NKK27" s="19"/>
      <c r="NKL27" s="19"/>
      <c r="NKM27" s="19"/>
      <c r="NKN27" s="19"/>
      <c r="NKO27" s="19"/>
      <c r="NKP27" s="19"/>
      <c r="NKQ27" s="19"/>
      <c r="NKR27" s="19"/>
      <c r="NKS27" s="19"/>
      <c r="NKT27" s="19"/>
      <c r="NKU27" s="19"/>
      <c r="NKV27" s="19"/>
      <c r="NKW27" s="19"/>
      <c r="NKX27" s="19"/>
      <c r="NKY27" s="19"/>
      <c r="NKZ27" s="19"/>
      <c r="NLA27" s="19"/>
      <c r="NLB27" s="19"/>
      <c r="NLC27" s="19"/>
      <c r="NLD27" s="19"/>
      <c r="NLE27" s="19"/>
      <c r="NLF27" s="19"/>
      <c r="NLG27" s="19"/>
      <c r="NLH27" s="19"/>
      <c r="NLI27" s="19"/>
      <c r="NLJ27" s="19"/>
      <c r="NLK27" s="19"/>
      <c r="NLL27" s="19"/>
      <c r="NLM27" s="19"/>
      <c r="NLN27" s="19"/>
      <c r="NLO27" s="19"/>
      <c r="NLP27" s="19"/>
      <c r="NLQ27" s="19"/>
      <c r="NLR27" s="19"/>
      <c r="NLS27" s="19"/>
      <c r="NLT27" s="19"/>
      <c r="NLU27" s="19"/>
      <c r="NLV27" s="19"/>
      <c r="NLW27" s="19"/>
      <c r="NLX27" s="19"/>
      <c r="NLY27" s="19"/>
      <c r="NLZ27" s="19"/>
      <c r="NMA27" s="19"/>
      <c r="NMB27" s="19"/>
      <c r="NMC27" s="19"/>
      <c r="NMD27" s="19"/>
      <c r="NME27" s="19"/>
      <c r="NMF27" s="19"/>
      <c r="NMG27" s="19"/>
      <c r="NMH27" s="19"/>
      <c r="NMI27" s="19"/>
      <c r="NMJ27" s="19"/>
      <c r="NMK27" s="19"/>
      <c r="NML27" s="19"/>
      <c r="NMM27" s="19"/>
      <c r="NMN27" s="19"/>
      <c r="NMO27" s="19"/>
      <c r="NMP27" s="19"/>
      <c r="NMQ27" s="19"/>
      <c r="NMR27" s="19"/>
      <c r="NMS27" s="19"/>
      <c r="NMT27" s="19"/>
      <c r="NMU27" s="19"/>
      <c r="NMV27" s="19"/>
      <c r="NMW27" s="19"/>
      <c r="NMX27" s="19"/>
      <c r="NMY27" s="19"/>
      <c r="NMZ27" s="19"/>
      <c r="NNA27" s="19"/>
      <c r="NNB27" s="19"/>
      <c r="NNC27" s="19"/>
      <c r="NND27" s="19"/>
      <c r="NNE27" s="19"/>
      <c r="NNF27" s="19"/>
      <c r="NNG27" s="19"/>
      <c r="NNH27" s="19"/>
      <c r="NNI27" s="19"/>
      <c r="NNJ27" s="19"/>
      <c r="NNK27" s="19"/>
      <c r="NNL27" s="19"/>
      <c r="NNM27" s="19"/>
      <c r="NNN27" s="19"/>
      <c r="NNO27" s="19"/>
      <c r="NNP27" s="19"/>
      <c r="NNQ27" s="19"/>
      <c r="NNR27" s="19"/>
      <c r="NNS27" s="19"/>
      <c r="NNT27" s="19"/>
      <c r="NNU27" s="19"/>
      <c r="NNV27" s="19"/>
      <c r="NNW27" s="19"/>
      <c r="NNX27" s="19"/>
      <c r="NNY27" s="19"/>
      <c r="NNZ27" s="19"/>
      <c r="NOA27" s="19"/>
      <c r="NOB27" s="19"/>
      <c r="NOC27" s="19"/>
      <c r="NOD27" s="19"/>
      <c r="NOE27" s="19"/>
      <c r="NOF27" s="19"/>
      <c r="NOG27" s="19"/>
      <c r="NOH27" s="19"/>
      <c r="NOI27" s="19"/>
      <c r="NOJ27" s="19"/>
      <c r="NOK27" s="19"/>
      <c r="NOL27" s="19"/>
      <c r="NOM27" s="19"/>
      <c r="NON27" s="19"/>
      <c r="NOO27" s="19"/>
      <c r="NOP27" s="19"/>
      <c r="NOQ27" s="19"/>
      <c r="NOR27" s="19"/>
      <c r="NOS27" s="19"/>
      <c r="NOT27" s="19"/>
      <c r="NOU27" s="19"/>
      <c r="NOV27" s="19"/>
      <c r="NOW27" s="19"/>
      <c r="NOX27" s="19"/>
      <c r="NOY27" s="19"/>
      <c r="NOZ27" s="19"/>
      <c r="NPA27" s="19"/>
      <c r="NPB27" s="19"/>
      <c r="NPC27" s="19"/>
      <c r="NPD27" s="19"/>
      <c r="NPE27" s="19"/>
      <c r="NPF27" s="19"/>
      <c r="NPG27" s="19"/>
      <c r="NPH27" s="19"/>
      <c r="NPI27" s="19"/>
      <c r="NPJ27" s="19"/>
      <c r="NPK27" s="19"/>
      <c r="NPL27" s="19"/>
      <c r="NPM27" s="19"/>
      <c r="NPN27" s="19"/>
      <c r="NPO27" s="19"/>
      <c r="NPP27" s="19"/>
      <c r="NPQ27" s="19"/>
      <c r="NPR27" s="19"/>
      <c r="NPS27" s="19"/>
      <c r="NPT27" s="19"/>
      <c r="NPU27" s="19"/>
      <c r="NPV27" s="19"/>
      <c r="NPW27" s="19"/>
      <c r="NPX27" s="19"/>
      <c r="NPY27" s="19"/>
      <c r="NPZ27" s="19"/>
      <c r="NQA27" s="19"/>
      <c r="NQB27" s="19"/>
      <c r="NQC27" s="19"/>
      <c r="NQD27" s="19"/>
      <c r="NQE27" s="19"/>
      <c r="NQF27" s="19"/>
      <c r="NQG27" s="19"/>
      <c r="NQH27" s="19"/>
      <c r="NQI27" s="19"/>
      <c r="NQJ27" s="19"/>
      <c r="NQK27" s="19"/>
      <c r="NQL27" s="19"/>
      <c r="NQM27" s="19"/>
      <c r="NQN27" s="19"/>
      <c r="NQO27" s="19"/>
      <c r="NQP27" s="19"/>
      <c r="NQQ27" s="19"/>
      <c r="NQR27" s="19"/>
      <c r="NQS27" s="19"/>
      <c r="NQT27" s="19"/>
      <c r="NQU27" s="19"/>
      <c r="NQV27" s="19"/>
      <c r="NQW27" s="19"/>
      <c r="NQX27" s="19"/>
      <c r="NQY27" s="19"/>
      <c r="NQZ27" s="19"/>
      <c r="NRA27" s="19"/>
      <c r="NRB27" s="19"/>
      <c r="NRC27" s="19"/>
      <c r="NRD27" s="19"/>
      <c r="NRE27" s="19"/>
      <c r="NRF27" s="19"/>
      <c r="NRG27" s="19"/>
      <c r="NRH27" s="19"/>
      <c r="NRI27" s="19"/>
      <c r="NRJ27" s="19"/>
      <c r="NRK27" s="19"/>
      <c r="NRL27" s="19"/>
      <c r="NRM27" s="19"/>
      <c r="NRN27" s="19"/>
      <c r="NRO27" s="19"/>
      <c r="NRP27" s="19"/>
      <c r="NRQ27" s="19"/>
      <c r="NRR27" s="19"/>
      <c r="NRS27" s="19"/>
      <c r="NRT27" s="19"/>
      <c r="NRU27" s="19"/>
      <c r="NRV27" s="19"/>
      <c r="NRW27" s="19"/>
      <c r="NRX27" s="19"/>
      <c r="NRY27" s="19"/>
      <c r="NRZ27" s="19"/>
      <c r="NSA27" s="19"/>
      <c r="NSB27" s="19"/>
      <c r="NSC27" s="19"/>
      <c r="NSD27" s="19"/>
      <c r="NSE27" s="19"/>
      <c r="NSF27" s="19"/>
      <c r="NSG27" s="19"/>
      <c r="NSH27" s="19"/>
      <c r="NSI27" s="19"/>
      <c r="NSJ27" s="19"/>
      <c r="NSK27" s="19"/>
      <c r="NSL27" s="19"/>
      <c r="NSM27" s="19"/>
      <c r="NSN27" s="19"/>
      <c r="NSO27" s="19"/>
      <c r="NSP27" s="19"/>
      <c r="NSQ27" s="19"/>
      <c r="NSR27" s="19"/>
      <c r="NSS27" s="19"/>
      <c r="NST27" s="19"/>
      <c r="NSU27" s="19"/>
      <c r="NSV27" s="19"/>
      <c r="NSW27" s="19"/>
      <c r="NSX27" s="19"/>
      <c r="NSY27" s="19"/>
      <c r="NSZ27" s="19"/>
      <c r="NTA27" s="19"/>
      <c r="NTB27" s="19"/>
      <c r="NTC27" s="19"/>
      <c r="NTD27" s="19"/>
      <c r="NTE27" s="19"/>
      <c r="NTF27" s="19"/>
      <c r="NTG27" s="19"/>
      <c r="NTH27" s="19"/>
      <c r="NTI27" s="19"/>
      <c r="NTJ27" s="19"/>
      <c r="NTK27" s="19"/>
      <c r="NTL27" s="19"/>
      <c r="NTM27" s="19"/>
      <c r="NTN27" s="19"/>
      <c r="NTO27" s="19"/>
      <c r="NTP27" s="19"/>
      <c r="NTQ27" s="19"/>
      <c r="NTR27" s="19"/>
      <c r="NTS27" s="19"/>
      <c r="NTT27" s="19"/>
      <c r="NTU27" s="19"/>
      <c r="NTV27" s="19"/>
      <c r="NTW27" s="19"/>
      <c r="NTX27" s="19"/>
      <c r="NTY27" s="19"/>
      <c r="NTZ27" s="19"/>
      <c r="NUA27" s="19"/>
      <c r="NUB27" s="19"/>
      <c r="NUC27" s="19"/>
      <c r="NUD27" s="19"/>
      <c r="NUE27" s="19"/>
      <c r="NUF27" s="19"/>
      <c r="NUG27" s="19"/>
      <c r="NUH27" s="19"/>
      <c r="NUI27" s="19"/>
      <c r="NUJ27" s="19"/>
      <c r="NUK27" s="19"/>
      <c r="NUL27" s="19"/>
      <c r="NUM27" s="19"/>
      <c r="NUN27" s="19"/>
      <c r="NUO27" s="19"/>
      <c r="NUP27" s="19"/>
      <c r="NUQ27" s="19"/>
      <c r="NUR27" s="19"/>
      <c r="NUS27" s="19"/>
      <c r="NUT27" s="19"/>
      <c r="NUU27" s="19"/>
      <c r="NUV27" s="19"/>
      <c r="NUW27" s="19"/>
      <c r="NUX27" s="19"/>
      <c r="NUY27" s="19"/>
      <c r="NUZ27" s="19"/>
      <c r="NVA27" s="19"/>
      <c r="NVB27" s="19"/>
      <c r="NVC27" s="19"/>
      <c r="NVD27" s="19"/>
      <c r="NVE27" s="19"/>
      <c r="NVF27" s="19"/>
      <c r="NVG27" s="19"/>
      <c r="NVH27" s="19"/>
      <c r="NVI27" s="19"/>
      <c r="NVJ27" s="19"/>
      <c r="NVK27" s="19"/>
      <c r="NVL27" s="19"/>
      <c r="NVM27" s="19"/>
      <c r="NVN27" s="19"/>
      <c r="NVO27" s="19"/>
      <c r="NVP27" s="19"/>
      <c r="NVQ27" s="19"/>
      <c r="NVR27" s="19"/>
      <c r="NVS27" s="19"/>
      <c r="NVT27" s="19"/>
      <c r="NVU27" s="19"/>
      <c r="NVV27" s="19"/>
      <c r="NVW27" s="19"/>
      <c r="NVX27" s="19"/>
      <c r="NVY27" s="19"/>
      <c r="NVZ27" s="19"/>
      <c r="NWA27" s="19"/>
      <c r="NWB27" s="19"/>
      <c r="NWC27" s="19"/>
      <c r="NWD27" s="19"/>
      <c r="NWE27" s="19"/>
      <c r="NWF27" s="19"/>
      <c r="NWG27" s="19"/>
      <c r="NWH27" s="19"/>
      <c r="NWI27" s="19"/>
      <c r="NWJ27" s="19"/>
      <c r="NWK27" s="19"/>
      <c r="NWL27" s="19"/>
      <c r="NWM27" s="19"/>
      <c r="NWN27" s="19"/>
      <c r="NWO27" s="19"/>
      <c r="NWP27" s="19"/>
      <c r="NWQ27" s="19"/>
      <c r="NWR27" s="19"/>
      <c r="NWS27" s="19"/>
      <c r="NWT27" s="19"/>
      <c r="NWU27" s="19"/>
      <c r="NWV27" s="19"/>
      <c r="NWW27" s="19"/>
      <c r="NWX27" s="19"/>
      <c r="NWY27" s="19"/>
      <c r="NWZ27" s="19"/>
      <c r="NXA27" s="19"/>
      <c r="NXB27" s="19"/>
      <c r="NXC27" s="19"/>
      <c r="NXD27" s="19"/>
      <c r="NXE27" s="19"/>
      <c r="NXF27" s="19"/>
      <c r="NXG27" s="19"/>
      <c r="NXH27" s="19"/>
      <c r="NXI27" s="19"/>
      <c r="NXJ27" s="19"/>
      <c r="NXK27" s="19"/>
      <c r="NXL27" s="19"/>
      <c r="NXM27" s="19"/>
      <c r="NXN27" s="19"/>
      <c r="NXO27" s="19"/>
      <c r="NXP27" s="19"/>
      <c r="NXQ27" s="19"/>
      <c r="NXR27" s="19"/>
      <c r="NXS27" s="19"/>
      <c r="NXT27" s="19"/>
      <c r="NXU27" s="19"/>
      <c r="NXV27" s="19"/>
      <c r="NXW27" s="19"/>
      <c r="NXX27" s="19"/>
      <c r="NXY27" s="19"/>
      <c r="NXZ27" s="19"/>
      <c r="NYA27" s="19"/>
      <c r="NYB27" s="19"/>
      <c r="NYC27" s="19"/>
      <c r="NYD27" s="19"/>
      <c r="NYE27" s="19"/>
      <c r="NYF27" s="19"/>
      <c r="NYG27" s="19"/>
      <c r="NYH27" s="19"/>
      <c r="NYI27" s="19"/>
      <c r="NYJ27" s="19"/>
      <c r="NYK27" s="19"/>
      <c r="NYL27" s="19"/>
      <c r="NYM27" s="19"/>
      <c r="NYN27" s="19"/>
      <c r="NYO27" s="19"/>
      <c r="NYP27" s="19"/>
      <c r="NYQ27" s="19"/>
      <c r="NYR27" s="19"/>
      <c r="NYS27" s="19"/>
      <c r="NYT27" s="19"/>
      <c r="NYU27" s="19"/>
      <c r="NYV27" s="19"/>
      <c r="NYW27" s="19"/>
      <c r="NYX27" s="19"/>
      <c r="NYY27" s="19"/>
      <c r="NYZ27" s="19"/>
      <c r="NZA27" s="19"/>
      <c r="NZB27" s="19"/>
      <c r="NZC27" s="19"/>
      <c r="NZD27" s="19"/>
      <c r="NZE27" s="19"/>
      <c r="NZF27" s="19"/>
      <c r="NZG27" s="19"/>
      <c r="NZH27" s="19"/>
      <c r="NZI27" s="19"/>
      <c r="NZJ27" s="19"/>
      <c r="NZK27" s="19"/>
      <c r="NZL27" s="19"/>
      <c r="NZM27" s="19"/>
      <c r="NZN27" s="19"/>
      <c r="NZO27" s="19"/>
      <c r="NZP27" s="19"/>
      <c r="NZQ27" s="19"/>
      <c r="NZR27" s="19"/>
      <c r="NZS27" s="19"/>
      <c r="NZT27" s="19"/>
      <c r="NZU27" s="19"/>
      <c r="NZV27" s="19"/>
      <c r="NZW27" s="19"/>
      <c r="NZX27" s="19"/>
      <c r="NZY27" s="19"/>
      <c r="NZZ27" s="19"/>
      <c r="OAA27" s="19"/>
      <c r="OAB27" s="19"/>
      <c r="OAC27" s="19"/>
      <c r="OAD27" s="19"/>
      <c r="OAE27" s="19"/>
      <c r="OAF27" s="19"/>
      <c r="OAG27" s="19"/>
      <c r="OAH27" s="19"/>
      <c r="OAI27" s="19"/>
      <c r="OAJ27" s="19"/>
      <c r="OAK27" s="19"/>
      <c r="OAL27" s="19"/>
      <c r="OAM27" s="19"/>
      <c r="OAN27" s="19"/>
      <c r="OAO27" s="19"/>
      <c r="OAP27" s="19"/>
      <c r="OAQ27" s="19"/>
      <c r="OAR27" s="19"/>
      <c r="OAS27" s="19"/>
      <c r="OAT27" s="19"/>
      <c r="OAU27" s="19"/>
      <c r="OAV27" s="19"/>
      <c r="OAW27" s="19"/>
      <c r="OAX27" s="19"/>
      <c r="OAY27" s="19"/>
      <c r="OAZ27" s="19"/>
      <c r="OBA27" s="19"/>
      <c r="OBB27" s="19"/>
      <c r="OBC27" s="19"/>
      <c r="OBD27" s="19"/>
      <c r="OBE27" s="19"/>
      <c r="OBF27" s="19"/>
      <c r="OBG27" s="19"/>
      <c r="OBH27" s="19"/>
      <c r="OBI27" s="19"/>
      <c r="OBJ27" s="19"/>
      <c r="OBK27" s="19"/>
      <c r="OBL27" s="19"/>
      <c r="OBM27" s="19"/>
      <c r="OBN27" s="19"/>
      <c r="OBO27" s="19"/>
      <c r="OBP27" s="19"/>
      <c r="OBQ27" s="19"/>
      <c r="OBR27" s="19"/>
      <c r="OBS27" s="19"/>
      <c r="OBT27" s="19"/>
      <c r="OBU27" s="19"/>
      <c r="OBV27" s="19"/>
      <c r="OBW27" s="19"/>
      <c r="OBX27" s="19"/>
      <c r="OBY27" s="19"/>
      <c r="OBZ27" s="19"/>
      <c r="OCA27" s="19"/>
      <c r="OCB27" s="19"/>
      <c r="OCC27" s="19"/>
      <c r="OCD27" s="19"/>
      <c r="OCE27" s="19"/>
      <c r="OCF27" s="19"/>
      <c r="OCG27" s="19"/>
      <c r="OCH27" s="19"/>
      <c r="OCI27" s="19"/>
      <c r="OCJ27" s="19"/>
      <c r="OCK27" s="19"/>
      <c r="OCL27" s="19"/>
      <c r="OCM27" s="19"/>
      <c r="OCN27" s="19"/>
      <c r="OCO27" s="19"/>
      <c r="OCP27" s="19"/>
      <c r="OCQ27" s="19"/>
      <c r="OCR27" s="19"/>
      <c r="OCS27" s="19"/>
      <c r="OCT27" s="19"/>
      <c r="OCU27" s="19"/>
      <c r="OCV27" s="19"/>
      <c r="OCW27" s="19"/>
      <c r="OCX27" s="19"/>
      <c r="OCY27" s="19"/>
      <c r="OCZ27" s="19"/>
      <c r="ODA27" s="19"/>
      <c r="ODB27" s="19"/>
      <c r="ODC27" s="19"/>
      <c r="ODD27" s="19"/>
      <c r="ODE27" s="19"/>
      <c r="ODF27" s="19"/>
      <c r="ODG27" s="19"/>
      <c r="ODH27" s="19"/>
      <c r="ODI27" s="19"/>
      <c r="ODJ27" s="19"/>
      <c r="ODK27" s="19"/>
      <c r="ODL27" s="19"/>
      <c r="ODM27" s="19"/>
      <c r="ODN27" s="19"/>
      <c r="ODO27" s="19"/>
      <c r="ODP27" s="19"/>
      <c r="ODQ27" s="19"/>
      <c r="ODR27" s="19"/>
      <c r="ODS27" s="19"/>
      <c r="ODT27" s="19"/>
      <c r="ODU27" s="19"/>
      <c r="ODV27" s="19"/>
      <c r="ODW27" s="19"/>
      <c r="ODX27" s="19"/>
      <c r="ODY27" s="19"/>
      <c r="ODZ27" s="19"/>
      <c r="OEA27" s="19"/>
      <c r="OEB27" s="19"/>
      <c r="OEC27" s="19"/>
      <c r="OED27" s="19"/>
      <c r="OEE27" s="19"/>
      <c r="OEF27" s="19"/>
      <c r="OEG27" s="19"/>
      <c r="OEH27" s="19"/>
      <c r="OEI27" s="19"/>
      <c r="OEJ27" s="19"/>
      <c r="OEK27" s="19"/>
      <c r="OEL27" s="19"/>
      <c r="OEM27" s="19"/>
      <c r="OEN27" s="19"/>
      <c r="OEO27" s="19"/>
      <c r="OEP27" s="19"/>
      <c r="OEQ27" s="19"/>
      <c r="OER27" s="19"/>
      <c r="OES27" s="19"/>
      <c r="OET27" s="19"/>
      <c r="OEU27" s="19"/>
      <c r="OEV27" s="19"/>
      <c r="OEW27" s="19"/>
      <c r="OEX27" s="19"/>
      <c r="OEY27" s="19"/>
      <c r="OEZ27" s="19"/>
      <c r="OFA27" s="19"/>
      <c r="OFB27" s="19"/>
      <c r="OFC27" s="19"/>
      <c r="OFD27" s="19"/>
      <c r="OFE27" s="19"/>
      <c r="OFF27" s="19"/>
      <c r="OFG27" s="19"/>
      <c r="OFH27" s="19"/>
      <c r="OFI27" s="19"/>
      <c r="OFJ27" s="19"/>
      <c r="OFK27" s="19"/>
      <c r="OFL27" s="19"/>
      <c r="OFM27" s="19"/>
      <c r="OFN27" s="19"/>
      <c r="OFO27" s="19"/>
      <c r="OFP27" s="19"/>
      <c r="OFQ27" s="19"/>
      <c r="OFR27" s="19"/>
      <c r="OFS27" s="19"/>
      <c r="OFT27" s="19"/>
      <c r="OFU27" s="19"/>
      <c r="OFV27" s="19"/>
      <c r="OFW27" s="19"/>
      <c r="OFX27" s="19"/>
      <c r="OFY27" s="19"/>
      <c r="OFZ27" s="19"/>
      <c r="OGA27" s="19"/>
      <c r="OGB27" s="19"/>
      <c r="OGC27" s="19"/>
      <c r="OGD27" s="19"/>
      <c r="OGE27" s="19"/>
      <c r="OGF27" s="19"/>
      <c r="OGG27" s="19"/>
      <c r="OGH27" s="19"/>
      <c r="OGI27" s="19"/>
      <c r="OGJ27" s="19"/>
      <c r="OGK27" s="19"/>
      <c r="OGL27" s="19"/>
      <c r="OGM27" s="19"/>
      <c r="OGN27" s="19"/>
      <c r="OGO27" s="19"/>
      <c r="OGP27" s="19"/>
      <c r="OGQ27" s="19"/>
      <c r="OGR27" s="19"/>
      <c r="OGS27" s="19"/>
      <c r="OGT27" s="19"/>
      <c r="OGU27" s="19"/>
      <c r="OGV27" s="19"/>
      <c r="OGW27" s="19"/>
      <c r="OGX27" s="19"/>
      <c r="OGY27" s="19"/>
      <c r="OGZ27" s="19"/>
      <c r="OHA27" s="19"/>
      <c r="OHB27" s="19"/>
      <c r="OHC27" s="19"/>
      <c r="OHD27" s="19"/>
      <c r="OHE27" s="19"/>
      <c r="OHF27" s="19"/>
      <c r="OHG27" s="19"/>
      <c r="OHH27" s="19"/>
      <c r="OHI27" s="19"/>
      <c r="OHJ27" s="19"/>
      <c r="OHK27" s="19"/>
      <c r="OHL27" s="19"/>
      <c r="OHM27" s="19"/>
      <c r="OHN27" s="19"/>
      <c r="OHO27" s="19"/>
      <c r="OHP27" s="19"/>
      <c r="OHQ27" s="19"/>
      <c r="OHR27" s="19"/>
      <c r="OHS27" s="19"/>
      <c r="OHT27" s="19"/>
      <c r="OHU27" s="19"/>
      <c r="OHV27" s="19"/>
      <c r="OHW27" s="19"/>
      <c r="OHX27" s="19"/>
      <c r="OHY27" s="19"/>
      <c r="OHZ27" s="19"/>
      <c r="OIA27" s="19"/>
      <c r="OIB27" s="19"/>
      <c r="OIC27" s="19"/>
      <c r="OID27" s="19"/>
      <c r="OIE27" s="19"/>
      <c r="OIF27" s="19"/>
      <c r="OIG27" s="19"/>
      <c r="OIH27" s="19"/>
      <c r="OII27" s="19"/>
      <c r="OIJ27" s="19"/>
      <c r="OIK27" s="19"/>
      <c r="OIL27" s="19"/>
      <c r="OIM27" s="19"/>
      <c r="OIN27" s="19"/>
      <c r="OIO27" s="19"/>
      <c r="OIP27" s="19"/>
      <c r="OIQ27" s="19"/>
      <c r="OIR27" s="19"/>
      <c r="OIS27" s="19"/>
      <c r="OIT27" s="19"/>
      <c r="OIU27" s="19"/>
      <c r="OIV27" s="19"/>
      <c r="OIW27" s="19"/>
      <c r="OIX27" s="19"/>
      <c r="OIY27" s="19"/>
      <c r="OIZ27" s="19"/>
      <c r="OJA27" s="19"/>
      <c r="OJB27" s="19"/>
      <c r="OJC27" s="19"/>
      <c r="OJD27" s="19"/>
      <c r="OJE27" s="19"/>
      <c r="OJF27" s="19"/>
      <c r="OJG27" s="19"/>
      <c r="OJH27" s="19"/>
      <c r="OJI27" s="19"/>
      <c r="OJJ27" s="19"/>
      <c r="OJK27" s="19"/>
      <c r="OJL27" s="19"/>
      <c r="OJM27" s="19"/>
      <c r="OJN27" s="19"/>
      <c r="OJO27" s="19"/>
      <c r="OJP27" s="19"/>
      <c r="OJQ27" s="19"/>
      <c r="OJR27" s="19"/>
      <c r="OJS27" s="19"/>
      <c r="OJT27" s="19"/>
      <c r="OJU27" s="19"/>
      <c r="OJV27" s="19"/>
      <c r="OJW27" s="19"/>
      <c r="OJX27" s="19"/>
      <c r="OJY27" s="19"/>
      <c r="OJZ27" s="19"/>
      <c r="OKA27" s="19"/>
      <c r="OKB27" s="19"/>
      <c r="OKC27" s="19"/>
      <c r="OKD27" s="19"/>
      <c r="OKE27" s="19"/>
      <c r="OKF27" s="19"/>
      <c r="OKG27" s="19"/>
      <c r="OKH27" s="19"/>
      <c r="OKI27" s="19"/>
      <c r="OKJ27" s="19"/>
      <c r="OKK27" s="19"/>
      <c r="OKL27" s="19"/>
      <c r="OKM27" s="19"/>
      <c r="OKN27" s="19"/>
      <c r="OKO27" s="19"/>
      <c r="OKP27" s="19"/>
      <c r="OKQ27" s="19"/>
      <c r="OKR27" s="19"/>
      <c r="OKS27" s="19"/>
      <c r="OKT27" s="19"/>
      <c r="OKU27" s="19"/>
      <c r="OKV27" s="19"/>
      <c r="OKW27" s="19"/>
      <c r="OKX27" s="19"/>
      <c r="OKY27" s="19"/>
      <c r="OKZ27" s="19"/>
      <c r="OLA27" s="19"/>
      <c r="OLB27" s="19"/>
      <c r="OLC27" s="19"/>
      <c r="OLD27" s="19"/>
      <c r="OLE27" s="19"/>
      <c r="OLF27" s="19"/>
      <c r="OLG27" s="19"/>
      <c r="OLH27" s="19"/>
      <c r="OLI27" s="19"/>
      <c r="OLJ27" s="19"/>
      <c r="OLK27" s="19"/>
      <c r="OLL27" s="19"/>
      <c r="OLM27" s="19"/>
      <c r="OLN27" s="19"/>
      <c r="OLO27" s="19"/>
      <c r="OLP27" s="19"/>
      <c r="OLQ27" s="19"/>
      <c r="OLR27" s="19"/>
      <c r="OLS27" s="19"/>
      <c r="OLT27" s="19"/>
      <c r="OLU27" s="19"/>
      <c r="OLV27" s="19"/>
      <c r="OLW27" s="19"/>
      <c r="OLX27" s="19"/>
      <c r="OLY27" s="19"/>
      <c r="OLZ27" s="19"/>
      <c r="OMA27" s="19"/>
      <c r="OMB27" s="19"/>
      <c r="OMC27" s="19"/>
      <c r="OMD27" s="19"/>
      <c r="OME27" s="19"/>
      <c r="OMF27" s="19"/>
      <c r="OMG27" s="19"/>
      <c r="OMH27" s="19"/>
      <c r="OMI27" s="19"/>
      <c r="OMJ27" s="19"/>
      <c r="OMK27" s="19"/>
      <c r="OML27" s="19"/>
      <c r="OMM27" s="19"/>
      <c r="OMN27" s="19"/>
      <c r="OMO27" s="19"/>
      <c r="OMP27" s="19"/>
      <c r="OMQ27" s="19"/>
      <c r="OMR27" s="19"/>
      <c r="OMS27" s="19"/>
      <c r="OMT27" s="19"/>
      <c r="OMU27" s="19"/>
      <c r="OMV27" s="19"/>
      <c r="OMW27" s="19"/>
      <c r="OMX27" s="19"/>
      <c r="OMY27" s="19"/>
      <c r="OMZ27" s="19"/>
      <c r="ONA27" s="19"/>
      <c r="ONB27" s="19"/>
      <c r="ONC27" s="19"/>
      <c r="OND27" s="19"/>
      <c r="ONE27" s="19"/>
      <c r="ONF27" s="19"/>
      <c r="ONG27" s="19"/>
      <c r="ONH27" s="19"/>
      <c r="ONI27" s="19"/>
      <c r="ONJ27" s="19"/>
      <c r="ONK27" s="19"/>
      <c r="ONL27" s="19"/>
      <c r="ONM27" s="19"/>
      <c r="ONN27" s="19"/>
      <c r="ONO27" s="19"/>
      <c r="ONP27" s="19"/>
      <c r="ONQ27" s="19"/>
      <c r="ONR27" s="19"/>
      <c r="ONS27" s="19"/>
      <c r="ONT27" s="19"/>
      <c r="ONU27" s="19"/>
      <c r="ONV27" s="19"/>
      <c r="ONW27" s="19"/>
      <c r="ONX27" s="19"/>
      <c r="ONY27" s="19"/>
      <c r="ONZ27" s="19"/>
      <c r="OOA27" s="19"/>
      <c r="OOB27" s="19"/>
      <c r="OOC27" s="19"/>
      <c r="OOD27" s="19"/>
      <c r="OOE27" s="19"/>
      <c r="OOF27" s="19"/>
      <c r="OOG27" s="19"/>
      <c r="OOH27" s="19"/>
      <c r="OOI27" s="19"/>
      <c r="OOJ27" s="19"/>
      <c r="OOK27" s="19"/>
      <c r="OOL27" s="19"/>
      <c r="OOM27" s="19"/>
      <c r="OON27" s="19"/>
      <c r="OOO27" s="19"/>
      <c r="OOP27" s="19"/>
      <c r="OOQ27" s="19"/>
      <c r="OOR27" s="19"/>
      <c r="OOS27" s="19"/>
      <c r="OOT27" s="19"/>
      <c r="OOU27" s="19"/>
      <c r="OOV27" s="19"/>
      <c r="OOW27" s="19"/>
      <c r="OOX27" s="19"/>
      <c r="OOY27" s="19"/>
      <c r="OOZ27" s="19"/>
      <c r="OPA27" s="19"/>
      <c r="OPB27" s="19"/>
      <c r="OPC27" s="19"/>
      <c r="OPD27" s="19"/>
      <c r="OPE27" s="19"/>
      <c r="OPF27" s="19"/>
      <c r="OPG27" s="19"/>
      <c r="OPH27" s="19"/>
      <c r="OPI27" s="19"/>
      <c r="OPJ27" s="19"/>
      <c r="OPK27" s="19"/>
      <c r="OPL27" s="19"/>
      <c r="OPM27" s="19"/>
      <c r="OPN27" s="19"/>
      <c r="OPO27" s="19"/>
      <c r="OPP27" s="19"/>
      <c r="OPQ27" s="19"/>
      <c r="OPR27" s="19"/>
      <c r="OPS27" s="19"/>
      <c r="OPT27" s="19"/>
      <c r="OPU27" s="19"/>
      <c r="OPV27" s="19"/>
      <c r="OPW27" s="19"/>
      <c r="OPX27" s="19"/>
      <c r="OPY27" s="19"/>
      <c r="OPZ27" s="19"/>
      <c r="OQA27" s="19"/>
      <c r="OQB27" s="19"/>
      <c r="OQC27" s="19"/>
      <c r="OQD27" s="19"/>
      <c r="OQE27" s="19"/>
      <c r="OQF27" s="19"/>
      <c r="OQG27" s="19"/>
      <c r="OQH27" s="19"/>
      <c r="OQI27" s="19"/>
      <c r="OQJ27" s="19"/>
      <c r="OQK27" s="19"/>
      <c r="OQL27" s="19"/>
      <c r="OQM27" s="19"/>
      <c r="OQN27" s="19"/>
      <c r="OQO27" s="19"/>
      <c r="OQP27" s="19"/>
      <c r="OQQ27" s="19"/>
      <c r="OQR27" s="19"/>
      <c r="OQS27" s="19"/>
      <c r="OQT27" s="19"/>
      <c r="OQU27" s="19"/>
      <c r="OQV27" s="19"/>
      <c r="OQW27" s="19"/>
      <c r="OQX27" s="19"/>
      <c r="OQY27" s="19"/>
      <c r="OQZ27" s="19"/>
      <c r="ORA27" s="19"/>
      <c r="ORB27" s="19"/>
      <c r="ORC27" s="19"/>
      <c r="ORD27" s="19"/>
      <c r="ORE27" s="19"/>
      <c r="ORF27" s="19"/>
      <c r="ORG27" s="19"/>
      <c r="ORH27" s="19"/>
      <c r="ORI27" s="19"/>
      <c r="ORJ27" s="19"/>
      <c r="ORK27" s="19"/>
      <c r="ORL27" s="19"/>
      <c r="ORM27" s="19"/>
      <c r="ORN27" s="19"/>
      <c r="ORO27" s="19"/>
      <c r="ORP27" s="19"/>
      <c r="ORQ27" s="19"/>
      <c r="ORR27" s="19"/>
      <c r="ORS27" s="19"/>
      <c r="ORT27" s="19"/>
      <c r="ORU27" s="19"/>
      <c r="ORV27" s="19"/>
      <c r="ORW27" s="19"/>
      <c r="ORX27" s="19"/>
      <c r="ORY27" s="19"/>
      <c r="ORZ27" s="19"/>
      <c r="OSA27" s="19"/>
      <c r="OSB27" s="19"/>
      <c r="OSC27" s="19"/>
      <c r="OSD27" s="19"/>
      <c r="OSE27" s="19"/>
      <c r="OSF27" s="19"/>
      <c r="OSG27" s="19"/>
      <c r="OSH27" s="19"/>
      <c r="OSI27" s="19"/>
      <c r="OSJ27" s="19"/>
      <c r="OSK27" s="19"/>
      <c r="OSL27" s="19"/>
      <c r="OSM27" s="19"/>
      <c r="OSN27" s="19"/>
      <c r="OSO27" s="19"/>
      <c r="OSP27" s="19"/>
      <c r="OSQ27" s="19"/>
      <c r="OSR27" s="19"/>
      <c r="OSS27" s="19"/>
      <c r="OST27" s="19"/>
      <c r="OSU27" s="19"/>
      <c r="OSV27" s="19"/>
      <c r="OSW27" s="19"/>
      <c r="OSX27" s="19"/>
      <c r="OSY27" s="19"/>
      <c r="OSZ27" s="19"/>
      <c r="OTA27" s="19"/>
      <c r="OTB27" s="19"/>
      <c r="OTC27" s="19"/>
      <c r="OTD27" s="19"/>
      <c r="OTE27" s="19"/>
      <c r="OTF27" s="19"/>
      <c r="OTG27" s="19"/>
      <c r="OTH27" s="19"/>
      <c r="OTI27" s="19"/>
      <c r="OTJ27" s="19"/>
      <c r="OTK27" s="19"/>
      <c r="OTL27" s="19"/>
      <c r="OTM27" s="19"/>
      <c r="OTN27" s="19"/>
      <c r="OTO27" s="19"/>
      <c r="OTP27" s="19"/>
      <c r="OTQ27" s="19"/>
      <c r="OTR27" s="19"/>
      <c r="OTS27" s="19"/>
      <c r="OTT27" s="19"/>
      <c r="OTU27" s="19"/>
      <c r="OTV27" s="19"/>
      <c r="OTW27" s="19"/>
      <c r="OTX27" s="19"/>
      <c r="OTY27" s="19"/>
      <c r="OTZ27" s="19"/>
      <c r="OUA27" s="19"/>
      <c r="OUB27" s="19"/>
      <c r="OUC27" s="19"/>
      <c r="OUD27" s="19"/>
      <c r="OUE27" s="19"/>
      <c r="OUF27" s="19"/>
      <c r="OUG27" s="19"/>
      <c r="OUH27" s="19"/>
      <c r="OUI27" s="19"/>
      <c r="OUJ27" s="19"/>
      <c r="OUK27" s="19"/>
      <c r="OUL27" s="19"/>
      <c r="OUM27" s="19"/>
      <c r="OUN27" s="19"/>
      <c r="OUO27" s="19"/>
      <c r="OUP27" s="19"/>
      <c r="OUQ27" s="19"/>
      <c r="OUR27" s="19"/>
      <c r="OUS27" s="19"/>
      <c r="OUT27" s="19"/>
      <c r="OUU27" s="19"/>
      <c r="OUV27" s="19"/>
      <c r="OUW27" s="19"/>
      <c r="OUX27" s="19"/>
      <c r="OUY27" s="19"/>
      <c r="OUZ27" s="19"/>
      <c r="OVA27" s="19"/>
      <c r="OVB27" s="19"/>
      <c r="OVC27" s="19"/>
      <c r="OVD27" s="19"/>
      <c r="OVE27" s="19"/>
      <c r="OVF27" s="19"/>
      <c r="OVG27" s="19"/>
      <c r="OVH27" s="19"/>
      <c r="OVI27" s="19"/>
      <c r="OVJ27" s="19"/>
      <c r="OVK27" s="19"/>
      <c r="OVL27" s="19"/>
      <c r="OVM27" s="19"/>
      <c r="OVN27" s="19"/>
      <c r="OVO27" s="19"/>
      <c r="OVP27" s="19"/>
      <c r="OVQ27" s="19"/>
      <c r="OVR27" s="19"/>
      <c r="OVS27" s="19"/>
      <c r="OVT27" s="19"/>
      <c r="OVU27" s="19"/>
      <c r="OVV27" s="19"/>
      <c r="OVW27" s="19"/>
      <c r="OVX27" s="19"/>
      <c r="OVY27" s="19"/>
      <c r="OVZ27" s="19"/>
      <c r="OWA27" s="19"/>
      <c r="OWB27" s="19"/>
      <c r="OWC27" s="19"/>
      <c r="OWD27" s="19"/>
      <c r="OWE27" s="19"/>
      <c r="OWF27" s="19"/>
      <c r="OWG27" s="19"/>
      <c r="OWH27" s="19"/>
      <c r="OWI27" s="19"/>
      <c r="OWJ27" s="19"/>
      <c r="OWK27" s="19"/>
      <c r="OWL27" s="19"/>
      <c r="OWM27" s="19"/>
      <c r="OWN27" s="19"/>
      <c r="OWO27" s="19"/>
      <c r="OWP27" s="19"/>
      <c r="OWQ27" s="19"/>
      <c r="OWR27" s="19"/>
      <c r="OWS27" s="19"/>
      <c r="OWT27" s="19"/>
      <c r="OWU27" s="19"/>
      <c r="OWV27" s="19"/>
      <c r="OWW27" s="19"/>
      <c r="OWX27" s="19"/>
      <c r="OWY27" s="19"/>
      <c r="OWZ27" s="19"/>
      <c r="OXA27" s="19"/>
      <c r="OXB27" s="19"/>
      <c r="OXC27" s="19"/>
      <c r="OXD27" s="19"/>
      <c r="OXE27" s="19"/>
      <c r="OXF27" s="19"/>
      <c r="OXG27" s="19"/>
      <c r="OXH27" s="19"/>
      <c r="OXI27" s="19"/>
      <c r="OXJ27" s="19"/>
      <c r="OXK27" s="19"/>
      <c r="OXL27" s="19"/>
      <c r="OXM27" s="19"/>
      <c r="OXN27" s="19"/>
      <c r="OXO27" s="19"/>
      <c r="OXP27" s="19"/>
      <c r="OXQ27" s="19"/>
      <c r="OXR27" s="19"/>
      <c r="OXS27" s="19"/>
      <c r="OXT27" s="19"/>
      <c r="OXU27" s="19"/>
      <c r="OXV27" s="19"/>
      <c r="OXW27" s="19"/>
      <c r="OXX27" s="19"/>
      <c r="OXY27" s="19"/>
      <c r="OXZ27" s="19"/>
      <c r="OYA27" s="19"/>
      <c r="OYB27" s="19"/>
      <c r="OYC27" s="19"/>
      <c r="OYD27" s="19"/>
      <c r="OYE27" s="19"/>
      <c r="OYF27" s="19"/>
      <c r="OYG27" s="19"/>
      <c r="OYH27" s="19"/>
      <c r="OYI27" s="19"/>
      <c r="OYJ27" s="19"/>
      <c r="OYK27" s="19"/>
      <c r="OYL27" s="19"/>
      <c r="OYM27" s="19"/>
      <c r="OYN27" s="19"/>
      <c r="OYO27" s="19"/>
      <c r="OYP27" s="19"/>
      <c r="OYQ27" s="19"/>
      <c r="OYR27" s="19"/>
      <c r="OYS27" s="19"/>
      <c r="OYT27" s="19"/>
      <c r="OYU27" s="19"/>
      <c r="OYV27" s="19"/>
      <c r="OYW27" s="19"/>
      <c r="OYX27" s="19"/>
      <c r="OYY27" s="19"/>
      <c r="OYZ27" s="19"/>
      <c r="OZA27" s="19"/>
      <c r="OZB27" s="19"/>
      <c r="OZC27" s="19"/>
      <c r="OZD27" s="19"/>
      <c r="OZE27" s="19"/>
      <c r="OZF27" s="19"/>
      <c r="OZG27" s="19"/>
      <c r="OZH27" s="19"/>
      <c r="OZI27" s="19"/>
      <c r="OZJ27" s="19"/>
      <c r="OZK27" s="19"/>
      <c r="OZL27" s="19"/>
      <c r="OZM27" s="19"/>
      <c r="OZN27" s="19"/>
      <c r="OZO27" s="19"/>
      <c r="OZP27" s="19"/>
      <c r="OZQ27" s="19"/>
      <c r="OZR27" s="19"/>
      <c r="OZS27" s="19"/>
      <c r="OZT27" s="19"/>
      <c r="OZU27" s="19"/>
      <c r="OZV27" s="19"/>
      <c r="OZW27" s="19"/>
      <c r="OZX27" s="19"/>
      <c r="OZY27" s="19"/>
      <c r="OZZ27" s="19"/>
      <c r="PAA27" s="19"/>
      <c r="PAB27" s="19"/>
      <c r="PAC27" s="19"/>
      <c r="PAD27" s="19"/>
      <c r="PAE27" s="19"/>
      <c r="PAF27" s="19"/>
      <c r="PAG27" s="19"/>
      <c r="PAH27" s="19"/>
      <c r="PAI27" s="19"/>
      <c r="PAJ27" s="19"/>
      <c r="PAK27" s="19"/>
      <c r="PAL27" s="19"/>
      <c r="PAM27" s="19"/>
      <c r="PAN27" s="19"/>
      <c r="PAO27" s="19"/>
      <c r="PAP27" s="19"/>
      <c r="PAQ27" s="19"/>
      <c r="PAR27" s="19"/>
      <c r="PAS27" s="19"/>
      <c r="PAT27" s="19"/>
      <c r="PAU27" s="19"/>
      <c r="PAV27" s="19"/>
      <c r="PAW27" s="19"/>
      <c r="PAX27" s="19"/>
      <c r="PAY27" s="19"/>
      <c r="PAZ27" s="19"/>
      <c r="PBA27" s="19"/>
      <c r="PBB27" s="19"/>
      <c r="PBC27" s="19"/>
      <c r="PBD27" s="19"/>
      <c r="PBE27" s="19"/>
      <c r="PBF27" s="19"/>
      <c r="PBG27" s="19"/>
      <c r="PBH27" s="19"/>
      <c r="PBI27" s="19"/>
      <c r="PBJ27" s="19"/>
      <c r="PBK27" s="19"/>
      <c r="PBL27" s="19"/>
      <c r="PBM27" s="19"/>
      <c r="PBN27" s="19"/>
      <c r="PBO27" s="19"/>
      <c r="PBP27" s="19"/>
      <c r="PBQ27" s="19"/>
      <c r="PBR27" s="19"/>
      <c r="PBS27" s="19"/>
      <c r="PBT27" s="19"/>
      <c r="PBU27" s="19"/>
      <c r="PBV27" s="19"/>
      <c r="PBW27" s="19"/>
      <c r="PBX27" s="19"/>
      <c r="PBY27" s="19"/>
      <c r="PBZ27" s="19"/>
      <c r="PCA27" s="19"/>
      <c r="PCB27" s="19"/>
      <c r="PCC27" s="19"/>
      <c r="PCD27" s="19"/>
      <c r="PCE27" s="19"/>
      <c r="PCF27" s="19"/>
      <c r="PCG27" s="19"/>
      <c r="PCH27" s="19"/>
      <c r="PCI27" s="19"/>
      <c r="PCJ27" s="19"/>
      <c r="PCK27" s="19"/>
      <c r="PCL27" s="19"/>
      <c r="PCM27" s="19"/>
      <c r="PCN27" s="19"/>
      <c r="PCO27" s="19"/>
      <c r="PCP27" s="19"/>
      <c r="PCQ27" s="19"/>
      <c r="PCR27" s="19"/>
      <c r="PCS27" s="19"/>
      <c r="PCT27" s="19"/>
      <c r="PCU27" s="19"/>
      <c r="PCV27" s="19"/>
      <c r="PCW27" s="19"/>
      <c r="PCX27" s="19"/>
      <c r="PCY27" s="19"/>
      <c r="PCZ27" s="19"/>
      <c r="PDA27" s="19"/>
      <c r="PDB27" s="19"/>
      <c r="PDC27" s="19"/>
      <c r="PDD27" s="19"/>
      <c r="PDE27" s="19"/>
      <c r="PDF27" s="19"/>
      <c r="PDG27" s="19"/>
      <c r="PDH27" s="19"/>
      <c r="PDI27" s="19"/>
      <c r="PDJ27" s="19"/>
      <c r="PDK27" s="19"/>
      <c r="PDL27" s="19"/>
      <c r="PDM27" s="19"/>
      <c r="PDN27" s="19"/>
      <c r="PDO27" s="19"/>
      <c r="PDP27" s="19"/>
      <c r="PDQ27" s="19"/>
      <c r="PDR27" s="19"/>
      <c r="PDS27" s="19"/>
      <c r="PDT27" s="19"/>
      <c r="PDU27" s="19"/>
      <c r="PDV27" s="19"/>
      <c r="PDW27" s="19"/>
      <c r="PDX27" s="19"/>
      <c r="PDY27" s="19"/>
      <c r="PDZ27" s="19"/>
      <c r="PEA27" s="19"/>
      <c r="PEB27" s="19"/>
      <c r="PEC27" s="19"/>
      <c r="PED27" s="19"/>
      <c r="PEE27" s="19"/>
      <c r="PEF27" s="19"/>
      <c r="PEG27" s="19"/>
      <c r="PEH27" s="19"/>
      <c r="PEI27" s="19"/>
      <c r="PEJ27" s="19"/>
      <c r="PEK27" s="19"/>
      <c r="PEL27" s="19"/>
      <c r="PEM27" s="19"/>
      <c r="PEN27" s="19"/>
      <c r="PEO27" s="19"/>
      <c r="PEP27" s="19"/>
      <c r="PEQ27" s="19"/>
      <c r="PER27" s="19"/>
      <c r="PES27" s="19"/>
      <c r="PET27" s="19"/>
      <c r="PEU27" s="19"/>
      <c r="PEV27" s="19"/>
      <c r="PEW27" s="19"/>
      <c r="PEX27" s="19"/>
      <c r="PEY27" s="19"/>
      <c r="PEZ27" s="19"/>
      <c r="PFA27" s="19"/>
      <c r="PFB27" s="19"/>
      <c r="PFC27" s="19"/>
      <c r="PFD27" s="19"/>
      <c r="PFE27" s="19"/>
      <c r="PFF27" s="19"/>
      <c r="PFG27" s="19"/>
      <c r="PFH27" s="19"/>
      <c r="PFI27" s="19"/>
      <c r="PFJ27" s="19"/>
      <c r="PFK27" s="19"/>
      <c r="PFL27" s="19"/>
      <c r="PFM27" s="19"/>
      <c r="PFN27" s="19"/>
      <c r="PFO27" s="19"/>
      <c r="PFP27" s="19"/>
      <c r="PFQ27" s="19"/>
      <c r="PFR27" s="19"/>
      <c r="PFS27" s="19"/>
      <c r="PFT27" s="19"/>
      <c r="PFU27" s="19"/>
      <c r="PFV27" s="19"/>
      <c r="PFW27" s="19"/>
      <c r="PFX27" s="19"/>
      <c r="PFY27" s="19"/>
      <c r="PFZ27" s="19"/>
      <c r="PGA27" s="19"/>
      <c r="PGB27" s="19"/>
      <c r="PGC27" s="19"/>
      <c r="PGD27" s="19"/>
      <c r="PGE27" s="19"/>
      <c r="PGF27" s="19"/>
      <c r="PGG27" s="19"/>
      <c r="PGH27" s="19"/>
      <c r="PGI27" s="19"/>
      <c r="PGJ27" s="19"/>
      <c r="PGK27" s="19"/>
      <c r="PGL27" s="19"/>
      <c r="PGM27" s="19"/>
      <c r="PGN27" s="19"/>
      <c r="PGO27" s="19"/>
      <c r="PGP27" s="19"/>
      <c r="PGQ27" s="19"/>
      <c r="PGR27" s="19"/>
      <c r="PGS27" s="19"/>
      <c r="PGT27" s="19"/>
      <c r="PGU27" s="19"/>
      <c r="PGV27" s="19"/>
      <c r="PGW27" s="19"/>
      <c r="PGX27" s="19"/>
      <c r="PGY27" s="19"/>
      <c r="PGZ27" s="19"/>
      <c r="PHA27" s="19"/>
      <c r="PHB27" s="19"/>
      <c r="PHC27" s="19"/>
      <c r="PHD27" s="19"/>
      <c r="PHE27" s="19"/>
      <c r="PHF27" s="19"/>
      <c r="PHG27" s="19"/>
      <c r="PHH27" s="19"/>
      <c r="PHI27" s="19"/>
      <c r="PHJ27" s="19"/>
      <c r="PHK27" s="19"/>
      <c r="PHL27" s="19"/>
      <c r="PHM27" s="19"/>
      <c r="PHN27" s="19"/>
      <c r="PHO27" s="19"/>
      <c r="PHP27" s="19"/>
      <c r="PHQ27" s="19"/>
      <c r="PHR27" s="19"/>
      <c r="PHS27" s="19"/>
      <c r="PHT27" s="19"/>
      <c r="PHU27" s="19"/>
      <c r="PHV27" s="19"/>
      <c r="PHW27" s="19"/>
      <c r="PHX27" s="19"/>
      <c r="PHY27" s="19"/>
      <c r="PHZ27" s="19"/>
      <c r="PIA27" s="19"/>
      <c r="PIB27" s="19"/>
      <c r="PIC27" s="19"/>
      <c r="PID27" s="19"/>
      <c r="PIE27" s="19"/>
      <c r="PIF27" s="19"/>
      <c r="PIG27" s="19"/>
      <c r="PIH27" s="19"/>
      <c r="PII27" s="19"/>
      <c r="PIJ27" s="19"/>
      <c r="PIK27" s="19"/>
      <c r="PIL27" s="19"/>
      <c r="PIM27" s="19"/>
      <c r="PIN27" s="19"/>
      <c r="PIO27" s="19"/>
      <c r="PIP27" s="19"/>
      <c r="PIQ27" s="19"/>
      <c r="PIR27" s="19"/>
      <c r="PIS27" s="19"/>
      <c r="PIT27" s="19"/>
      <c r="PIU27" s="19"/>
      <c r="PIV27" s="19"/>
      <c r="PIW27" s="19"/>
      <c r="PIX27" s="19"/>
      <c r="PIY27" s="19"/>
      <c r="PIZ27" s="19"/>
      <c r="PJA27" s="19"/>
      <c r="PJB27" s="19"/>
      <c r="PJC27" s="19"/>
      <c r="PJD27" s="19"/>
      <c r="PJE27" s="19"/>
      <c r="PJF27" s="19"/>
      <c r="PJG27" s="19"/>
      <c r="PJH27" s="19"/>
      <c r="PJI27" s="19"/>
      <c r="PJJ27" s="19"/>
      <c r="PJK27" s="19"/>
      <c r="PJL27" s="19"/>
      <c r="PJM27" s="19"/>
      <c r="PJN27" s="19"/>
      <c r="PJO27" s="19"/>
      <c r="PJP27" s="19"/>
      <c r="PJQ27" s="19"/>
      <c r="PJR27" s="19"/>
      <c r="PJS27" s="19"/>
      <c r="PJT27" s="19"/>
      <c r="PJU27" s="19"/>
      <c r="PJV27" s="19"/>
      <c r="PJW27" s="19"/>
      <c r="PJX27" s="19"/>
      <c r="PJY27" s="19"/>
      <c r="PJZ27" s="19"/>
      <c r="PKA27" s="19"/>
      <c r="PKB27" s="19"/>
      <c r="PKC27" s="19"/>
      <c r="PKD27" s="19"/>
      <c r="PKE27" s="19"/>
      <c r="PKF27" s="19"/>
      <c r="PKG27" s="19"/>
      <c r="PKH27" s="19"/>
      <c r="PKI27" s="19"/>
      <c r="PKJ27" s="19"/>
      <c r="PKK27" s="19"/>
      <c r="PKL27" s="19"/>
      <c r="PKM27" s="19"/>
      <c r="PKN27" s="19"/>
      <c r="PKO27" s="19"/>
      <c r="PKP27" s="19"/>
      <c r="PKQ27" s="19"/>
      <c r="PKR27" s="19"/>
      <c r="PKS27" s="19"/>
      <c r="PKT27" s="19"/>
      <c r="PKU27" s="19"/>
      <c r="PKV27" s="19"/>
      <c r="PKW27" s="19"/>
      <c r="PKX27" s="19"/>
      <c r="PKY27" s="19"/>
      <c r="PKZ27" s="19"/>
      <c r="PLA27" s="19"/>
      <c r="PLB27" s="19"/>
      <c r="PLC27" s="19"/>
      <c r="PLD27" s="19"/>
      <c r="PLE27" s="19"/>
      <c r="PLF27" s="19"/>
      <c r="PLG27" s="19"/>
      <c r="PLH27" s="19"/>
      <c r="PLI27" s="19"/>
      <c r="PLJ27" s="19"/>
      <c r="PLK27" s="19"/>
      <c r="PLL27" s="19"/>
      <c r="PLM27" s="19"/>
      <c r="PLN27" s="19"/>
      <c r="PLO27" s="19"/>
      <c r="PLP27" s="19"/>
      <c r="PLQ27" s="19"/>
      <c r="PLR27" s="19"/>
      <c r="PLS27" s="19"/>
      <c r="PLT27" s="19"/>
      <c r="PLU27" s="19"/>
      <c r="PLV27" s="19"/>
      <c r="PLW27" s="19"/>
      <c r="PLX27" s="19"/>
      <c r="PLY27" s="19"/>
      <c r="PLZ27" s="19"/>
      <c r="PMA27" s="19"/>
      <c r="PMB27" s="19"/>
      <c r="PMC27" s="19"/>
      <c r="PMD27" s="19"/>
      <c r="PME27" s="19"/>
      <c r="PMF27" s="19"/>
      <c r="PMG27" s="19"/>
      <c r="PMH27" s="19"/>
      <c r="PMI27" s="19"/>
      <c r="PMJ27" s="19"/>
      <c r="PMK27" s="19"/>
      <c r="PML27" s="19"/>
      <c r="PMM27" s="19"/>
      <c r="PMN27" s="19"/>
      <c r="PMO27" s="19"/>
      <c r="PMP27" s="19"/>
      <c r="PMQ27" s="19"/>
      <c r="PMR27" s="19"/>
      <c r="PMS27" s="19"/>
      <c r="PMT27" s="19"/>
      <c r="PMU27" s="19"/>
      <c r="PMV27" s="19"/>
      <c r="PMW27" s="19"/>
      <c r="PMX27" s="19"/>
      <c r="PMY27" s="19"/>
      <c r="PMZ27" s="19"/>
      <c r="PNA27" s="19"/>
      <c r="PNB27" s="19"/>
      <c r="PNC27" s="19"/>
      <c r="PND27" s="19"/>
      <c r="PNE27" s="19"/>
      <c r="PNF27" s="19"/>
      <c r="PNG27" s="19"/>
      <c r="PNH27" s="19"/>
      <c r="PNI27" s="19"/>
      <c r="PNJ27" s="19"/>
      <c r="PNK27" s="19"/>
      <c r="PNL27" s="19"/>
      <c r="PNM27" s="19"/>
      <c r="PNN27" s="19"/>
      <c r="PNO27" s="19"/>
      <c r="PNP27" s="19"/>
      <c r="PNQ27" s="19"/>
      <c r="PNR27" s="19"/>
      <c r="PNS27" s="19"/>
      <c r="PNT27" s="19"/>
      <c r="PNU27" s="19"/>
      <c r="PNV27" s="19"/>
      <c r="PNW27" s="19"/>
      <c r="PNX27" s="19"/>
      <c r="PNY27" s="19"/>
      <c r="PNZ27" s="19"/>
      <c r="POA27" s="19"/>
      <c r="POB27" s="19"/>
      <c r="POC27" s="19"/>
      <c r="POD27" s="19"/>
      <c r="POE27" s="19"/>
      <c r="POF27" s="19"/>
      <c r="POG27" s="19"/>
      <c r="POH27" s="19"/>
      <c r="POI27" s="19"/>
      <c r="POJ27" s="19"/>
      <c r="POK27" s="19"/>
      <c r="POL27" s="19"/>
      <c r="POM27" s="19"/>
      <c r="PON27" s="19"/>
      <c r="POO27" s="19"/>
      <c r="POP27" s="19"/>
      <c r="POQ27" s="19"/>
      <c r="POR27" s="19"/>
      <c r="POS27" s="19"/>
      <c r="POT27" s="19"/>
      <c r="POU27" s="19"/>
      <c r="POV27" s="19"/>
      <c r="POW27" s="19"/>
      <c r="POX27" s="19"/>
      <c r="POY27" s="19"/>
      <c r="POZ27" s="19"/>
      <c r="PPA27" s="19"/>
      <c r="PPB27" s="19"/>
      <c r="PPC27" s="19"/>
      <c r="PPD27" s="19"/>
      <c r="PPE27" s="19"/>
      <c r="PPF27" s="19"/>
      <c r="PPG27" s="19"/>
      <c r="PPH27" s="19"/>
      <c r="PPI27" s="19"/>
      <c r="PPJ27" s="19"/>
      <c r="PPK27" s="19"/>
      <c r="PPL27" s="19"/>
      <c r="PPM27" s="19"/>
      <c r="PPN27" s="19"/>
      <c r="PPO27" s="19"/>
      <c r="PPP27" s="19"/>
      <c r="PPQ27" s="19"/>
      <c r="PPR27" s="19"/>
      <c r="PPS27" s="19"/>
      <c r="PPT27" s="19"/>
      <c r="PPU27" s="19"/>
      <c r="PPV27" s="19"/>
      <c r="PPW27" s="19"/>
      <c r="PPX27" s="19"/>
      <c r="PPY27" s="19"/>
      <c r="PPZ27" s="19"/>
      <c r="PQA27" s="19"/>
      <c r="PQB27" s="19"/>
      <c r="PQC27" s="19"/>
      <c r="PQD27" s="19"/>
      <c r="PQE27" s="19"/>
      <c r="PQF27" s="19"/>
      <c r="PQG27" s="19"/>
      <c r="PQH27" s="19"/>
      <c r="PQI27" s="19"/>
      <c r="PQJ27" s="19"/>
      <c r="PQK27" s="19"/>
      <c r="PQL27" s="19"/>
      <c r="PQM27" s="19"/>
      <c r="PQN27" s="19"/>
      <c r="PQO27" s="19"/>
      <c r="PQP27" s="19"/>
      <c r="PQQ27" s="19"/>
      <c r="PQR27" s="19"/>
      <c r="PQS27" s="19"/>
      <c r="PQT27" s="19"/>
      <c r="PQU27" s="19"/>
      <c r="PQV27" s="19"/>
      <c r="PQW27" s="19"/>
      <c r="PQX27" s="19"/>
      <c r="PQY27" s="19"/>
      <c r="PQZ27" s="19"/>
      <c r="PRA27" s="19"/>
      <c r="PRB27" s="19"/>
      <c r="PRC27" s="19"/>
      <c r="PRD27" s="19"/>
      <c r="PRE27" s="19"/>
      <c r="PRF27" s="19"/>
      <c r="PRG27" s="19"/>
      <c r="PRH27" s="19"/>
      <c r="PRI27" s="19"/>
      <c r="PRJ27" s="19"/>
      <c r="PRK27" s="19"/>
      <c r="PRL27" s="19"/>
      <c r="PRM27" s="19"/>
      <c r="PRN27" s="19"/>
      <c r="PRO27" s="19"/>
      <c r="PRP27" s="19"/>
      <c r="PRQ27" s="19"/>
      <c r="PRR27" s="19"/>
      <c r="PRS27" s="19"/>
      <c r="PRT27" s="19"/>
      <c r="PRU27" s="19"/>
      <c r="PRV27" s="19"/>
      <c r="PRW27" s="19"/>
      <c r="PRX27" s="19"/>
      <c r="PRY27" s="19"/>
      <c r="PRZ27" s="19"/>
      <c r="PSA27" s="19"/>
      <c r="PSB27" s="19"/>
      <c r="PSC27" s="19"/>
      <c r="PSD27" s="19"/>
      <c r="PSE27" s="19"/>
      <c r="PSF27" s="19"/>
      <c r="PSG27" s="19"/>
      <c r="PSH27" s="19"/>
      <c r="PSI27" s="19"/>
      <c r="PSJ27" s="19"/>
      <c r="PSK27" s="19"/>
      <c r="PSL27" s="19"/>
      <c r="PSM27" s="19"/>
      <c r="PSN27" s="19"/>
      <c r="PSO27" s="19"/>
      <c r="PSP27" s="19"/>
      <c r="PSQ27" s="19"/>
      <c r="PSR27" s="19"/>
      <c r="PSS27" s="19"/>
      <c r="PST27" s="19"/>
      <c r="PSU27" s="19"/>
      <c r="PSV27" s="19"/>
      <c r="PSW27" s="19"/>
      <c r="PSX27" s="19"/>
      <c r="PSY27" s="19"/>
      <c r="PSZ27" s="19"/>
      <c r="PTA27" s="19"/>
      <c r="PTB27" s="19"/>
      <c r="PTC27" s="19"/>
      <c r="PTD27" s="19"/>
      <c r="PTE27" s="19"/>
      <c r="PTF27" s="19"/>
      <c r="PTG27" s="19"/>
      <c r="PTH27" s="19"/>
      <c r="PTI27" s="19"/>
      <c r="PTJ27" s="19"/>
      <c r="PTK27" s="19"/>
      <c r="PTL27" s="19"/>
      <c r="PTM27" s="19"/>
      <c r="PTN27" s="19"/>
      <c r="PTO27" s="19"/>
      <c r="PTP27" s="19"/>
      <c r="PTQ27" s="19"/>
      <c r="PTR27" s="19"/>
      <c r="PTS27" s="19"/>
      <c r="PTT27" s="19"/>
      <c r="PTU27" s="19"/>
      <c r="PTV27" s="19"/>
      <c r="PTW27" s="19"/>
      <c r="PTX27" s="19"/>
      <c r="PTY27" s="19"/>
      <c r="PTZ27" s="19"/>
      <c r="PUA27" s="19"/>
      <c r="PUB27" s="19"/>
      <c r="PUC27" s="19"/>
      <c r="PUD27" s="19"/>
      <c r="PUE27" s="19"/>
      <c r="PUF27" s="19"/>
      <c r="PUG27" s="19"/>
      <c r="PUH27" s="19"/>
      <c r="PUI27" s="19"/>
      <c r="PUJ27" s="19"/>
      <c r="PUK27" s="19"/>
      <c r="PUL27" s="19"/>
      <c r="PUM27" s="19"/>
      <c r="PUN27" s="19"/>
      <c r="PUO27" s="19"/>
      <c r="PUP27" s="19"/>
      <c r="PUQ27" s="19"/>
      <c r="PUR27" s="19"/>
      <c r="PUS27" s="19"/>
      <c r="PUT27" s="19"/>
      <c r="PUU27" s="19"/>
      <c r="PUV27" s="19"/>
      <c r="PUW27" s="19"/>
      <c r="PUX27" s="19"/>
      <c r="PUY27" s="19"/>
      <c r="PUZ27" s="19"/>
      <c r="PVA27" s="19"/>
      <c r="PVB27" s="19"/>
      <c r="PVC27" s="19"/>
      <c r="PVD27" s="19"/>
      <c r="PVE27" s="19"/>
      <c r="PVF27" s="19"/>
      <c r="PVG27" s="19"/>
      <c r="PVH27" s="19"/>
      <c r="PVI27" s="19"/>
      <c r="PVJ27" s="19"/>
      <c r="PVK27" s="19"/>
      <c r="PVL27" s="19"/>
      <c r="PVM27" s="19"/>
      <c r="PVN27" s="19"/>
      <c r="PVO27" s="19"/>
      <c r="PVP27" s="19"/>
      <c r="PVQ27" s="19"/>
      <c r="PVR27" s="19"/>
      <c r="PVS27" s="19"/>
      <c r="PVT27" s="19"/>
      <c r="PVU27" s="19"/>
      <c r="PVV27" s="19"/>
      <c r="PVW27" s="19"/>
      <c r="PVX27" s="19"/>
      <c r="PVY27" s="19"/>
      <c r="PVZ27" s="19"/>
      <c r="PWA27" s="19"/>
      <c r="PWB27" s="19"/>
      <c r="PWC27" s="19"/>
      <c r="PWD27" s="19"/>
      <c r="PWE27" s="19"/>
      <c r="PWF27" s="19"/>
      <c r="PWG27" s="19"/>
      <c r="PWH27" s="19"/>
      <c r="PWI27" s="19"/>
      <c r="PWJ27" s="19"/>
      <c r="PWK27" s="19"/>
      <c r="PWL27" s="19"/>
      <c r="PWM27" s="19"/>
      <c r="PWN27" s="19"/>
      <c r="PWO27" s="19"/>
      <c r="PWP27" s="19"/>
      <c r="PWQ27" s="19"/>
      <c r="PWR27" s="19"/>
      <c r="PWS27" s="19"/>
      <c r="PWT27" s="19"/>
      <c r="PWU27" s="19"/>
      <c r="PWV27" s="19"/>
      <c r="PWW27" s="19"/>
      <c r="PWX27" s="19"/>
      <c r="PWY27" s="19"/>
      <c r="PWZ27" s="19"/>
      <c r="PXA27" s="19"/>
      <c r="PXB27" s="19"/>
      <c r="PXC27" s="19"/>
      <c r="PXD27" s="19"/>
      <c r="PXE27" s="19"/>
      <c r="PXF27" s="19"/>
      <c r="PXG27" s="19"/>
      <c r="PXH27" s="19"/>
      <c r="PXI27" s="19"/>
      <c r="PXJ27" s="19"/>
      <c r="PXK27" s="19"/>
      <c r="PXL27" s="19"/>
      <c r="PXM27" s="19"/>
      <c r="PXN27" s="19"/>
      <c r="PXO27" s="19"/>
      <c r="PXP27" s="19"/>
      <c r="PXQ27" s="19"/>
      <c r="PXR27" s="19"/>
      <c r="PXS27" s="19"/>
      <c r="PXT27" s="19"/>
      <c r="PXU27" s="19"/>
      <c r="PXV27" s="19"/>
      <c r="PXW27" s="19"/>
      <c r="PXX27" s="19"/>
      <c r="PXY27" s="19"/>
      <c r="PXZ27" s="19"/>
      <c r="PYA27" s="19"/>
      <c r="PYB27" s="19"/>
      <c r="PYC27" s="19"/>
      <c r="PYD27" s="19"/>
      <c r="PYE27" s="19"/>
      <c r="PYF27" s="19"/>
      <c r="PYG27" s="19"/>
      <c r="PYH27" s="19"/>
      <c r="PYI27" s="19"/>
      <c r="PYJ27" s="19"/>
      <c r="PYK27" s="19"/>
      <c r="PYL27" s="19"/>
      <c r="PYM27" s="19"/>
      <c r="PYN27" s="19"/>
      <c r="PYO27" s="19"/>
      <c r="PYP27" s="19"/>
      <c r="PYQ27" s="19"/>
      <c r="PYR27" s="19"/>
      <c r="PYS27" s="19"/>
      <c r="PYT27" s="19"/>
      <c r="PYU27" s="19"/>
      <c r="PYV27" s="19"/>
      <c r="PYW27" s="19"/>
      <c r="PYX27" s="19"/>
      <c r="PYY27" s="19"/>
      <c r="PYZ27" s="19"/>
      <c r="PZA27" s="19"/>
      <c r="PZB27" s="19"/>
      <c r="PZC27" s="19"/>
      <c r="PZD27" s="19"/>
      <c r="PZE27" s="19"/>
      <c r="PZF27" s="19"/>
      <c r="PZG27" s="19"/>
      <c r="PZH27" s="19"/>
      <c r="PZI27" s="19"/>
      <c r="PZJ27" s="19"/>
      <c r="PZK27" s="19"/>
      <c r="PZL27" s="19"/>
      <c r="PZM27" s="19"/>
      <c r="PZN27" s="19"/>
      <c r="PZO27" s="19"/>
      <c r="PZP27" s="19"/>
      <c r="PZQ27" s="19"/>
      <c r="PZR27" s="19"/>
      <c r="PZS27" s="19"/>
      <c r="PZT27" s="19"/>
      <c r="PZU27" s="19"/>
      <c r="PZV27" s="19"/>
      <c r="PZW27" s="19"/>
      <c r="PZX27" s="19"/>
      <c r="PZY27" s="19"/>
      <c r="PZZ27" s="19"/>
      <c r="QAA27" s="19"/>
      <c r="QAB27" s="19"/>
      <c r="QAC27" s="19"/>
      <c r="QAD27" s="19"/>
      <c r="QAE27" s="19"/>
      <c r="QAF27" s="19"/>
      <c r="QAG27" s="19"/>
      <c r="QAH27" s="19"/>
      <c r="QAI27" s="19"/>
      <c r="QAJ27" s="19"/>
      <c r="QAK27" s="19"/>
      <c r="QAL27" s="19"/>
      <c r="QAM27" s="19"/>
      <c r="QAN27" s="19"/>
      <c r="QAO27" s="19"/>
      <c r="QAP27" s="19"/>
      <c r="QAQ27" s="19"/>
      <c r="QAR27" s="19"/>
      <c r="QAS27" s="19"/>
      <c r="QAT27" s="19"/>
      <c r="QAU27" s="19"/>
      <c r="QAV27" s="19"/>
      <c r="QAW27" s="19"/>
      <c r="QAX27" s="19"/>
      <c r="QAY27" s="19"/>
      <c r="QAZ27" s="19"/>
      <c r="QBA27" s="19"/>
      <c r="QBB27" s="19"/>
      <c r="QBC27" s="19"/>
      <c r="QBD27" s="19"/>
      <c r="QBE27" s="19"/>
      <c r="QBF27" s="19"/>
      <c r="QBG27" s="19"/>
      <c r="QBH27" s="19"/>
      <c r="QBI27" s="19"/>
      <c r="QBJ27" s="19"/>
      <c r="QBK27" s="19"/>
      <c r="QBL27" s="19"/>
      <c r="QBM27" s="19"/>
      <c r="QBN27" s="19"/>
      <c r="QBO27" s="19"/>
      <c r="QBP27" s="19"/>
      <c r="QBQ27" s="19"/>
      <c r="QBR27" s="19"/>
      <c r="QBS27" s="19"/>
      <c r="QBT27" s="19"/>
      <c r="QBU27" s="19"/>
      <c r="QBV27" s="19"/>
      <c r="QBW27" s="19"/>
      <c r="QBX27" s="19"/>
      <c r="QBY27" s="19"/>
      <c r="QBZ27" s="19"/>
      <c r="QCA27" s="19"/>
      <c r="QCB27" s="19"/>
      <c r="QCC27" s="19"/>
      <c r="QCD27" s="19"/>
      <c r="QCE27" s="19"/>
      <c r="QCF27" s="19"/>
      <c r="QCG27" s="19"/>
      <c r="QCH27" s="19"/>
      <c r="QCI27" s="19"/>
      <c r="QCJ27" s="19"/>
      <c r="QCK27" s="19"/>
      <c r="QCL27" s="19"/>
      <c r="QCM27" s="19"/>
      <c r="QCN27" s="19"/>
      <c r="QCO27" s="19"/>
      <c r="QCP27" s="19"/>
      <c r="QCQ27" s="19"/>
      <c r="QCR27" s="19"/>
      <c r="QCS27" s="19"/>
      <c r="QCT27" s="19"/>
      <c r="QCU27" s="19"/>
      <c r="QCV27" s="19"/>
      <c r="QCW27" s="19"/>
      <c r="QCX27" s="19"/>
      <c r="QCY27" s="19"/>
      <c r="QCZ27" s="19"/>
      <c r="QDA27" s="19"/>
      <c r="QDB27" s="19"/>
      <c r="QDC27" s="19"/>
      <c r="QDD27" s="19"/>
      <c r="QDE27" s="19"/>
      <c r="QDF27" s="19"/>
      <c r="QDG27" s="19"/>
      <c r="QDH27" s="19"/>
      <c r="QDI27" s="19"/>
      <c r="QDJ27" s="19"/>
      <c r="QDK27" s="19"/>
      <c r="QDL27" s="19"/>
      <c r="QDM27" s="19"/>
      <c r="QDN27" s="19"/>
      <c r="QDO27" s="19"/>
      <c r="QDP27" s="19"/>
      <c r="QDQ27" s="19"/>
      <c r="QDR27" s="19"/>
      <c r="QDS27" s="19"/>
      <c r="QDT27" s="19"/>
      <c r="QDU27" s="19"/>
      <c r="QDV27" s="19"/>
      <c r="QDW27" s="19"/>
      <c r="QDX27" s="19"/>
      <c r="QDY27" s="19"/>
      <c r="QDZ27" s="19"/>
      <c r="QEA27" s="19"/>
      <c r="QEB27" s="19"/>
      <c r="QEC27" s="19"/>
      <c r="QED27" s="19"/>
      <c r="QEE27" s="19"/>
      <c r="QEF27" s="19"/>
      <c r="QEG27" s="19"/>
      <c r="QEH27" s="19"/>
      <c r="QEI27" s="19"/>
      <c r="QEJ27" s="19"/>
      <c r="QEK27" s="19"/>
      <c r="QEL27" s="19"/>
      <c r="QEM27" s="19"/>
      <c r="QEN27" s="19"/>
      <c r="QEO27" s="19"/>
      <c r="QEP27" s="19"/>
      <c r="QEQ27" s="19"/>
      <c r="QER27" s="19"/>
      <c r="QES27" s="19"/>
      <c r="QET27" s="19"/>
      <c r="QEU27" s="19"/>
      <c r="QEV27" s="19"/>
      <c r="QEW27" s="19"/>
      <c r="QEX27" s="19"/>
      <c r="QEY27" s="19"/>
      <c r="QEZ27" s="19"/>
      <c r="QFA27" s="19"/>
      <c r="QFB27" s="19"/>
      <c r="QFC27" s="19"/>
      <c r="QFD27" s="19"/>
      <c r="QFE27" s="19"/>
      <c r="QFF27" s="19"/>
      <c r="QFG27" s="19"/>
      <c r="QFH27" s="19"/>
      <c r="QFI27" s="19"/>
      <c r="QFJ27" s="19"/>
      <c r="QFK27" s="19"/>
      <c r="QFL27" s="19"/>
      <c r="QFM27" s="19"/>
      <c r="QFN27" s="19"/>
      <c r="QFO27" s="19"/>
      <c r="QFP27" s="19"/>
      <c r="QFQ27" s="19"/>
      <c r="QFR27" s="19"/>
      <c r="QFS27" s="19"/>
      <c r="QFT27" s="19"/>
      <c r="QFU27" s="19"/>
      <c r="QFV27" s="19"/>
      <c r="QFW27" s="19"/>
      <c r="QFX27" s="19"/>
      <c r="QFY27" s="19"/>
      <c r="QFZ27" s="19"/>
      <c r="QGA27" s="19"/>
      <c r="QGB27" s="19"/>
      <c r="QGC27" s="19"/>
      <c r="QGD27" s="19"/>
      <c r="QGE27" s="19"/>
      <c r="QGF27" s="19"/>
      <c r="QGG27" s="19"/>
      <c r="QGH27" s="19"/>
      <c r="QGI27" s="19"/>
      <c r="QGJ27" s="19"/>
      <c r="QGK27" s="19"/>
      <c r="QGL27" s="19"/>
      <c r="QGM27" s="19"/>
      <c r="QGN27" s="19"/>
      <c r="QGO27" s="19"/>
      <c r="QGP27" s="19"/>
      <c r="QGQ27" s="19"/>
      <c r="QGR27" s="19"/>
      <c r="QGS27" s="19"/>
      <c r="QGT27" s="19"/>
      <c r="QGU27" s="19"/>
      <c r="QGV27" s="19"/>
      <c r="QGW27" s="19"/>
      <c r="QGX27" s="19"/>
      <c r="QGY27" s="19"/>
      <c r="QGZ27" s="19"/>
      <c r="QHA27" s="19"/>
      <c r="QHB27" s="19"/>
      <c r="QHC27" s="19"/>
      <c r="QHD27" s="19"/>
      <c r="QHE27" s="19"/>
      <c r="QHF27" s="19"/>
      <c r="QHG27" s="19"/>
      <c r="QHH27" s="19"/>
      <c r="QHI27" s="19"/>
      <c r="QHJ27" s="19"/>
      <c r="QHK27" s="19"/>
      <c r="QHL27" s="19"/>
      <c r="QHM27" s="19"/>
      <c r="QHN27" s="19"/>
      <c r="QHO27" s="19"/>
      <c r="QHP27" s="19"/>
      <c r="QHQ27" s="19"/>
      <c r="QHR27" s="19"/>
      <c r="QHS27" s="19"/>
      <c r="QHT27" s="19"/>
      <c r="QHU27" s="19"/>
      <c r="QHV27" s="19"/>
      <c r="QHW27" s="19"/>
      <c r="QHX27" s="19"/>
      <c r="QHY27" s="19"/>
      <c r="QHZ27" s="19"/>
      <c r="QIA27" s="19"/>
      <c r="QIB27" s="19"/>
      <c r="QIC27" s="19"/>
      <c r="QID27" s="19"/>
      <c r="QIE27" s="19"/>
      <c r="QIF27" s="19"/>
      <c r="QIG27" s="19"/>
      <c r="QIH27" s="19"/>
      <c r="QII27" s="19"/>
      <c r="QIJ27" s="19"/>
      <c r="QIK27" s="19"/>
      <c r="QIL27" s="19"/>
      <c r="QIM27" s="19"/>
      <c r="QIN27" s="19"/>
      <c r="QIO27" s="19"/>
      <c r="QIP27" s="19"/>
      <c r="QIQ27" s="19"/>
      <c r="QIR27" s="19"/>
      <c r="QIS27" s="19"/>
      <c r="QIT27" s="19"/>
      <c r="QIU27" s="19"/>
      <c r="QIV27" s="19"/>
      <c r="QIW27" s="19"/>
      <c r="QIX27" s="19"/>
      <c r="QIY27" s="19"/>
      <c r="QIZ27" s="19"/>
      <c r="QJA27" s="19"/>
      <c r="QJB27" s="19"/>
      <c r="QJC27" s="19"/>
      <c r="QJD27" s="19"/>
      <c r="QJE27" s="19"/>
      <c r="QJF27" s="19"/>
      <c r="QJG27" s="19"/>
      <c r="QJH27" s="19"/>
      <c r="QJI27" s="19"/>
      <c r="QJJ27" s="19"/>
      <c r="QJK27" s="19"/>
      <c r="QJL27" s="19"/>
      <c r="QJM27" s="19"/>
      <c r="QJN27" s="19"/>
      <c r="QJO27" s="19"/>
      <c r="QJP27" s="19"/>
      <c r="QJQ27" s="19"/>
      <c r="QJR27" s="19"/>
      <c r="QJS27" s="19"/>
      <c r="QJT27" s="19"/>
      <c r="QJU27" s="19"/>
      <c r="QJV27" s="19"/>
      <c r="QJW27" s="19"/>
      <c r="QJX27" s="19"/>
      <c r="QJY27" s="19"/>
      <c r="QJZ27" s="19"/>
      <c r="QKA27" s="19"/>
      <c r="QKB27" s="19"/>
      <c r="QKC27" s="19"/>
      <c r="QKD27" s="19"/>
      <c r="QKE27" s="19"/>
      <c r="QKF27" s="19"/>
      <c r="QKG27" s="19"/>
      <c r="QKH27" s="19"/>
      <c r="QKI27" s="19"/>
      <c r="QKJ27" s="19"/>
      <c r="QKK27" s="19"/>
      <c r="QKL27" s="19"/>
      <c r="QKM27" s="19"/>
      <c r="QKN27" s="19"/>
      <c r="QKO27" s="19"/>
      <c r="QKP27" s="19"/>
      <c r="QKQ27" s="19"/>
      <c r="QKR27" s="19"/>
      <c r="QKS27" s="19"/>
      <c r="QKT27" s="19"/>
      <c r="QKU27" s="19"/>
      <c r="QKV27" s="19"/>
      <c r="QKW27" s="19"/>
      <c r="QKX27" s="19"/>
      <c r="QKY27" s="19"/>
      <c r="QKZ27" s="19"/>
      <c r="QLA27" s="19"/>
      <c r="QLB27" s="19"/>
      <c r="QLC27" s="19"/>
      <c r="QLD27" s="19"/>
      <c r="QLE27" s="19"/>
      <c r="QLF27" s="19"/>
      <c r="QLG27" s="19"/>
      <c r="QLH27" s="19"/>
      <c r="QLI27" s="19"/>
      <c r="QLJ27" s="19"/>
      <c r="QLK27" s="19"/>
      <c r="QLL27" s="19"/>
      <c r="QLM27" s="19"/>
      <c r="QLN27" s="19"/>
      <c r="QLO27" s="19"/>
      <c r="QLP27" s="19"/>
      <c r="QLQ27" s="19"/>
      <c r="QLR27" s="19"/>
      <c r="QLS27" s="19"/>
      <c r="QLT27" s="19"/>
      <c r="QLU27" s="19"/>
      <c r="QLV27" s="19"/>
      <c r="QLW27" s="19"/>
      <c r="QLX27" s="19"/>
      <c r="QLY27" s="19"/>
      <c r="QLZ27" s="19"/>
      <c r="QMA27" s="19"/>
      <c r="QMB27" s="19"/>
      <c r="QMC27" s="19"/>
      <c r="QMD27" s="19"/>
      <c r="QME27" s="19"/>
      <c r="QMF27" s="19"/>
      <c r="QMG27" s="19"/>
      <c r="QMH27" s="19"/>
      <c r="QMI27" s="19"/>
      <c r="QMJ27" s="19"/>
      <c r="QMK27" s="19"/>
      <c r="QML27" s="19"/>
      <c r="QMM27" s="19"/>
      <c r="QMN27" s="19"/>
      <c r="QMO27" s="19"/>
      <c r="QMP27" s="19"/>
      <c r="QMQ27" s="19"/>
      <c r="QMR27" s="19"/>
      <c r="QMS27" s="19"/>
      <c r="QMT27" s="19"/>
      <c r="QMU27" s="19"/>
      <c r="QMV27" s="19"/>
      <c r="QMW27" s="19"/>
      <c r="QMX27" s="19"/>
      <c r="QMY27" s="19"/>
      <c r="QMZ27" s="19"/>
      <c r="QNA27" s="19"/>
      <c r="QNB27" s="19"/>
      <c r="QNC27" s="19"/>
      <c r="QND27" s="19"/>
      <c r="QNE27" s="19"/>
      <c r="QNF27" s="19"/>
      <c r="QNG27" s="19"/>
      <c r="QNH27" s="19"/>
      <c r="QNI27" s="19"/>
      <c r="QNJ27" s="19"/>
      <c r="QNK27" s="19"/>
      <c r="QNL27" s="19"/>
      <c r="QNM27" s="19"/>
      <c r="QNN27" s="19"/>
      <c r="QNO27" s="19"/>
      <c r="QNP27" s="19"/>
      <c r="QNQ27" s="19"/>
      <c r="QNR27" s="19"/>
      <c r="QNS27" s="19"/>
      <c r="QNT27" s="19"/>
      <c r="QNU27" s="19"/>
      <c r="QNV27" s="19"/>
      <c r="QNW27" s="19"/>
      <c r="QNX27" s="19"/>
      <c r="QNY27" s="19"/>
      <c r="QNZ27" s="19"/>
      <c r="QOA27" s="19"/>
      <c r="QOB27" s="19"/>
      <c r="QOC27" s="19"/>
      <c r="QOD27" s="19"/>
      <c r="QOE27" s="19"/>
      <c r="QOF27" s="19"/>
      <c r="QOG27" s="19"/>
      <c r="QOH27" s="19"/>
      <c r="QOI27" s="19"/>
      <c r="QOJ27" s="19"/>
      <c r="QOK27" s="19"/>
      <c r="QOL27" s="19"/>
      <c r="QOM27" s="19"/>
      <c r="QON27" s="19"/>
      <c r="QOO27" s="19"/>
      <c r="QOP27" s="19"/>
      <c r="QOQ27" s="19"/>
      <c r="QOR27" s="19"/>
      <c r="QOS27" s="19"/>
      <c r="QOT27" s="19"/>
      <c r="QOU27" s="19"/>
      <c r="QOV27" s="19"/>
      <c r="QOW27" s="19"/>
      <c r="QOX27" s="19"/>
      <c r="QOY27" s="19"/>
      <c r="QOZ27" s="19"/>
      <c r="QPA27" s="19"/>
      <c r="QPB27" s="19"/>
      <c r="QPC27" s="19"/>
      <c r="QPD27" s="19"/>
      <c r="QPE27" s="19"/>
      <c r="QPF27" s="19"/>
      <c r="QPG27" s="19"/>
      <c r="QPH27" s="19"/>
      <c r="QPI27" s="19"/>
      <c r="QPJ27" s="19"/>
      <c r="QPK27" s="19"/>
      <c r="QPL27" s="19"/>
      <c r="QPM27" s="19"/>
      <c r="QPN27" s="19"/>
      <c r="QPO27" s="19"/>
      <c r="QPP27" s="19"/>
      <c r="QPQ27" s="19"/>
      <c r="QPR27" s="19"/>
      <c r="QPS27" s="19"/>
      <c r="QPT27" s="19"/>
      <c r="QPU27" s="19"/>
      <c r="QPV27" s="19"/>
      <c r="QPW27" s="19"/>
      <c r="QPX27" s="19"/>
      <c r="QPY27" s="19"/>
      <c r="QPZ27" s="19"/>
      <c r="QQA27" s="19"/>
      <c r="QQB27" s="19"/>
      <c r="QQC27" s="19"/>
      <c r="QQD27" s="19"/>
      <c r="QQE27" s="19"/>
      <c r="QQF27" s="19"/>
      <c r="QQG27" s="19"/>
      <c r="QQH27" s="19"/>
      <c r="QQI27" s="19"/>
      <c r="QQJ27" s="19"/>
      <c r="QQK27" s="19"/>
      <c r="QQL27" s="19"/>
      <c r="QQM27" s="19"/>
      <c r="QQN27" s="19"/>
      <c r="QQO27" s="19"/>
      <c r="QQP27" s="19"/>
      <c r="QQQ27" s="19"/>
      <c r="QQR27" s="19"/>
      <c r="QQS27" s="19"/>
      <c r="QQT27" s="19"/>
      <c r="QQU27" s="19"/>
      <c r="QQV27" s="19"/>
      <c r="QQW27" s="19"/>
      <c r="QQX27" s="19"/>
      <c r="QQY27" s="19"/>
      <c r="QQZ27" s="19"/>
      <c r="QRA27" s="19"/>
      <c r="QRB27" s="19"/>
      <c r="QRC27" s="19"/>
      <c r="QRD27" s="19"/>
      <c r="QRE27" s="19"/>
      <c r="QRF27" s="19"/>
      <c r="QRG27" s="19"/>
      <c r="QRH27" s="19"/>
      <c r="QRI27" s="19"/>
      <c r="QRJ27" s="19"/>
      <c r="QRK27" s="19"/>
      <c r="QRL27" s="19"/>
      <c r="QRM27" s="19"/>
      <c r="QRN27" s="19"/>
      <c r="QRO27" s="19"/>
      <c r="QRP27" s="19"/>
      <c r="QRQ27" s="19"/>
      <c r="QRR27" s="19"/>
      <c r="QRS27" s="19"/>
      <c r="QRT27" s="19"/>
      <c r="QRU27" s="19"/>
      <c r="QRV27" s="19"/>
      <c r="QRW27" s="19"/>
      <c r="QRX27" s="19"/>
      <c r="QRY27" s="19"/>
      <c r="QRZ27" s="19"/>
      <c r="QSA27" s="19"/>
      <c r="QSB27" s="19"/>
      <c r="QSC27" s="19"/>
      <c r="QSD27" s="19"/>
      <c r="QSE27" s="19"/>
      <c r="QSF27" s="19"/>
      <c r="QSG27" s="19"/>
      <c r="QSH27" s="19"/>
      <c r="QSI27" s="19"/>
      <c r="QSJ27" s="19"/>
      <c r="QSK27" s="19"/>
      <c r="QSL27" s="19"/>
      <c r="QSM27" s="19"/>
      <c r="QSN27" s="19"/>
      <c r="QSO27" s="19"/>
      <c r="QSP27" s="19"/>
      <c r="QSQ27" s="19"/>
      <c r="QSR27" s="19"/>
      <c r="QSS27" s="19"/>
      <c r="QST27" s="19"/>
      <c r="QSU27" s="19"/>
      <c r="QSV27" s="19"/>
      <c r="QSW27" s="19"/>
      <c r="QSX27" s="19"/>
      <c r="QSY27" s="19"/>
      <c r="QSZ27" s="19"/>
      <c r="QTA27" s="19"/>
      <c r="QTB27" s="19"/>
      <c r="QTC27" s="19"/>
      <c r="QTD27" s="19"/>
      <c r="QTE27" s="19"/>
      <c r="QTF27" s="19"/>
      <c r="QTG27" s="19"/>
      <c r="QTH27" s="19"/>
      <c r="QTI27" s="19"/>
      <c r="QTJ27" s="19"/>
      <c r="QTK27" s="19"/>
      <c r="QTL27" s="19"/>
      <c r="QTM27" s="19"/>
      <c r="QTN27" s="19"/>
      <c r="QTO27" s="19"/>
      <c r="QTP27" s="19"/>
      <c r="QTQ27" s="19"/>
      <c r="QTR27" s="19"/>
      <c r="QTS27" s="19"/>
      <c r="QTT27" s="19"/>
      <c r="QTU27" s="19"/>
      <c r="QTV27" s="19"/>
      <c r="QTW27" s="19"/>
      <c r="QTX27" s="19"/>
      <c r="QTY27" s="19"/>
      <c r="QTZ27" s="19"/>
      <c r="QUA27" s="19"/>
      <c r="QUB27" s="19"/>
      <c r="QUC27" s="19"/>
      <c r="QUD27" s="19"/>
      <c r="QUE27" s="19"/>
      <c r="QUF27" s="19"/>
      <c r="QUG27" s="19"/>
      <c r="QUH27" s="19"/>
      <c r="QUI27" s="19"/>
      <c r="QUJ27" s="19"/>
      <c r="QUK27" s="19"/>
      <c r="QUL27" s="19"/>
      <c r="QUM27" s="19"/>
      <c r="QUN27" s="19"/>
      <c r="QUO27" s="19"/>
      <c r="QUP27" s="19"/>
      <c r="QUQ27" s="19"/>
      <c r="QUR27" s="19"/>
      <c r="QUS27" s="19"/>
      <c r="QUT27" s="19"/>
      <c r="QUU27" s="19"/>
      <c r="QUV27" s="19"/>
      <c r="QUW27" s="19"/>
      <c r="QUX27" s="19"/>
      <c r="QUY27" s="19"/>
      <c r="QUZ27" s="19"/>
      <c r="QVA27" s="19"/>
      <c r="QVB27" s="19"/>
      <c r="QVC27" s="19"/>
      <c r="QVD27" s="19"/>
      <c r="QVE27" s="19"/>
      <c r="QVF27" s="19"/>
      <c r="QVG27" s="19"/>
      <c r="QVH27" s="19"/>
      <c r="QVI27" s="19"/>
      <c r="QVJ27" s="19"/>
      <c r="QVK27" s="19"/>
      <c r="QVL27" s="19"/>
      <c r="QVM27" s="19"/>
      <c r="QVN27" s="19"/>
      <c r="QVO27" s="19"/>
      <c r="QVP27" s="19"/>
      <c r="QVQ27" s="19"/>
      <c r="QVR27" s="19"/>
      <c r="QVS27" s="19"/>
      <c r="QVT27" s="19"/>
      <c r="QVU27" s="19"/>
      <c r="QVV27" s="19"/>
      <c r="QVW27" s="19"/>
      <c r="QVX27" s="19"/>
      <c r="QVY27" s="19"/>
      <c r="QVZ27" s="19"/>
      <c r="QWA27" s="19"/>
      <c r="QWB27" s="19"/>
      <c r="QWC27" s="19"/>
      <c r="QWD27" s="19"/>
      <c r="QWE27" s="19"/>
      <c r="QWF27" s="19"/>
      <c r="QWG27" s="19"/>
      <c r="QWH27" s="19"/>
      <c r="QWI27" s="19"/>
      <c r="QWJ27" s="19"/>
      <c r="QWK27" s="19"/>
      <c r="QWL27" s="19"/>
      <c r="QWM27" s="19"/>
      <c r="QWN27" s="19"/>
      <c r="QWO27" s="19"/>
      <c r="QWP27" s="19"/>
      <c r="QWQ27" s="19"/>
      <c r="QWR27" s="19"/>
      <c r="QWS27" s="19"/>
      <c r="QWT27" s="19"/>
      <c r="QWU27" s="19"/>
      <c r="QWV27" s="19"/>
      <c r="QWW27" s="19"/>
      <c r="QWX27" s="19"/>
      <c r="QWY27" s="19"/>
      <c r="QWZ27" s="19"/>
      <c r="QXA27" s="19"/>
      <c r="QXB27" s="19"/>
      <c r="QXC27" s="19"/>
      <c r="QXD27" s="19"/>
      <c r="QXE27" s="19"/>
      <c r="QXF27" s="19"/>
      <c r="QXG27" s="19"/>
      <c r="QXH27" s="19"/>
      <c r="QXI27" s="19"/>
      <c r="QXJ27" s="19"/>
      <c r="QXK27" s="19"/>
      <c r="QXL27" s="19"/>
      <c r="QXM27" s="19"/>
      <c r="QXN27" s="19"/>
      <c r="QXO27" s="19"/>
      <c r="QXP27" s="19"/>
      <c r="QXQ27" s="19"/>
      <c r="QXR27" s="19"/>
      <c r="QXS27" s="19"/>
      <c r="QXT27" s="19"/>
      <c r="QXU27" s="19"/>
      <c r="QXV27" s="19"/>
      <c r="QXW27" s="19"/>
      <c r="QXX27" s="19"/>
      <c r="QXY27" s="19"/>
      <c r="QXZ27" s="19"/>
      <c r="QYA27" s="19"/>
      <c r="QYB27" s="19"/>
      <c r="QYC27" s="19"/>
      <c r="QYD27" s="19"/>
      <c r="QYE27" s="19"/>
      <c r="QYF27" s="19"/>
      <c r="QYG27" s="19"/>
      <c r="QYH27" s="19"/>
      <c r="QYI27" s="19"/>
      <c r="QYJ27" s="19"/>
      <c r="QYK27" s="19"/>
      <c r="QYL27" s="19"/>
      <c r="QYM27" s="19"/>
      <c r="QYN27" s="19"/>
      <c r="QYO27" s="19"/>
      <c r="QYP27" s="19"/>
      <c r="QYQ27" s="19"/>
      <c r="QYR27" s="19"/>
      <c r="QYS27" s="19"/>
      <c r="QYT27" s="19"/>
      <c r="QYU27" s="19"/>
      <c r="QYV27" s="19"/>
      <c r="QYW27" s="19"/>
      <c r="QYX27" s="19"/>
      <c r="QYY27" s="19"/>
      <c r="QYZ27" s="19"/>
      <c r="QZA27" s="19"/>
      <c r="QZB27" s="19"/>
      <c r="QZC27" s="19"/>
      <c r="QZD27" s="19"/>
      <c r="QZE27" s="19"/>
      <c r="QZF27" s="19"/>
      <c r="QZG27" s="19"/>
      <c r="QZH27" s="19"/>
      <c r="QZI27" s="19"/>
      <c r="QZJ27" s="19"/>
      <c r="QZK27" s="19"/>
      <c r="QZL27" s="19"/>
      <c r="QZM27" s="19"/>
      <c r="QZN27" s="19"/>
      <c r="QZO27" s="19"/>
      <c r="QZP27" s="19"/>
      <c r="QZQ27" s="19"/>
      <c r="QZR27" s="19"/>
      <c r="QZS27" s="19"/>
      <c r="QZT27" s="19"/>
      <c r="QZU27" s="19"/>
      <c r="QZV27" s="19"/>
      <c r="QZW27" s="19"/>
      <c r="QZX27" s="19"/>
      <c r="QZY27" s="19"/>
      <c r="QZZ27" s="19"/>
      <c r="RAA27" s="19"/>
      <c r="RAB27" s="19"/>
      <c r="RAC27" s="19"/>
      <c r="RAD27" s="19"/>
      <c r="RAE27" s="19"/>
      <c r="RAF27" s="19"/>
      <c r="RAG27" s="19"/>
      <c r="RAH27" s="19"/>
      <c r="RAI27" s="19"/>
      <c r="RAJ27" s="19"/>
      <c r="RAK27" s="19"/>
      <c r="RAL27" s="19"/>
      <c r="RAM27" s="19"/>
      <c r="RAN27" s="19"/>
      <c r="RAO27" s="19"/>
      <c r="RAP27" s="19"/>
      <c r="RAQ27" s="19"/>
      <c r="RAR27" s="19"/>
      <c r="RAS27" s="19"/>
      <c r="RAT27" s="19"/>
      <c r="RAU27" s="19"/>
      <c r="RAV27" s="19"/>
      <c r="RAW27" s="19"/>
      <c r="RAX27" s="19"/>
      <c r="RAY27" s="19"/>
      <c r="RAZ27" s="19"/>
      <c r="RBA27" s="19"/>
      <c r="RBB27" s="19"/>
      <c r="RBC27" s="19"/>
      <c r="RBD27" s="19"/>
      <c r="RBE27" s="19"/>
      <c r="RBF27" s="19"/>
      <c r="RBG27" s="19"/>
      <c r="RBH27" s="19"/>
      <c r="RBI27" s="19"/>
      <c r="RBJ27" s="19"/>
      <c r="RBK27" s="19"/>
      <c r="RBL27" s="19"/>
      <c r="RBM27" s="19"/>
      <c r="RBN27" s="19"/>
      <c r="RBO27" s="19"/>
      <c r="RBP27" s="19"/>
      <c r="RBQ27" s="19"/>
      <c r="RBR27" s="19"/>
      <c r="RBS27" s="19"/>
      <c r="RBT27" s="19"/>
      <c r="RBU27" s="19"/>
      <c r="RBV27" s="19"/>
      <c r="RBW27" s="19"/>
      <c r="RBX27" s="19"/>
      <c r="RBY27" s="19"/>
      <c r="RBZ27" s="19"/>
      <c r="RCA27" s="19"/>
      <c r="RCB27" s="19"/>
      <c r="RCC27" s="19"/>
      <c r="RCD27" s="19"/>
      <c r="RCE27" s="19"/>
      <c r="RCF27" s="19"/>
      <c r="RCG27" s="19"/>
      <c r="RCH27" s="19"/>
      <c r="RCI27" s="19"/>
      <c r="RCJ27" s="19"/>
      <c r="RCK27" s="19"/>
      <c r="RCL27" s="19"/>
      <c r="RCM27" s="19"/>
      <c r="RCN27" s="19"/>
      <c r="RCO27" s="19"/>
      <c r="RCP27" s="19"/>
      <c r="RCQ27" s="19"/>
      <c r="RCR27" s="19"/>
      <c r="RCS27" s="19"/>
      <c r="RCT27" s="19"/>
      <c r="RCU27" s="19"/>
      <c r="RCV27" s="19"/>
      <c r="RCW27" s="19"/>
      <c r="RCX27" s="19"/>
      <c r="RCY27" s="19"/>
      <c r="RCZ27" s="19"/>
      <c r="RDA27" s="19"/>
      <c r="RDB27" s="19"/>
      <c r="RDC27" s="19"/>
      <c r="RDD27" s="19"/>
      <c r="RDE27" s="19"/>
      <c r="RDF27" s="19"/>
      <c r="RDG27" s="19"/>
      <c r="RDH27" s="19"/>
      <c r="RDI27" s="19"/>
      <c r="RDJ27" s="19"/>
      <c r="RDK27" s="19"/>
      <c r="RDL27" s="19"/>
      <c r="RDM27" s="19"/>
      <c r="RDN27" s="19"/>
      <c r="RDO27" s="19"/>
      <c r="RDP27" s="19"/>
      <c r="RDQ27" s="19"/>
      <c r="RDR27" s="19"/>
      <c r="RDS27" s="19"/>
      <c r="RDT27" s="19"/>
      <c r="RDU27" s="19"/>
      <c r="RDV27" s="19"/>
      <c r="RDW27" s="19"/>
      <c r="RDX27" s="19"/>
      <c r="RDY27" s="19"/>
      <c r="RDZ27" s="19"/>
      <c r="REA27" s="19"/>
      <c r="REB27" s="19"/>
      <c r="REC27" s="19"/>
      <c r="RED27" s="19"/>
      <c r="REE27" s="19"/>
      <c r="REF27" s="19"/>
      <c r="REG27" s="19"/>
      <c r="REH27" s="19"/>
      <c r="REI27" s="19"/>
      <c r="REJ27" s="19"/>
      <c r="REK27" s="19"/>
      <c r="REL27" s="19"/>
      <c r="REM27" s="19"/>
      <c r="REN27" s="19"/>
      <c r="REO27" s="19"/>
      <c r="REP27" s="19"/>
      <c r="REQ27" s="19"/>
      <c r="RER27" s="19"/>
      <c r="RES27" s="19"/>
      <c r="RET27" s="19"/>
      <c r="REU27" s="19"/>
      <c r="REV27" s="19"/>
      <c r="REW27" s="19"/>
      <c r="REX27" s="19"/>
      <c r="REY27" s="19"/>
      <c r="REZ27" s="19"/>
      <c r="RFA27" s="19"/>
      <c r="RFB27" s="19"/>
      <c r="RFC27" s="19"/>
      <c r="RFD27" s="19"/>
      <c r="RFE27" s="19"/>
      <c r="RFF27" s="19"/>
      <c r="RFG27" s="19"/>
      <c r="RFH27" s="19"/>
      <c r="RFI27" s="19"/>
      <c r="RFJ27" s="19"/>
      <c r="RFK27" s="19"/>
      <c r="RFL27" s="19"/>
      <c r="RFM27" s="19"/>
      <c r="RFN27" s="19"/>
      <c r="RFO27" s="19"/>
      <c r="RFP27" s="19"/>
      <c r="RFQ27" s="19"/>
      <c r="RFR27" s="19"/>
      <c r="RFS27" s="19"/>
      <c r="RFT27" s="19"/>
      <c r="RFU27" s="19"/>
      <c r="RFV27" s="19"/>
      <c r="RFW27" s="19"/>
      <c r="RFX27" s="19"/>
      <c r="RFY27" s="19"/>
      <c r="RFZ27" s="19"/>
      <c r="RGA27" s="19"/>
      <c r="RGB27" s="19"/>
      <c r="RGC27" s="19"/>
      <c r="RGD27" s="19"/>
      <c r="RGE27" s="19"/>
      <c r="RGF27" s="19"/>
      <c r="RGG27" s="19"/>
      <c r="RGH27" s="19"/>
      <c r="RGI27" s="19"/>
      <c r="RGJ27" s="19"/>
      <c r="RGK27" s="19"/>
      <c r="RGL27" s="19"/>
      <c r="RGM27" s="19"/>
      <c r="RGN27" s="19"/>
      <c r="RGO27" s="19"/>
      <c r="RGP27" s="19"/>
      <c r="RGQ27" s="19"/>
      <c r="RGR27" s="19"/>
      <c r="RGS27" s="19"/>
      <c r="RGT27" s="19"/>
      <c r="RGU27" s="19"/>
      <c r="RGV27" s="19"/>
      <c r="RGW27" s="19"/>
      <c r="RGX27" s="19"/>
      <c r="RGY27" s="19"/>
      <c r="RGZ27" s="19"/>
      <c r="RHA27" s="19"/>
      <c r="RHB27" s="19"/>
      <c r="RHC27" s="19"/>
      <c r="RHD27" s="19"/>
      <c r="RHE27" s="19"/>
      <c r="RHF27" s="19"/>
      <c r="RHG27" s="19"/>
      <c r="RHH27" s="19"/>
      <c r="RHI27" s="19"/>
      <c r="RHJ27" s="19"/>
      <c r="RHK27" s="19"/>
      <c r="RHL27" s="19"/>
      <c r="RHM27" s="19"/>
      <c r="RHN27" s="19"/>
      <c r="RHO27" s="19"/>
      <c r="RHP27" s="19"/>
      <c r="RHQ27" s="19"/>
      <c r="RHR27" s="19"/>
      <c r="RHS27" s="19"/>
      <c r="RHT27" s="19"/>
      <c r="RHU27" s="19"/>
      <c r="RHV27" s="19"/>
      <c r="RHW27" s="19"/>
      <c r="RHX27" s="19"/>
      <c r="RHY27" s="19"/>
      <c r="RHZ27" s="19"/>
      <c r="RIA27" s="19"/>
      <c r="RIB27" s="19"/>
      <c r="RIC27" s="19"/>
      <c r="RID27" s="19"/>
      <c r="RIE27" s="19"/>
      <c r="RIF27" s="19"/>
      <c r="RIG27" s="19"/>
      <c r="RIH27" s="19"/>
      <c r="RII27" s="19"/>
      <c r="RIJ27" s="19"/>
      <c r="RIK27" s="19"/>
      <c r="RIL27" s="19"/>
      <c r="RIM27" s="19"/>
      <c r="RIN27" s="19"/>
      <c r="RIO27" s="19"/>
      <c r="RIP27" s="19"/>
      <c r="RIQ27" s="19"/>
      <c r="RIR27" s="19"/>
      <c r="RIS27" s="19"/>
      <c r="RIT27" s="19"/>
      <c r="RIU27" s="19"/>
      <c r="RIV27" s="19"/>
      <c r="RIW27" s="19"/>
      <c r="RIX27" s="19"/>
      <c r="RIY27" s="19"/>
      <c r="RIZ27" s="19"/>
      <c r="RJA27" s="19"/>
      <c r="RJB27" s="19"/>
      <c r="RJC27" s="19"/>
      <c r="RJD27" s="19"/>
      <c r="RJE27" s="19"/>
      <c r="RJF27" s="19"/>
      <c r="RJG27" s="19"/>
      <c r="RJH27" s="19"/>
      <c r="RJI27" s="19"/>
      <c r="RJJ27" s="19"/>
      <c r="RJK27" s="19"/>
      <c r="RJL27" s="19"/>
      <c r="RJM27" s="19"/>
      <c r="RJN27" s="19"/>
      <c r="RJO27" s="19"/>
      <c r="RJP27" s="19"/>
      <c r="RJQ27" s="19"/>
      <c r="RJR27" s="19"/>
      <c r="RJS27" s="19"/>
      <c r="RJT27" s="19"/>
      <c r="RJU27" s="19"/>
      <c r="RJV27" s="19"/>
      <c r="RJW27" s="19"/>
      <c r="RJX27" s="19"/>
      <c r="RJY27" s="19"/>
      <c r="RJZ27" s="19"/>
      <c r="RKA27" s="19"/>
      <c r="RKB27" s="19"/>
      <c r="RKC27" s="19"/>
      <c r="RKD27" s="19"/>
      <c r="RKE27" s="19"/>
      <c r="RKF27" s="19"/>
      <c r="RKG27" s="19"/>
      <c r="RKH27" s="19"/>
      <c r="RKI27" s="19"/>
      <c r="RKJ27" s="19"/>
      <c r="RKK27" s="19"/>
      <c r="RKL27" s="19"/>
      <c r="RKM27" s="19"/>
      <c r="RKN27" s="19"/>
      <c r="RKO27" s="19"/>
      <c r="RKP27" s="19"/>
      <c r="RKQ27" s="19"/>
      <c r="RKR27" s="19"/>
      <c r="RKS27" s="19"/>
      <c r="RKT27" s="19"/>
      <c r="RKU27" s="19"/>
      <c r="RKV27" s="19"/>
      <c r="RKW27" s="19"/>
      <c r="RKX27" s="19"/>
      <c r="RKY27" s="19"/>
      <c r="RKZ27" s="19"/>
      <c r="RLA27" s="19"/>
      <c r="RLB27" s="19"/>
      <c r="RLC27" s="19"/>
      <c r="RLD27" s="19"/>
      <c r="RLE27" s="19"/>
      <c r="RLF27" s="19"/>
      <c r="RLG27" s="19"/>
      <c r="RLH27" s="19"/>
      <c r="RLI27" s="19"/>
      <c r="RLJ27" s="19"/>
      <c r="RLK27" s="19"/>
      <c r="RLL27" s="19"/>
      <c r="RLM27" s="19"/>
      <c r="RLN27" s="19"/>
      <c r="RLO27" s="19"/>
      <c r="RLP27" s="19"/>
      <c r="RLQ27" s="19"/>
      <c r="RLR27" s="19"/>
      <c r="RLS27" s="19"/>
      <c r="RLT27" s="19"/>
      <c r="RLU27" s="19"/>
      <c r="RLV27" s="19"/>
      <c r="RLW27" s="19"/>
      <c r="RLX27" s="19"/>
      <c r="RLY27" s="19"/>
      <c r="RLZ27" s="19"/>
      <c r="RMA27" s="19"/>
      <c r="RMB27" s="19"/>
      <c r="RMC27" s="19"/>
      <c r="RMD27" s="19"/>
      <c r="RME27" s="19"/>
      <c r="RMF27" s="19"/>
      <c r="RMG27" s="19"/>
      <c r="RMH27" s="19"/>
      <c r="RMI27" s="19"/>
      <c r="RMJ27" s="19"/>
      <c r="RMK27" s="19"/>
      <c r="RML27" s="19"/>
      <c r="RMM27" s="19"/>
      <c r="RMN27" s="19"/>
      <c r="RMO27" s="19"/>
      <c r="RMP27" s="19"/>
      <c r="RMQ27" s="19"/>
      <c r="RMR27" s="19"/>
      <c r="RMS27" s="19"/>
      <c r="RMT27" s="19"/>
      <c r="RMU27" s="19"/>
      <c r="RMV27" s="19"/>
      <c r="RMW27" s="19"/>
      <c r="RMX27" s="19"/>
      <c r="RMY27" s="19"/>
      <c r="RMZ27" s="19"/>
      <c r="RNA27" s="19"/>
      <c r="RNB27" s="19"/>
      <c r="RNC27" s="19"/>
      <c r="RND27" s="19"/>
      <c r="RNE27" s="19"/>
      <c r="RNF27" s="19"/>
      <c r="RNG27" s="19"/>
      <c r="RNH27" s="19"/>
      <c r="RNI27" s="19"/>
      <c r="RNJ27" s="19"/>
      <c r="RNK27" s="19"/>
      <c r="RNL27" s="19"/>
      <c r="RNM27" s="19"/>
      <c r="RNN27" s="19"/>
      <c r="RNO27" s="19"/>
      <c r="RNP27" s="19"/>
      <c r="RNQ27" s="19"/>
      <c r="RNR27" s="19"/>
      <c r="RNS27" s="19"/>
      <c r="RNT27" s="19"/>
      <c r="RNU27" s="19"/>
      <c r="RNV27" s="19"/>
      <c r="RNW27" s="19"/>
      <c r="RNX27" s="19"/>
      <c r="RNY27" s="19"/>
      <c r="RNZ27" s="19"/>
      <c r="ROA27" s="19"/>
      <c r="ROB27" s="19"/>
      <c r="ROC27" s="19"/>
      <c r="ROD27" s="19"/>
      <c r="ROE27" s="19"/>
      <c r="ROF27" s="19"/>
      <c r="ROG27" s="19"/>
      <c r="ROH27" s="19"/>
      <c r="ROI27" s="19"/>
      <c r="ROJ27" s="19"/>
      <c r="ROK27" s="19"/>
      <c r="ROL27" s="19"/>
      <c r="ROM27" s="19"/>
      <c r="RON27" s="19"/>
      <c r="ROO27" s="19"/>
      <c r="ROP27" s="19"/>
      <c r="ROQ27" s="19"/>
      <c r="ROR27" s="19"/>
      <c r="ROS27" s="19"/>
      <c r="ROT27" s="19"/>
      <c r="ROU27" s="19"/>
      <c r="ROV27" s="19"/>
      <c r="ROW27" s="19"/>
      <c r="ROX27" s="19"/>
      <c r="ROY27" s="19"/>
      <c r="ROZ27" s="19"/>
      <c r="RPA27" s="19"/>
      <c r="RPB27" s="19"/>
      <c r="RPC27" s="19"/>
      <c r="RPD27" s="19"/>
      <c r="RPE27" s="19"/>
      <c r="RPF27" s="19"/>
      <c r="RPG27" s="19"/>
      <c r="RPH27" s="19"/>
      <c r="RPI27" s="19"/>
      <c r="RPJ27" s="19"/>
      <c r="RPK27" s="19"/>
      <c r="RPL27" s="19"/>
      <c r="RPM27" s="19"/>
      <c r="RPN27" s="19"/>
      <c r="RPO27" s="19"/>
      <c r="RPP27" s="19"/>
      <c r="RPQ27" s="19"/>
      <c r="RPR27" s="19"/>
      <c r="RPS27" s="19"/>
      <c r="RPT27" s="19"/>
      <c r="RPU27" s="19"/>
      <c r="RPV27" s="19"/>
      <c r="RPW27" s="19"/>
      <c r="RPX27" s="19"/>
      <c r="RPY27" s="19"/>
      <c r="RPZ27" s="19"/>
      <c r="RQA27" s="19"/>
      <c r="RQB27" s="19"/>
      <c r="RQC27" s="19"/>
      <c r="RQD27" s="19"/>
      <c r="RQE27" s="19"/>
      <c r="RQF27" s="19"/>
      <c r="RQG27" s="19"/>
      <c r="RQH27" s="19"/>
      <c r="RQI27" s="19"/>
      <c r="RQJ27" s="19"/>
      <c r="RQK27" s="19"/>
      <c r="RQL27" s="19"/>
      <c r="RQM27" s="19"/>
      <c r="RQN27" s="19"/>
      <c r="RQO27" s="19"/>
      <c r="RQP27" s="19"/>
      <c r="RQQ27" s="19"/>
      <c r="RQR27" s="19"/>
      <c r="RQS27" s="19"/>
      <c r="RQT27" s="19"/>
      <c r="RQU27" s="19"/>
      <c r="RQV27" s="19"/>
      <c r="RQW27" s="19"/>
      <c r="RQX27" s="19"/>
      <c r="RQY27" s="19"/>
      <c r="RQZ27" s="19"/>
      <c r="RRA27" s="19"/>
      <c r="RRB27" s="19"/>
      <c r="RRC27" s="19"/>
      <c r="RRD27" s="19"/>
      <c r="RRE27" s="19"/>
      <c r="RRF27" s="19"/>
      <c r="RRG27" s="19"/>
      <c r="RRH27" s="19"/>
      <c r="RRI27" s="19"/>
      <c r="RRJ27" s="19"/>
      <c r="RRK27" s="19"/>
      <c r="RRL27" s="19"/>
      <c r="RRM27" s="19"/>
      <c r="RRN27" s="19"/>
      <c r="RRO27" s="19"/>
      <c r="RRP27" s="19"/>
      <c r="RRQ27" s="19"/>
      <c r="RRR27" s="19"/>
      <c r="RRS27" s="19"/>
      <c r="RRT27" s="19"/>
      <c r="RRU27" s="19"/>
      <c r="RRV27" s="19"/>
      <c r="RRW27" s="19"/>
      <c r="RRX27" s="19"/>
      <c r="RRY27" s="19"/>
      <c r="RRZ27" s="19"/>
      <c r="RSA27" s="19"/>
      <c r="RSB27" s="19"/>
      <c r="RSC27" s="19"/>
      <c r="RSD27" s="19"/>
      <c r="RSE27" s="19"/>
      <c r="RSF27" s="19"/>
      <c r="RSG27" s="19"/>
      <c r="RSH27" s="19"/>
      <c r="RSI27" s="19"/>
      <c r="RSJ27" s="19"/>
      <c r="RSK27" s="19"/>
      <c r="RSL27" s="19"/>
      <c r="RSM27" s="19"/>
      <c r="RSN27" s="19"/>
      <c r="RSO27" s="19"/>
      <c r="RSP27" s="19"/>
      <c r="RSQ27" s="19"/>
      <c r="RSR27" s="19"/>
      <c r="RSS27" s="19"/>
      <c r="RST27" s="19"/>
      <c r="RSU27" s="19"/>
      <c r="RSV27" s="19"/>
      <c r="RSW27" s="19"/>
      <c r="RSX27" s="19"/>
      <c r="RSY27" s="19"/>
      <c r="RSZ27" s="19"/>
      <c r="RTA27" s="19"/>
      <c r="RTB27" s="19"/>
      <c r="RTC27" s="19"/>
      <c r="RTD27" s="19"/>
      <c r="RTE27" s="19"/>
      <c r="RTF27" s="19"/>
      <c r="RTG27" s="19"/>
      <c r="RTH27" s="19"/>
      <c r="RTI27" s="19"/>
      <c r="RTJ27" s="19"/>
      <c r="RTK27" s="19"/>
      <c r="RTL27" s="19"/>
      <c r="RTM27" s="19"/>
      <c r="RTN27" s="19"/>
      <c r="RTO27" s="19"/>
      <c r="RTP27" s="19"/>
      <c r="RTQ27" s="19"/>
      <c r="RTR27" s="19"/>
      <c r="RTS27" s="19"/>
      <c r="RTT27" s="19"/>
      <c r="RTU27" s="19"/>
      <c r="RTV27" s="19"/>
      <c r="RTW27" s="19"/>
      <c r="RTX27" s="19"/>
      <c r="RTY27" s="19"/>
      <c r="RTZ27" s="19"/>
      <c r="RUA27" s="19"/>
      <c r="RUB27" s="19"/>
      <c r="RUC27" s="19"/>
      <c r="RUD27" s="19"/>
      <c r="RUE27" s="19"/>
      <c r="RUF27" s="19"/>
      <c r="RUG27" s="19"/>
      <c r="RUH27" s="19"/>
      <c r="RUI27" s="19"/>
      <c r="RUJ27" s="19"/>
      <c r="RUK27" s="19"/>
      <c r="RUL27" s="19"/>
      <c r="RUM27" s="19"/>
      <c r="RUN27" s="19"/>
      <c r="RUO27" s="19"/>
      <c r="RUP27" s="19"/>
      <c r="RUQ27" s="19"/>
      <c r="RUR27" s="19"/>
      <c r="RUS27" s="19"/>
      <c r="RUT27" s="19"/>
      <c r="RUU27" s="19"/>
      <c r="RUV27" s="19"/>
      <c r="RUW27" s="19"/>
      <c r="RUX27" s="19"/>
      <c r="RUY27" s="19"/>
      <c r="RUZ27" s="19"/>
      <c r="RVA27" s="19"/>
      <c r="RVB27" s="19"/>
      <c r="RVC27" s="19"/>
      <c r="RVD27" s="19"/>
      <c r="RVE27" s="19"/>
      <c r="RVF27" s="19"/>
      <c r="RVG27" s="19"/>
      <c r="RVH27" s="19"/>
      <c r="RVI27" s="19"/>
      <c r="RVJ27" s="19"/>
      <c r="RVK27" s="19"/>
      <c r="RVL27" s="19"/>
      <c r="RVM27" s="19"/>
      <c r="RVN27" s="19"/>
      <c r="RVO27" s="19"/>
      <c r="RVP27" s="19"/>
      <c r="RVQ27" s="19"/>
      <c r="RVR27" s="19"/>
      <c r="RVS27" s="19"/>
      <c r="RVT27" s="19"/>
      <c r="RVU27" s="19"/>
      <c r="RVV27" s="19"/>
      <c r="RVW27" s="19"/>
      <c r="RVX27" s="19"/>
      <c r="RVY27" s="19"/>
      <c r="RVZ27" s="19"/>
      <c r="RWA27" s="19"/>
      <c r="RWB27" s="19"/>
      <c r="RWC27" s="19"/>
      <c r="RWD27" s="19"/>
      <c r="RWE27" s="19"/>
      <c r="RWF27" s="19"/>
      <c r="RWG27" s="19"/>
      <c r="RWH27" s="19"/>
      <c r="RWI27" s="19"/>
      <c r="RWJ27" s="19"/>
      <c r="RWK27" s="19"/>
      <c r="RWL27" s="19"/>
      <c r="RWM27" s="19"/>
      <c r="RWN27" s="19"/>
      <c r="RWO27" s="19"/>
      <c r="RWP27" s="19"/>
      <c r="RWQ27" s="19"/>
      <c r="RWR27" s="19"/>
      <c r="RWS27" s="19"/>
      <c r="RWT27" s="19"/>
      <c r="RWU27" s="19"/>
      <c r="RWV27" s="19"/>
      <c r="RWW27" s="19"/>
      <c r="RWX27" s="19"/>
      <c r="RWY27" s="19"/>
      <c r="RWZ27" s="19"/>
      <c r="RXA27" s="19"/>
      <c r="RXB27" s="19"/>
      <c r="RXC27" s="19"/>
      <c r="RXD27" s="19"/>
      <c r="RXE27" s="19"/>
      <c r="RXF27" s="19"/>
      <c r="RXG27" s="19"/>
      <c r="RXH27" s="19"/>
      <c r="RXI27" s="19"/>
      <c r="RXJ27" s="19"/>
      <c r="RXK27" s="19"/>
      <c r="RXL27" s="19"/>
      <c r="RXM27" s="19"/>
      <c r="RXN27" s="19"/>
      <c r="RXO27" s="19"/>
      <c r="RXP27" s="19"/>
      <c r="RXQ27" s="19"/>
      <c r="RXR27" s="19"/>
      <c r="RXS27" s="19"/>
      <c r="RXT27" s="19"/>
      <c r="RXU27" s="19"/>
      <c r="RXV27" s="19"/>
      <c r="RXW27" s="19"/>
      <c r="RXX27" s="19"/>
      <c r="RXY27" s="19"/>
      <c r="RXZ27" s="19"/>
      <c r="RYA27" s="19"/>
      <c r="RYB27" s="19"/>
      <c r="RYC27" s="19"/>
      <c r="RYD27" s="19"/>
      <c r="RYE27" s="19"/>
      <c r="RYF27" s="19"/>
      <c r="RYG27" s="19"/>
      <c r="RYH27" s="19"/>
      <c r="RYI27" s="19"/>
      <c r="RYJ27" s="19"/>
      <c r="RYK27" s="19"/>
      <c r="RYL27" s="19"/>
      <c r="RYM27" s="19"/>
      <c r="RYN27" s="19"/>
      <c r="RYO27" s="19"/>
      <c r="RYP27" s="19"/>
      <c r="RYQ27" s="19"/>
      <c r="RYR27" s="19"/>
      <c r="RYS27" s="19"/>
      <c r="RYT27" s="19"/>
      <c r="RYU27" s="19"/>
      <c r="RYV27" s="19"/>
      <c r="RYW27" s="19"/>
      <c r="RYX27" s="19"/>
      <c r="RYY27" s="19"/>
      <c r="RYZ27" s="19"/>
      <c r="RZA27" s="19"/>
      <c r="RZB27" s="19"/>
      <c r="RZC27" s="19"/>
      <c r="RZD27" s="19"/>
      <c r="RZE27" s="19"/>
      <c r="RZF27" s="19"/>
      <c r="RZG27" s="19"/>
      <c r="RZH27" s="19"/>
      <c r="RZI27" s="19"/>
      <c r="RZJ27" s="19"/>
      <c r="RZK27" s="19"/>
      <c r="RZL27" s="19"/>
      <c r="RZM27" s="19"/>
      <c r="RZN27" s="19"/>
      <c r="RZO27" s="19"/>
      <c r="RZP27" s="19"/>
      <c r="RZQ27" s="19"/>
      <c r="RZR27" s="19"/>
      <c r="RZS27" s="19"/>
      <c r="RZT27" s="19"/>
      <c r="RZU27" s="19"/>
      <c r="RZV27" s="19"/>
      <c r="RZW27" s="19"/>
      <c r="RZX27" s="19"/>
      <c r="RZY27" s="19"/>
      <c r="RZZ27" s="19"/>
      <c r="SAA27" s="19"/>
      <c r="SAB27" s="19"/>
      <c r="SAC27" s="19"/>
      <c r="SAD27" s="19"/>
      <c r="SAE27" s="19"/>
      <c r="SAF27" s="19"/>
      <c r="SAG27" s="19"/>
      <c r="SAH27" s="19"/>
      <c r="SAI27" s="19"/>
      <c r="SAJ27" s="19"/>
      <c r="SAK27" s="19"/>
      <c r="SAL27" s="19"/>
      <c r="SAM27" s="19"/>
      <c r="SAN27" s="19"/>
      <c r="SAO27" s="19"/>
      <c r="SAP27" s="19"/>
      <c r="SAQ27" s="19"/>
      <c r="SAR27" s="19"/>
      <c r="SAS27" s="19"/>
      <c r="SAT27" s="19"/>
      <c r="SAU27" s="19"/>
      <c r="SAV27" s="19"/>
      <c r="SAW27" s="19"/>
      <c r="SAX27" s="19"/>
      <c r="SAY27" s="19"/>
      <c r="SAZ27" s="19"/>
      <c r="SBA27" s="19"/>
      <c r="SBB27" s="19"/>
      <c r="SBC27" s="19"/>
      <c r="SBD27" s="19"/>
      <c r="SBE27" s="19"/>
      <c r="SBF27" s="19"/>
      <c r="SBG27" s="19"/>
      <c r="SBH27" s="19"/>
      <c r="SBI27" s="19"/>
      <c r="SBJ27" s="19"/>
      <c r="SBK27" s="19"/>
      <c r="SBL27" s="19"/>
      <c r="SBM27" s="19"/>
      <c r="SBN27" s="19"/>
      <c r="SBO27" s="19"/>
      <c r="SBP27" s="19"/>
      <c r="SBQ27" s="19"/>
      <c r="SBR27" s="19"/>
      <c r="SBS27" s="19"/>
      <c r="SBT27" s="19"/>
      <c r="SBU27" s="19"/>
      <c r="SBV27" s="19"/>
      <c r="SBW27" s="19"/>
      <c r="SBX27" s="19"/>
      <c r="SBY27" s="19"/>
      <c r="SBZ27" s="19"/>
      <c r="SCA27" s="19"/>
      <c r="SCB27" s="19"/>
      <c r="SCC27" s="19"/>
      <c r="SCD27" s="19"/>
      <c r="SCE27" s="19"/>
      <c r="SCF27" s="19"/>
      <c r="SCG27" s="19"/>
      <c r="SCH27" s="19"/>
      <c r="SCI27" s="19"/>
      <c r="SCJ27" s="19"/>
      <c r="SCK27" s="19"/>
      <c r="SCL27" s="19"/>
      <c r="SCM27" s="19"/>
      <c r="SCN27" s="19"/>
      <c r="SCO27" s="19"/>
      <c r="SCP27" s="19"/>
      <c r="SCQ27" s="19"/>
      <c r="SCR27" s="19"/>
      <c r="SCS27" s="19"/>
      <c r="SCT27" s="19"/>
      <c r="SCU27" s="19"/>
      <c r="SCV27" s="19"/>
      <c r="SCW27" s="19"/>
      <c r="SCX27" s="19"/>
      <c r="SCY27" s="19"/>
      <c r="SCZ27" s="19"/>
      <c r="SDA27" s="19"/>
      <c r="SDB27" s="19"/>
      <c r="SDC27" s="19"/>
      <c r="SDD27" s="19"/>
      <c r="SDE27" s="19"/>
      <c r="SDF27" s="19"/>
      <c r="SDG27" s="19"/>
      <c r="SDH27" s="19"/>
      <c r="SDI27" s="19"/>
      <c r="SDJ27" s="19"/>
      <c r="SDK27" s="19"/>
      <c r="SDL27" s="19"/>
      <c r="SDM27" s="19"/>
      <c r="SDN27" s="19"/>
      <c r="SDO27" s="19"/>
      <c r="SDP27" s="19"/>
      <c r="SDQ27" s="19"/>
      <c r="SDR27" s="19"/>
      <c r="SDS27" s="19"/>
      <c r="SDT27" s="19"/>
      <c r="SDU27" s="19"/>
      <c r="SDV27" s="19"/>
      <c r="SDW27" s="19"/>
      <c r="SDX27" s="19"/>
      <c r="SDY27" s="19"/>
      <c r="SDZ27" s="19"/>
      <c r="SEA27" s="19"/>
      <c r="SEB27" s="19"/>
      <c r="SEC27" s="19"/>
      <c r="SED27" s="19"/>
      <c r="SEE27" s="19"/>
      <c r="SEF27" s="19"/>
      <c r="SEG27" s="19"/>
      <c r="SEH27" s="19"/>
      <c r="SEI27" s="19"/>
      <c r="SEJ27" s="19"/>
      <c r="SEK27" s="19"/>
      <c r="SEL27" s="19"/>
      <c r="SEM27" s="19"/>
      <c r="SEN27" s="19"/>
      <c r="SEO27" s="19"/>
      <c r="SEP27" s="19"/>
      <c r="SEQ27" s="19"/>
      <c r="SER27" s="19"/>
      <c r="SES27" s="19"/>
      <c r="SET27" s="19"/>
      <c r="SEU27" s="19"/>
      <c r="SEV27" s="19"/>
      <c r="SEW27" s="19"/>
      <c r="SEX27" s="19"/>
      <c r="SEY27" s="19"/>
      <c r="SEZ27" s="19"/>
      <c r="SFA27" s="19"/>
      <c r="SFB27" s="19"/>
      <c r="SFC27" s="19"/>
      <c r="SFD27" s="19"/>
      <c r="SFE27" s="19"/>
      <c r="SFF27" s="19"/>
      <c r="SFG27" s="19"/>
      <c r="SFH27" s="19"/>
      <c r="SFI27" s="19"/>
      <c r="SFJ27" s="19"/>
      <c r="SFK27" s="19"/>
      <c r="SFL27" s="19"/>
      <c r="SFM27" s="19"/>
      <c r="SFN27" s="19"/>
      <c r="SFO27" s="19"/>
      <c r="SFP27" s="19"/>
      <c r="SFQ27" s="19"/>
      <c r="SFR27" s="19"/>
      <c r="SFS27" s="19"/>
      <c r="SFT27" s="19"/>
      <c r="SFU27" s="19"/>
      <c r="SFV27" s="19"/>
      <c r="SFW27" s="19"/>
      <c r="SFX27" s="19"/>
      <c r="SFY27" s="19"/>
      <c r="SFZ27" s="19"/>
      <c r="SGA27" s="19"/>
      <c r="SGB27" s="19"/>
      <c r="SGC27" s="19"/>
      <c r="SGD27" s="19"/>
      <c r="SGE27" s="19"/>
      <c r="SGF27" s="19"/>
      <c r="SGG27" s="19"/>
      <c r="SGH27" s="19"/>
      <c r="SGI27" s="19"/>
      <c r="SGJ27" s="19"/>
      <c r="SGK27" s="19"/>
      <c r="SGL27" s="19"/>
      <c r="SGM27" s="19"/>
      <c r="SGN27" s="19"/>
      <c r="SGO27" s="19"/>
      <c r="SGP27" s="19"/>
      <c r="SGQ27" s="19"/>
      <c r="SGR27" s="19"/>
      <c r="SGS27" s="19"/>
      <c r="SGT27" s="19"/>
      <c r="SGU27" s="19"/>
      <c r="SGV27" s="19"/>
      <c r="SGW27" s="19"/>
      <c r="SGX27" s="19"/>
      <c r="SGY27" s="19"/>
      <c r="SGZ27" s="19"/>
      <c r="SHA27" s="19"/>
      <c r="SHB27" s="19"/>
      <c r="SHC27" s="19"/>
      <c r="SHD27" s="19"/>
      <c r="SHE27" s="19"/>
      <c r="SHF27" s="19"/>
      <c r="SHG27" s="19"/>
      <c r="SHH27" s="19"/>
      <c r="SHI27" s="19"/>
      <c r="SHJ27" s="19"/>
      <c r="SHK27" s="19"/>
      <c r="SHL27" s="19"/>
      <c r="SHM27" s="19"/>
      <c r="SHN27" s="19"/>
      <c r="SHO27" s="19"/>
      <c r="SHP27" s="19"/>
      <c r="SHQ27" s="19"/>
      <c r="SHR27" s="19"/>
      <c r="SHS27" s="19"/>
      <c r="SHT27" s="19"/>
      <c r="SHU27" s="19"/>
      <c r="SHV27" s="19"/>
      <c r="SHW27" s="19"/>
      <c r="SHX27" s="19"/>
      <c r="SHY27" s="19"/>
      <c r="SHZ27" s="19"/>
      <c r="SIA27" s="19"/>
      <c r="SIB27" s="19"/>
      <c r="SIC27" s="19"/>
      <c r="SID27" s="19"/>
      <c r="SIE27" s="19"/>
      <c r="SIF27" s="19"/>
      <c r="SIG27" s="19"/>
      <c r="SIH27" s="19"/>
      <c r="SII27" s="19"/>
      <c r="SIJ27" s="19"/>
      <c r="SIK27" s="19"/>
      <c r="SIL27" s="19"/>
      <c r="SIM27" s="19"/>
      <c r="SIN27" s="19"/>
      <c r="SIO27" s="19"/>
      <c r="SIP27" s="19"/>
      <c r="SIQ27" s="19"/>
      <c r="SIR27" s="19"/>
      <c r="SIS27" s="19"/>
      <c r="SIT27" s="19"/>
      <c r="SIU27" s="19"/>
      <c r="SIV27" s="19"/>
      <c r="SIW27" s="19"/>
      <c r="SIX27" s="19"/>
      <c r="SIY27" s="19"/>
      <c r="SIZ27" s="19"/>
      <c r="SJA27" s="19"/>
      <c r="SJB27" s="19"/>
      <c r="SJC27" s="19"/>
      <c r="SJD27" s="19"/>
      <c r="SJE27" s="19"/>
      <c r="SJF27" s="19"/>
      <c r="SJG27" s="19"/>
      <c r="SJH27" s="19"/>
      <c r="SJI27" s="19"/>
      <c r="SJJ27" s="19"/>
      <c r="SJK27" s="19"/>
      <c r="SJL27" s="19"/>
      <c r="SJM27" s="19"/>
      <c r="SJN27" s="19"/>
      <c r="SJO27" s="19"/>
      <c r="SJP27" s="19"/>
      <c r="SJQ27" s="19"/>
      <c r="SJR27" s="19"/>
      <c r="SJS27" s="19"/>
      <c r="SJT27" s="19"/>
      <c r="SJU27" s="19"/>
      <c r="SJV27" s="19"/>
      <c r="SJW27" s="19"/>
      <c r="SJX27" s="19"/>
      <c r="SJY27" s="19"/>
      <c r="SJZ27" s="19"/>
      <c r="SKA27" s="19"/>
      <c r="SKB27" s="19"/>
      <c r="SKC27" s="19"/>
      <c r="SKD27" s="19"/>
      <c r="SKE27" s="19"/>
      <c r="SKF27" s="19"/>
      <c r="SKG27" s="19"/>
      <c r="SKH27" s="19"/>
      <c r="SKI27" s="19"/>
      <c r="SKJ27" s="19"/>
      <c r="SKK27" s="19"/>
      <c r="SKL27" s="19"/>
      <c r="SKM27" s="19"/>
      <c r="SKN27" s="19"/>
      <c r="SKO27" s="19"/>
      <c r="SKP27" s="19"/>
      <c r="SKQ27" s="19"/>
      <c r="SKR27" s="19"/>
      <c r="SKS27" s="19"/>
      <c r="SKT27" s="19"/>
      <c r="SKU27" s="19"/>
      <c r="SKV27" s="19"/>
      <c r="SKW27" s="19"/>
      <c r="SKX27" s="19"/>
      <c r="SKY27" s="19"/>
      <c r="SKZ27" s="19"/>
      <c r="SLA27" s="19"/>
      <c r="SLB27" s="19"/>
      <c r="SLC27" s="19"/>
      <c r="SLD27" s="19"/>
      <c r="SLE27" s="19"/>
      <c r="SLF27" s="19"/>
      <c r="SLG27" s="19"/>
      <c r="SLH27" s="19"/>
      <c r="SLI27" s="19"/>
      <c r="SLJ27" s="19"/>
      <c r="SLK27" s="19"/>
      <c r="SLL27" s="19"/>
      <c r="SLM27" s="19"/>
      <c r="SLN27" s="19"/>
      <c r="SLO27" s="19"/>
      <c r="SLP27" s="19"/>
      <c r="SLQ27" s="19"/>
      <c r="SLR27" s="19"/>
      <c r="SLS27" s="19"/>
      <c r="SLT27" s="19"/>
      <c r="SLU27" s="19"/>
      <c r="SLV27" s="19"/>
      <c r="SLW27" s="19"/>
      <c r="SLX27" s="19"/>
      <c r="SLY27" s="19"/>
      <c r="SLZ27" s="19"/>
      <c r="SMA27" s="19"/>
      <c r="SMB27" s="19"/>
      <c r="SMC27" s="19"/>
      <c r="SMD27" s="19"/>
      <c r="SME27" s="19"/>
      <c r="SMF27" s="19"/>
      <c r="SMG27" s="19"/>
      <c r="SMH27" s="19"/>
      <c r="SMI27" s="19"/>
      <c r="SMJ27" s="19"/>
      <c r="SMK27" s="19"/>
      <c r="SML27" s="19"/>
      <c r="SMM27" s="19"/>
      <c r="SMN27" s="19"/>
      <c r="SMO27" s="19"/>
      <c r="SMP27" s="19"/>
      <c r="SMQ27" s="19"/>
      <c r="SMR27" s="19"/>
      <c r="SMS27" s="19"/>
      <c r="SMT27" s="19"/>
      <c r="SMU27" s="19"/>
      <c r="SMV27" s="19"/>
      <c r="SMW27" s="19"/>
      <c r="SMX27" s="19"/>
      <c r="SMY27" s="19"/>
      <c r="SMZ27" s="19"/>
      <c r="SNA27" s="19"/>
      <c r="SNB27" s="19"/>
      <c r="SNC27" s="19"/>
      <c r="SND27" s="19"/>
      <c r="SNE27" s="19"/>
      <c r="SNF27" s="19"/>
      <c r="SNG27" s="19"/>
      <c r="SNH27" s="19"/>
      <c r="SNI27" s="19"/>
      <c r="SNJ27" s="19"/>
      <c r="SNK27" s="19"/>
      <c r="SNL27" s="19"/>
      <c r="SNM27" s="19"/>
      <c r="SNN27" s="19"/>
      <c r="SNO27" s="19"/>
      <c r="SNP27" s="19"/>
      <c r="SNQ27" s="19"/>
      <c r="SNR27" s="19"/>
      <c r="SNS27" s="19"/>
      <c r="SNT27" s="19"/>
      <c r="SNU27" s="19"/>
      <c r="SNV27" s="19"/>
      <c r="SNW27" s="19"/>
      <c r="SNX27" s="19"/>
      <c r="SNY27" s="19"/>
      <c r="SNZ27" s="19"/>
      <c r="SOA27" s="19"/>
      <c r="SOB27" s="19"/>
      <c r="SOC27" s="19"/>
      <c r="SOD27" s="19"/>
      <c r="SOE27" s="19"/>
      <c r="SOF27" s="19"/>
      <c r="SOG27" s="19"/>
      <c r="SOH27" s="19"/>
      <c r="SOI27" s="19"/>
      <c r="SOJ27" s="19"/>
      <c r="SOK27" s="19"/>
      <c r="SOL27" s="19"/>
      <c r="SOM27" s="19"/>
      <c r="SON27" s="19"/>
      <c r="SOO27" s="19"/>
      <c r="SOP27" s="19"/>
      <c r="SOQ27" s="19"/>
      <c r="SOR27" s="19"/>
      <c r="SOS27" s="19"/>
      <c r="SOT27" s="19"/>
      <c r="SOU27" s="19"/>
      <c r="SOV27" s="19"/>
      <c r="SOW27" s="19"/>
      <c r="SOX27" s="19"/>
      <c r="SOY27" s="19"/>
      <c r="SOZ27" s="19"/>
      <c r="SPA27" s="19"/>
      <c r="SPB27" s="19"/>
      <c r="SPC27" s="19"/>
      <c r="SPD27" s="19"/>
      <c r="SPE27" s="19"/>
      <c r="SPF27" s="19"/>
      <c r="SPG27" s="19"/>
      <c r="SPH27" s="19"/>
      <c r="SPI27" s="19"/>
      <c r="SPJ27" s="19"/>
      <c r="SPK27" s="19"/>
      <c r="SPL27" s="19"/>
      <c r="SPM27" s="19"/>
      <c r="SPN27" s="19"/>
      <c r="SPO27" s="19"/>
      <c r="SPP27" s="19"/>
      <c r="SPQ27" s="19"/>
      <c r="SPR27" s="19"/>
      <c r="SPS27" s="19"/>
      <c r="SPT27" s="19"/>
      <c r="SPU27" s="19"/>
      <c r="SPV27" s="19"/>
      <c r="SPW27" s="19"/>
      <c r="SPX27" s="19"/>
      <c r="SPY27" s="19"/>
      <c r="SPZ27" s="19"/>
      <c r="SQA27" s="19"/>
      <c r="SQB27" s="19"/>
      <c r="SQC27" s="19"/>
      <c r="SQD27" s="19"/>
      <c r="SQE27" s="19"/>
      <c r="SQF27" s="19"/>
      <c r="SQG27" s="19"/>
      <c r="SQH27" s="19"/>
      <c r="SQI27" s="19"/>
      <c r="SQJ27" s="19"/>
      <c r="SQK27" s="19"/>
      <c r="SQL27" s="19"/>
      <c r="SQM27" s="19"/>
      <c r="SQN27" s="19"/>
      <c r="SQO27" s="19"/>
      <c r="SQP27" s="19"/>
      <c r="SQQ27" s="19"/>
      <c r="SQR27" s="19"/>
      <c r="SQS27" s="19"/>
      <c r="SQT27" s="19"/>
      <c r="SQU27" s="19"/>
      <c r="SQV27" s="19"/>
      <c r="SQW27" s="19"/>
      <c r="SQX27" s="19"/>
      <c r="SQY27" s="19"/>
      <c r="SQZ27" s="19"/>
      <c r="SRA27" s="19"/>
      <c r="SRB27" s="19"/>
      <c r="SRC27" s="19"/>
      <c r="SRD27" s="19"/>
      <c r="SRE27" s="19"/>
      <c r="SRF27" s="19"/>
      <c r="SRG27" s="19"/>
      <c r="SRH27" s="19"/>
      <c r="SRI27" s="19"/>
      <c r="SRJ27" s="19"/>
      <c r="SRK27" s="19"/>
      <c r="SRL27" s="19"/>
      <c r="SRM27" s="19"/>
      <c r="SRN27" s="19"/>
      <c r="SRO27" s="19"/>
      <c r="SRP27" s="19"/>
      <c r="SRQ27" s="19"/>
      <c r="SRR27" s="19"/>
      <c r="SRS27" s="19"/>
      <c r="SRT27" s="19"/>
      <c r="SRU27" s="19"/>
      <c r="SRV27" s="19"/>
      <c r="SRW27" s="19"/>
      <c r="SRX27" s="19"/>
      <c r="SRY27" s="19"/>
      <c r="SRZ27" s="19"/>
      <c r="SSA27" s="19"/>
      <c r="SSB27" s="19"/>
      <c r="SSC27" s="19"/>
      <c r="SSD27" s="19"/>
      <c r="SSE27" s="19"/>
      <c r="SSF27" s="19"/>
      <c r="SSG27" s="19"/>
      <c r="SSH27" s="19"/>
      <c r="SSI27" s="19"/>
      <c r="SSJ27" s="19"/>
      <c r="SSK27" s="19"/>
      <c r="SSL27" s="19"/>
      <c r="SSM27" s="19"/>
      <c r="SSN27" s="19"/>
      <c r="SSO27" s="19"/>
      <c r="SSP27" s="19"/>
      <c r="SSQ27" s="19"/>
      <c r="SSR27" s="19"/>
      <c r="SSS27" s="19"/>
      <c r="SST27" s="19"/>
      <c r="SSU27" s="19"/>
      <c r="SSV27" s="19"/>
      <c r="SSW27" s="19"/>
      <c r="SSX27" s="19"/>
      <c r="SSY27" s="19"/>
      <c r="SSZ27" s="19"/>
      <c r="STA27" s="19"/>
      <c r="STB27" s="19"/>
      <c r="STC27" s="19"/>
      <c r="STD27" s="19"/>
      <c r="STE27" s="19"/>
      <c r="STF27" s="19"/>
      <c r="STG27" s="19"/>
      <c r="STH27" s="19"/>
      <c r="STI27" s="19"/>
      <c r="STJ27" s="19"/>
      <c r="STK27" s="19"/>
      <c r="STL27" s="19"/>
      <c r="STM27" s="19"/>
      <c r="STN27" s="19"/>
      <c r="STO27" s="19"/>
      <c r="STP27" s="19"/>
      <c r="STQ27" s="19"/>
      <c r="STR27" s="19"/>
      <c r="STS27" s="19"/>
      <c r="STT27" s="19"/>
      <c r="STU27" s="19"/>
      <c r="STV27" s="19"/>
      <c r="STW27" s="19"/>
      <c r="STX27" s="19"/>
      <c r="STY27" s="19"/>
      <c r="STZ27" s="19"/>
      <c r="SUA27" s="19"/>
      <c r="SUB27" s="19"/>
      <c r="SUC27" s="19"/>
      <c r="SUD27" s="19"/>
      <c r="SUE27" s="19"/>
      <c r="SUF27" s="19"/>
      <c r="SUG27" s="19"/>
      <c r="SUH27" s="19"/>
      <c r="SUI27" s="19"/>
      <c r="SUJ27" s="19"/>
      <c r="SUK27" s="19"/>
      <c r="SUL27" s="19"/>
      <c r="SUM27" s="19"/>
      <c r="SUN27" s="19"/>
      <c r="SUO27" s="19"/>
      <c r="SUP27" s="19"/>
      <c r="SUQ27" s="19"/>
      <c r="SUR27" s="19"/>
      <c r="SUS27" s="19"/>
      <c r="SUT27" s="19"/>
      <c r="SUU27" s="19"/>
      <c r="SUV27" s="19"/>
      <c r="SUW27" s="19"/>
      <c r="SUX27" s="19"/>
      <c r="SUY27" s="19"/>
      <c r="SUZ27" s="19"/>
      <c r="SVA27" s="19"/>
      <c r="SVB27" s="19"/>
      <c r="SVC27" s="19"/>
      <c r="SVD27" s="19"/>
      <c r="SVE27" s="19"/>
      <c r="SVF27" s="19"/>
      <c r="SVG27" s="19"/>
      <c r="SVH27" s="19"/>
      <c r="SVI27" s="19"/>
      <c r="SVJ27" s="19"/>
      <c r="SVK27" s="19"/>
      <c r="SVL27" s="19"/>
      <c r="SVM27" s="19"/>
      <c r="SVN27" s="19"/>
      <c r="SVO27" s="19"/>
      <c r="SVP27" s="19"/>
      <c r="SVQ27" s="19"/>
      <c r="SVR27" s="19"/>
      <c r="SVS27" s="19"/>
      <c r="SVT27" s="19"/>
      <c r="SVU27" s="19"/>
      <c r="SVV27" s="19"/>
      <c r="SVW27" s="19"/>
      <c r="SVX27" s="19"/>
      <c r="SVY27" s="19"/>
      <c r="SVZ27" s="19"/>
      <c r="SWA27" s="19"/>
      <c r="SWB27" s="19"/>
      <c r="SWC27" s="19"/>
      <c r="SWD27" s="19"/>
      <c r="SWE27" s="19"/>
      <c r="SWF27" s="19"/>
      <c r="SWG27" s="19"/>
      <c r="SWH27" s="19"/>
      <c r="SWI27" s="19"/>
      <c r="SWJ27" s="19"/>
      <c r="SWK27" s="19"/>
      <c r="SWL27" s="19"/>
      <c r="SWM27" s="19"/>
      <c r="SWN27" s="19"/>
      <c r="SWO27" s="19"/>
      <c r="SWP27" s="19"/>
      <c r="SWQ27" s="19"/>
      <c r="SWR27" s="19"/>
      <c r="SWS27" s="19"/>
      <c r="SWT27" s="19"/>
      <c r="SWU27" s="19"/>
      <c r="SWV27" s="19"/>
      <c r="SWW27" s="19"/>
      <c r="SWX27" s="19"/>
      <c r="SWY27" s="19"/>
      <c r="SWZ27" s="19"/>
      <c r="SXA27" s="19"/>
      <c r="SXB27" s="19"/>
      <c r="SXC27" s="19"/>
      <c r="SXD27" s="19"/>
      <c r="SXE27" s="19"/>
      <c r="SXF27" s="19"/>
      <c r="SXG27" s="19"/>
      <c r="SXH27" s="19"/>
      <c r="SXI27" s="19"/>
      <c r="SXJ27" s="19"/>
      <c r="SXK27" s="19"/>
      <c r="SXL27" s="19"/>
      <c r="SXM27" s="19"/>
      <c r="SXN27" s="19"/>
      <c r="SXO27" s="19"/>
      <c r="SXP27" s="19"/>
      <c r="SXQ27" s="19"/>
      <c r="SXR27" s="19"/>
      <c r="SXS27" s="19"/>
      <c r="SXT27" s="19"/>
      <c r="SXU27" s="19"/>
      <c r="SXV27" s="19"/>
      <c r="SXW27" s="19"/>
      <c r="SXX27" s="19"/>
      <c r="SXY27" s="19"/>
      <c r="SXZ27" s="19"/>
      <c r="SYA27" s="19"/>
      <c r="SYB27" s="19"/>
      <c r="SYC27" s="19"/>
      <c r="SYD27" s="19"/>
      <c r="SYE27" s="19"/>
      <c r="SYF27" s="19"/>
      <c r="SYG27" s="19"/>
      <c r="SYH27" s="19"/>
      <c r="SYI27" s="19"/>
      <c r="SYJ27" s="19"/>
      <c r="SYK27" s="19"/>
      <c r="SYL27" s="19"/>
      <c r="SYM27" s="19"/>
      <c r="SYN27" s="19"/>
      <c r="SYO27" s="19"/>
      <c r="SYP27" s="19"/>
      <c r="SYQ27" s="19"/>
      <c r="SYR27" s="19"/>
      <c r="SYS27" s="19"/>
      <c r="SYT27" s="19"/>
      <c r="SYU27" s="19"/>
      <c r="SYV27" s="19"/>
      <c r="SYW27" s="19"/>
      <c r="SYX27" s="19"/>
      <c r="SYY27" s="19"/>
      <c r="SYZ27" s="19"/>
      <c r="SZA27" s="19"/>
      <c r="SZB27" s="19"/>
      <c r="SZC27" s="19"/>
      <c r="SZD27" s="19"/>
      <c r="SZE27" s="19"/>
      <c r="SZF27" s="19"/>
      <c r="SZG27" s="19"/>
      <c r="SZH27" s="19"/>
      <c r="SZI27" s="19"/>
      <c r="SZJ27" s="19"/>
      <c r="SZK27" s="19"/>
      <c r="SZL27" s="19"/>
      <c r="SZM27" s="19"/>
      <c r="SZN27" s="19"/>
      <c r="SZO27" s="19"/>
      <c r="SZP27" s="19"/>
      <c r="SZQ27" s="19"/>
      <c r="SZR27" s="19"/>
      <c r="SZS27" s="19"/>
      <c r="SZT27" s="19"/>
      <c r="SZU27" s="19"/>
      <c r="SZV27" s="19"/>
      <c r="SZW27" s="19"/>
      <c r="SZX27" s="19"/>
      <c r="SZY27" s="19"/>
      <c r="SZZ27" s="19"/>
      <c r="TAA27" s="19"/>
      <c r="TAB27" s="19"/>
      <c r="TAC27" s="19"/>
      <c r="TAD27" s="19"/>
      <c r="TAE27" s="19"/>
      <c r="TAF27" s="19"/>
      <c r="TAG27" s="19"/>
      <c r="TAH27" s="19"/>
      <c r="TAI27" s="19"/>
      <c r="TAJ27" s="19"/>
      <c r="TAK27" s="19"/>
      <c r="TAL27" s="19"/>
      <c r="TAM27" s="19"/>
      <c r="TAN27" s="19"/>
      <c r="TAO27" s="19"/>
      <c r="TAP27" s="19"/>
      <c r="TAQ27" s="19"/>
      <c r="TAR27" s="19"/>
      <c r="TAS27" s="19"/>
      <c r="TAT27" s="19"/>
      <c r="TAU27" s="19"/>
      <c r="TAV27" s="19"/>
      <c r="TAW27" s="19"/>
      <c r="TAX27" s="19"/>
      <c r="TAY27" s="19"/>
      <c r="TAZ27" s="19"/>
      <c r="TBA27" s="19"/>
      <c r="TBB27" s="19"/>
      <c r="TBC27" s="19"/>
      <c r="TBD27" s="19"/>
      <c r="TBE27" s="19"/>
      <c r="TBF27" s="19"/>
      <c r="TBG27" s="19"/>
      <c r="TBH27" s="19"/>
      <c r="TBI27" s="19"/>
      <c r="TBJ27" s="19"/>
      <c r="TBK27" s="19"/>
      <c r="TBL27" s="19"/>
      <c r="TBM27" s="19"/>
      <c r="TBN27" s="19"/>
      <c r="TBO27" s="19"/>
      <c r="TBP27" s="19"/>
      <c r="TBQ27" s="19"/>
      <c r="TBR27" s="19"/>
      <c r="TBS27" s="19"/>
      <c r="TBT27" s="19"/>
      <c r="TBU27" s="19"/>
      <c r="TBV27" s="19"/>
      <c r="TBW27" s="19"/>
      <c r="TBX27" s="19"/>
      <c r="TBY27" s="19"/>
      <c r="TBZ27" s="19"/>
      <c r="TCA27" s="19"/>
      <c r="TCB27" s="19"/>
      <c r="TCC27" s="19"/>
      <c r="TCD27" s="19"/>
      <c r="TCE27" s="19"/>
      <c r="TCF27" s="19"/>
      <c r="TCG27" s="19"/>
      <c r="TCH27" s="19"/>
      <c r="TCI27" s="19"/>
      <c r="TCJ27" s="19"/>
      <c r="TCK27" s="19"/>
      <c r="TCL27" s="19"/>
      <c r="TCM27" s="19"/>
      <c r="TCN27" s="19"/>
      <c r="TCO27" s="19"/>
      <c r="TCP27" s="19"/>
      <c r="TCQ27" s="19"/>
      <c r="TCR27" s="19"/>
      <c r="TCS27" s="19"/>
      <c r="TCT27" s="19"/>
      <c r="TCU27" s="19"/>
      <c r="TCV27" s="19"/>
      <c r="TCW27" s="19"/>
      <c r="TCX27" s="19"/>
      <c r="TCY27" s="19"/>
      <c r="TCZ27" s="19"/>
      <c r="TDA27" s="19"/>
      <c r="TDB27" s="19"/>
      <c r="TDC27" s="19"/>
      <c r="TDD27" s="19"/>
      <c r="TDE27" s="19"/>
      <c r="TDF27" s="19"/>
      <c r="TDG27" s="19"/>
      <c r="TDH27" s="19"/>
      <c r="TDI27" s="19"/>
      <c r="TDJ27" s="19"/>
      <c r="TDK27" s="19"/>
      <c r="TDL27" s="19"/>
      <c r="TDM27" s="19"/>
      <c r="TDN27" s="19"/>
      <c r="TDO27" s="19"/>
      <c r="TDP27" s="19"/>
      <c r="TDQ27" s="19"/>
      <c r="TDR27" s="19"/>
      <c r="TDS27" s="19"/>
      <c r="TDT27" s="19"/>
      <c r="TDU27" s="19"/>
      <c r="TDV27" s="19"/>
      <c r="TDW27" s="19"/>
      <c r="TDX27" s="19"/>
      <c r="TDY27" s="19"/>
      <c r="TDZ27" s="19"/>
      <c r="TEA27" s="19"/>
      <c r="TEB27" s="19"/>
      <c r="TEC27" s="19"/>
      <c r="TED27" s="19"/>
      <c r="TEE27" s="19"/>
      <c r="TEF27" s="19"/>
      <c r="TEG27" s="19"/>
      <c r="TEH27" s="19"/>
      <c r="TEI27" s="19"/>
      <c r="TEJ27" s="19"/>
      <c r="TEK27" s="19"/>
      <c r="TEL27" s="19"/>
      <c r="TEM27" s="19"/>
      <c r="TEN27" s="19"/>
      <c r="TEO27" s="19"/>
      <c r="TEP27" s="19"/>
      <c r="TEQ27" s="19"/>
      <c r="TER27" s="19"/>
      <c r="TES27" s="19"/>
      <c r="TET27" s="19"/>
      <c r="TEU27" s="19"/>
      <c r="TEV27" s="19"/>
      <c r="TEW27" s="19"/>
      <c r="TEX27" s="19"/>
      <c r="TEY27" s="19"/>
      <c r="TEZ27" s="19"/>
      <c r="TFA27" s="19"/>
      <c r="TFB27" s="19"/>
      <c r="TFC27" s="19"/>
      <c r="TFD27" s="19"/>
      <c r="TFE27" s="19"/>
      <c r="TFF27" s="19"/>
      <c r="TFG27" s="19"/>
      <c r="TFH27" s="19"/>
      <c r="TFI27" s="19"/>
      <c r="TFJ27" s="19"/>
      <c r="TFK27" s="19"/>
      <c r="TFL27" s="19"/>
      <c r="TFM27" s="19"/>
      <c r="TFN27" s="19"/>
      <c r="TFO27" s="19"/>
      <c r="TFP27" s="19"/>
      <c r="TFQ27" s="19"/>
      <c r="TFR27" s="19"/>
      <c r="TFS27" s="19"/>
      <c r="TFT27" s="19"/>
      <c r="TFU27" s="19"/>
      <c r="TFV27" s="19"/>
      <c r="TFW27" s="19"/>
      <c r="TFX27" s="19"/>
      <c r="TFY27" s="19"/>
      <c r="TFZ27" s="19"/>
      <c r="TGA27" s="19"/>
      <c r="TGB27" s="19"/>
      <c r="TGC27" s="19"/>
      <c r="TGD27" s="19"/>
      <c r="TGE27" s="19"/>
      <c r="TGF27" s="19"/>
      <c r="TGG27" s="19"/>
      <c r="TGH27" s="19"/>
      <c r="TGI27" s="19"/>
      <c r="TGJ27" s="19"/>
      <c r="TGK27" s="19"/>
      <c r="TGL27" s="19"/>
      <c r="TGM27" s="19"/>
      <c r="TGN27" s="19"/>
      <c r="TGO27" s="19"/>
      <c r="TGP27" s="19"/>
      <c r="TGQ27" s="19"/>
      <c r="TGR27" s="19"/>
      <c r="TGS27" s="19"/>
      <c r="TGT27" s="19"/>
      <c r="TGU27" s="19"/>
      <c r="TGV27" s="19"/>
      <c r="TGW27" s="19"/>
      <c r="TGX27" s="19"/>
      <c r="TGY27" s="19"/>
      <c r="TGZ27" s="19"/>
      <c r="THA27" s="19"/>
      <c r="THB27" s="19"/>
      <c r="THC27" s="19"/>
      <c r="THD27" s="19"/>
      <c r="THE27" s="19"/>
      <c r="THF27" s="19"/>
      <c r="THG27" s="19"/>
      <c r="THH27" s="19"/>
      <c r="THI27" s="19"/>
      <c r="THJ27" s="19"/>
      <c r="THK27" s="19"/>
      <c r="THL27" s="19"/>
      <c r="THM27" s="19"/>
      <c r="THN27" s="19"/>
      <c r="THO27" s="19"/>
      <c r="THP27" s="19"/>
      <c r="THQ27" s="19"/>
      <c r="THR27" s="19"/>
      <c r="THS27" s="19"/>
      <c r="THT27" s="19"/>
      <c r="THU27" s="19"/>
      <c r="THV27" s="19"/>
      <c r="THW27" s="19"/>
      <c r="THX27" s="19"/>
      <c r="THY27" s="19"/>
      <c r="THZ27" s="19"/>
      <c r="TIA27" s="19"/>
      <c r="TIB27" s="19"/>
      <c r="TIC27" s="19"/>
      <c r="TID27" s="19"/>
      <c r="TIE27" s="19"/>
      <c r="TIF27" s="19"/>
      <c r="TIG27" s="19"/>
      <c r="TIH27" s="19"/>
      <c r="TII27" s="19"/>
      <c r="TIJ27" s="19"/>
      <c r="TIK27" s="19"/>
      <c r="TIL27" s="19"/>
      <c r="TIM27" s="19"/>
      <c r="TIN27" s="19"/>
      <c r="TIO27" s="19"/>
      <c r="TIP27" s="19"/>
      <c r="TIQ27" s="19"/>
      <c r="TIR27" s="19"/>
      <c r="TIS27" s="19"/>
      <c r="TIT27" s="19"/>
      <c r="TIU27" s="19"/>
      <c r="TIV27" s="19"/>
      <c r="TIW27" s="19"/>
      <c r="TIX27" s="19"/>
      <c r="TIY27" s="19"/>
      <c r="TIZ27" s="19"/>
      <c r="TJA27" s="19"/>
      <c r="TJB27" s="19"/>
      <c r="TJC27" s="19"/>
      <c r="TJD27" s="19"/>
      <c r="TJE27" s="19"/>
      <c r="TJF27" s="19"/>
      <c r="TJG27" s="19"/>
      <c r="TJH27" s="19"/>
      <c r="TJI27" s="19"/>
      <c r="TJJ27" s="19"/>
      <c r="TJK27" s="19"/>
      <c r="TJL27" s="19"/>
      <c r="TJM27" s="19"/>
      <c r="TJN27" s="19"/>
      <c r="TJO27" s="19"/>
      <c r="TJP27" s="19"/>
      <c r="TJQ27" s="19"/>
      <c r="TJR27" s="19"/>
      <c r="TJS27" s="19"/>
      <c r="TJT27" s="19"/>
      <c r="TJU27" s="19"/>
      <c r="TJV27" s="19"/>
      <c r="TJW27" s="19"/>
      <c r="TJX27" s="19"/>
      <c r="TJY27" s="19"/>
      <c r="TJZ27" s="19"/>
      <c r="TKA27" s="19"/>
      <c r="TKB27" s="19"/>
      <c r="TKC27" s="19"/>
      <c r="TKD27" s="19"/>
      <c r="TKE27" s="19"/>
      <c r="TKF27" s="19"/>
      <c r="TKG27" s="19"/>
      <c r="TKH27" s="19"/>
      <c r="TKI27" s="19"/>
      <c r="TKJ27" s="19"/>
      <c r="TKK27" s="19"/>
      <c r="TKL27" s="19"/>
      <c r="TKM27" s="19"/>
      <c r="TKN27" s="19"/>
      <c r="TKO27" s="19"/>
      <c r="TKP27" s="19"/>
      <c r="TKQ27" s="19"/>
      <c r="TKR27" s="19"/>
      <c r="TKS27" s="19"/>
      <c r="TKT27" s="19"/>
      <c r="TKU27" s="19"/>
      <c r="TKV27" s="19"/>
      <c r="TKW27" s="19"/>
      <c r="TKX27" s="19"/>
      <c r="TKY27" s="19"/>
      <c r="TKZ27" s="19"/>
      <c r="TLA27" s="19"/>
      <c r="TLB27" s="19"/>
      <c r="TLC27" s="19"/>
      <c r="TLD27" s="19"/>
      <c r="TLE27" s="19"/>
      <c r="TLF27" s="19"/>
      <c r="TLG27" s="19"/>
      <c r="TLH27" s="19"/>
      <c r="TLI27" s="19"/>
      <c r="TLJ27" s="19"/>
      <c r="TLK27" s="19"/>
      <c r="TLL27" s="19"/>
      <c r="TLM27" s="19"/>
      <c r="TLN27" s="19"/>
      <c r="TLO27" s="19"/>
      <c r="TLP27" s="19"/>
      <c r="TLQ27" s="19"/>
      <c r="TLR27" s="19"/>
      <c r="TLS27" s="19"/>
      <c r="TLT27" s="19"/>
      <c r="TLU27" s="19"/>
      <c r="TLV27" s="19"/>
      <c r="TLW27" s="19"/>
      <c r="TLX27" s="19"/>
      <c r="TLY27" s="19"/>
      <c r="TLZ27" s="19"/>
      <c r="TMA27" s="19"/>
      <c r="TMB27" s="19"/>
      <c r="TMC27" s="19"/>
      <c r="TMD27" s="19"/>
      <c r="TME27" s="19"/>
      <c r="TMF27" s="19"/>
      <c r="TMG27" s="19"/>
      <c r="TMH27" s="19"/>
      <c r="TMI27" s="19"/>
      <c r="TMJ27" s="19"/>
      <c r="TMK27" s="19"/>
      <c r="TML27" s="19"/>
      <c r="TMM27" s="19"/>
      <c r="TMN27" s="19"/>
      <c r="TMO27" s="19"/>
      <c r="TMP27" s="19"/>
      <c r="TMQ27" s="19"/>
      <c r="TMR27" s="19"/>
      <c r="TMS27" s="19"/>
      <c r="TMT27" s="19"/>
      <c r="TMU27" s="19"/>
      <c r="TMV27" s="19"/>
      <c r="TMW27" s="19"/>
      <c r="TMX27" s="19"/>
      <c r="TMY27" s="19"/>
      <c r="TMZ27" s="19"/>
      <c r="TNA27" s="19"/>
      <c r="TNB27" s="19"/>
      <c r="TNC27" s="19"/>
      <c r="TND27" s="19"/>
      <c r="TNE27" s="19"/>
      <c r="TNF27" s="19"/>
      <c r="TNG27" s="19"/>
      <c r="TNH27" s="19"/>
      <c r="TNI27" s="19"/>
      <c r="TNJ27" s="19"/>
      <c r="TNK27" s="19"/>
      <c r="TNL27" s="19"/>
      <c r="TNM27" s="19"/>
      <c r="TNN27" s="19"/>
      <c r="TNO27" s="19"/>
      <c r="TNP27" s="19"/>
      <c r="TNQ27" s="19"/>
      <c r="TNR27" s="19"/>
      <c r="TNS27" s="19"/>
      <c r="TNT27" s="19"/>
      <c r="TNU27" s="19"/>
      <c r="TNV27" s="19"/>
      <c r="TNW27" s="19"/>
      <c r="TNX27" s="19"/>
      <c r="TNY27" s="19"/>
      <c r="TNZ27" s="19"/>
      <c r="TOA27" s="19"/>
      <c r="TOB27" s="19"/>
      <c r="TOC27" s="19"/>
      <c r="TOD27" s="19"/>
      <c r="TOE27" s="19"/>
      <c r="TOF27" s="19"/>
      <c r="TOG27" s="19"/>
      <c r="TOH27" s="19"/>
      <c r="TOI27" s="19"/>
      <c r="TOJ27" s="19"/>
      <c r="TOK27" s="19"/>
      <c r="TOL27" s="19"/>
      <c r="TOM27" s="19"/>
      <c r="TON27" s="19"/>
      <c r="TOO27" s="19"/>
      <c r="TOP27" s="19"/>
      <c r="TOQ27" s="19"/>
      <c r="TOR27" s="19"/>
      <c r="TOS27" s="19"/>
      <c r="TOT27" s="19"/>
      <c r="TOU27" s="19"/>
      <c r="TOV27" s="19"/>
      <c r="TOW27" s="19"/>
      <c r="TOX27" s="19"/>
      <c r="TOY27" s="19"/>
      <c r="TOZ27" s="19"/>
      <c r="TPA27" s="19"/>
      <c r="TPB27" s="19"/>
      <c r="TPC27" s="19"/>
      <c r="TPD27" s="19"/>
      <c r="TPE27" s="19"/>
      <c r="TPF27" s="19"/>
      <c r="TPG27" s="19"/>
      <c r="TPH27" s="19"/>
      <c r="TPI27" s="19"/>
      <c r="TPJ27" s="19"/>
      <c r="TPK27" s="19"/>
      <c r="TPL27" s="19"/>
      <c r="TPM27" s="19"/>
      <c r="TPN27" s="19"/>
      <c r="TPO27" s="19"/>
      <c r="TPP27" s="19"/>
      <c r="TPQ27" s="19"/>
      <c r="TPR27" s="19"/>
      <c r="TPS27" s="19"/>
      <c r="TPT27" s="19"/>
      <c r="TPU27" s="19"/>
      <c r="TPV27" s="19"/>
      <c r="TPW27" s="19"/>
      <c r="TPX27" s="19"/>
      <c r="TPY27" s="19"/>
      <c r="TPZ27" s="19"/>
      <c r="TQA27" s="19"/>
      <c r="TQB27" s="19"/>
      <c r="TQC27" s="19"/>
      <c r="TQD27" s="19"/>
      <c r="TQE27" s="19"/>
      <c r="TQF27" s="19"/>
      <c r="TQG27" s="19"/>
      <c r="TQH27" s="19"/>
      <c r="TQI27" s="19"/>
      <c r="TQJ27" s="19"/>
      <c r="TQK27" s="19"/>
      <c r="TQL27" s="19"/>
      <c r="TQM27" s="19"/>
      <c r="TQN27" s="19"/>
      <c r="TQO27" s="19"/>
      <c r="TQP27" s="19"/>
      <c r="TQQ27" s="19"/>
      <c r="TQR27" s="19"/>
      <c r="TQS27" s="19"/>
      <c r="TQT27" s="19"/>
      <c r="TQU27" s="19"/>
      <c r="TQV27" s="19"/>
      <c r="TQW27" s="19"/>
      <c r="TQX27" s="19"/>
      <c r="TQY27" s="19"/>
      <c r="TQZ27" s="19"/>
      <c r="TRA27" s="19"/>
      <c r="TRB27" s="19"/>
      <c r="TRC27" s="19"/>
      <c r="TRD27" s="19"/>
      <c r="TRE27" s="19"/>
      <c r="TRF27" s="19"/>
      <c r="TRG27" s="19"/>
      <c r="TRH27" s="19"/>
      <c r="TRI27" s="19"/>
      <c r="TRJ27" s="19"/>
      <c r="TRK27" s="19"/>
      <c r="TRL27" s="19"/>
      <c r="TRM27" s="19"/>
      <c r="TRN27" s="19"/>
      <c r="TRO27" s="19"/>
      <c r="TRP27" s="19"/>
      <c r="TRQ27" s="19"/>
      <c r="TRR27" s="19"/>
      <c r="TRS27" s="19"/>
      <c r="TRT27" s="19"/>
      <c r="TRU27" s="19"/>
      <c r="TRV27" s="19"/>
      <c r="TRW27" s="19"/>
      <c r="TRX27" s="19"/>
      <c r="TRY27" s="19"/>
      <c r="TRZ27" s="19"/>
      <c r="TSA27" s="19"/>
      <c r="TSB27" s="19"/>
      <c r="TSC27" s="19"/>
      <c r="TSD27" s="19"/>
      <c r="TSE27" s="19"/>
      <c r="TSF27" s="19"/>
      <c r="TSG27" s="19"/>
      <c r="TSH27" s="19"/>
      <c r="TSI27" s="19"/>
      <c r="TSJ27" s="19"/>
      <c r="TSK27" s="19"/>
      <c r="TSL27" s="19"/>
      <c r="TSM27" s="19"/>
      <c r="TSN27" s="19"/>
      <c r="TSO27" s="19"/>
      <c r="TSP27" s="19"/>
      <c r="TSQ27" s="19"/>
      <c r="TSR27" s="19"/>
      <c r="TSS27" s="19"/>
      <c r="TST27" s="19"/>
      <c r="TSU27" s="19"/>
      <c r="TSV27" s="19"/>
      <c r="TSW27" s="19"/>
      <c r="TSX27" s="19"/>
      <c r="TSY27" s="19"/>
      <c r="TSZ27" s="19"/>
      <c r="TTA27" s="19"/>
      <c r="TTB27" s="19"/>
      <c r="TTC27" s="19"/>
      <c r="TTD27" s="19"/>
      <c r="TTE27" s="19"/>
      <c r="TTF27" s="19"/>
      <c r="TTG27" s="19"/>
      <c r="TTH27" s="19"/>
      <c r="TTI27" s="19"/>
      <c r="TTJ27" s="19"/>
      <c r="TTK27" s="19"/>
      <c r="TTL27" s="19"/>
      <c r="TTM27" s="19"/>
      <c r="TTN27" s="19"/>
      <c r="TTO27" s="19"/>
      <c r="TTP27" s="19"/>
      <c r="TTQ27" s="19"/>
      <c r="TTR27" s="19"/>
      <c r="TTS27" s="19"/>
      <c r="TTT27" s="19"/>
      <c r="TTU27" s="19"/>
      <c r="TTV27" s="19"/>
      <c r="TTW27" s="19"/>
      <c r="TTX27" s="19"/>
      <c r="TTY27" s="19"/>
      <c r="TTZ27" s="19"/>
      <c r="TUA27" s="19"/>
      <c r="TUB27" s="19"/>
      <c r="TUC27" s="19"/>
      <c r="TUD27" s="19"/>
      <c r="TUE27" s="19"/>
      <c r="TUF27" s="19"/>
      <c r="TUG27" s="19"/>
      <c r="TUH27" s="19"/>
      <c r="TUI27" s="19"/>
      <c r="TUJ27" s="19"/>
      <c r="TUK27" s="19"/>
      <c r="TUL27" s="19"/>
      <c r="TUM27" s="19"/>
      <c r="TUN27" s="19"/>
      <c r="TUO27" s="19"/>
      <c r="TUP27" s="19"/>
      <c r="TUQ27" s="19"/>
      <c r="TUR27" s="19"/>
      <c r="TUS27" s="19"/>
      <c r="TUT27" s="19"/>
      <c r="TUU27" s="19"/>
      <c r="TUV27" s="19"/>
      <c r="TUW27" s="19"/>
      <c r="TUX27" s="19"/>
      <c r="TUY27" s="19"/>
      <c r="TUZ27" s="19"/>
      <c r="TVA27" s="19"/>
      <c r="TVB27" s="19"/>
      <c r="TVC27" s="19"/>
      <c r="TVD27" s="19"/>
      <c r="TVE27" s="19"/>
      <c r="TVF27" s="19"/>
      <c r="TVG27" s="19"/>
      <c r="TVH27" s="19"/>
      <c r="TVI27" s="19"/>
      <c r="TVJ27" s="19"/>
      <c r="TVK27" s="19"/>
      <c r="TVL27" s="19"/>
      <c r="TVM27" s="19"/>
      <c r="TVN27" s="19"/>
      <c r="TVO27" s="19"/>
      <c r="TVP27" s="19"/>
      <c r="TVQ27" s="19"/>
      <c r="TVR27" s="19"/>
      <c r="TVS27" s="19"/>
      <c r="TVT27" s="19"/>
      <c r="TVU27" s="19"/>
      <c r="TVV27" s="19"/>
      <c r="TVW27" s="19"/>
      <c r="TVX27" s="19"/>
      <c r="TVY27" s="19"/>
      <c r="TVZ27" s="19"/>
      <c r="TWA27" s="19"/>
      <c r="TWB27" s="19"/>
      <c r="TWC27" s="19"/>
      <c r="TWD27" s="19"/>
      <c r="TWE27" s="19"/>
      <c r="TWF27" s="19"/>
      <c r="TWG27" s="19"/>
      <c r="TWH27" s="19"/>
      <c r="TWI27" s="19"/>
      <c r="TWJ27" s="19"/>
      <c r="TWK27" s="19"/>
      <c r="TWL27" s="19"/>
      <c r="TWM27" s="19"/>
      <c r="TWN27" s="19"/>
      <c r="TWO27" s="19"/>
      <c r="TWP27" s="19"/>
      <c r="TWQ27" s="19"/>
      <c r="TWR27" s="19"/>
      <c r="TWS27" s="19"/>
      <c r="TWT27" s="19"/>
      <c r="TWU27" s="19"/>
      <c r="TWV27" s="19"/>
      <c r="TWW27" s="19"/>
      <c r="TWX27" s="19"/>
      <c r="TWY27" s="19"/>
      <c r="TWZ27" s="19"/>
      <c r="TXA27" s="19"/>
      <c r="TXB27" s="19"/>
      <c r="TXC27" s="19"/>
      <c r="TXD27" s="19"/>
      <c r="TXE27" s="19"/>
      <c r="TXF27" s="19"/>
      <c r="TXG27" s="19"/>
      <c r="TXH27" s="19"/>
      <c r="TXI27" s="19"/>
      <c r="TXJ27" s="19"/>
      <c r="TXK27" s="19"/>
      <c r="TXL27" s="19"/>
      <c r="TXM27" s="19"/>
      <c r="TXN27" s="19"/>
      <c r="TXO27" s="19"/>
      <c r="TXP27" s="19"/>
      <c r="TXQ27" s="19"/>
      <c r="TXR27" s="19"/>
      <c r="TXS27" s="19"/>
      <c r="TXT27" s="19"/>
      <c r="TXU27" s="19"/>
      <c r="TXV27" s="19"/>
      <c r="TXW27" s="19"/>
      <c r="TXX27" s="19"/>
      <c r="TXY27" s="19"/>
      <c r="TXZ27" s="19"/>
      <c r="TYA27" s="19"/>
      <c r="TYB27" s="19"/>
      <c r="TYC27" s="19"/>
      <c r="TYD27" s="19"/>
      <c r="TYE27" s="19"/>
      <c r="TYF27" s="19"/>
      <c r="TYG27" s="19"/>
      <c r="TYH27" s="19"/>
      <c r="TYI27" s="19"/>
      <c r="TYJ27" s="19"/>
      <c r="TYK27" s="19"/>
      <c r="TYL27" s="19"/>
      <c r="TYM27" s="19"/>
      <c r="TYN27" s="19"/>
      <c r="TYO27" s="19"/>
      <c r="TYP27" s="19"/>
      <c r="TYQ27" s="19"/>
      <c r="TYR27" s="19"/>
      <c r="TYS27" s="19"/>
      <c r="TYT27" s="19"/>
      <c r="TYU27" s="19"/>
      <c r="TYV27" s="19"/>
      <c r="TYW27" s="19"/>
      <c r="TYX27" s="19"/>
      <c r="TYY27" s="19"/>
      <c r="TYZ27" s="19"/>
      <c r="TZA27" s="19"/>
      <c r="TZB27" s="19"/>
      <c r="TZC27" s="19"/>
      <c r="TZD27" s="19"/>
      <c r="TZE27" s="19"/>
      <c r="TZF27" s="19"/>
      <c r="TZG27" s="19"/>
      <c r="TZH27" s="19"/>
      <c r="TZI27" s="19"/>
      <c r="TZJ27" s="19"/>
      <c r="TZK27" s="19"/>
      <c r="TZL27" s="19"/>
      <c r="TZM27" s="19"/>
      <c r="TZN27" s="19"/>
      <c r="TZO27" s="19"/>
      <c r="TZP27" s="19"/>
      <c r="TZQ27" s="19"/>
      <c r="TZR27" s="19"/>
      <c r="TZS27" s="19"/>
      <c r="TZT27" s="19"/>
      <c r="TZU27" s="19"/>
      <c r="TZV27" s="19"/>
      <c r="TZW27" s="19"/>
      <c r="TZX27" s="19"/>
      <c r="TZY27" s="19"/>
      <c r="TZZ27" s="19"/>
      <c r="UAA27" s="19"/>
      <c r="UAB27" s="19"/>
      <c r="UAC27" s="19"/>
      <c r="UAD27" s="19"/>
      <c r="UAE27" s="19"/>
      <c r="UAF27" s="19"/>
      <c r="UAG27" s="19"/>
      <c r="UAH27" s="19"/>
      <c r="UAI27" s="19"/>
      <c r="UAJ27" s="19"/>
      <c r="UAK27" s="19"/>
      <c r="UAL27" s="19"/>
      <c r="UAM27" s="19"/>
      <c r="UAN27" s="19"/>
      <c r="UAO27" s="19"/>
      <c r="UAP27" s="19"/>
      <c r="UAQ27" s="19"/>
      <c r="UAR27" s="19"/>
      <c r="UAS27" s="19"/>
      <c r="UAT27" s="19"/>
      <c r="UAU27" s="19"/>
      <c r="UAV27" s="19"/>
      <c r="UAW27" s="19"/>
      <c r="UAX27" s="19"/>
      <c r="UAY27" s="19"/>
      <c r="UAZ27" s="19"/>
      <c r="UBA27" s="19"/>
      <c r="UBB27" s="19"/>
      <c r="UBC27" s="19"/>
      <c r="UBD27" s="19"/>
      <c r="UBE27" s="19"/>
      <c r="UBF27" s="19"/>
      <c r="UBG27" s="19"/>
      <c r="UBH27" s="19"/>
      <c r="UBI27" s="19"/>
      <c r="UBJ27" s="19"/>
      <c r="UBK27" s="19"/>
      <c r="UBL27" s="19"/>
      <c r="UBM27" s="19"/>
      <c r="UBN27" s="19"/>
      <c r="UBO27" s="19"/>
      <c r="UBP27" s="19"/>
      <c r="UBQ27" s="19"/>
      <c r="UBR27" s="19"/>
      <c r="UBS27" s="19"/>
      <c r="UBT27" s="19"/>
      <c r="UBU27" s="19"/>
      <c r="UBV27" s="19"/>
      <c r="UBW27" s="19"/>
      <c r="UBX27" s="19"/>
      <c r="UBY27" s="19"/>
      <c r="UBZ27" s="19"/>
      <c r="UCA27" s="19"/>
      <c r="UCB27" s="19"/>
      <c r="UCC27" s="19"/>
      <c r="UCD27" s="19"/>
      <c r="UCE27" s="19"/>
      <c r="UCF27" s="19"/>
      <c r="UCG27" s="19"/>
      <c r="UCH27" s="19"/>
      <c r="UCI27" s="19"/>
      <c r="UCJ27" s="19"/>
      <c r="UCK27" s="19"/>
      <c r="UCL27" s="19"/>
      <c r="UCM27" s="19"/>
      <c r="UCN27" s="19"/>
      <c r="UCO27" s="19"/>
      <c r="UCP27" s="19"/>
      <c r="UCQ27" s="19"/>
      <c r="UCR27" s="19"/>
      <c r="UCS27" s="19"/>
      <c r="UCT27" s="19"/>
      <c r="UCU27" s="19"/>
      <c r="UCV27" s="19"/>
      <c r="UCW27" s="19"/>
      <c r="UCX27" s="19"/>
      <c r="UCY27" s="19"/>
      <c r="UCZ27" s="19"/>
      <c r="UDA27" s="19"/>
      <c r="UDB27" s="19"/>
      <c r="UDC27" s="19"/>
      <c r="UDD27" s="19"/>
      <c r="UDE27" s="19"/>
      <c r="UDF27" s="19"/>
      <c r="UDG27" s="19"/>
      <c r="UDH27" s="19"/>
      <c r="UDI27" s="19"/>
      <c r="UDJ27" s="19"/>
      <c r="UDK27" s="19"/>
      <c r="UDL27" s="19"/>
      <c r="UDM27" s="19"/>
      <c r="UDN27" s="19"/>
      <c r="UDO27" s="19"/>
      <c r="UDP27" s="19"/>
      <c r="UDQ27" s="19"/>
      <c r="UDR27" s="19"/>
      <c r="UDS27" s="19"/>
      <c r="UDT27" s="19"/>
      <c r="UDU27" s="19"/>
      <c r="UDV27" s="19"/>
      <c r="UDW27" s="19"/>
      <c r="UDX27" s="19"/>
      <c r="UDY27" s="19"/>
      <c r="UDZ27" s="19"/>
      <c r="UEA27" s="19"/>
      <c r="UEB27" s="19"/>
      <c r="UEC27" s="19"/>
      <c r="UED27" s="19"/>
      <c r="UEE27" s="19"/>
      <c r="UEF27" s="19"/>
      <c r="UEG27" s="19"/>
      <c r="UEH27" s="19"/>
      <c r="UEI27" s="19"/>
      <c r="UEJ27" s="19"/>
      <c r="UEK27" s="19"/>
      <c r="UEL27" s="19"/>
      <c r="UEM27" s="19"/>
      <c r="UEN27" s="19"/>
      <c r="UEO27" s="19"/>
      <c r="UEP27" s="19"/>
      <c r="UEQ27" s="19"/>
      <c r="UER27" s="19"/>
      <c r="UES27" s="19"/>
      <c r="UET27" s="19"/>
      <c r="UEU27" s="19"/>
      <c r="UEV27" s="19"/>
      <c r="UEW27" s="19"/>
      <c r="UEX27" s="19"/>
      <c r="UEY27" s="19"/>
      <c r="UEZ27" s="19"/>
      <c r="UFA27" s="19"/>
      <c r="UFB27" s="19"/>
      <c r="UFC27" s="19"/>
      <c r="UFD27" s="19"/>
      <c r="UFE27" s="19"/>
      <c r="UFF27" s="19"/>
      <c r="UFG27" s="19"/>
      <c r="UFH27" s="19"/>
      <c r="UFI27" s="19"/>
      <c r="UFJ27" s="19"/>
      <c r="UFK27" s="19"/>
      <c r="UFL27" s="19"/>
      <c r="UFM27" s="19"/>
      <c r="UFN27" s="19"/>
      <c r="UFO27" s="19"/>
      <c r="UFP27" s="19"/>
      <c r="UFQ27" s="19"/>
      <c r="UFR27" s="19"/>
      <c r="UFS27" s="19"/>
      <c r="UFT27" s="19"/>
      <c r="UFU27" s="19"/>
      <c r="UFV27" s="19"/>
      <c r="UFW27" s="19"/>
      <c r="UFX27" s="19"/>
      <c r="UFY27" s="19"/>
      <c r="UFZ27" s="19"/>
      <c r="UGA27" s="19"/>
      <c r="UGB27" s="19"/>
      <c r="UGC27" s="19"/>
      <c r="UGD27" s="19"/>
      <c r="UGE27" s="19"/>
      <c r="UGF27" s="19"/>
      <c r="UGG27" s="19"/>
      <c r="UGH27" s="19"/>
      <c r="UGI27" s="19"/>
      <c r="UGJ27" s="19"/>
      <c r="UGK27" s="19"/>
      <c r="UGL27" s="19"/>
      <c r="UGM27" s="19"/>
      <c r="UGN27" s="19"/>
      <c r="UGO27" s="19"/>
      <c r="UGP27" s="19"/>
      <c r="UGQ27" s="19"/>
      <c r="UGR27" s="19"/>
      <c r="UGS27" s="19"/>
      <c r="UGT27" s="19"/>
      <c r="UGU27" s="19"/>
      <c r="UGV27" s="19"/>
      <c r="UGW27" s="19"/>
      <c r="UGX27" s="19"/>
      <c r="UGY27" s="19"/>
      <c r="UGZ27" s="19"/>
      <c r="UHA27" s="19"/>
      <c r="UHB27" s="19"/>
      <c r="UHC27" s="19"/>
      <c r="UHD27" s="19"/>
      <c r="UHE27" s="19"/>
      <c r="UHF27" s="19"/>
      <c r="UHG27" s="19"/>
      <c r="UHH27" s="19"/>
      <c r="UHI27" s="19"/>
      <c r="UHJ27" s="19"/>
      <c r="UHK27" s="19"/>
      <c r="UHL27" s="19"/>
      <c r="UHM27" s="19"/>
      <c r="UHN27" s="19"/>
      <c r="UHO27" s="19"/>
      <c r="UHP27" s="19"/>
      <c r="UHQ27" s="19"/>
      <c r="UHR27" s="19"/>
      <c r="UHS27" s="19"/>
      <c r="UHT27" s="19"/>
      <c r="UHU27" s="19"/>
      <c r="UHV27" s="19"/>
      <c r="UHW27" s="19"/>
      <c r="UHX27" s="19"/>
      <c r="UHY27" s="19"/>
      <c r="UHZ27" s="19"/>
      <c r="UIA27" s="19"/>
      <c r="UIB27" s="19"/>
      <c r="UIC27" s="19"/>
      <c r="UID27" s="19"/>
      <c r="UIE27" s="19"/>
      <c r="UIF27" s="19"/>
      <c r="UIG27" s="19"/>
      <c r="UIH27" s="19"/>
      <c r="UII27" s="19"/>
      <c r="UIJ27" s="19"/>
      <c r="UIK27" s="19"/>
      <c r="UIL27" s="19"/>
      <c r="UIM27" s="19"/>
      <c r="UIN27" s="19"/>
      <c r="UIO27" s="19"/>
      <c r="UIP27" s="19"/>
      <c r="UIQ27" s="19"/>
      <c r="UIR27" s="19"/>
      <c r="UIS27" s="19"/>
      <c r="UIT27" s="19"/>
      <c r="UIU27" s="19"/>
      <c r="UIV27" s="19"/>
      <c r="UIW27" s="19"/>
      <c r="UIX27" s="19"/>
      <c r="UIY27" s="19"/>
      <c r="UIZ27" s="19"/>
      <c r="UJA27" s="19"/>
      <c r="UJB27" s="19"/>
      <c r="UJC27" s="19"/>
      <c r="UJD27" s="19"/>
      <c r="UJE27" s="19"/>
      <c r="UJF27" s="19"/>
      <c r="UJG27" s="19"/>
      <c r="UJH27" s="19"/>
      <c r="UJI27" s="19"/>
      <c r="UJJ27" s="19"/>
      <c r="UJK27" s="19"/>
      <c r="UJL27" s="19"/>
      <c r="UJM27" s="19"/>
      <c r="UJN27" s="19"/>
      <c r="UJO27" s="19"/>
      <c r="UJP27" s="19"/>
      <c r="UJQ27" s="19"/>
      <c r="UJR27" s="19"/>
      <c r="UJS27" s="19"/>
      <c r="UJT27" s="19"/>
      <c r="UJU27" s="19"/>
      <c r="UJV27" s="19"/>
      <c r="UJW27" s="19"/>
      <c r="UJX27" s="19"/>
      <c r="UJY27" s="19"/>
      <c r="UJZ27" s="19"/>
      <c r="UKA27" s="19"/>
      <c r="UKB27" s="19"/>
      <c r="UKC27" s="19"/>
      <c r="UKD27" s="19"/>
      <c r="UKE27" s="19"/>
      <c r="UKF27" s="19"/>
      <c r="UKG27" s="19"/>
      <c r="UKH27" s="19"/>
      <c r="UKI27" s="19"/>
      <c r="UKJ27" s="19"/>
      <c r="UKK27" s="19"/>
      <c r="UKL27" s="19"/>
      <c r="UKM27" s="19"/>
      <c r="UKN27" s="19"/>
      <c r="UKO27" s="19"/>
      <c r="UKP27" s="19"/>
      <c r="UKQ27" s="19"/>
      <c r="UKR27" s="19"/>
      <c r="UKS27" s="19"/>
      <c r="UKT27" s="19"/>
      <c r="UKU27" s="19"/>
      <c r="UKV27" s="19"/>
      <c r="UKW27" s="19"/>
      <c r="UKX27" s="19"/>
      <c r="UKY27" s="19"/>
      <c r="UKZ27" s="19"/>
      <c r="ULA27" s="19"/>
      <c r="ULB27" s="19"/>
      <c r="ULC27" s="19"/>
      <c r="ULD27" s="19"/>
      <c r="ULE27" s="19"/>
      <c r="ULF27" s="19"/>
      <c r="ULG27" s="19"/>
      <c r="ULH27" s="19"/>
      <c r="ULI27" s="19"/>
      <c r="ULJ27" s="19"/>
      <c r="ULK27" s="19"/>
      <c r="ULL27" s="19"/>
      <c r="ULM27" s="19"/>
      <c r="ULN27" s="19"/>
      <c r="ULO27" s="19"/>
      <c r="ULP27" s="19"/>
      <c r="ULQ27" s="19"/>
      <c r="ULR27" s="19"/>
      <c r="ULS27" s="19"/>
      <c r="ULT27" s="19"/>
      <c r="ULU27" s="19"/>
      <c r="ULV27" s="19"/>
      <c r="ULW27" s="19"/>
      <c r="ULX27" s="19"/>
      <c r="ULY27" s="19"/>
      <c r="ULZ27" s="19"/>
      <c r="UMA27" s="19"/>
      <c r="UMB27" s="19"/>
      <c r="UMC27" s="19"/>
      <c r="UMD27" s="19"/>
      <c r="UME27" s="19"/>
      <c r="UMF27" s="19"/>
      <c r="UMG27" s="19"/>
      <c r="UMH27" s="19"/>
      <c r="UMI27" s="19"/>
      <c r="UMJ27" s="19"/>
      <c r="UMK27" s="19"/>
      <c r="UML27" s="19"/>
      <c r="UMM27" s="19"/>
      <c r="UMN27" s="19"/>
      <c r="UMO27" s="19"/>
      <c r="UMP27" s="19"/>
      <c r="UMQ27" s="19"/>
      <c r="UMR27" s="19"/>
      <c r="UMS27" s="19"/>
      <c r="UMT27" s="19"/>
      <c r="UMU27" s="19"/>
      <c r="UMV27" s="19"/>
      <c r="UMW27" s="19"/>
      <c r="UMX27" s="19"/>
      <c r="UMY27" s="19"/>
      <c r="UMZ27" s="19"/>
      <c r="UNA27" s="19"/>
      <c r="UNB27" s="19"/>
      <c r="UNC27" s="19"/>
      <c r="UND27" s="19"/>
      <c r="UNE27" s="19"/>
      <c r="UNF27" s="19"/>
      <c r="UNG27" s="19"/>
      <c r="UNH27" s="19"/>
      <c r="UNI27" s="19"/>
      <c r="UNJ27" s="19"/>
      <c r="UNK27" s="19"/>
      <c r="UNL27" s="19"/>
      <c r="UNM27" s="19"/>
      <c r="UNN27" s="19"/>
      <c r="UNO27" s="19"/>
      <c r="UNP27" s="19"/>
      <c r="UNQ27" s="19"/>
      <c r="UNR27" s="19"/>
      <c r="UNS27" s="19"/>
      <c r="UNT27" s="19"/>
      <c r="UNU27" s="19"/>
      <c r="UNV27" s="19"/>
      <c r="UNW27" s="19"/>
      <c r="UNX27" s="19"/>
      <c r="UNY27" s="19"/>
      <c r="UNZ27" s="19"/>
      <c r="UOA27" s="19"/>
      <c r="UOB27" s="19"/>
      <c r="UOC27" s="19"/>
      <c r="UOD27" s="19"/>
      <c r="UOE27" s="19"/>
      <c r="UOF27" s="19"/>
      <c r="UOG27" s="19"/>
      <c r="UOH27" s="19"/>
      <c r="UOI27" s="19"/>
      <c r="UOJ27" s="19"/>
      <c r="UOK27" s="19"/>
      <c r="UOL27" s="19"/>
      <c r="UOM27" s="19"/>
      <c r="UON27" s="19"/>
      <c r="UOO27" s="19"/>
      <c r="UOP27" s="19"/>
      <c r="UOQ27" s="19"/>
      <c r="UOR27" s="19"/>
      <c r="UOS27" s="19"/>
      <c r="UOT27" s="19"/>
      <c r="UOU27" s="19"/>
      <c r="UOV27" s="19"/>
      <c r="UOW27" s="19"/>
      <c r="UOX27" s="19"/>
      <c r="UOY27" s="19"/>
      <c r="UOZ27" s="19"/>
      <c r="UPA27" s="19"/>
      <c r="UPB27" s="19"/>
      <c r="UPC27" s="19"/>
      <c r="UPD27" s="19"/>
      <c r="UPE27" s="19"/>
      <c r="UPF27" s="19"/>
      <c r="UPG27" s="19"/>
      <c r="UPH27" s="19"/>
      <c r="UPI27" s="19"/>
      <c r="UPJ27" s="19"/>
      <c r="UPK27" s="19"/>
      <c r="UPL27" s="19"/>
      <c r="UPM27" s="19"/>
      <c r="UPN27" s="19"/>
      <c r="UPO27" s="19"/>
      <c r="UPP27" s="19"/>
      <c r="UPQ27" s="19"/>
      <c r="UPR27" s="19"/>
      <c r="UPS27" s="19"/>
      <c r="UPT27" s="19"/>
      <c r="UPU27" s="19"/>
      <c r="UPV27" s="19"/>
      <c r="UPW27" s="19"/>
      <c r="UPX27" s="19"/>
      <c r="UPY27" s="19"/>
      <c r="UPZ27" s="19"/>
      <c r="UQA27" s="19"/>
      <c r="UQB27" s="19"/>
      <c r="UQC27" s="19"/>
      <c r="UQD27" s="19"/>
      <c r="UQE27" s="19"/>
      <c r="UQF27" s="19"/>
      <c r="UQG27" s="19"/>
      <c r="UQH27" s="19"/>
      <c r="UQI27" s="19"/>
      <c r="UQJ27" s="19"/>
      <c r="UQK27" s="19"/>
      <c r="UQL27" s="19"/>
      <c r="UQM27" s="19"/>
      <c r="UQN27" s="19"/>
      <c r="UQO27" s="19"/>
      <c r="UQP27" s="19"/>
      <c r="UQQ27" s="19"/>
      <c r="UQR27" s="19"/>
      <c r="UQS27" s="19"/>
      <c r="UQT27" s="19"/>
      <c r="UQU27" s="19"/>
      <c r="UQV27" s="19"/>
      <c r="UQW27" s="19"/>
      <c r="UQX27" s="19"/>
      <c r="UQY27" s="19"/>
      <c r="UQZ27" s="19"/>
      <c r="URA27" s="19"/>
      <c r="URB27" s="19"/>
      <c r="URC27" s="19"/>
      <c r="URD27" s="19"/>
      <c r="URE27" s="19"/>
      <c r="URF27" s="19"/>
      <c r="URG27" s="19"/>
      <c r="URH27" s="19"/>
      <c r="URI27" s="19"/>
      <c r="URJ27" s="19"/>
      <c r="URK27" s="19"/>
      <c r="URL27" s="19"/>
      <c r="URM27" s="19"/>
      <c r="URN27" s="19"/>
      <c r="URO27" s="19"/>
      <c r="URP27" s="19"/>
      <c r="URQ27" s="19"/>
      <c r="URR27" s="19"/>
      <c r="URS27" s="19"/>
      <c r="URT27" s="19"/>
      <c r="URU27" s="19"/>
      <c r="URV27" s="19"/>
      <c r="URW27" s="19"/>
      <c r="URX27" s="19"/>
      <c r="URY27" s="19"/>
      <c r="URZ27" s="19"/>
      <c r="USA27" s="19"/>
      <c r="USB27" s="19"/>
      <c r="USC27" s="19"/>
      <c r="USD27" s="19"/>
      <c r="USE27" s="19"/>
      <c r="USF27" s="19"/>
      <c r="USG27" s="19"/>
      <c r="USH27" s="19"/>
      <c r="USI27" s="19"/>
      <c r="USJ27" s="19"/>
      <c r="USK27" s="19"/>
      <c r="USL27" s="19"/>
      <c r="USM27" s="19"/>
      <c r="USN27" s="19"/>
      <c r="USO27" s="19"/>
      <c r="USP27" s="19"/>
      <c r="USQ27" s="19"/>
      <c r="USR27" s="19"/>
      <c r="USS27" s="19"/>
      <c r="UST27" s="19"/>
      <c r="USU27" s="19"/>
      <c r="USV27" s="19"/>
      <c r="USW27" s="19"/>
      <c r="USX27" s="19"/>
      <c r="USY27" s="19"/>
      <c r="USZ27" s="19"/>
      <c r="UTA27" s="19"/>
      <c r="UTB27" s="19"/>
      <c r="UTC27" s="19"/>
      <c r="UTD27" s="19"/>
      <c r="UTE27" s="19"/>
      <c r="UTF27" s="19"/>
      <c r="UTG27" s="19"/>
      <c r="UTH27" s="19"/>
      <c r="UTI27" s="19"/>
      <c r="UTJ27" s="19"/>
      <c r="UTK27" s="19"/>
      <c r="UTL27" s="19"/>
      <c r="UTM27" s="19"/>
      <c r="UTN27" s="19"/>
      <c r="UTO27" s="19"/>
      <c r="UTP27" s="19"/>
      <c r="UTQ27" s="19"/>
      <c r="UTR27" s="19"/>
      <c r="UTS27" s="19"/>
      <c r="UTT27" s="19"/>
      <c r="UTU27" s="19"/>
      <c r="UTV27" s="19"/>
      <c r="UTW27" s="19"/>
      <c r="UTX27" s="19"/>
      <c r="UTY27" s="19"/>
      <c r="UTZ27" s="19"/>
      <c r="UUA27" s="19"/>
      <c r="UUB27" s="19"/>
      <c r="UUC27" s="19"/>
      <c r="UUD27" s="19"/>
      <c r="UUE27" s="19"/>
      <c r="UUF27" s="19"/>
      <c r="UUG27" s="19"/>
      <c r="UUH27" s="19"/>
      <c r="UUI27" s="19"/>
      <c r="UUJ27" s="19"/>
      <c r="UUK27" s="19"/>
      <c r="UUL27" s="19"/>
      <c r="UUM27" s="19"/>
      <c r="UUN27" s="19"/>
      <c r="UUO27" s="19"/>
      <c r="UUP27" s="19"/>
      <c r="UUQ27" s="19"/>
      <c r="UUR27" s="19"/>
      <c r="UUS27" s="19"/>
      <c r="UUT27" s="19"/>
      <c r="UUU27" s="19"/>
      <c r="UUV27" s="19"/>
      <c r="UUW27" s="19"/>
      <c r="UUX27" s="19"/>
      <c r="UUY27" s="19"/>
      <c r="UUZ27" s="19"/>
      <c r="UVA27" s="19"/>
      <c r="UVB27" s="19"/>
      <c r="UVC27" s="19"/>
      <c r="UVD27" s="19"/>
      <c r="UVE27" s="19"/>
      <c r="UVF27" s="19"/>
      <c r="UVG27" s="19"/>
      <c r="UVH27" s="19"/>
      <c r="UVI27" s="19"/>
      <c r="UVJ27" s="19"/>
      <c r="UVK27" s="19"/>
      <c r="UVL27" s="19"/>
      <c r="UVM27" s="19"/>
      <c r="UVN27" s="19"/>
      <c r="UVO27" s="19"/>
      <c r="UVP27" s="19"/>
      <c r="UVQ27" s="19"/>
      <c r="UVR27" s="19"/>
      <c r="UVS27" s="19"/>
      <c r="UVT27" s="19"/>
      <c r="UVU27" s="19"/>
      <c r="UVV27" s="19"/>
      <c r="UVW27" s="19"/>
      <c r="UVX27" s="19"/>
      <c r="UVY27" s="19"/>
      <c r="UVZ27" s="19"/>
      <c r="UWA27" s="19"/>
      <c r="UWB27" s="19"/>
      <c r="UWC27" s="19"/>
      <c r="UWD27" s="19"/>
      <c r="UWE27" s="19"/>
      <c r="UWF27" s="19"/>
      <c r="UWG27" s="19"/>
      <c r="UWH27" s="19"/>
      <c r="UWI27" s="19"/>
      <c r="UWJ27" s="19"/>
      <c r="UWK27" s="19"/>
      <c r="UWL27" s="19"/>
      <c r="UWM27" s="19"/>
      <c r="UWN27" s="19"/>
      <c r="UWO27" s="19"/>
      <c r="UWP27" s="19"/>
      <c r="UWQ27" s="19"/>
      <c r="UWR27" s="19"/>
      <c r="UWS27" s="19"/>
      <c r="UWT27" s="19"/>
      <c r="UWU27" s="19"/>
      <c r="UWV27" s="19"/>
      <c r="UWW27" s="19"/>
      <c r="UWX27" s="19"/>
      <c r="UWY27" s="19"/>
      <c r="UWZ27" s="19"/>
      <c r="UXA27" s="19"/>
      <c r="UXB27" s="19"/>
      <c r="UXC27" s="19"/>
      <c r="UXD27" s="19"/>
      <c r="UXE27" s="19"/>
      <c r="UXF27" s="19"/>
      <c r="UXG27" s="19"/>
      <c r="UXH27" s="19"/>
      <c r="UXI27" s="19"/>
      <c r="UXJ27" s="19"/>
      <c r="UXK27" s="19"/>
      <c r="UXL27" s="19"/>
      <c r="UXM27" s="19"/>
      <c r="UXN27" s="19"/>
      <c r="UXO27" s="19"/>
      <c r="UXP27" s="19"/>
      <c r="UXQ27" s="19"/>
      <c r="UXR27" s="19"/>
      <c r="UXS27" s="19"/>
      <c r="UXT27" s="19"/>
      <c r="UXU27" s="19"/>
      <c r="UXV27" s="19"/>
      <c r="UXW27" s="19"/>
      <c r="UXX27" s="19"/>
      <c r="UXY27" s="19"/>
      <c r="UXZ27" s="19"/>
      <c r="UYA27" s="19"/>
      <c r="UYB27" s="19"/>
      <c r="UYC27" s="19"/>
      <c r="UYD27" s="19"/>
      <c r="UYE27" s="19"/>
      <c r="UYF27" s="19"/>
      <c r="UYG27" s="19"/>
      <c r="UYH27" s="19"/>
      <c r="UYI27" s="19"/>
      <c r="UYJ27" s="19"/>
      <c r="UYK27" s="19"/>
      <c r="UYL27" s="19"/>
      <c r="UYM27" s="19"/>
      <c r="UYN27" s="19"/>
      <c r="UYO27" s="19"/>
      <c r="UYP27" s="19"/>
      <c r="UYQ27" s="19"/>
      <c r="UYR27" s="19"/>
      <c r="UYS27" s="19"/>
      <c r="UYT27" s="19"/>
      <c r="UYU27" s="19"/>
      <c r="UYV27" s="19"/>
      <c r="UYW27" s="19"/>
      <c r="UYX27" s="19"/>
      <c r="UYY27" s="19"/>
      <c r="UYZ27" s="19"/>
      <c r="UZA27" s="19"/>
      <c r="UZB27" s="19"/>
      <c r="UZC27" s="19"/>
      <c r="UZD27" s="19"/>
      <c r="UZE27" s="19"/>
      <c r="UZF27" s="19"/>
      <c r="UZG27" s="19"/>
      <c r="UZH27" s="19"/>
      <c r="UZI27" s="19"/>
      <c r="UZJ27" s="19"/>
      <c r="UZK27" s="19"/>
      <c r="UZL27" s="19"/>
      <c r="UZM27" s="19"/>
      <c r="UZN27" s="19"/>
      <c r="UZO27" s="19"/>
      <c r="UZP27" s="19"/>
      <c r="UZQ27" s="19"/>
      <c r="UZR27" s="19"/>
      <c r="UZS27" s="19"/>
      <c r="UZT27" s="19"/>
      <c r="UZU27" s="19"/>
      <c r="UZV27" s="19"/>
      <c r="UZW27" s="19"/>
      <c r="UZX27" s="19"/>
      <c r="UZY27" s="19"/>
      <c r="UZZ27" s="19"/>
      <c r="VAA27" s="19"/>
      <c r="VAB27" s="19"/>
      <c r="VAC27" s="19"/>
      <c r="VAD27" s="19"/>
      <c r="VAE27" s="19"/>
      <c r="VAF27" s="19"/>
      <c r="VAG27" s="19"/>
      <c r="VAH27" s="19"/>
      <c r="VAI27" s="19"/>
      <c r="VAJ27" s="19"/>
      <c r="VAK27" s="19"/>
      <c r="VAL27" s="19"/>
      <c r="VAM27" s="19"/>
      <c r="VAN27" s="19"/>
      <c r="VAO27" s="19"/>
      <c r="VAP27" s="19"/>
      <c r="VAQ27" s="19"/>
      <c r="VAR27" s="19"/>
      <c r="VAS27" s="19"/>
      <c r="VAT27" s="19"/>
      <c r="VAU27" s="19"/>
      <c r="VAV27" s="19"/>
      <c r="VAW27" s="19"/>
      <c r="VAX27" s="19"/>
      <c r="VAY27" s="19"/>
      <c r="VAZ27" s="19"/>
      <c r="VBA27" s="19"/>
      <c r="VBB27" s="19"/>
      <c r="VBC27" s="19"/>
      <c r="VBD27" s="19"/>
      <c r="VBE27" s="19"/>
      <c r="VBF27" s="19"/>
      <c r="VBG27" s="19"/>
      <c r="VBH27" s="19"/>
      <c r="VBI27" s="19"/>
      <c r="VBJ27" s="19"/>
      <c r="VBK27" s="19"/>
      <c r="VBL27" s="19"/>
      <c r="VBM27" s="19"/>
      <c r="VBN27" s="19"/>
      <c r="VBO27" s="19"/>
      <c r="VBP27" s="19"/>
      <c r="VBQ27" s="19"/>
      <c r="VBR27" s="19"/>
      <c r="VBS27" s="19"/>
      <c r="VBT27" s="19"/>
      <c r="VBU27" s="19"/>
      <c r="VBV27" s="19"/>
      <c r="VBW27" s="19"/>
      <c r="VBX27" s="19"/>
      <c r="VBY27" s="19"/>
      <c r="VBZ27" s="19"/>
      <c r="VCA27" s="19"/>
      <c r="VCB27" s="19"/>
      <c r="VCC27" s="19"/>
      <c r="VCD27" s="19"/>
      <c r="VCE27" s="19"/>
      <c r="VCF27" s="19"/>
      <c r="VCG27" s="19"/>
      <c r="VCH27" s="19"/>
      <c r="VCI27" s="19"/>
      <c r="VCJ27" s="19"/>
      <c r="VCK27" s="19"/>
      <c r="VCL27" s="19"/>
      <c r="VCM27" s="19"/>
      <c r="VCN27" s="19"/>
      <c r="VCO27" s="19"/>
      <c r="VCP27" s="19"/>
      <c r="VCQ27" s="19"/>
      <c r="VCR27" s="19"/>
      <c r="VCS27" s="19"/>
      <c r="VCT27" s="19"/>
      <c r="VCU27" s="19"/>
      <c r="VCV27" s="19"/>
      <c r="VCW27" s="19"/>
      <c r="VCX27" s="19"/>
      <c r="VCY27" s="19"/>
      <c r="VCZ27" s="19"/>
      <c r="VDA27" s="19"/>
      <c r="VDB27" s="19"/>
      <c r="VDC27" s="19"/>
      <c r="VDD27" s="19"/>
      <c r="VDE27" s="19"/>
      <c r="VDF27" s="19"/>
      <c r="VDG27" s="19"/>
      <c r="VDH27" s="19"/>
      <c r="VDI27" s="19"/>
      <c r="VDJ27" s="19"/>
      <c r="VDK27" s="19"/>
      <c r="VDL27" s="19"/>
      <c r="VDM27" s="19"/>
      <c r="VDN27" s="19"/>
      <c r="VDO27" s="19"/>
      <c r="VDP27" s="19"/>
      <c r="VDQ27" s="19"/>
      <c r="VDR27" s="19"/>
      <c r="VDS27" s="19"/>
      <c r="VDT27" s="19"/>
      <c r="VDU27" s="19"/>
      <c r="VDV27" s="19"/>
      <c r="VDW27" s="19"/>
      <c r="VDX27" s="19"/>
      <c r="VDY27" s="19"/>
      <c r="VDZ27" s="19"/>
      <c r="VEA27" s="19"/>
      <c r="VEB27" s="19"/>
      <c r="VEC27" s="19"/>
      <c r="VED27" s="19"/>
      <c r="VEE27" s="19"/>
      <c r="VEF27" s="19"/>
      <c r="VEG27" s="19"/>
      <c r="VEH27" s="19"/>
      <c r="VEI27" s="19"/>
      <c r="VEJ27" s="19"/>
      <c r="VEK27" s="19"/>
      <c r="VEL27" s="19"/>
      <c r="VEM27" s="19"/>
      <c r="VEN27" s="19"/>
      <c r="VEO27" s="19"/>
      <c r="VEP27" s="19"/>
      <c r="VEQ27" s="19"/>
      <c r="VER27" s="19"/>
      <c r="VES27" s="19"/>
      <c r="VET27" s="19"/>
      <c r="VEU27" s="19"/>
      <c r="VEV27" s="19"/>
      <c r="VEW27" s="19"/>
      <c r="VEX27" s="19"/>
      <c r="VEY27" s="19"/>
      <c r="VEZ27" s="19"/>
      <c r="VFA27" s="19"/>
      <c r="VFB27" s="19"/>
      <c r="VFC27" s="19"/>
      <c r="VFD27" s="19"/>
      <c r="VFE27" s="19"/>
      <c r="VFF27" s="19"/>
      <c r="VFG27" s="19"/>
      <c r="VFH27" s="19"/>
      <c r="VFI27" s="19"/>
      <c r="VFJ27" s="19"/>
      <c r="VFK27" s="19"/>
      <c r="VFL27" s="19"/>
      <c r="VFM27" s="19"/>
      <c r="VFN27" s="19"/>
      <c r="VFO27" s="19"/>
      <c r="VFP27" s="19"/>
      <c r="VFQ27" s="19"/>
      <c r="VFR27" s="19"/>
      <c r="VFS27" s="19"/>
      <c r="VFT27" s="19"/>
      <c r="VFU27" s="19"/>
      <c r="VFV27" s="19"/>
      <c r="VFW27" s="19"/>
      <c r="VFX27" s="19"/>
      <c r="VFY27" s="19"/>
      <c r="VFZ27" s="19"/>
      <c r="VGA27" s="19"/>
      <c r="VGB27" s="19"/>
      <c r="VGC27" s="19"/>
      <c r="VGD27" s="19"/>
      <c r="VGE27" s="19"/>
      <c r="VGF27" s="19"/>
      <c r="VGG27" s="19"/>
      <c r="VGH27" s="19"/>
      <c r="VGI27" s="19"/>
      <c r="VGJ27" s="19"/>
      <c r="VGK27" s="19"/>
      <c r="VGL27" s="19"/>
      <c r="VGM27" s="19"/>
      <c r="VGN27" s="19"/>
      <c r="VGO27" s="19"/>
      <c r="VGP27" s="19"/>
      <c r="VGQ27" s="19"/>
      <c r="VGR27" s="19"/>
      <c r="VGS27" s="19"/>
      <c r="VGT27" s="19"/>
      <c r="VGU27" s="19"/>
      <c r="VGV27" s="19"/>
      <c r="VGW27" s="19"/>
      <c r="VGX27" s="19"/>
      <c r="VGY27" s="19"/>
      <c r="VGZ27" s="19"/>
      <c r="VHA27" s="19"/>
      <c r="VHB27" s="19"/>
      <c r="VHC27" s="19"/>
      <c r="VHD27" s="19"/>
      <c r="VHE27" s="19"/>
      <c r="VHF27" s="19"/>
      <c r="VHG27" s="19"/>
      <c r="VHH27" s="19"/>
      <c r="VHI27" s="19"/>
      <c r="VHJ27" s="19"/>
      <c r="VHK27" s="19"/>
      <c r="VHL27" s="19"/>
      <c r="VHM27" s="19"/>
      <c r="VHN27" s="19"/>
      <c r="VHO27" s="19"/>
      <c r="VHP27" s="19"/>
      <c r="VHQ27" s="19"/>
      <c r="VHR27" s="19"/>
      <c r="VHS27" s="19"/>
      <c r="VHT27" s="19"/>
      <c r="VHU27" s="19"/>
      <c r="VHV27" s="19"/>
      <c r="VHW27" s="19"/>
      <c r="VHX27" s="19"/>
      <c r="VHY27" s="19"/>
      <c r="VHZ27" s="19"/>
      <c r="VIA27" s="19"/>
      <c r="VIB27" s="19"/>
      <c r="VIC27" s="19"/>
      <c r="VID27" s="19"/>
      <c r="VIE27" s="19"/>
      <c r="VIF27" s="19"/>
      <c r="VIG27" s="19"/>
      <c r="VIH27" s="19"/>
      <c r="VII27" s="19"/>
      <c r="VIJ27" s="19"/>
      <c r="VIK27" s="19"/>
      <c r="VIL27" s="19"/>
      <c r="VIM27" s="19"/>
      <c r="VIN27" s="19"/>
      <c r="VIO27" s="19"/>
      <c r="VIP27" s="19"/>
      <c r="VIQ27" s="19"/>
      <c r="VIR27" s="19"/>
      <c r="VIS27" s="19"/>
      <c r="VIT27" s="19"/>
      <c r="VIU27" s="19"/>
      <c r="VIV27" s="19"/>
      <c r="VIW27" s="19"/>
      <c r="VIX27" s="19"/>
      <c r="VIY27" s="19"/>
      <c r="VIZ27" s="19"/>
      <c r="VJA27" s="19"/>
      <c r="VJB27" s="19"/>
      <c r="VJC27" s="19"/>
      <c r="VJD27" s="19"/>
      <c r="VJE27" s="19"/>
      <c r="VJF27" s="19"/>
      <c r="VJG27" s="19"/>
      <c r="VJH27" s="19"/>
      <c r="VJI27" s="19"/>
      <c r="VJJ27" s="19"/>
      <c r="VJK27" s="19"/>
      <c r="VJL27" s="19"/>
      <c r="VJM27" s="19"/>
      <c r="VJN27" s="19"/>
      <c r="VJO27" s="19"/>
      <c r="VJP27" s="19"/>
      <c r="VJQ27" s="19"/>
      <c r="VJR27" s="19"/>
      <c r="VJS27" s="19"/>
      <c r="VJT27" s="19"/>
      <c r="VJU27" s="19"/>
      <c r="VJV27" s="19"/>
      <c r="VJW27" s="19"/>
      <c r="VJX27" s="19"/>
      <c r="VJY27" s="19"/>
      <c r="VJZ27" s="19"/>
      <c r="VKA27" s="19"/>
      <c r="VKB27" s="19"/>
      <c r="VKC27" s="19"/>
      <c r="VKD27" s="19"/>
      <c r="VKE27" s="19"/>
      <c r="VKF27" s="19"/>
      <c r="VKG27" s="19"/>
      <c r="VKH27" s="19"/>
      <c r="VKI27" s="19"/>
      <c r="VKJ27" s="19"/>
      <c r="VKK27" s="19"/>
      <c r="VKL27" s="19"/>
      <c r="VKM27" s="19"/>
      <c r="VKN27" s="19"/>
      <c r="VKO27" s="19"/>
      <c r="VKP27" s="19"/>
      <c r="VKQ27" s="19"/>
      <c r="VKR27" s="19"/>
      <c r="VKS27" s="19"/>
      <c r="VKT27" s="19"/>
      <c r="VKU27" s="19"/>
      <c r="VKV27" s="19"/>
      <c r="VKW27" s="19"/>
      <c r="VKX27" s="19"/>
      <c r="VKY27" s="19"/>
      <c r="VKZ27" s="19"/>
      <c r="VLA27" s="19"/>
      <c r="VLB27" s="19"/>
      <c r="VLC27" s="19"/>
      <c r="VLD27" s="19"/>
      <c r="VLE27" s="19"/>
      <c r="VLF27" s="19"/>
      <c r="VLG27" s="19"/>
      <c r="VLH27" s="19"/>
      <c r="VLI27" s="19"/>
      <c r="VLJ27" s="19"/>
      <c r="VLK27" s="19"/>
      <c r="VLL27" s="19"/>
      <c r="VLM27" s="19"/>
      <c r="VLN27" s="19"/>
      <c r="VLO27" s="19"/>
      <c r="VLP27" s="19"/>
      <c r="VLQ27" s="19"/>
      <c r="VLR27" s="19"/>
      <c r="VLS27" s="19"/>
      <c r="VLT27" s="19"/>
      <c r="VLU27" s="19"/>
      <c r="VLV27" s="19"/>
      <c r="VLW27" s="19"/>
      <c r="VLX27" s="19"/>
      <c r="VLY27" s="19"/>
      <c r="VLZ27" s="19"/>
      <c r="VMA27" s="19"/>
      <c r="VMB27" s="19"/>
      <c r="VMC27" s="19"/>
      <c r="VMD27" s="19"/>
      <c r="VME27" s="19"/>
      <c r="VMF27" s="19"/>
      <c r="VMG27" s="19"/>
      <c r="VMH27" s="19"/>
      <c r="VMI27" s="19"/>
      <c r="VMJ27" s="19"/>
      <c r="VMK27" s="19"/>
      <c r="VML27" s="19"/>
      <c r="VMM27" s="19"/>
      <c r="VMN27" s="19"/>
      <c r="VMO27" s="19"/>
      <c r="VMP27" s="19"/>
      <c r="VMQ27" s="19"/>
      <c r="VMR27" s="19"/>
      <c r="VMS27" s="19"/>
      <c r="VMT27" s="19"/>
      <c r="VMU27" s="19"/>
      <c r="VMV27" s="19"/>
      <c r="VMW27" s="19"/>
      <c r="VMX27" s="19"/>
      <c r="VMY27" s="19"/>
      <c r="VMZ27" s="19"/>
      <c r="VNA27" s="19"/>
      <c r="VNB27" s="19"/>
      <c r="VNC27" s="19"/>
      <c r="VND27" s="19"/>
      <c r="VNE27" s="19"/>
      <c r="VNF27" s="19"/>
      <c r="VNG27" s="19"/>
      <c r="VNH27" s="19"/>
      <c r="VNI27" s="19"/>
      <c r="VNJ27" s="19"/>
      <c r="VNK27" s="19"/>
      <c r="VNL27" s="19"/>
      <c r="VNM27" s="19"/>
      <c r="VNN27" s="19"/>
      <c r="VNO27" s="19"/>
      <c r="VNP27" s="19"/>
      <c r="VNQ27" s="19"/>
      <c r="VNR27" s="19"/>
      <c r="VNS27" s="19"/>
      <c r="VNT27" s="19"/>
      <c r="VNU27" s="19"/>
      <c r="VNV27" s="19"/>
      <c r="VNW27" s="19"/>
      <c r="VNX27" s="19"/>
      <c r="VNY27" s="19"/>
      <c r="VNZ27" s="19"/>
      <c r="VOA27" s="19"/>
      <c r="VOB27" s="19"/>
      <c r="VOC27" s="19"/>
      <c r="VOD27" s="19"/>
      <c r="VOE27" s="19"/>
      <c r="VOF27" s="19"/>
      <c r="VOG27" s="19"/>
      <c r="VOH27" s="19"/>
      <c r="VOI27" s="19"/>
      <c r="VOJ27" s="19"/>
      <c r="VOK27" s="19"/>
      <c r="VOL27" s="19"/>
      <c r="VOM27" s="19"/>
      <c r="VON27" s="19"/>
      <c r="VOO27" s="19"/>
      <c r="VOP27" s="19"/>
      <c r="VOQ27" s="19"/>
      <c r="VOR27" s="19"/>
      <c r="VOS27" s="19"/>
      <c r="VOT27" s="19"/>
      <c r="VOU27" s="19"/>
      <c r="VOV27" s="19"/>
      <c r="VOW27" s="19"/>
      <c r="VOX27" s="19"/>
      <c r="VOY27" s="19"/>
      <c r="VOZ27" s="19"/>
      <c r="VPA27" s="19"/>
      <c r="VPB27" s="19"/>
      <c r="VPC27" s="19"/>
      <c r="VPD27" s="19"/>
      <c r="VPE27" s="19"/>
      <c r="VPF27" s="19"/>
      <c r="VPG27" s="19"/>
      <c r="VPH27" s="19"/>
      <c r="VPI27" s="19"/>
      <c r="VPJ27" s="19"/>
      <c r="VPK27" s="19"/>
      <c r="VPL27" s="19"/>
      <c r="VPM27" s="19"/>
      <c r="VPN27" s="19"/>
      <c r="VPO27" s="19"/>
      <c r="VPP27" s="19"/>
      <c r="VPQ27" s="19"/>
      <c r="VPR27" s="19"/>
      <c r="VPS27" s="19"/>
      <c r="VPT27" s="19"/>
      <c r="VPU27" s="19"/>
      <c r="VPV27" s="19"/>
      <c r="VPW27" s="19"/>
      <c r="VPX27" s="19"/>
      <c r="VPY27" s="19"/>
      <c r="VPZ27" s="19"/>
      <c r="VQA27" s="19"/>
      <c r="VQB27" s="19"/>
      <c r="VQC27" s="19"/>
      <c r="VQD27" s="19"/>
      <c r="VQE27" s="19"/>
      <c r="VQF27" s="19"/>
      <c r="VQG27" s="19"/>
      <c r="VQH27" s="19"/>
      <c r="VQI27" s="19"/>
      <c r="VQJ27" s="19"/>
      <c r="VQK27" s="19"/>
      <c r="VQL27" s="19"/>
      <c r="VQM27" s="19"/>
      <c r="VQN27" s="19"/>
      <c r="VQO27" s="19"/>
      <c r="VQP27" s="19"/>
      <c r="VQQ27" s="19"/>
      <c r="VQR27" s="19"/>
      <c r="VQS27" s="19"/>
      <c r="VQT27" s="19"/>
      <c r="VQU27" s="19"/>
      <c r="VQV27" s="19"/>
      <c r="VQW27" s="19"/>
      <c r="VQX27" s="19"/>
      <c r="VQY27" s="19"/>
      <c r="VQZ27" s="19"/>
      <c r="VRA27" s="19"/>
      <c r="VRB27" s="19"/>
      <c r="VRC27" s="19"/>
      <c r="VRD27" s="19"/>
      <c r="VRE27" s="19"/>
      <c r="VRF27" s="19"/>
      <c r="VRG27" s="19"/>
      <c r="VRH27" s="19"/>
      <c r="VRI27" s="19"/>
      <c r="VRJ27" s="19"/>
      <c r="VRK27" s="19"/>
      <c r="VRL27" s="19"/>
      <c r="VRM27" s="19"/>
      <c r="VRN27" s="19"/>
      <c r="VRO27" s="19"/>
      <c r="VRP27" s="19"/>
      <c r="VRQ27" s="19"/>
      <c r="VRR27" s="19"/>
      <c r="VRS27" s="19"/>
      <c r="VRT27" s="19"/>
      <c r="VRU27" s="19"/>
      <c r="VRV27" s="19"/>
      <c r="VRW27" s="19"/>
      <c r="VRX27" s="19"/>
      <c r="VRY27" s="19"/>
      <c r="VRZ27" s="19"/>
      <c r="VSA27" s="19"/>
      <c r="VSB27" s="19"/>
      <c r="VSC27" s="19"/>
      <c r="VSD27" s="19"/>
      <c r="VSE27" s="19"/>
      <c r="VSF27" s="19"/>
      <c r="VSG27" s="19"/>
      <c r="VSH27" s="19"/>
      <c r="VSI27" s="19"/>
      <c r="VSJ27" s="19"/>
      <c r="VSK27" s="19"/>
      <c r="VSL27" s="19"/>
      <c r="VSM27" s="19"/>
      <c r="VSN27" s="19"/>
      <c r="VSO27" s="19"/>
      <c r="VSP27" s="19"/>
      <c r="VSQ27" s="19"/>
      <c r="VSR27" s="19"/>
      <c r="VSS27" s="19"/>
      <c r="VST27" s="19"/>
      <c r="VSU27" s="19"/>
      <c r="VSV27" s="19"/>
      <c r="VSW27" s="19"/>
      <c r="VSX27" s="19"/>
      <c r="VSY27" s="19"/>
      <c r="VSZ27" s="19"/>
      <c r="VTA27" s="19"/>
      <c r="VTB27" s="19"/>
      <c r="VTC27" s="19"/>
      <c r="VTD27" s="19"/>
      <c r="VTE27" s="19"/>
      <c r="VTF27" s="19"/>
      <c r="VTG27" s="19"/>
      <c r="VTH27" s="19"/>
      <c r="VTI27" s="19"/>
      <c r="VTJ27" s="19"/>
      <c r="VTK27" s="19"/>
      <c r="VTL27" s="19"/>
      <c r="VTM27" s="19"/>
      <c r="VTN27" s="19"/>
      <c r="VTO27" s="19"/>
      <c r="VTP27" s="19"/>
      <c r="VTQ27" s="19"/>
      <c r="VTR27" s="19"/>
      <c r="VTS27" s="19"/>
      <c r="VTT27" s="19"/>
      <c r="VTU27" s="19"/>
      <c r="VTV27" s="19"/>
      <c r="VTW27" s="19"/>
      <c r="VTX27" s="19"/>
      <c r="VTY27" s="19"/>
      <c r="VTZ27" s="19"/>
      <c r="VUA27" s="19"/>
      <c r="VUB27" s="19"/>
      <c r="VUC27" s="19"/>
      <c r="VUD27" s="19"/>
      <c r="VUE27" s="19"/>
      <c r="VUF27" s="19"/>
      <c r="VUG27" s="19"/>
      <c r="VUH27" s="19"/>
      <c r="VUI27" s="19"/>
      <c r="VUJ27" s="19"/>
      <c r="VUK27" s="19"/>
      <c r="VUL27" s="19"/>
      <c r="VUM27" s="19"/>
      <c r="VUN27" s="19"/>
      <c r="VUO27" s="19"/>
      <c r="VUP27" s="19"/>
      <c r="VUQ27" s="19"/>
      <c r="VUR27" s="19"/>
      <c r="VUS27" s="19"/>
      <c r="VUT27" s="19"/>
      <c r="VUU27" s="19"/>
      <c r="VUV27" s="19"/>
      <c r="VUW27" s="19"/>
      <c r="VUX27" s="19"/>
      <c r="VUY27" s="19"/>
      <c r="VUZ27" s="19"/>
      <c r="VVA27" s="19"/>
      <c r="VVB27" s="19"/>
      <c r="VVC27" s="19"/>
      <c r="VVD27" s="19"/>
      <c r="VVE27" s="19"/>
      <c r="VVF27" s="19"/>
      <c r="VVG27" s="19"/>
      <c r="VVH27" s="19"/>
      <c r="VVI27" s="19"/>
      <c r="VVJ27" s="19"/>
      <c r="VVK27" s="19"/>
      <c r="VVL27" s="19"/>
      <c r="VVM27" s="19"/>
      <c r="VVN27" s="19"/>
      <c r="VVO27" s="19"/>
      <c r="VVP27" s="19"/>
      <c r="VVQ27" s="19"/>
      <c r="VVR27" s="19"/>
      <c r="VVS27" s="19"/>
      <c r="VVT27" s="19"/>
      <c r="VVU27" s="19"/>
      <c r="VVV27" s="19"/>
      <c r="VVW27" s="19"/>
      <c r="VVX27" s="19"/>
      <c r="VVY27" s="19"/>
      <c r="VVZ27" s="19"/>
      <c r="VWA27" s="19"/>
      <c r="VWB27" s="19"/>
      <c r="VWC27" s="19"/>
      <c r="VWD27" s="19"/>
      <c r="VWE27" s="19"/>
      <c r="VWF27" s="19"/>
      <c r="VWG27" s="19"/>
      <c r="VWH27" s="19"/>
      <c r="VWI27" s="19"/>
      <c r="VWJ27" s="19"/>
      <c r="VWK27" s="19"/>
      <c r="VWL27" s="19"/>
      <c r="VWM27" s="19"/>
      <c r="VWN27" s="19"/>
      <c r="VWO27" s="19"/>
      <c r="VWP27" s="19"/>
      <c r="VWQ27" s="19"/>
      <c r="VWR27" s="19"/>
      <c r="VWS27" s="19"/>
      <c r="VWT27" s="19"/>
      <c r="VWU27" s="19"/>
      <c r="VWV27" s="19"/>
      <c r="VWW27" s="19"/>
      <c r="VWX27" s="19"/>
      <c r="VWY27" s="19"/>
      <c r="VWZ27" s="19"/>
      <c r="VXA27" s="19"/>
      <c r="VXB27" s="19"/>
      <c r="VXC27" s="19"/>
      <c r="VXD27" s="19"/>
      <c r="VXE27" s="19"/>
      <c r="VXF27" s="19"/>
      <c r="VXG27" s="19"/>
      <c r="VXH27" s="19"/>
      <c r="VXI27" s="19"/>
      <c r="VXJ27" s="19"/>
      <c r="VXK27" s="19"/>
      <c r="VXL27" s="19"/>
      <c r="VXM27" s="19"/>
      <c r="VXN27" s="19"/>
      <c r="VXO27" s="19"/>
      <c r="VXP27" s="19"/>
      <c r="VXQ27" s="19"/>
      <c r="VXR27" s="19"/>
      <c r="VXS27" s="19"/>
      <c r="VXT27" s="19"/>
      <c r="VXU27" s="19"/>
      <c r="VXV27" s="19"/>
      <c r="VXW27" s="19"/>
      <c r="VXX27" s="19"/>
      <c r="VXY27" s="19"/>
      <c r="VXZ27" s="19"/>
      <c r="VYA27" s="19"/>
      <c r="VYB27" s="19"/>
      <c r="VYC27" s="19"/>
      <c r="VYD27" s="19"/>
      <c r="VYE27" s="19"/>
      <c r="VYF27" s="19"/>
      <c r="VYG27" s="19"/>
      <c r="VYH27" s="19"/>
      <c r="VYI27" s="19"/>
      <c r="VYJ27" s="19"/>
      <c r="VYK27" s="19"/>
      <c r="VYL27" s="19"/>
      <c r="VYM27" s="19"/>
      <c r="VYN27" s="19"/>
      <c r="VYO27" s="19"/>
      <c r="VYP27" s="19"/>
      <c r="VYQ27" s="19"/>
      <c r="VYR27" s="19"/>
      <c r="VYS27" s="19"/>
      <c r="VYT27" s="19"/>
      <c r="VYU27" s="19"/>
      <c r="VYV27" s="19"/>
      <c r="VYW27" s="19"/>
      <c r="VYX27" s="19"/>
      <c r="VYY27" s="19"/>
      <c r="VYZ27" s="19"/>
      <c r="VZA27" s="19"/>
      <c r="VZB27" s="19"/>
      <c r="VZC27" s="19"/>
      <c r="VZD27" s="19"/>
      <c r="VZE27" s="19"/>
      <c r="VZF27" s="19"/>
      <c r="VZG27" s="19"/>
      <c r="VZH27" s="19"/>
      <c r="VZI27" s="19"/>
      <c r="VZJ27" s="19"/>
      <c r="VZK27" s="19"/>
      <c r="VZL27" s="19"/>
      <c r="VZM27" s="19"/>
      <c r="VZN27" s="19"/>
      <c r="VZO27" s="19"/>
      <c r="VZP27" s="19"/>
      <c r="VZQ27" s="19"/>
      <c r="VZR27" s="19"/>
      <c r="VZS27" s="19"/>
      <c r="VZT27" s="19"/>
      <c r="VZU27" s="19"/>
      <c r="VZV27" s="19"/>
      <c r="VZW27" s="19"/>
      <c r="VZX27" s="19"/>
      <c r="VZY27" s="19"/>
      <c r="VZZ27" s="19"/>
      <c r="WAA27" s="19"/>
      <c r="WAB27" s="19"/>
      <c r="WAC27" s="19"/>
      <c r="WAD27" s="19"/>
      <c r="WAE27" s="19"/>
      <c r="WAF27" s="19"/>
      <c r="WAG27" s="19"/>
      <c r="WAH27" s="19"/>
      <c r="WAI27" s="19"/>
      <c r="WAJ27" s="19"/>
      <c r="WAK27" s="19"/>
      <c r="WAL27" s="19"/>
      <c r="WAM27" s="19"/>
      <c r="WAN27" s="19"/>
      <c r="WAO27" s="19"/>
      <c r="WAP27" s="19"/>
      <c r="WAQ27" s="19"/>
      <c r="WAR27" s="19"/>
      <c r="WAS27" s="19"/>
      <c r="WAT27" s="19"/>
      <c r="WAU27" s="19"/>
      <c r="WAV27" s="19"/>
      <c r="WAW27" s="19"/>
      <c r="WAX27" s="19"/>
      <c r="WAY27" s="19"/>
      <c r="WAZ27" s="19"/>
      <c r="WBA27" s="19"/>
      <c r="WBB27" s="19"/>
      <c r="WBC27" s="19"/>
      <c r="WBD27" s="19"/>
      <c r="WBE27" s="19"/>
      <c r="WBF27" s="19"/>
      <c r="WBG27" s="19"/>
      <c r="WBH27" s="19"/>
      <c r="WBI27" s="19"/>
      <c r="WBJ27" s="19"/>
      <c r="WBK27" s="19"/>
      <c r="WBL27" s="19"/>
      <c r="WBM27" s="19"/>
      <c r="WBN27" s="19"/>
      <c r="WBO27" s="19"/>
      <c r="WBP27" s="19"/>
      <c r="WBQ27" s="19"/>
      <c r="WBR27" s="19"/>
      <c r="WBS27" s="19"/>
      <c r="WBT27" s="19"/>
      <c r="WBU27" s="19"/>
      <c r="WBV27" s="19"/>
      <c r="WBW27" s="19"/>
      <c r="WBX27" s="19"/>
      <c r="WBY27" s="19"/>
      <c r="WBZ27" s="19"/>
      <c r="WCA27" s="19"/>
      <c r="WCB27" s="19"/>
      <c r="WCC27" s="19"/>
      <c r="WCD27" s="19"/>
      <c r="WCE27" s="19"/>
      <c r="WCF27" s="19"/>
      <c r="WCG27" s="19"/>
      <c r="WCH27" s="19"/>
      <c r="WCI27" s="19"/>
      <c r="WCJ27" s="19"/>
      <c r="WCK27" s="19"/>
      <c r="WCL27" s="19"/>
      <c r="WCM27" s="19"/>
      <c r="WCN27" s="19"/>
      <c r="WCO27" s="19"/>
      <c r="WCP27" s="19"/>
      <c r="WCQ27" s="19"/>
      <c r="WCR27" s="19"/>
      <c r="WCS27" s="19"/>
      <c r="WCT27" s="19"/>
      <c r="WCU27" s="19"/>
      <c r="WCV27" s="19"/>
      <c r="WCW27" s="19"/>
      <c r="WCX27" s="19"/>
      <c r="WCY27" s="19"/>
      <c r="WCZ27" s="19"/>
      <c r="WDA27" s="19"/>
      <c r="WDB27" s="19"/>
      <c r="WDC27" s="19"/>
      <c r="WDD27" s="19"/>
      <c r="WDE27" s="19"/>
      <c r="WDF27" s="19"/>
      <c r="WDG27" s="19"/>
      <c r="WDH27" s="19"/>
      <c r="WDI27" s="19"/>
      <c r="WDJ27" s="19"/>
      <c r="WDK27" s="19"/>
      <c r="WDL27" s="19"/>
      <c r="WDM27" s="19"/>
      <c r="WDN27" s="19"/>
      <c r="WDO27" s="19"/>
      <c r="WDP27" s="19"/>
      <c r="WDQ27" s="19"/>
      <c r="WDR27" s="19"/>
      <c r="WDS27" s="19"/>
      <c r="WDT27" s="19"/>
      <c r="WDU27" s="19"/>
      <c r="WDV27" s="19"/>
      <c r="WDW27" s="19"/>
      <c r="WDX27" s="19"/>
      <c r="WDY27" s="19"/>
      <c r="WDZ27" s="19"/>
      <c r="WEA27" s="19"/>
      <c r="WEB27" s="19"/>
      <c r="WEC27" s="19"/>
      <c r="WED27" s="19"/>
      <c r="WEE27" s="19"/>
      <c r="WEF27" s="19"/>
      <c r="WEG27" s="19"/>
      <c r="WEH27" s="19"/>
      <c r="WEI27" s="19"/>
      <c r="WEJ27" s="19"/>
      <c r="WEK27" s="19"/>
      <c r="WEL27" s="19"/>
      <c r="WEM27" s="19"/>
      <c r="WEN27" s="19"/>
      <c r="WEO27" s="19"/>
      <c r="WEP27" s="19"/>
      <c r="WEQ27" s="19"/>
      <c r="WER27" s="19"/>
      <c r="WES27" s="19"/>
      <c r="WET27" s="19"/>
      <c r="WEU27" s="19"/>
      <c r="WEV27" s="19"/>
      <c r="WEW27" s="19"/>
      <c r="WEX27" s="19"/>
      <c r="WEY27" s="19"/>
      <c r="WEZ27" s="19"/>
      <c r="WFA27" s="19"/>
      <c r="WFB27" s="19"/>
      <c r="WFC27" s="19"/>
      <c r="WFD27" s="19"/>
      <c r="WFE27" s="19"/>
      <c r="WFF27" s="19"/>
      <c r="WFG27" s="19"/>
      <c r="WFH27" s="19"/>
      <c r="WFI27" s="19"/>
      <c r="WFJ27" s="19"/>
      <c r="WFK27" s="19"/>
      <c r="WFL27" s="19"/>
      <c r="WFM27" s="19"/>
      <c r="WFN27" s="19"/>
      <c r="WFO27" s="19"/>
      <c r="WFP27" s="19"/>
      <c r="WFQ27" s="19"/>
      <c r="WFR27" s="19"/>
      <c r="WFS27" s="19"/>
      <c r="WFT27" s="19"/>
      <c r="WFU27" s="19"/>
      <c r="WFV27" s="19"/>
      <c r="WFW27" s="19"/>
      <c r="WFX27" s="19"/>
      <c r="WFY27" s="19"/>
      <c r="WFZ27" s="19"/>
      <c r="WGA27" s="19"/>
      <c r="WGB27" s="19"/>
      <c r="WGC27" s="19"/>
      <c r="WGD27" s="19"/>
      <c r="WGE27" s="19"/>
      <c r="WGF27" s="19"/>
      <c r="WGG27" s="19"/>
      <c r="WGH27" s="19"/>
      <c r="WGI27" s="19"/>
      <c r="WGJ27" s="19"/>
      <c r="WGK27" s="19"/>
      <c r="WGL27" s="19"/>
      <c r="WGM27" s="19"/>
      <c r="WGN27" s="19"/>
      <c r="WGO27" s="19"/>
      <c r="WGP27" s="19"/>
      <c r="WGQ27" s="19"/>
      <c r="WGR27" s="19"/>
      <c r="WGS27" s="19"/>
      <c r="WGT27" s="19"/>
      <c r="WGU27" s="19"/>
      <c r="WGV27" s="19"/>
      <c r="WGW27" s="19"/>
      <c r="WGX27" s="19"/>
      <c r="WGY27" s="19"/>
      <c r="WGZ27" s="19"/>
      <c r="WHA27" s="19"/>
      <c r="WHB27" s="19"/>
      <c r="WHC27" s="19"/>
      <c r="WHD27" s="19"/>
      <c r="WHE27" s="19"/>
      <c r="WHF27" s="19"/>
      <c r="WHG27" s="19"/>
      <c r="WHH27" s="19"/>
      <c r="WHI27" s="19"/>
      <c r="WHJ27" s="19"/>
      <c r="WHK27" s="19"/>
      <c r="WHL27" s="19"/>
      <c r="WHM27" s="19"/>
      <c r="WHN27" s="19"/>
      <c r="WHO27" s="19"/>
      <c r="WHP27" s="19"/>
      <c r="WHQ27" s="19"/>
      <c r="WHR27" s="19"/>
      <c r="WHS27" s="19"/>
      <c r="WHT27" s="19"/>
      <c r="WHU27" s="19"/>
      <c r="WHV27" s="19"/>
      <c r="WHW27" s="19"/>
      <c r="WHX27" s="19"/>
      <c r="WHY27" s="19"/>
      <c r="WHZ27" s="19"/>
      <c r="WIA27" s="19"/>
      <c r="WIB27" s="19"/>
      <c r="WIC27" s="19"/>
      <c r="WID27" s="19"/>
      <c r="WIE27" s="19"/>
      <c r="WIF27" s="19"/>
      <c r="WIG27" s="19"/>
      <c r="WIH27" s="19"/>
      <c r="WII27" s="19"/>
      <c r="WIJ27" s="19"/>
      <c r="WIK27" s="19"/>
      <c r="WIL27" s="19"/>
      <c r="WIM27" s="19"/>
      <c r="WIN27" s="19"/>
      <c r="WIO27" s="19"/>
      <c r="WIP27" s="19"/>
      <c r="WIQ27" s="19"/>
      <c r="WIR27" s="19"/>
      <c r="WIS27" s="19"/>
      <c r="WIT27" s="19"/>
      <c r="WIU27" s="19"/>
      <c r="WIV27" s="19"/>
      <c r="WIW27" s="19"/>
      <c r="WIX27" s="19"/>
      <c r="WIY27" s="19"/>
      <c r="WIZ27" s="19"/>
      <c r="WJA27" s="19"/>
      <c r="WJB27" s="19"/>
      <c r="WJC27" s="19"/>
      <c r="WJD27" s="19"/>
      <c r="WJE27" s="19"/>
      <c r="WJF27" s="19"/>
      <c r="WJG27" s="19"/>
      <c r="WJH27" s="19"/>
      <c r="WJI27" s="19"/>
      <c r="WJJ27" s="19"/>
      <c r="WJK27" s="19"/>
      <c r="WJL27" s="19"/>
      <c r="WJM27" s="19"/>
      <c r="WJN27" s="19"/>
      <c r="WJO27" s="19"/>
      <c r="WJP27" s="19"/>
      <c r="WJQ27" s="19"/>
      <c r="WJR27" s="19"/>
      <c r="WJS27" s="19"/>
      <c r="WJT27" s="19"/>
      <c r="WJU27" s="19"/>
      <c r="WJV27" s="19"/>
      <c r="WJW27" s="19"/>
      <c r="WJX27" s="19"/>
      <c r="WJY27" s="19"/>
      <c r="WJZ27" s="19"/>
      <c r="WKA27" s="19"/>
      <c r="WKB27" s="19"/>
      <c r="WKC27" s="19"/>
      <c r="WKD27" s="19"/>
      <c r="WKE27" s="19"/>
      <c r="WKF27" s="19"/>
      <c r="WKG27" s="19"/>
      <c r="WKH27" s="19"/>
      <c r="WKI27" s="19"/>
      <c r="WKJ27" s="19"/>
      <c r="WKK27" s="19"/>
      <c r="WKL27" s="19"/>
      <c r="WKM27" s="19"/>
      <c r="WKN27" s="19"/>
      <c r="WKO27" s="19"/>
      <c r="WKP27" s="19"/>
      <c r="WKQ27" s="19"/>
      <c r="WKR27" s="19"/>
      <c r="WKS27" s="19"/>
      <c r="WKT27" s="19"/>
      <c r="WKU27" s="19"/>
      <c r="WKV27" s="19"/>
      <c r="WKW27" s="19"/>
      <c r="WKX27" s="19"/>
      <c r="WKY27" s="19"/>
      <c r="WKZ27" s="19"/>
      <c r="WLA27" s="19"/>
      <c r="WLB27" s="19"/>
      <c r="WLC27" s="19"/>
      <c r="WLD27" s="19"/>
      <c r="WLE27" s="19"/>
      <c r="WLF27" s="19"/>
      <c r="WLG27" s="19"/>
      <c r="WLH27" s="19"/>
      <c r="WLI27" s="19"/>
      <c r="WLJ27" s="19"/>
      <c r="WLK27" s="19"/>
      <c r="WLL27" s="19"/>
      <c r="WLM27" s="19"/>
      <c r="WLN27" s="19"/>
      <c r="WLO27" s="19"/>
      <c r="WLP27" s="19"/>
      <c r="WLQ27" s="19"/>
      <c r="WLR27" s="19"/>
      <c r="WLS27" s="19"/>
      <c r="WLT27" s="19"/>
      <c r="WLU27" s="19"/>
      <c r="WLV27" s="19"/>
      <c r="WLW27" s="19"/>
      <c r="WLX27" s="19"/>
      <c r="WLY27" s="19"/>
      <c r="WLZ27" s="19"/>
      <c r="WMA27" s="19"/>
      <c r="WMB27" s="19"/>
      <c r="WMC27" s="19"/>
      <c r="WMD27" s="19"/>
      <c r="WME27" s="19"/>
      <c r="WMF27" s="19"/>
      <c r="WMG27" s="19"/>
      <c r="WMH27" s="19"/>
      <c r="WMI27" s="19"/>
      <c r="WMJ27" s="19"/>
      <c r="WMK27" s="19"/>
      <c r="WML27" s="19"/>
      <c r="WMM27" s="19"/>
      <c r="WMN27" s="19"/>
      <c r="WMO27" s="19"/>
      <c r="WMP27" s="19"/>
      <c r="WMQ27" s="19"/>
      <c r="WMR27" s="19"/>
      <c r="WMS27" s="19"/>
      <c r="WMT27" s="19"/>
      <c r="WMU27" s="19"/>
      <c r="WMV27" s="19"/>
      <c r="WMW27" s="19"/>
      <c r="WMX27" s="19"/>
      <c r="WMY27" s="19"/>
      <c r="WMZ27" s="19"/>
      <c r="WNA27" s="19"/>
      <c r="WNB27" s="19"/>
      <c r="WNC27" s="19"/>
      <c r="WND27" s="19"/>
      <c r="WNE27" s="19"/>
      <c r="WNF27" s="19"/>
      <c r="WNG27" s="19"/>
      <c r="WNH27" s="19"/>
      <c r="WNI27" s="19"/>
      <c r="WNJ27" s="19"/>
      <c r="WNK27" s="19"/>
      <c r="WNL27" s="19"/>
      <c r="WNM27" s="19"/>
      <c r="WNN27" s="19"/>
      <c r="WNO27" s="19"/>
      <c r="WNP27" s="19"/>
      <c r="WNQ27" s="19"/>
      <c r="WNR27" s="19"/>
      <c r="WNS27" s="19"/>
      <c r="WNT27" s="19"/>
      <c r="WNU27" s="19"/>
      <c r="WNV27" s="19"/>
      <c r="WNW27" s="19"/>
      <c r="WNX27" s="19"/>
      <c r="WNY27" s="19"/>
      <c r="WNZ27" s="19"/>
      <c r="WOA27" s="19"/>
      <c r="WOB27" s="19"/>
      <c r="WOC27" s="19"/>
      <c r="WOD27" s="19"/>
      <c r="WOE27" s="19"/>
      <c r="WOF27" s="19"/>
      <c r="WOG27" s="19"/>
      <c r="WOH27" s="19"/>
      <c r="WOI27" s="19"/>
      <c r="WOJ27" s="19"/>
      <c r="WOK27" s="19"/>
      <c r="WOL27" s="19"/>
      <c r="WOM27" s="19"/>
      <c r="WON27" s="19"/>
      <c r="WOO27" s="19"/>
      <c r="WOP27" s="19"/>
      <c r="WOQ27" s="19"/>
      <c r="WOR27" s="19"/>
      <c r="WOS27" s="19"/>
      <c r="WOT27" s="19"/>
      <c r="WOU27" s="19"/>
      <c r="WOV27" s="19"/>
      <c r="WOW27" s="19"/>
      <c r="WOX27" s="19"/>
      <c r="WOY27" s="19"/>
      <c r="WOZ27" s="19"/>
      <c r="WPA27" s="19"/>
      <c r="WPB27" s="19"/>
      <c r="WPC27" s="19"/>
      <c r="WPD27" s="19"/>
      <c r="WPE27" s="19"/>
      <c r="WPF27" s="19"/>
      <c r="WPG27" s="19"/>
      <c r="WPH27" s="19"/>
      <c r="WPI27" s="19"/>
      <c r="WPJ27" s="19"/>
      <c r="WPK27" s="19"/>
      <c r="WPL27" s="19"/>
      <c r="WPM27" s="19"/>
      <c r="WPN27" s="19"/>
      <c r="WPO27" s="19"/>
      <c r="WPP27" s="19"/>
      <c r="WPQ27" s="19"/>
      <c r="WPR27" s="19"/>
      <c r="WPS27" s="19"/>
      <c r="WPT27" s="19"/>
      <c r="WPU27" s="19"/>
      <c r="WPV27" s="19"/>
      <c r="WPW27" s="19"/>
      <c r="WPX27" s="19"/>
      <c r="WPY27" s="19"/>
      <c r="WPZ27" s="19"/>
      <c r="WQA27" s="19"/>
      <c r="WQB27" s="19"/>
      <c r="WQC27" s="19"/>
      <c r="WQD27" s="19"/>
      <c r="WQE27" s="19"/>
      <c r="WQF27" s="19"/>
      <c r="WQG27" s="19"/>
      <c r="WQH27" s="19"/>
      <c r="WQI27" s="19"/>
      <c r="WQJ27" s="19"/>
      <c r="WQK27" s="19"/>
      <c r="WQL27" s="19"/>
      <c r="WQM27" s="19"/>
      <c r="WQN27" s="19"/>
      <c r="WQO27" s="19"/>
      <c r="WQP27" s="19"/>
      <c r="WQQ27" s="19"/>
      <c r="WQR27" s="19"/>
      <c r="WQS27" s="19"/>
      <c r="WQT27" s="19"/>
      <c r="WQU27" s="19"/>
      <c r="WQV27" s="19"/>
      <c r="WQW27" s="19"/>
      <c r="WQX27" s="19"/>
      <c r="WQY27" s="19"/>
      <c r="WQZ27" s="19"/>
      <c r="WRA27" s="19"/>
      <c r="WRB27" s="19"/>
      <c r="WRC27" s="19"/>
      <c r="WRD27" s="19"/>
      <c r="WRE27" s="19"/>
      <c r="WRF27" s="19"/>
      <c r="WRG27" s="19"/>
      <c r="WRH27" s="19"/>
      <c r="WRI27" s="19"/>
      <c r="WRJ27" s="19"/>
      <c r="WRK27" s="19"/>
      <c r="WRL27" s="19"/>
      <c r="WRM27" s="19"/>
      <c r="WRN27" s="19"/>
      <c r="WRO27" s="19"/>
      <c r="WRP27" s="19"/>
      <c r="WRQ27" s="19"/>
      <c r="WRR27" s="19"/>
      <c r="WRS27" s="19"/>
      <c r="WRT27" s="19"/>
      <c r="WRU27" s="19"/>
      <c r="WRV27" s="19"/>
      <c r="WRW27" s="19"/>
      <c r="WRX27" s="19"/>
      <c r="WRY27" s="19"/>
      <c r="WRZ27" s="19"/>
      <c r="WSA27" s="19"/>
      <c r="WSB27" s="19"/>
      <c r="WSC27" s="19"/>
      <c r="WSD27" s="19"/>
      <c r="WSE27" s="19"/>
      <c r="WSF27" s="19"/>
      <c r="WSG27" s="19"/>
      <c r="WSH27" s="19"/>
      <c r="WSI27" s="19"/>
      <c r="WSJ27" s="19"/>
      <c r="WSK27" s="19"/>
      <c r="WSL27" s="19"/>
      <c r="WSM27" s="19"/>
      <c r="WSN27" s="19"/>
      <c r="WSO27" s="19"/>
      <c r="WSP27" s="19"/>
      <c r="WSQ27" s="19"/>
      <c r="WSR27" s="19"/>
      <c r="WSS27" s="19"/>
      <c r="WST27" s="19"/>
      <c r="WSU27" s="19"/>
      <c r="WSV27" s="19"/>
      <c r="WSW27" s="19"/>
      <c r="WSX27" s="19"/>
      <c r="WSY27" s="19"/>
      <c r="WSZ27" s="19"/>
      <c r="WTA27" s="19"/>
      <c r="WTB27" s="19"/>
      <c r="WTC27" s="19"/>
      <c r="WTD27" s="19"/>
      <c r="WTE27" s="19"/>
      <c r="WTF27" s="19"/>
      <c r="WTG27" s="19"/>
      <c r="WTH27" s="19"/>
      <c r="WTI27" s="19"/>
      <c r="WTJ27" s="19"/>
      <c r="WTK27" s="19"/>
      <c r="WTL27" s="19"/>
      <c r="WTM27" s="19"/>
      <c r="WTN27" s="19"/>
      <c r="WTO27" s="19"/>
      <c r="WTP27" s="19"/>
      <c r="WTQ27" s="19"/>
      <c r="WTR27" s="19"/>
      <c r="WTS27" s="19"/>
      <c r="WTT27" s="19"/>
      <c r="WTU27" s="19"/>
      <c r="WTV27" s="19"/>
      <c r="WTW27" s="19"/>
      <c r="WTX27" s="19"/>
      <c r="WTY27" s="19"/>
      <c r="WTZ27" s="19"/>
      <c r="WUA27" s="19"/>
      <c r="WUB27" s="19"/>
      <c r="WUC27" s="19"/>
      <c r="WUD27" s="19"/>
      <c r="WUE27" s="19"/>
      <c r="WUF27" s="19"/>
      <c r="WUG27" s="19"/>
      <c r="WUH27" s="19"/>
      <c r="WUI27" s="19"/>
      <c r="WUJ27" s="19"/>
      <c r="WUK27" s="19"/>
      <c r="WUL27" s="19"/>
      <c r="WUM27" s="19"/>
      <c r="WUN27" s="19"/>
      <c r="WUO27" s="19"/>
      <c r="WUP27" s="19"/>
      <c r="WUQ27" s="19"/>
      <c r="WUR27" s="19"/>
      <c r="WUS27" s="19"/>
      <c r="WUT27" s="19"/>
      <c r="WUU27" s="19"/>
      <c r="WUV27" s="19"/>
      <c r="WUW27" s="19"/>
      <c r="WUX27" s="19"/>
      <c r="WUY27" s="19"/>
      <c r="WUZ27" s="19"/>
      <c r="WVA27" s="19"/>
      <c r="WVB27" s="19"/>
      <c r="WVC27" s="19"/>
      <c r="WVD27" s="19"/>
      <c r="WVE27" s="19"/>
      <c r="WVF27" s="19"/>
      <c r="WVG27" s="19"/>
      <c r="WVH27" s="19"/>
      <c r="WVI27" s="19"/>
      <c r="WVJ27" s="19"/>
      <c r="WVK27" s="19"/>
      <c r="WVL27" s="19"/>
      <c r="WVM27" s="19"/>
      <c r="WVN27" s="19"/>
      <c r="WVO27" s="19"/>
      <c r="WVP27" s="19"/>
      <c r="WVQ27" s="19"/>
      <c r="WVR27" s="19"/>
      <c r="WVS27" s="19"/>
      <c r="WVT27" s="19"/>
      <c r="WVU27" s="19"/>
      <c r="WVV27" s="19"/>
      <c r="WVW27" s="19"/>
      <c r="WVX27" s="19"/>
      <c r="WVY27" s="19"/>
      <c r="WVZ27" s="19"/>
      <c r="WWA27" s="19"/>
      <c r="WWB27" s="19"/>
      <c r="WWC27" s="19"/>
      <c r="WWD27" s="19"/>
      <c r="WWE27" s="19"/>
      <c r="WWF27" s="19"/>
      <c r="WWG27" s="19"/>
      <c r="WWH27" s="19"/>
      <c r="WWI27" s="19"/>
      <c r="WWJ27" s="19"/>
      <c r="WWK27" s="19"/>
      <c r="WWL27" s="19"/>
      <c r="WWM27" s="19"/>
      <c r="WWN27" s="19"/>
      <c r="WWO27" s="19"/>
      <c r="WWP27" s="19"/>
      <c r="WWQ27" s="19"/>
      <c r="WWR27" s="19"/>
      <c r="WWS27" s="19"/>
      <c r="WWT27" s="19"/>
      <c r="WWU27" s="19"/>
      <c r="WWV27" s="19"/>
      <c r="WWW27" s="19"/>
      <c r="WWX27" s="19"/>
      <c r="WWY27" s="19"/>
      <c r="WWZ27" s="19"/>
      <c r="WXA27" s="19"/>
      <c r="WXB27" s="19"/>
      <c r="WXC27" s="19"/>
      <c r="WXD27" s="19"/>
      <c r="WXE27" s="19"/>
      <c r="WXF27" s="19"/>
      <c r="WXG27" s="19"/>
      <c r="WXH27" s="19"/>
      <c r="WXI27" s="19"/>
      <c r="WXJ27" s="19"/>
      <c r="WXK27" s="19"/>
      <c r="WXL27" s="19"/>
      <c r="WXM27" s="19"/>
      <c r="WXN27" s="19"/>
      <c r="WXO27" s="19"/>
      <c r="WXP27" s="19"/>
      <c r="WXQ27" s="19"/>
      <c r="WXR27" s="19"/>
      <c r="WXS27" s="19"/>
      <c r="WXT27" s="19"/>
      <c r="WXU27" s="19"/>
      <c r="WXV27" s="19"/>
      <c r="WXW27" s="19"/>
      <c r="WXX27" s="19"/>
      <c r="WXY27" s="19"/>
      <c r="WXZ27" s="19"/>
      <c r="WYA27" s="19"/>
      <c r="WYB27" s="19"/>
      <c r="WYC27" s="19"/>
      <c r="WYD27" s="19"/>
      <c r="WYE27" s="19"/>
      <c r="WYF27" s="19"/>
      <c r="WYG27" s="19"/>
      <c r="WYH27" s="19"/>
      <c r="WYI27" s="19"/>
      <c r="WYJ27" s="19"/>
      <c r="WYK27" s="19"/>
      <c r="WYL27" s="19"/>
      <c r="WYM27" s="19"/>
      <c r="WYN27" s="19"/>
      <c r="WYO27" s="19"/>
      <c r="WYP27" s="19"/>
      <c r="WYQ27" s="19"/>
      <c r="WYR27" s="19"/>
      <c r="WYS27" s="19"/>
      <c r="WYT27" s="19"/>
      <c r="WYU27" s="19"/>
      <c r="WYV27" s="19"/>
      <c r="WYW27" s="19"/>
      <c r="WYX27" s="19"/>
      <c r="WYY27" s="19"/>
      <c r="WYZ27" s="19"/>
      <c r="WZA27" s="19"/>
      <c r="WZB27" s="19"/>
      <c r="WZC27" s="19"/>
      <c r="WZD27" s="19"/>
      <c r="WZE27" s="19"/>
      <c r="WZF27" s="19"/>
      <c r="WZG27" s="19"/>
      <c r="WZH27" s="19"/>
      <c r="WZI27" s="19"/>
      <c r="WZJ27" s="19"/>
      <c r="WZK27" s="19"/>
      <c r="WZL27" s="19"/>
      <c r="WZM27" s="19"/>
      <c r="WZN27" s="19"/>
      <c r="WZO27" s="19"/>
      <c r="WZP27" s="19"/>
      <c r="WZQ27" s="19"/>
      <c r="WZR27" s="19"/>
      <c r="WZS27" s="19"/>
      <c r="WZT27" s="19"/>
      <c r="WZU27" s="19"/>
      <c r="WZV27" s="19"/>
      <c r="WZW27" s="19"/>
      <c r="WZX27" s="19"/>
      <c r="WZY27" s="19"/>
      <c r="WZZ27" s="19"/>
      <c r="XAA27" s="19"/>
      <c r="XAB27" s="19"/>
      <c r="XAC27" s="19"/>
      <c r="XAD27" s="19"/>
      <c r="XAE27" s="19"/>
      <c r="XAF27" s="19"/>
      <c r="XAG27" s="19"/>
      <c r="XAH27" s="19"/>
      <c r="XAI27" s="19"/>
      <c r="XAJ27" s="19"/>
      <c r="XAK27" s="19"/>
      <c r="XAL27" s="19"/>
      <c r="XAM27" s="19"/>
      <c r="XAN27" s="19"/>
      <c r="XAO27" s="19"/>
      <c r="XAP27" s="19"/>
      <c r="XAQ27" s="19"/>
      <c r="XAR27" s="19"/>
      <c r="XAS27" s="19"/>
      <c r="XAT27" s="19"/>
      <c r="XAU27" s="19"/>
      <c r="XAV27" s="19"/>
      <c r="XAW27" s="19"/>
      <c r="XAX27" s="19"/>
      <c r="XAY27" s="19"/>
      <c r="XAZ27" s="19"/>
      <c r="XBA27" s="19"/>
      <c r="XBB27" s="19"/>
      <c r="XBC27" s="19"/>
      <c r="XBD27" s="19"/>
      <c r="XBE27" s="19"/>
      <c r="XBF27" s="19"/>
      <c r="XBG27" s="19"/>
      <c r="XBH27" s="19"/>
      <c r="XBI27" s="19"/>
      <c r="XBJ27" s="19"/>
      <c r="XBK27" s="19"/>
      <c r="XBL27" s="19"/>
      <c r="XBM27" s="19"/>
      <c r="XBN27" s="19"/>
      <c r="XBO27" s="19"/>
      <c r="XBP27" s="19"/>
      <c r="XBQ27" s="19"/>
      <c r="XBR27" s="19"/>
      <c r="XBS27" s="19"/>
      <c r="XBT27" s="19"/>
      <c r="XBU27" s="19"/>
      <c r="XBV27" s="19"/>
      <c r="XBW27" s="19"/>
      <c r="XBX27" s="19"/>
      <c r="XBY27" s="19"/>
      <c r="XBZ27" s="19"/>
      <c r="XCA27" s="19"/>
      <c r="XCB27" s="19"/>
      <c r="XCC27" s="19"/>
      <c r="XCD27" s="19"/>
      <c r="XCE27" s="19"/>
      <c r="XCF27" s="19"/>
      <c r="XCG27" s="19"/>
      <c r="XCH27" s="19"/>
      <c r="XCI27" s="19"/>
      <c r="XCJ27" s="19"/>
      <c r="XCK27" s="19"/>
      <c r="XCL27" s="19"/>
      <c r="XCM27" s="19"/>
      <c r="XCN27" s="19"/>
      <c r="XCO27" s="19"/>
      <c r="XCP27" s="19"/>
      <c r="XCQ27" s="19"/>
      <c r="XCR27" s="19"/>
      <c r="XCS27" s="19"/>
      <c r="XCT27" s="19"/>
      <c r="XCU27" s="19"/>
      <c r="XCV27" s="19"/>
      <c r="XCW27" s="19"/>
      <c r="XCX27" s="19"/>
      <c r="XCY27" s="19"/>
      <c r="XCZ27" s="19"/>
      <c r="XDA27" s="19"/>
      <c r="XDB27" s="19"/>
      <c r="XDC27" s="19"/>
      <c r="XDD27" s="19"/>
      <c r="XDE27" s="19"/>
      <c r="XDF27" s="19"/>
      <c r="XDG27" s="19"/>
      <c r="XDH27" s="19"/>
      <c r="XDI27" s="19"/>
      <c r="XDJ27" s="19"/>
      <c r="XDK27" s="19"/>
      <c r="XDL27" s="19"/>
      <c r="XDM27" s="19"/>
      <c r="XDN27" s="19"/>
      <c r="XDO27" s="19"/>
      <c r="XDP27" s="19"/>
      <c r="XDQ27" s="19"/>
      <c r="XDR27" s="19"/>
      <c r="XDS27" s="19"/>
      <c r="XDT27" s="19"/>
      <c r="XDU27" s="19"/>
      <c r="XDV27" s="19"/>
      <c r="XDW27" s="19"/>
      <c r="XDX27" s="19"/>
      <c r="XDY27" s="19"/>
      <c r="XDZ27" s="19"/>
      <c r="XEA27" s="19"/>
      <c r="XEB27" s="19"/>
      <c r="XEC27" s="19"/>
      <c r="XED27" s="19"/>
      <c r="XEE27" s="19"/>
      <c r="XEF27" s="19"/>
      <c r="XEG27" s="19"/>
      <c r="XEH27" s="19"/>
      <c r="XEI27" s="19"/>
      <c r="XEJ27" s="19"/>
      <c r="XEK27" s="19"/>
      <c r="XEL27" s="19"/>
      <c r="XEM27" s="19"/>
      <c r="XEN27" s="19"/>
      <c r="XEO27" s="19"/>
      <c r="XEP27" s="19"/>
      <c r="XEQ27" s="19"/>
      <c r="XER27" s="19"/>
      <c r="XES27" s="19"/>
      <c r="XET27" s="19"/>
      <c r="XEU27" s="19"/>
      <c r="XEV27" s="19"/>
      <c r="XEW27" s="19"/>
      <c r="XEX27" s="19"/>
      <c r="XEY27" s="19"/>
      <c r="XEZ27" s="19"/>
      <c r="XFA27" s="19"/>
      <c r="XFB27" s="19"/>
      <c r="XFC27" s="19"/>
      <c r="XFD27" s="1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ENTRIES</vt:lpstr>
      <vt:lpstr>INVOICE AND CASH AMOUNT</vt:lpstr>
      <vt:lpstr>RECEIVED AMOUNT</vt:lpstr>
    </vt:vector>
  </TitlesOfParts>
  <Company>BASTARDS TeaM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2023-08-19T07:11:02Z</dcterms:created>
  <dcterms:modified xsi:type="dcterms:W3CDTF">2025-11-27T11:33:27Z</dcterms:modified>
</cp:coreProperties>
</file>